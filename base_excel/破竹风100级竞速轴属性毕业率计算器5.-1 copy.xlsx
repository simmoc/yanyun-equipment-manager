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3"/>
  </bookViews>
  <sheets>
    <sheet name="期望" sheetId="1" r:id="rId1"/>
    <sheet name="武器奇术" sheetId="2" r:id="rId2"/>
    <sheet name="目标属性" sheetId="5" r:id="rId3"/>
    <sheet name="版本日志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<sst xmlns="http://schemas.openxmlformats.org/spreadsheetml/2006/main" count="902" uniqueCount="299">
  <si>
    <t>释放奇术时主属性</t>
  </si>
  <si>
    <t>破竹</t>
  </si>
  <si>
    <t>&lt;--下拉菜单</t>
  </si>
  <si>
    <t>武学常驻属性</t>
  </si>
  <si>
    <t>通用增伤</t>
  </si>
  <si>
    <t>蓄力增伤</t>
  </si>
  <si>
    <t>断石之构</t>
  </si>
  <si>
    <t>易水歌</t>
  </si>
  <si>
    <t>征人归</t>
  </si>
  <si>
    <t>极乐泣血</t>
  </si>
  <si>
    <t>√</t>
  </si>
  <si>
    <t>×</t>
  </si>
  <si>
    <t>最小外功攻击</t>
  </si>
  <si>
    <t>最大外功攻击</t>
  </si>
  <si>
    <t>外功穿透</t>
  </si>
  <si>
    <t>外攻伤害加成</t>
  </si>
  <si>
    <t>套装</t>
  </si>
  <si>
    <t>5层惊神</t>
  </si>
  <si>
    <t>九枪Q层数</t>
  </si>
  <si>
    <t>天工</t>
  </si>
  <si>
    <t>玉鳞脍</t>
  </si>
  <si>
    <t>燕归</t>
  </si>
  <si>
    <t>火</t>
  </si>
  <si>
    <t>最小鸣金攻击</t>
  </si>
  <si>
    <t>最大鸣金攻击</t>
  </si>
  <si>
    <t>鸣金穿透</t>
  </si>
  <si>
    <t>鸣金伤害加成</t>
  </si>
  <si>
    <t>目标</t>
  </si>
  <si>
    <t>笃山衔蝉</t>
  </si>
  <si>
    <t>&lt;-下拉菜单</t>
  </si>
  <si>
    <t>最小裂石攻击</t>
  </si>
  <si>
    <t>最大裂石攻击</t>
  </si>
  <si>
    <t>裂石穿透</t>
  </si>
  <si>
    <t>裂石伤害加成</t>
  </si>
  <si>
    <t>目标防御</t>
  </si>
  <si>
    <r>
      <rPr>
        <b/>
        <sz val="11"/>
        <color theme="1"/>
        <rFont val="宋体"/>
        <charset val="134"/>
        <scheme val="minor"/>
      </rPr>
      <t>忘川泥鱼易水断石
记得填</t>
    </r>
    <r>
      <rPr>
        <b/>
        <sz val="11"/>
        <color rgb="FFFF0000"/>
        <rFont val="宋体"/>
        <charset val="134"/>
        <scheme val="minor"/>
      </rPr>
      <t>真实</t>
    </r>
    <r>
      <rPr>
        <b/>
        <sz val="11"/>
        <color theme="1"/>
        <rFont val="宋体"/>
        <charset val="134"/>
        <scheme val="minor"/>
      </rPr>
      <t>延迟</t>
    </r>
  </si>
  <si>
    <t>最小牵丝攻击</t>
  </si>
  <si>
    <t>最大牵丝攻击</t>
  </si>
  <si>
    <t>牵丝穿透</t>
  </si>
  <si>
    <t>牵丝伤害加成</t>
  </si>
  <si>
    <t>判定抗性</t>
  </si>
  <si>
    <t>最小破竹攻击</t>
  </si>
  <si>
    <t>最大破竹攻击</t>
  </si>
  <si>
    <t>破竹穿透</t>
  </si>
  <si>
    <t>破竹伤害加成</t>
  </si>
  <si>
    <t>最小无相攻击</t>
  </si>
  <si>
    <t>最大无相攻击</t>
  </si>
  <si>
    <t>无相穿透</t>
  </si>
  <si>
    <t>固伤加成</t>
  </si>
  <si>
    <t>括号内-&gt;</t>
  </si>
  <si>
    <t>精准率</t>
  </si>
  <si>
    <t>会心伤害加成</t>
  </si>
  <si>
    <t>会心率</t>
  </si>
  <si>
    <t>会意伤害加成</t>
  </si>
  <si>
    <t>会意率</t>
  </si>
  <si>
    <t>首领增伤</t>
  </si>
  <si>
    <t>沧海帖</t>
  </si>
  <si>
    <t>行藏帖</t>
  </si>
  <si>
    <t>直接会心率</t>
  </si>
  <si>
    <t>直接会意率</t>
  </si>
  <si>
    <t>相杀瘫痪</t>
  </si>
  <si>
    <t>易伤层数</t>
  </si>
  <si>
    <t>武器增伤</t>
  </si>
  <si>
    <t>双刀</t>
  </si>
  <si>
    <t>定音</t>
  </si>
  <si>
    <t>绳标</t>
  </si>
  <si>
    <t>鼠鼠</t>
  </si>
  <si>
    <t>全武器增伤</t>
  </si>
  <si>
    <t>双刀轻击</t>
  </si>
  <si>
    <t>单体奇术</t>
  </si>
  <si>
    <t>提前打断</t>
  </si>
  <si>
    <t>群体奇术</t>
  </si>
  <si>
    <r>
      <rPr>
        <b/>
        <sz val="11"/>
        <color theme="1"/>
        <rFont val="宋体"/>
        <charset val="134"/>
        <scheme val="minor"/>
      </rPr>
      <t>平均延迟</t>
    </r>
    <r>
      <rPr>
        <sz val="11"/>
        <color theme="1"/>
        <rFont val="宋体"/>
        <charset val="134"/>
        <scheme val="minor"/>
      </rPr>
      <t>(ms)</t>
    </r>
  </si>
  <si>
    <t>N/A</t>
  </si>
  <si>
    <t>用时</t>
  </si>
  <si>
    <t>总期望</t>
  </si>
  <si>
    <t>外功</t>
  </si>
  <si>
    <t>固伤</t>
  </si>
  <si>
    <t>鸣金</t>
  </si>
  <si>
    <t>裂石</t>
  </si>
  <si>
    <t>牵丝</t>
  </si>
  <si>
    <t>无相</t>
  </si>
  <si>
    <t>次数</t>
  </si>
  <si>
    <t>定音增伤</t>
  </si>
  <si>
    <t>期望伤害</t>
  </si>
  <si>
    <t>占比</t>
  </si>
  <si>
    <t>增伤</t>
  </si>
  <si>
    <t>补正</t>
  </si>
  <si>
    <t>生效会心</t>
  </si>
  <si>
    <t>生效会意</t>
  </si>
  <si>
    <t>生效精准</t>
  </si>
  <si>
    <t>武器类型</t>
  </si>
  <si>
    <t>生效增伤</t>
  </si>
  <si>
    <t>最小</t>
  </si>
  <si>
    <t>平均</t>
  </si>
  <si>
    <t>最大</t>
  </si>
  <si>
    <t>穿透增伤</t>
  </si>
  <si>
    <t>伤害加成</t>
  </si>
  <si>
    <t>倍率</t>
  </si>
  <si>
    <t>擦伤伤害</t>
  </si>
  <si>
    <t>擦伤占比</t>
  </si>
  <si>
    <t>会心伤害</t>
  </si>
  <si>
    <t>会心占比</t>
  </si>
  <si>
    <t>会意伤害</t>
  </si>
  <si>
    <t>会意占比</t>
  </si>
  <si>
    <t>普攻伤害</t>
  </si>
  <si>
    <t>普攻占比</t>
  </si>
  <si>
    <t>平均伤害</t>
  </si>
  <si>
    <t>总伤</t>
  </si>
  <si>
    <t>萧呤千浪(单次流星红人)</t>
  </si>
  <si>
    <t>DPS</t>
  </si>
  <si>
    <t>绳标Q(轮回)</t>
  </si>
  <si>
    <t>鼠鼠泥鱼6(普通阶段轮回)</t>
  </si>
  <si>
    <t>双刀红人普攻1笛</t>
  </si>
  <si>
    <t>双刀红人普攻2笛</t>
  </si>
  <si>
    <t>双刀红人普攻3笛</t>
  </si>
  <si>
    <t>100级属性毕业率</t>
  </si>
  <si>
    <t>双刀红人普攻4笛</t>
  </si>
  <si>
    <t>双刀红人普攻5笛</t>
  </si>
  <si>
    <t>鼠鼠泥鱼6(红人笛)</t>
  </si>
  <si>
    <t>双刀Q红人笛</t>
  </si>
  <si>
    <t>极乐泣血(红人笛)</t>
  </si>
  <si>
    <t>双刀红人普攻5笛(无红)</t>
  </si>
  <si>
    <t>鼠鼠泥鱼6(普通阶段轮回笛)</t>
  </si>
  <si>
    <t>双刀普攻1轮回</t>
  </si>
  <si>
    <t>双刀普攻2轮回</t>
  </si>
  <si>
    <t>双刀普攻3轮回</t>
  </si>
  <si>
    <t>双刀普攻4轮回</t>
  </si>
  <si>
    <t>结算</t>
  </si>
  <si>
    <t>绳标Q(轮回气竭迷踪)</t>
  </si>
  <si>
    <t>双刀红人普攻1气竭迷踪</t>
  </si>
  <si>
    <t>双刀红人普攻2气竭迷踪</t>
  </si>
  <si>
    <t>双刀红人普攻3气竭迷踪</t>
  </si>
  <si>
    <t>双刀红人普攻4气竭迷踪</t>
  </si>
  <si>
    <t>双刀红人普攻5气竭迷踪</t>
  </si>
  <si>
    <t>鼠鼠泥鱼6(红人气竭迷踪)</t>
  </si>
  <si>
    <t>双刀Q红人气竭迷踪</t>
  </si>
  <si>
    <t>极乐泣血(红人气竭迷踪)</t>
  </si>
  <si>
    <t>双刀红人普攻4气竭</t>
  </si>
  <si>
    <t>双刀红人普攻5气竭</t>
  </si>
  <si>
    <t>鼠鼠泥鱼6(红人气竭)</t>
  </si>
  <si>
    <t>极乐泣血(红人气竭)</t>
  </si>
  <si>
    <t>双刀红人普攻1断石</t>
  </si>
  <si>
    <t>笛</t>
  </si>
  <si>
    <t>双刀红人普攻2断石</t>
  </si>
  <si>
    <t>绳～</t>
  </si>
  <si>
    <t>双刀红人普攻3断石</t>
  </si>
  <si>
    <t>绳Q</t>
  </si>
  <si>
    <t>双刀红人普攻4断石</t>
  </si>
  <si>
    <t>切</t>
  </si>
  <si>
    <t>鼠鼠泥鱼6(红人断石)</t>
  </si>
  <si>
    <t>普攻抬手</t>
  </si>
  <si>
    <t>双刀Q红人断石</t>
  </si>
  <si>
    <t>红人抬手</t>
  </si>
  <si>
    <t>极乐泣血(红人断石)</t>
  </si>
  <si>
    <t>红人后摇</t>
  </si>
  <si>
    <t>双刀红人普攻5断石(无红)</t>
  </si>
  <si>
    <t>双刀普攻1轮回断石</t>
  </si>
  <si>
    <t>Q</t>
  </si>
  <si>
    <t>双刀普攻2轮回断石</t>
  </si>
  <si>
    <t>鼠鼠泥鱼6(普通阶段轮回断石)</t>
  </si>
  <si>
    <t>极乐泣血(轮回断石)</t>
  </si>
  <si>
    <t>燕</t>
  </si>
  <si>
    <t>双刀普攻1轮回断石迷踪</t>
  </si>
  <si>
    <t>双刀普攻2轮回断石迷踪</t>
  </si>
  <si>
    <t>白刀1234</t>
  </si>
  <si>
    <t>双刀普攻3轮回断石迷踪</t>
  </si>
  <si>
    <t>白刀1</t>
  </si>
  <si>
    <t>鼠鼠泥鱼6(普通阶段轮回断石迷踪)</t>
  </si>
  <si>
    <t>shift</t>
  </si>
  <si>
    <t>迷踪</t>
  </si>
  <si>
    <t>极乐泣血(轮回断石迷踪)</t>
  </si>
  <si>
    <t>气竭</t>
  </si>
  <si>
    <t>绳标Q(轮回断石迷踪)</t>
  </si>
  <si>
    <t>双刀红人普攻1迷踪</t>
  </si>
  <si>
    <t>双刀红人普攻2迷踪</t>
  </si>
  <si>
    <t>双刀红人普攻3迷踪</t>
  </si>
  <si>
    <t>双刀红人普攻4迷踪</t>
  </si>
  <si>
    <t>鼠鼠泥鱼6(红人迷踪)</t>
  </si>
  <si>
    <t>极乐泣血(红人迷踪)</t>
  </si>
  <si>
    <t>双刀红人普攻1</t>
  </si>
  <si>
    <t>双刀红人普攻2</t>
  </si>
  <si>
    <t>双刀红人普攻3</t>
  </si>
  <si>
    <t>断石</t>
  </si>
  <si>
    <t>双刀红人普攻4</t>
  </si>
  <si>
    <t>双刀红人普攻5</t>
  </si>
  <si>
    <t>白刀12</t>
  </si>
  <si>
    <t>鼠鼠泥鱼6(红人)</t>
  </si>
  <si>
    <t>双刀Q红人</t>
  </si>
  <si>
    <t>白刀123</t>
  </si>
  <si>
    <t>极乐泣血(红人)</t>
  </si>
  <si>
    <t>双刀红人普攻5(无红)</t>
  </si>
  <si>
    <t>绳R</t>
  </si>
  <si>
    <t>极乐泣血(轮回)</t>
  </si>
  <si>
    <t>萧呤千浪(单次流星)+轮回断石</t>
  </si>
  <si>
    <t>双刀普攻1轮回笛断石</t>
  </si>
  <si>
    <t>双刀普攻2轮回笛断石</t>
  </si>
  <si>
    <t>移动金身</t>
  </si>
  <si>
    <t>鼠鼠泥鱼6(普通阶段轮回笛断石)</t>
  </si>
  <si>
    <t>极乐泣血(笛轮回断石)</t>
  </si>
  <si>
    <t>萧呤千浪(单次流星红人)+断石</t>
  </si>
  <si>
    <t>双刀红人普攻1笛断石</t>
  </si>
  <si>
    <t>双刀红人普攻2笛断石</t>
  </si>
  <si>
    <t>双刀红人普攻3笛断石</t>
  </si>
  <si>
    <t>双刀红人普攻4笛断石</t>
  </si>
  <si>
    <t>断</t>
  </si>
  <si>
    <t>鼠鼠泥鱼6(红人笛断石)</t>
  </si>
  <si>
    <t>极乐泣血(红人笛断石)</t>
  </si>
  <si>
    <t>萧呤千浪(单次流星红人)+气竭</t>
  </si>
  <si>
    <t>双刀红人普攻1笛气竭</t>
  </si>
  <si>
    <t>双刀红人普攻2笛气竭</t>
  </si>
  <si>
    <t>双刀红人普攻3笛气竭</t>
  </si>
  <si>
    <t>双刀红人普攻4笛气竭</t>
  </si>
  <si>
    <t>双刀红人普攻5笛气竭</t>
  </si>
  <si>
    <t>鼠鼠泥鱼6(红人笛气竭)</t>
  </si>
  <si>
    <t>双刀Q红人笛气竭</t>
  </si>
  <si>
    <t>结</t>
  </si>
  <si>
    <t>极乐泣血(红人笛气竭)</t>
  </si>
  <si>
    <t>双刀红人普攻5笛气竭(无红)</t>
  </si>
  <si>
    <t>鼠鼠泥鱼6(普通阶段轮回笛气竭)</t>
  </si>
  <si>
    <t>易水歌6重(轮回)</t>
  </si>
  <si>
    <t>易水歌6重(近战笛+红人)</t>
  </si>
  <si>
    <t>易水歌6重(轮回气竭迷踪)</t>
  </si>
  <si>
    <t>易水歌6重(轮回断石)</t>
  </si>
  <si>
    <t>易水歌6重(轮回迷踪)</t>
  </si>
  <si>
    <t>易水歌6重(红人)</t>
  </si>
  <si>
    <t>易水歌6重(轮回气竭笛)</t>
  </si>
  <si>
    <t>元素倍率</t>
  </si>
  <si>
    <t>额外最小外功加成</t>
  </si>
  <si>
    <t>额外最大外攻加成</t>
  </si>
  <si>
    <t>额外会心率</t>
  </si>
  <si>
    <t>额外会心伤害</t>
  </si>
  <si>
    <t>额外会意率</t>
  </si>
  <si>
    <t>额外会意伤害</t>
  </si>
  <si>
    <t>额外增伤</t>
  </si>
  <si>
    <t>额外外功穿透</t>
  </si>
  <si>
    <t>蓄力技能</t>
  </si>
  <si>
    <t>类型</t>
  </si>
  <si>
    <t>属性</t>
  </si>
  <si>
    <t>特殊</t>
  </si>
  <si>
    <t>恶身</t>
  </si>
  <si>
    <t>苦果</t>
  </si>
  <si>
    <t>撼天</t>
  </si>
  <si>
    <t>双刀普攻1笛</t>
  </si>
  <si>
    <t>武器</t>
  </si>
  <si>
    <t>双刀普攻2笛</t>
  </si>
  <si>
    <t>双刀普攻3笛</t>
  </si>
  <si>
    <t>双刀普攻4笛</t>
  </si>
  <si>
    <t>双刀普攻3轮回断石</t>
  </si>
  <si>
    <t>双刀普攻4轮回断石</t>
  </si>
  <si>
    <t>双刀普攻4轮回断石迷踪</t>
  </si>
  <si>
    <t>双刀红人普攻5迷踪</t>
  </si>
  <si>
    <t>双刀红人普攻5迷踪(无红)</t>
  </si>
  <si>
    <t>双刀红人普攻5断石</t>
  </si>
  <si>
    <t>双刀红人普攻1气竭</t>
  </si>
  <si>
    <t>双刀红人普攻2气竭</t>
  </si>
  <si>
    <t>双刀红人普攻3气竭</t>
  </si>
  <si>
    <t>绳标Q(远程笛)</t>
  </si>
  <si>
    <t>心法</t>
  </si>
  <si>
    <t>鼠鼠泥鱼6(普通阶段)</t>
  </si>
  <si>
    <t>鼠鼠泥鱼6(普通阶段+笛)</t>
  </si>
  <si>
    <t>骑龙回马打满(轮回)</t>
  </si>
  <si>
    <t>萧呤千浪(单次流星)+轮回</t>
  </si>
  <si>
    <t>极乐泣血(笛)</t>
  </si>
  <si>
    <t>极乐</t>
  </si>
  <si>
    <t>奇术</t>
  </si>
  <si>
    <t>防御</t>
  </si>
  <si>
    <t>气竭增伤</t>
  </si>
  <si>
    <t>无相皇16</t>
  </si>
  <si>
    <t>无相皇51</t>
  </si>
  <si>
    <t>沉棺泊梦</t>
  </si>
  <si>
    <t>幽牙蛇影</t>
  </si>
  <si>
    <t>白驹飞霞</t>
  </si>
  <si>
    <t>俣俣神浒</t>
  </si>
  <si>
    <t>定极分更</t>
  </si>
  <si>
    <t>木桩</t>
  </si>
  <si>
    <t>bilibili@片雲</t>
  </si>
  <si>
    <t>版本号</t>
  </si>
  <si>
    <t>编号</t>
  </si>
  <si>
    <t>描述</t>
  </si>
  <si>
    <t>更新黄钟正响版本内容</t>
  </si>
  <si>
    <t>因司南剑客的随机性,轴暂时只用21秒宝宝轴(爆发阶段+5ms以下延迟)观察属性,实战会更低.</t>
  </si>
  <si>
    <t>司南剑客无法触发闪避类特效,破竹风会比老2打更人(无减伤阶段)低15%以上输出.</t>
  </si>
  <si>
    <t>因通用区膨胀,删除了燕归套选项.</t>
  </si>
  <si>
    <t>修正bug</t>
  </si>
  <si>
    <t>回滚修正</t>
  </si>
  <si>
    <t>更新黄钟正响下半版本内容</t>
  </si>
  <si>
    <t>当前表格diy属性为8劲3敏3势5会心+会意弓</t>
  </si>
  <si>
    <t>更新破竹区超级娱乐版,轴变更为笃墨蝎破盾第一轮爆发轴(其他部分下个版本补完,反射激光层数取40%)</t>
  </si>
  <si>
    <r>
      <rPr>
        <sz val="11"/>
        <color theme="1"/>
        <rFont val="宋体"/>
        <charset val="134"/>
        <scheme val="minor"/>
      </rPr>
      <t>DIY属性变更为小攻,50%时间以上低真气时燕归略大于撼天,只有一次倒地撼天略大于燕归,小攻流</t>
    </r>
    <r>
      <rPr>
        <b/>
        <sz val="11"/>
        <color rgb="FFFF0000"/>
        <rFont val="宋体"/>
        <charset val="134"/>
        <scheme val="minor"/>
      </rPr>
      <t>征人=易水=泣血</t>
    </r>
  </si>
  <si>
    <t>此时相较于大攻飞隼流派提升约为3.5%</t>
  </si>
  <si>
    <t>双刀轻击定音与老鼠定音持平</t>
  </si>
  <si>
    <t>必须填写真实延迟,否则无法反应实际水平</t>
  </si>
  <si>
    <r>
      <rPr>
        <sz val="11"/>
        <color theme="1"/>
        <rFont val="宋体"/>
        <charset val="134"/>
        <scheme val="minor"/>
      </rPr>
      <t>更新夹钟奏雅版本,轴变更为笃墨蝎"不坐服务器上打就会变区"轴,此时小攻流</t>
    </r>
    <r>
      <rPr>
        <b/>
        <sz val="11"/>
        <color rgb="FFFF0000"/>
        <rFont val="宋体"/>
        <charset val="134"/>
        <scheme val="minor"/>
      </rPr>
      <t>易水&gt;泣血&gt;征人</t>
    </r>
  </si>
  <si>
    <t>断石之构启动</t>
  </si>
  <si>
    <t>修正diy属性</t>
  </si>
  <si>
    <t>更新青州蹊跷第一部分</t>
  </si>
  <si>
    <t>更新先琢预览,自拐提升2%.</t>
  </si>
  <si>
    <t>更新夹钟下半属性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</si>
</sst>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2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7" applyNumberFormat="0" applyFill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0" borderId="2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29" applyNumberFormat="0" applyAlignment="0" applyProtection="0">
      <alignment vertical="center"/>
    </xf>
    <xf numFmtId="0" fontId="12" fillId="10" borderId="30" applyNumberFormat="0" applyAlignment="0" applyProtection="0">
      <alignment vertical="center"/>
    </xf>
    <xf numFmtId="0" fontId="13" fillId="10" borderId="29" applyNumberFormat="0" applyAlignment="0" applyProtection="0">
      <alignment vertical="center"/>
    </xf>
    <xf numFmtId="0" fontId="14" fillId="11" borderId="31" applyNumberFormat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1" xfId="6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6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Font="1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8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0" xfId="0" applyNumberFormat="1" applyBorder="1" applyAlignmen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>
      <alignment vertical="center"/>
    </xf>
    <xf numFmtId="1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2" fontId="0" fillId="0" borderId="0" xfId="0" applyNumberFormat="1" applyFill="1">
      <alignment vertical="center"/>
    </xf>
    <xf numFmtId="10" fontId="0" fillId="0" borderId="0" xfId="0" applyNumberFormat="1" applyFill="1">
      <alignment vertical="center"/>
    </xf>
    <xf numFmtId="0" fontId="3" fillId="0" borderId="0" xfId="0" applyFont="1" applyFill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3" borderId="0" xfId="0" applyFill="1">
      <alignment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9" fontId="0" fillId="3" borderId="18" xfId="0" applyNumberForma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77" fontId="0" fillId="3" borderId="19" xfId="0" applyNumberFormat="1" applyFill="1" applyBorder="1" applyAlignment="1">
      <alignment horizontal="center" vertical="center"/>
    </xf>
    <xf numFmtId="10" fontId="0" fillId="5" borderId="19" xfId="0" applyNumberFormat="1" applyFill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77" fontId="0" fillId="3" borderId="19" xfId="0" applyNumberFormat="1" applyFont="1" applyFill="1" applyBorder="1" applyAlignment="1" applyProtection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77" fontId="0" fillId="5" borderId="19" xfId="0" applyNumberFormat="1" applyFill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2" fontId="0" fillId="6" borderId="19" xfId="0" applyNumberFormat="1" applyFill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2" fontId="0" fillId="7" borderId="19" xfId="0" applyNumberForma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2" fontId="0" fillId="5" borderId="19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42"/>
  <sheetViews>
    <sheetView topLeftCell="A7" workbookViewId="0">
      <pane xSplit="5" topLeftCell="F1" activePane="topRight" state="frozen"/>
      <selection/>
      <selection pane="topRight" activeCell="C45" sqref="C45"/>
    </sheetView>
  </sheetViews>
  <sheetFormatPr defaultColWidth="9" defaultRowHeight="13.5"/>
  <cols>
    <col min="2" max="2" width="15.875" customWidth="1"/>
    <col min="3" max="3" width="14.25" customWidth="1"/>
    <col min="4" max="4" width="12" customWidth="1"/>
    <col min="5" max="5" width="27.875" customWidth="1"/>
    <col min="6" max="6" width="10.5083333333333" customWidth="1"/>
    <col min="7" max="7" width="10.5" customWidth="1"/>
    <col min="8" max="8" width="12.625" style="29"/>
    <col min="9" max="10" width="9" style="28"/>
    <col min="18" max="19" width="9.375"/>
    <col min="20" max="20" width="12.875" style="28" customWidth="1"/>
    <col min="21" max="21" width="13.125" style="32" customWidth="1"/>
    <col min="22" max="22" width="13.125" customWidth="1"/>
    <col min="23" max="23" width="12.25" style="29" customWidth="1"/>
    <col min="24" max="24" width="9.75" style="28" customWidth="1"/>
    <col min="25" max="25" width="10.5" style="29" customWidth="1"/>
    <col min="26" max="26" width="9.375" style="28"/>
    <col min="27" max="27" width="10.375" style="29"/>
    <col min="28" max="28" width="9" style="28"/>
    <col min="29" max="29" width="12.625" style="29"/>
    <col min="30" max="30" width="9.375" style="28"/>
    <col min="31" max="31" width="10.375" style="29"/>
    <col min="32" max="32" width="9.375" style="29"/>
    <col min="33" max="34" width="9" style="29"/>
    <col min="38" max="38" width="9.375"/>
    <col min="40" max="40" width="9.375"/>
    <col min="41" max="41" width="9" style="28"/>
    <col min="42" max="42" width="9.375"/>
    <col min="43" max="43" width="9" style="28"/>
    <col min="44" max="44" width="9.375"/>
    <col min="46" max="46" width="9.375"/>
    <col min="56" max="56" width="9" style="28"/>
    <col min="58" max="58" width="9" style="28"/>
    <col min="71" max="71" width="9" style="28"/>
    <col min="73" max="73" width="9" style="28"/>
    <col min="86" max="86" width="9" style="28"/>
    <col min="88" max="88" width="9" style="28"/>
    <col min="92" max="92" width="10.375"/>
    <col min="94" max="94" width="10.375"/>
    <col min="98" max="98" width="9.375"/>
    <col min="100" max="100" width="10.375"/>
    <col min="101" max="101" width="9" style="28"/>
    <col min="102" max="102" width="10.375"/>
    <col min="103" max="103" width="9" style="28"/>
    <col min="104" max="104" width="9.375"/>
    <col min="106" max="106" width="10.375"/>
  </cols>
  <sheetData>
    <row r="1" ht="14.25"/>
    <row r="2" ht="14.25" spans="1:24">
      <c r="B2" s="33" t="s">
        <v>0</v>
      </c>
      <c r="C2" s="34" t="s">
        <v>1</v>
      </c>
      <c r="D2" s="35" t="s">
        <v>2</v>
      </c>
      <c r="E2" s="33" t="s">
        <v>3</v>
      </c>
      <c r="F2" s="36" t="s">
        <v>4</v>
      </c>
      <c r="G2" s="37" t="s">
        <v>5</v>
      </c>
      <c r="H2" s="38" t="s">
        <v>6</v>
      </c>
      <c r="I2" s="38" t="s">
        <v>7</v>
      </c>
      <c r="J2" s="38" t="s">
        <v>8</v>
      </c>
      <c r="K2" s="36" t="s">
        <v>9</v>
      </c>
      <c r="M2" s="39"/>
      <c r="N2" s="39"/>
      <c r="O2" s="39"/>
      <c r="P2" s="39"/>
    </row>
    <row r="3" spans="1:24">
      <c r="E3" s="33">
        <v>150.7</v>
      </c>
      <c r="F3" s="38">
        <f>VLOOKUP($F$7,目标属性!$A:$R,3,FALSE)+IF(I3="√",5%,0)+IF(J3="√",8%,0)+IF(J5="火",1.5%,0)+IF(J5="毒",1%,0)+I5+IF(G5="岳山倾",3.5%,0)+E18</f>
        <v>0.303</v>
      </c>
      <c r="G3" s="38">
        <v>0</v>
      </c>
      <c r="H3" s="40" t="s">
        <v>10</v>
      </c>
      <c r="I3" s="40" t="s">
        <v>10</v>
      </c>
      <c r="J3" s="40" t="s">
        <v>11</v>
      </c>
      <c r="K3" s="40" t="s">
        <v>11</v>
      </c>
      <c r="M3" s="40"/>
      <c r="N3" s="40"/>
      <c r="O3" s="40"/>
      <c r="P3" s="40"/>
      <c r="R3" s="27"/>
      <c r="S3" s="27"/>
    </row>
    <row r="4" spans="1:24">
      <c r="B4" s="41" t="s">
        <v>12</v>
      </c>
      <c r="C4" s="41" t="s">
        <v>13</v>
      </c>
      <c r="D4" s="41" t="s">
        <v>14</v>
      </c>
      <c r="E4" s="42" t="s">
        <v>15</v>
      </c>
      <c r="F4" s="39"/>
      <c r="G4" s="36" t="s">
        <v>16</v>
      </c>
      <c r="H4" s="37" t="s">
        <v>17</v>
      </c>
      <c r="I4" s="39" t="s">
        <v>18</v>
      </c>
      <c r="J4" s="36" t="s">
        <v>19</v>
      </c>
      <c r="K4" s="36" t="s">
        <v>20</v>
      </c>
      <c r="Q4" s="27"/>
      <c r="S4" s="27"/>
    </row>
    <row r="5" spans="1:24">
      <c r="B5" s="41">
        <v>3407.3</v>
      </c>
      <c r="C5" s="41">
        <v>2543.3</v>
      </c>
      <c r="D5" s="41">
        <v>63.5</v>
      </c>
      <c r="E5" s="43">
        <v>0</v>
      </c>
      <c r="F5" s="39"/>
      <c r="G5" s="36" t="s">
        <v>21</v>
      </c>
      <c r="H5" s="40" t="s">
        <v>11</v>
      </c>
      <c r="I5" s="40">
        <v>0</v>
      </c>
      <c r="J5" s="40" t="s">
        <v>22</v>
      </c>
      <c r="K5" s="40" t="s">
        <v>10</v>
      </c>
    </row>
    <row r="6" spans="1:24">
      <c r="B6" s="41" t="s">
        <v>23</v>
      </c>
      <c r="C6" s="41" t="s">
        <v>24</v>
      </c>
      <c r="D6" s="41" t="s">
        <v>25</v>
      </c>
      <c r="E6" s="42" t="s">
        <v>26</v>
      </c>
      <c r="F6" s="36" t="s">
        <v>27</v>
      </c>
      <c r="G6" s="39"/>
      <c r="H6" s="44"/>
      <c r="I6" s="45"/>
      <c r="J6" s="45"/>
      <c r="K6" s="39"/>
    </row>
    <row r="7" ht="14.25" spans="1:24">
      <c r="B7" s="41"/>
      <c r="C7" s="41"/>
      <c r="D7" s="41"/>
      <c r="E7" s="43">
        <v>0</v>
      </c>
      <c r="F7" s="36" t="s">
        <v>28</v>
      </c>
      <c r="G7" s="46" t="s">
        <v>29</v>
      </c>
      <c r="H7" s="44"/>
      <c r="I7" s="45"/>
      <c r="J7" s="45"/>
      <c r="K7" s="39"/>
    </row>
    <row r="8" spans="1:24">
      <c r="B8" s="41" t="s">
        <v>30</v>
      </c>
      <c r="C8" s="41" t="s">
        <v>31</v>
      </c>
      <c r="D8" s="41" t="s">
        <v>32</v>
      </c>
      <c r="E8" s="42" t="s">
        <v>33</v>
      </c>
      <c r="F8" s="36" t="s">
        <v>34</v>
      </c>
      <c r="I8" s="47" t="s">
        <v>35</v>
      </c>
      <c r="J8" s="48"/>
      <c r="K8" s="48"/>
      <c r="L8" s="48"/>
      <c r="M8" s="48"/>
      <c r="N8" s="48"/>
      <c r="O8" s="48"/>
      <c r="P8" s="49"/>
      <c r="Q8" s="50"/>
      <c r="R8" s="50"/>
      <c r="S8" s="51"/>
      <c r="T8" s="51"/>
      <c r="U8" s="51"/>
      <c r="V8" s="51"/>
      <c r="W8" s="51"/>
      <c r="X8" s="51"/>
    </row>
    <row r="9" spans="1:24">
      <c r="B9" s="41"/>
      <c r="C9" s="41"/>
      <c r="D9" s="41"/>
      <c r="E9" s="43">
        <v>0</v>
      </c>
      <c r="F9" s="36">
        <f>VLOOKUP($F$7,目标属性!$A:$R,2,FALSE)</f>
        <v>559</v>
      </c>
      <c r="I9" s="52"/>
      <c r="J9" s="53"/>
      <c r="K9" s="53"/>
      <c r="L9" s="53"/>
      <c r="M9" s="53"/>
      <c r="N9" s="53"/>
      <c r="O9" s="53"/>
      <c r="P9" s="54"/>
      <c r="Q9" s="50"/>
      <c r="R9" s="50"/>
      <c r="S9" s="51"/>
      <c r="T9" s="51"/>
      <c r="U9" s="51"/>
      <c r="V9" s="51"/>
      <c r="W9" s="51"/>
      <c r="X9" s="51"/>
    </row>
    <row r="10" spans="1:24">
      <c r="B10" s="41" t="s">
        <v>36</v>
      </c>
      <c r="C10" s="41" t="s">
        <v>37</v>
      </c>
      <c r="D10" s="41" t="s">
        <v>38</v>
      </c>
      <c r="E10" s="42" t="s">
        <v>39</v>
      </c>
      <c r="F10" s="33" t="s">
        <v>40</v>
      </c>
      <c r="I10" s="52"/>
      <c r="J10" s="53"/>
      <c r="K10" s="53"/>
      <c r="L10" s="53"/>
      <c r="M10" s="53"/>
      <c r="N10" s="53"/>
      <c r="O10" s="53"/>
      <c r="P10" s="54"/>
      <c r="Q10" s="50"/>
      <c r="R10" s="50"/>
      <c r="S10" s="51"/>
      <c r="T10" s="51"/>
      <c r="U10" s="51"/>
      <c r="V10" s="51"/>
      <c r="W10" s="51"/>
      <c r="X10" s="51"/>
    </row>
    <row r="11" spans="1:24">
      <c r="B11" s="41"/>
      <c r="C11" s="41"/>
      <c r="D11" s="41"/>
      <c r="E11" s="43">
        <v>0</v>
      </c>
      <c r="F11" s="33">
        <v>2.15</v>
      </c>
      <c r="I11" s="52"/>
      <c r="J11" s="53"/>
      <c r="K11" s="53"/>
      <c r="L11" s="53"/>
      <c r="M11" s="53"/>
      <c r="N11" s="53"/>
      <c r="O11" s="53"/>
      <c r="P11" s="54"/>
      <c r="Q11" s="50"/>
      <c r="R11" s="50"/>
      <c r="S11" s="51"/>
      <c r="T11" s="51"/>
      <c r="U11" s="51"/>
      <c r="V11" s="51"/>
      <c r="W11" s="51"/>
      <c r="X11" s="51"/>
    </row>
    <row r="12" spans="1:24">
      <c r="B12" s="41" t="s">
        <v>41</v>
      </c>
      <c r="C12" s="41" t="s">
        <v>42</v>
      </c>
      <c r="D12" s="41" t="s">
        <v>43</v>
      </c>
      <c r="E12" s="42" t="s">
        <v>44</v>
      </c>
      <c r="I12" s="52"/>
      <c r="J12" s="53"/>
      <c r="K12" s="53"/>
      <c r="L12" s="53"/>
      <c r="M12" s="53"/>
      <c r="N12" s="53"/>
      <c r="O12" s="53"/>
      <c r="P12" s="54"/>
      <c r="Q12" s="50"/>
      <c r="R12" s="50"/>
      <c r="S12" s="51"/>
      <c r="T12" s="51"/>
      <c r="U12" s="51"/>
      <c r="V12" s="51"/>
      <c r="W12" s="51"/>
      <c r="X12" s="51"/>
    </row>
    <row r="13" spans="1:24">
      <c r="B13" s="41">
        <v>490.8</v>
      </c>
      <c r="C13" s="41">
        <v>1221.8</v>
      </c>
      <c r="D13" s="41">
        <f>IF(B13&gt;=441,29.6,29)</f>
        <v>29.6</v>
      </c>
      <c r="E13" s="43">
        <f>IF(B13&gt;=441,14.8%,14.5%)</f>
        <v>0.148</v>
      </c>
      <c r="I13" s="52"/>
      <c r="J13" s="53"/>
      <c r="K13" s="53"/>
      <c r="L13" s="53"/>
      <c r="M13" s="53"/>
      <c r="N13" s="53"/>
      <c r="O13" s="53"/>
      <c r="P13" s="54"/>
      <c r="Q13" s="50"/>
      <c r="R13" s="50"/>
      <c r="S13" s="51"/>
      <c r="T13" s="51"/>
      <c r="U13" s="51"/>
      <c r="V13" s="51"/>
      <c r="W13" s="51"/>
      <c r="X13" s="51"/>
    </row>
    <row r="14" spans="1:24">
      <c r="A14" s="55"/>
      <c r="B14" s="41" t="s">
        <v>45</v>
      </c>
      <c r="C14" s="56" t="s">
        <v>46</v>
      </c>
      <c r="D14" s="41" t="s">
        <v>47</v>
      </c>
      <c r="E14" s="57" t="s">
        <v>48</v>
      </c>
      <c r="I14" s="52"/>
      <c r="J14" s="53"/>
      <c r="K14" s="53"/>
      <c r="L14" s="53"/>
      <c r="M14" s="53"/>
      <c r="N14" s="53"/>
      <c r="O14" s="53"/>
      <c r="P14" s="54"/>
      <c r="Q14" s="50"/>
      <c r="R14" s="50"/>
      <c r="S14" s="51"/>
      <c r="T14" s="51"/>
      <c r="U14" s="51"/>
      <c r="V14" s="51"/>
      <c r="W14" s="51"/>
      <c r="X14" s="51"/>
    </row>
    <row r="15" spans="1:24">
      <c r="A15" s="55"/>
      <c r="B15" s="58">
        <v>66</v>
      </c>
      <c r="C15" s="58">
        <f>66+59.8</f>
        <v>125.8</v>
      </c>
      <c r="D15" s="58"/>
      <c r="E15" s="57">
        <v>0.3</v>
      </c>
      <c r="I15" s="52"/>
      <c r="J15" s="53"/>
      <c r="K15" s="53"/>
      <c r="L15" s="53"/>
      <c r="M15" s="53"/>
      <c r="N15" s="53"/>
      <c r="O15" s="53"/>
      <c r="P15" s="54"/>
      <c r="Q15" s="50"/>
      <c r="R15" s="50"/>
      <c r="S15" s="51"/>
      <c r="T15" s="51"/>
      <c r="U15" s="51"/>
      <c r="V15" s="51"/>
      <c r="W15" s="51"/>
      <c r="X15" s="51"/>
    </row>
    <row r="16" spans="1:24">
      <c r="A16" s="55" t="s">
        <v>49</v>
      </c>
      <c r="B16" s="41" t="s">
        <v>50</v>
      </c>
      <c r="C16" s="59">
        <v>1.0086</v>
      </c>
      <c r="D16" s="42" t="s">
        <v>51</v>
      </c>
      <c r="E16" s="57">
        <f>54.4%+IF(F19="√",10%,0)+IF(K3="√",3.5%,0)</f>
        <v>0.644</v>
      </c>
      <c r="I16" s="52"/>
      <c r="J16" s="53"/>
      <c r="K16" s="53"/>
      <c r="L16" s="53"/>
      <c r="M16" s="53"/>
      <c r="N16" s="53"/>
      <c r="O16" s="53"/>
      <c r="P16" s="54"/>
      <c r="Q16" s="50"/>
      <c r="R16" s="50"/>
      <c r="S16" s="51"/>
      <c r="T16" s="51"/>
      <c r="U16" s="51"/>
      <c r="V16" s="51"/>
      <c r="W16" s="51"/>
      <c r="X16" s="51"/>
    </row>
    <row r="17" spans="1:121">
      <c r="A17" s="55"/>
      <c r="B17" s="41" t="s">
        <v>52</v>
      </c>
      <c r="C17" s="59">
        <v>0.7265</v>
      </c>
      <c r="D17" s="42" t="s">
        <v>53</v>
      </c>
      <c r="E17" s="57">
        <f>35%</f>
        <v>0.35</v>
      </c>
      <c r="F17" s="38"/>
      <c r="G17" s="60"/>
      <c r="H17" s="60"/>
      <c r="I17" s="52"/>
      <c r="J17" s="53"/>
      <c r="K17" s="53"/>
      <c r="L17" s="53"/>
      <c r="M17" s="53"/>
      <c r="N17" s="53"/>
      <c r="O17" s="53"/>
      <c r="P17" s="54"/>
      <c r="Q17" s="50"/>
      <c r="R17" s="50"/>
      <c r="S17" s="51"/>
      <c r="T17" s="51"/>
      <c r="U17" s="51"/>
      <c r="V17" s="51"/>
      <c r="W17" s="51"/>
      <c r="X17" s="51"/>
    </row>
    <row r="18" spans="1:121">
      <c r="A18" s="55"/>
      <c r="B18" s="41" t="s">
        <v>54</v>
      </c>
      <c r="C18" s="59">
        <v>0.0986</v>
      </c>
      <c r="D18" s="41" t="s">
        <v>55</v>
      </c>
      <c r="E18" s="56">
        <v>0.088</v>
      </c>
      <c r="F18" s="33" t="s">
        <v>56</v>
      </c>
      <c r="G18" s="33" t="s">
        <v>57</v>
      </c>
      <c r="H18" s="60"/>
      <c r="I18" s="61"/>
      <c r="J18" s="62"/>
      <c r="K18" s="62"/>
      <c r="L18" s="62"/>
      <c r="M18" s="62"/>
      <c r="N18" s="62"/>
      <c r="O18" s="62"/>
      <c r="P18" s="63"/>
      <c r="Q18" s="50"/>
      <c r="R18" s="50"/>
      <c r="S18" s="51"/>
      <c r="T18" s="51"/>
      <c r="U18" s="51"/>
      <c r="V18" s="51"/>
      <c r="W18" s="51"/>
      <c r="X18" s="51"/>
    </row>
    <row r="19" spans="1:121">
      <c r="B19" s="41" t="s">
        <v>58</v>
      </c>
      <c r="C19" s="56">
        <f>IF(H3="√",4.1%,0)+IF(I3="√",4.6%,0)</f>
        <v>0.087</v>
      </c>
      <c r="F19" s="40" t="s">
        <v>10</v>
      </c>
      <c r="G19" s="40" t="s">
        <v>11</v>
      </c>
      <c r="H19" s="60"/>
    </row>
    <row r="20" spans="1:121">
      <c r="B20" s="41" t="s">
        <v>59</v>
      </c>
      <c r="C20" s="56">
        <v>0</v>
      </c>
      <c r="F20" s="33" t="s">
        <v>60</v>
      </c>
      <c r="G20" s="33" t="s">
        <v>61</v>
      </c>
    </row>
    <row r="21" spans="1:121">
      <c r="B21" s="41" t="s">
        <v>62</v>
      </c>
      <c r="C21" s="41"/>
      <c r="D21" s="64"/>
      <c r="E21" s="64"/>
      <c r="F21" s="40" t="s">
        <v>10</v>
      </c>
      <c r="G21" s="33">
        <v>8</v>
      </c>
    </row>
    <row r="22" spans="1:121">
      <c r="B22" s="65" t="s">
        <v>63</v>
      </c>
      <c r="C22" s="59">
        <v>0.086</v>
      </c>
      <c r="D22" s="33" t="s">
        <v>64</v>
      </c>
      <c r="E22" s="33"/>
    </row>
    <row r="23" spans="1:121">
      <c r="B23" s="65" t="s">
        <v>65</v>
      </c>
      <c r="C23" s="59">
        <v>0.086</v>
      </c>
      <c r="D23" s="41" t="s">
        <v>66</v>
      </c>
      <c r="E23" s="56">
        <v>0.32</v>
      </c>
    </row>
    <row r="24" spans="1:121">
      <c r="B24" s="65" t="s">
        <v>67</v>
      </c>
      <c r="C24" s="59">
        <v>0.084</v>
      </c>
      <c r="D24" s="66" t="s">
        <v>68</v>
      </c>
      <c r="E24" s="56"/>
    </row>
    <row r="25" spans="1:121">
      <c r="B25" s="67" t="s">
        <v>69</v>
      </c>
      <c r="C25" s="59">
        <v>0</v>
      </c>
      <c r="F25" s="33" t="s">
        <v>70</v>
      </c>
    </row>
    <row r="26" spans="1:121">
      <c r="B26" s="67" t="s">
        <v>71</v>
      </c>
      <c r="C26" s="59">
        <v>0</v>
      </c>
      <c r="D26" s="68" t="s">
        <v>72</v>
      </c>
      <c r="E26" s="41">
        <v>6</v>
      </c>
      <c r="F26" s="40" t="s">
        <v>10</v>
      </c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33"/>
      <c r="R26" s="33"/>
      <c r="S26" s="33"/>
      <c r="T26" s="33"/>
      <c r="U26" s="33"/>
      <c r="V26" s="33"/>
      <c r="W26" s="60"/>
      <c r="X26" s="70"/>
      <c r="Y26" s="60"/>
      <c r="Z26" s="70"/>
      <c r="AA26" s="60"/>
      <c r="AB26" s="70"/>
      <c r="AC26" s="60"/>
      <c r="AD26" s="70"/>
      <c r="AE26" s="60"/>
      <c r="AF26" s="60"/>
      <c r="AG26" s="60"/>
      <c r="AH26" s="60"/>
      <c r="AI26" s="33"/>
      <c r="AJ26" s="33"/>
      <c r="AK26" s="33"/>
      <c r="AL26" s="60"/>
      <c r="AM26" s="70"/>
      <c r="AN26" s="60"/>
      <c r="AO26" s="70"/>
      <c r="AP26" s="60"/>
      <c r="AQ26" s="70"/>
      <c r="AR26" s="60"/>
      <c r="AS26" s="70"/>
      <c r="AT26" s="60"/>
      <c r="AU26" s="33"/>
      <c r="AV26" s="33"/>
      <c r="AW26" s="33"/>
      <c r="AX26" s="33"/>
      <c r="AY26" s="33"/>
      <c r="AZ26" s="33"/>
      <c r="BA26" s="60"/>
      <c r="BB26" s="70"/>
      <c r="BC26" s="60"/>
      <c r="BD26" s="70"/>
      <c r="BE26" s="60"/>
      <c r="BF26" s="70"/>
      <c r="BG26" s="60"/>
      <c r="BH26" s="70"/>
      <c r="BI26" s="60"/>
      <c r="BJ26" s="33"/>
      <c r="BK26" s="33"/>
      <c r="BL26" s="33"/>
      <c r="BM26" s="33"/>
      <c r="BN26" s="33"/>
      <c r="BO26" s="33"/>
      <c r="BP26" s="60"/>
      <c r="BQ26" s="70"/>
      <c r="BR26" s="60"/>
      <c r="BS26" s="70"/>
      <c r="BT26" s="60"/>
      <c r="BU26" s="70"/>
      <c r="BV26" s="60"/>
      <c r="BW26" s="70"/>
      <c r="BX26" s="60"/>
      <c r="BY26" s="33"/>
      <c r="BZ26" s="33"/>
      <c r="CA26" s="33"/>
      <c r="CB26" s="33"/>
      <c r="CC26" s="33"/>
      <c r="CD26" s="33"/>
      <c r="CE26" s="60"/>
      <c r="CF26" s="70"/>
      <c r="CG26" s="60"/>
      <c r="CH26" s="70"/>
      <c r="CI26" s="60"/>
      <c r="CJ26" s="70"/>
      <c r="CK26" s="60"/>
      <c r="CL26" s="70"/>
      <c r="CM26" s="60"/>
      <c r="CN26" s="33"/>
      <c r="CO26" s="33"/>
      <c r="CP26" s="33"/>
      <c r="CQ26" s="33"/>
      <c r="CR26" s="33"/>
      <c r="CS26" s="33"/>
      <c r="CT26" s="60"/>
      <c r="CU26" s="70"/>
      <c r="CV26" s="60"/>
      <c r="CW26" s="70"/>
      <c r="CX26" s="60"/>
      <c r="CY26" s="70"/>
      <c r="CZ26" s="60"/>
      <c r="DA26" s="70"/>
      <c r="DB26" s="60"/>
      <c r="DC26" s="33"/>
      <c r="DD26" s="33"/>
      <c r="DE26" s="33"/>
      <c r="DF26" s="33"/>
      <c r="DG26" s="33"/>
      <c r="DH26" s="33"/>
      <c r="DI26" s="60"/>
      <c r="DJ26" s="70"/>
      <c r="DK26" s="60"/>
      <c r="DL26" s="70"/>
      <c r="DM26" s="60"/>
      <c r="DN26" s="70"/>
      <c r="DO26" s="60"/>
      <c r="DP26" s="70"/>
      <c r="DQ26" s="60"/>
    </row>
    <row r="27" ht="14.25" spans="1:121">
      <c r="B27" s="39" t="s">
        <v>73</v>
      </c>
      <c r="C27" s="71">
        <v>0</v>
      </c>
      <c r="D27" s="37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33"/>
      <c r="R27" s="33"/>
      <c r="S27" s="33"/>
      <c r="T27" s="33"/>
      <c r="U27" s="33"/>
      <c r="V27" s="33"/>
      <c r="W27" s="60"/>
      <c r="X27" s="70"/>
      <c r="Y27" s="60"/>
      <c r="Z27" s="70"/>
      <c r="AA27" s="60"/>
      <c r="AB27" s="70"/>
      <c r="AC27" s="60"/>
      <c r="AD27" s="70"/>
      <c r="AE27" s="60"/>
      <c r="AF27" s="60"/>
      <c r="AG27" s="60"/>
      <c r="AH27" s="60"/>
      <c r="AI27" s="33"/>
      <c r="AJ27" s="33"/>
      <c r="AK27" s="33"/>
      <c r="AL27" s="60"/>
      <c r="AM27" s="70"/>
      <c r="AN27" s="60"/>
      <c r="AO27" s="70"/>
      <c r="AP27" s="60"/>
      <c r="AQ27" s="70"/>
      <c r="AR27" s="60"/>
      <c r="AS27" s="70"/>
      <c r="AT27" s="60"/>
      <c r="AU27" s="33"/>
      <c r="AV27" s="33"/>
      <c r="AW27" s="33"/>
      <c r="AX27" s="33"/>
      <c r="AY27" s="33"/>
      <c r="AZ27" s="33"/>
      <c r="BA27" s="60"/>
      <c r="BB27" s="70"/>
      <c r="BC27" s="60"/>
      <c r="BD27" s="70"/>
      <c r="BE27" s="60"/>
      <c r="BF27" s="70"/>
      <c r="BG27" s="60"/>
      <c r="BH27" s="70"/>
      <c r="BI27" s="60"/>
      <c r="BJ27" s="33"/>
      <c r="BK27" s="33"/>
      <c r="BL27" s="33"/>
      <c r="BM27" s="33"/>
      <c r="BN27" s="33"/>
      <c r="BO27" s="33"/>
      <c r="BP27" s="60"/>
      <c r="BQ27" s="70"/>
      <c r="BR27" s="60"/>
      <c r="BS27" s="70"/>
      <c r="BT27" s="60"/>
      <c r="BU27" s="70"/>
      <c r="BV27" s="60"/>
      <c r="BW27" s="70"/>
      <c r="BX27" s="60"/>
      <c r="BY27" s="33"/>
      <c r="BZ27" s="33"/>
      <c r="CA27" s="33"/>
      <c r="CB27" s="33"/>
      <c r="CC27" s="33"/>
      <c r="CD27" s="33"/>
      <c r="CE27" s="60"/>
      <c r="CF27" s="70"/>
      <c r="CG27" s="60"/>
      <c r="CH27" s="70"/>
      <c r="CI27" s="60"/>
      <c r="CJ27" s="70"/>
      <c r="CK27" s="60"/>
      <c r="CL27" s="70"/>
      <c r="CM27" s="60"/>
      <c r="CN27" s="33"/>
      <c r="CO27" s="33"/>
      <c r="CP27" s="33"/>
      <c r="CQ27" s="33"/>
      <c r="CR27" s="33"/>
      <c r="CS27" s="33"/>
      <c r="CT27" s="60"/>
      <c r="CU27" s="70"/>
      <c r="CV27" s="60"/>
      <c r="CW27" s="70"/>
      <c r="CX27" s="60"/>
      <c r="CY27" s="70"/>
      <c r="CZ27" s="60"/>
      <c r="DA27" s="70"/>
      <c r="DB27" s="60"/>
      <c r="DC27" s="33"/>
      <c r="DD27" s="33"/>
      <c r="DE27" s="33"/>
      <c r="DF27" s="33"/>
      <c r="DG27" s="33"/>
      <c r="DH27" s="33"/>
      <c r="DI27" s="60"/>
      <c r="DJ27" s="70"/>
      <c r="DK27" s="60"/>
      <c r="DL27" s="70"/>
      <c r="DM27" s="60"/>
      <c r="DN27" s="70"/>
      <c r="DO27" s="60"/>
      <c r="DP27" s="70"/>
      <c r="DQ27" s="60"/>
    </row>
    <row r="28" ht="14.25" spans="1:121">
      <c r="B28" s="72" t="s">
        <v>74</v>
      </c>
      <c r="C28" s="73">
        <f>74.5+E26*108/1000-IF(E26&gt;=12,2.8,0)-IF(AND($E$26&lt;12,$E$26&gt;6,$F$26="√"),1.2,0)</f>
        <v>75.148</v>
      </c>
      <c r="D28" s="74"/>
      <c r="E28" s="75" t="s">
        <v>75</v>
      </c>
      <c r="F28" s="76"/>
      <c r="G28" s="76"/>
      <c r="H28" s="76"/>
      <c r="I28" s="76"/>
      <c r="J28" s="76"/>
      <c r="K28" s="77"/>
      <c r="L28" s="78"/>
      <c r="M28" s="79"/>
      <c r="N28" s="80"/>
      <c r="O28" s="79"/>
      <c r="P28" s="80"/>
      <c r="Q28" s="81" t="s">
        <v>76</v>
      </c>
      <c r="R28" s="82"/>
      <c r="S28" s="82"/>
      <c r="T28" s="82"/>
      <c r="U28" s="82"/>
      <c r="V28" s="82"/>
      <c r="W28" s="83"/>
      <c r="X28" s="84"/>
      <c r="Y28" s="83"/>
      <c r="Z28" s="84"/>
      <c r="AA28" s="83"/>
      <c r="AB28" s="84"/>
      <c r="AC28" s="83"/>
      <c r="AD28" s="84"/>
      <c r="AE28" s="85"/>
      <c r="AF28" s="86" t="s">
        <v>77</v>
      </c>
      <c r="AG28" s="83"/>
      <c r="AH28" s="83"/>
      <c r="AI28" s="82"/>
      <c r="AJ28" s="82"/>
      <c r="AK28" s="82"/>
      <c r="AL28" s="83"/>
      <c r="AM28" s="84"/>
      <c r="AN28" s="83"/>
      <c r="AO28" s="84"/>
      <c r="AP28" s="83"/>
      <c r="AQ28" s="84"/>
      <c r="AR28" s="83"/>
      <c r="AS28" s="84"/>
      <c r="AT28" s="85"/>
      <c r="AU28" s="81" t="s">
        <v>78</v>
      </c>
      <c r="AV28" s="82"/>
      <c r="AW28" s="82"/>
      <c r="AX28" s="82"/>
      <c r="AY28" s="82"/>
      <c r="AZ28" s="82"/>
      <c r="BA28" s="83"/>
      <c r="BB28" s="84"/>
      <c r="BC28" s="83"/>
      <c r="BD28" s="84"/>
      <c r="BE28" s="83"/>
      <c r="BF28" s="84"/>
      <c r="BG28" s="83"/>
      <c r="BH28" s="84"/>
      <c r="BI28" s="85"/>
      <c r="BJ28" s="81" t="s">
        <v>79</v>
      </c>
      <c r="BK28" s="82"/>
      <c r="BL28" s="82"/>
      <c r="BM28" s="82"/>
      <c r="BN28" s="82"/>
      <c r="BO28" s="82"/>
      <c r="BP28" s="83"/>
      <c r="BQ28" s="84"/>
      <c r="BR28" s="83"/>
      <c r="BS28" s="84"/>
      <c r="BT28" s="83"/>
      <c r="BU28" s="84"/>
      <c r="BV28" s="83"/>
      <c r="BW28" s="84"/>
      <c r="BX28" s="85"/>
      <c r="BY28" s="81" t="s">
        <v>80</v>
      </c>
      <c r="BZ28" s="82"/>
      <c r="CA28" s="82"/>
      <c r="CB28" s="82"/>
      <c r="CC28" s="82"/>
      <c r="CD28" s="82"/>
      <c r="CE28" s="83"/>
      <c r="CF28" s="84"/>
      <c r="CG28" s="83"/>
      <c r="CH28" s="84"/>
      <c r="CI28" s="83"/>
      <c r="CJ28" s="84"/>
      <c r="CK28" s="83"/>
      <c r="CL28" s="84"/>
      <c r="CM28" s="85"/>
      <c r="CN28" s="81" t="s">
        <v>1</v>
      </c>
      <c r="CO28" s="82"/>
      <c r="CP28" s="82"/>
      <c r="CQ28" s="82"/>
      <c r="CR28" s="82"/>
      <c r="CS28" s="82"/>
      <c r="CT28" s="83"/>
      <c r="CU28" s="84"/>
      <c r="CV28" s="83"/>
      <c r="CW28" s="84"/>
      <c r="CX28" s="83"/>
      <c r="CY28" s="84"/>
      <c r="CZ28" s="83"/>
      <c r="DA28" s="84"/>
      <c r="DB28" s="85"/>
      <c r="DC28" s="81" t="s">
        <v>81</v>
      </c>
      <c r="DD28" s="82"/>
      <c r="DE28" s="82"/>
      <c r="DF28" s="82"/>
      <c r="DG28" s="82"/>
      <c r="DH28" s="82"/>
      <c r="DI28" s="83"/>
      <c r="DJ28" s="84"/>
      <c r="DK28" s="83"/>
      <c r="DL28" s="84"/>
      <c r="DM28" s="83"/>
      <c r="DN28" s="84"/>
      <c r="DO28" s="83"/>
      <c r="DP28" s="84"/>
      <c r="DQ28" s="85"/>
    </row>
    <row r="29" ht="14.25" spans="1:121">
      <c r="B29" s="87"/>
      <c r="C29" s="88"/>
      <c r="D29" s="89"/>
      <c r="E29" s="90"/>
      <c r="F29" s="91" t="s">
        <v>82</v>
      </c>
      <c r="G29" s="91" t="s">
        <v>83</v>
      </c>
      <c r="H29" s="92" t="s">
        <v>84</v>
      </c>
      <c r="I29" s="93" t="s">
        <v>85</v>
      </c>
      <c r="J29" s="93" t="s">
        <v>86</v>
      </c>
      <c r="K29" s="94" t="s">
        <v>87</v>
      </c>
      <c r="L29" s="95" t="s">
        <v>88</v>
      </c>
      <c r="M29" s="96" t="s">
        <v>89</v>
      </c>
      <c r="N29" s="7" t="s">
        <v>90</v>
      </c>
      <c r="O29" s="97" t="s">
        <v>91</v>
      </c>
      <c r="P29" s="98" t="s">
        <v>92</v>
      </c>
      <c r="Q29" s="99" t="s">
        <v>93</v>
      </c>
      <c r="R29" s="91" t="s">
        <v>94</v>
      </c>
      <c r="S29" s="91" t="s">
        <v>95</v>
      </c>
      <c r="T29" s="93" t="s">
        <v>96</v>
      </c>
      <c r="U29" s="100" t="s">
        <v>97</v>
      </c>
      <c r="V29" s="91" t="s">
        <v>98</v>
      </c>
      <c r="W29" s="92" t="s">
        <v>99</v>
      </c>
      <c r="X29" s="93" t="s">
        <v>100</v>
      </c>
      <c r="Y29" s="92" t="s">
        <v>101</v>
      </c>
      <c r="Z29" s="93" t="s">
        <v>102</v>
      </c>
      <c r="AA29" s="92" t="s">
        <v>103</v>
      </c>
      <c r="AB29" s="93" t="s">
        <v>104</v>
      </c>
      <c r="AC29" s="92" t="s">
        <v>105</v>
      </c>
      <c r="AD29" s="93" t="s">
        <v>106</v>
      </c>
      <c r="AE29" s="101" t="s">
        <v>107</v>
      </c>
      <c r="AF29" s="102" t="s">
        <v>93</v>
      </c>
      <c r="AG29" s="92" t="s">
        <v>94</v>
      </c>
      <c r="AH29" s="92" t="s">
        <v>95</v>
      </c>
      <c r="AI29" s="93" t="s">
        <v>96</v>
      </c>
      <c r="AJ29" s="100" t="s">
        <v>97</v>
      </c>
      <c r="AK29" s="91" t="s">
        <v>98</v>
      </c>
      <c r="AL29" s="92" t="s">
        <v>99</v>
      </c>
      <c r="AM29" s="93" t="s">
        <v>100</v>
      </c>
      <c r="AN29" s="92" t="s">
        <v>101</v>
      </c>
      <c r="AO29" s="93" t="s">
        <v>102</v>
      </c>
      <c r="AP29" s="92" t="s">
        <v>103</v>
      </c>
      <c r="AQ29" s="93" t="s">
        <v>104</v>
      </c>
      <c r="AR29" s="92" t="s">
        <v>105</v>
      </c>
      <c r="AS29" s="93" t="s">
        <v>106</v>
      </c>
      <c r="AT29" s="101" t="s">
        <v>107</v>
      </c>
      <c r="AU29" s="99" t="s">
        <v>93</v>
      </c>
      <c r="AV29" s="91" t="s">
        <v>94</v>
      </c>
      <c r="AW29" s="91" t="s">
        <v>95</v>
      </c>
      <c r="AX29" s="93" t="s">
        <v>96</v>
      </c>
      <c r="AY29" s="100" t="s">
        <v>97</v>
      </c>
      <c r="AZ29" s="91" t="s">
        <v>98</v>
      </c>
      <c r="BA29" s="92" t="s">
        <v>99</v>
      </c>
      <c r="BB29" s="93" t="s">
        <v>100</v>
      </c>
      <c r="BC29" s="92" t="s">
        <v>101</v>
      </c>
      <c r="BD29" s="93" t="s">
        <v>102</v>
      </c>
      <c r="BE29" s="92" t="s">
        <v>103</v>
      </c>
      <c r="BF29" s="93" t="s">
        <v>104</v>
      </c>
      <c r="BG29" s="92" t="s">
        <v>105</v>
      </c>
      <c r="BH29" s="93" t="s">
        <v>106</v>
      </c>
      <c r="BI29" s="101" t="s">
        <v>107</v>
      </c>
      <c r="BJ29" s="99" t="s">
        <v>93</v>
      </c>
      <c r="BK29" s="91" t="s">
        <v>94</v>
      </c>
      <c r="BL29" s="91" t="s">
        <v>95</v>
      </c>
      <c r="BM29" s="93" t="s">
        <v>96</v>
      </c>
      <c r="BN29" s="100" t="s">
        <v>97</v>
      </c>
      <c r="BO29" s="91" t="s">
        <v>98</v>
      </c>
      <c r="BP29" s="92" t="s">
        <v>99</v>
      </c>
      <c r="BQ29" s="93" t="s">
        <v>100</v>
      </c>
      <c r="BR29" s="92" t="s">
        <v>101</v>
      </c>
      <c r="BS29" s="93" t="s">
        <v>102</v>
      </c>
      <c r="BT29" s="92" t="s">
        <v>103</v>
      </c>
      <c r="BU29" s="93" t="s">
        <v>104</v>
      </c>
      <c r="BV29" s="92" t="s">
        <v>105</v>
      </c>
      <c r="BW29" s="93" t="s">
        <v>106</v>
      </c>
      <c r="BX29" s="101" t="s">
        <v>107</v>
      </c>
      <c r="BY29" s="99" t="s">
        <v>93</v>
      </c>
      <c r="BZ29" s="91" t="s">
        <v>94</v>
      </c>
      <c r="CA29" s="91" t="s">
        <v>95</v>
      </c>
      <c r="CB29" s="93" t="s">
        <v>96</v>
      </c>
      <c r="CC29" s="100" t="s">
        <v>97</v>
      </c>
      <c r="CD29" s="91" t="s">
        <v>98</v>
      </c>
      <c r="CE29" s="92" t="s">
        <v>99</v>
      </c>
      <c r="CF29" s="93" t="s">
        <v>100</v>
      </c>
      <c r="CG29" s="92" t="s">
        <v>101</v>
      </c>
      <c r="CH29" s="93" t="s">
        <v>102</v>
      </c>
      <c r="CI29" s="92" t="s">
        <v>103</v>
      </c>
      <c r="CJ29" s="93" t="s">
        <v>104</v>
      </c>
      <c r="CK29" s="92" t="s">
        <v>105</v>
      </c>
      <c r="CL29" s="93" t="s">
        <v>106</v>
      </c>
      <c r="CM29" s="101" t="s">
        <v>107</v>
      </c>
      <c r="CN29" s="99" t="s">
        <v>93</v>
      </c>
      <c r="CO29" s="91" t="s">
        <v>94</v>
      </c>
      <c r="CP29" s="91" t="s">
        <v>95</v>
      </c>
      <c r="CQ29" s="93" t="s">
        <v>96</v>
      </c>
      <c r="CR29" s="100" t="s">
        <v>97</v>
      </c>
      <c r="CS29" s="91" t="s">
        <v>98</v>
      </c>
      <c r="CT29" s="92" t="s">
        <v>99</v>
      </c>
      <c r="CU29" s="93" t="s">
        <v>100</v>
      </c>
      <c r="CV29" s="92" t="s">
        <v>101</v>
      </c>
      <c r="CW29" s="93" t="s">
        <v>102</v>
      </c>
      <c r="CX29" s="92" t="s">
        <v>103</v>
      </c>
      <c r="CY29" s="93" t="s">
        <v>104</v>
      </c>
      <c r="CZ29" s="92" t="s">
        <v>105</v>
      </c>
      <c r="DA29" s="93" t="s">
        <v>106</v>
      </c>
      <c r="DB29" s="101" t="s">
        <v>107</v>
      </c>
      <c r="DC29" s="99" t="s">
        <v>93</v>
      </c>
      <c r="DD29" s="91" t="s">
        <v>94</v>
      </c>
      <c r="DE29" s="91" t="s">
        <v>95</v>
      </c>
      <c r="DF29" s="93" t="s">
        <v>96</v>
      </c>
      <c r="DG29" s="100" t="s">
        <v>97</v>
      </c>
      <c r="DH29" s="91" t="s">
        <v>98</v>
      </c>
      <c r="DI29" s="92" t="s">
        <v>99</v>
      </c>
      <c r="DJ29" s="93" t="s">
        <v>100</v>
      </c>
      <c r="DK29" s="92" t="s">
        <v>101</v>
      </c>
      <c r="DL29" s="93" t="s">
        <v>102</v>
      </c>
      <c r="DM29" s="92" t="s">
        <v>103</v>
      </c>
      <c r="DN29" s="93" t="s">
        <v>104</v>
      </c>
      <c r="DO29" s="92" t="s">
        <v>105</v>
      </c>
      <c r="DP29" s="93" t="s">
        <v>106</v>
      </c>
      <c r="DQ29" s="101" t="s">
        <v>107</v>
      </c>
    </row>
    <row r="30" spans="1:121">
      <c r="B30" s="72" t="s">
        <v>108</v>
      </c>
      <c r="C30" s="103">
        <f>SUM(H30:H142)</f>
        <v>7795282.25297781</v>
      </c>
      <c r="D30" s="104"/>
      <c r="E30" s="105" t="s">
        <v>109</v>
      </c>
      <c r="F30" s="106">
        <v>1</v>
      </c>
      <c r="G30" s="107"/>
      <c r="H30" s="92">
        <f>IF(VLOOKUP($E30,武器奇术!$A:$R,18,FALSE)="天工",AE30,(AE30+AT30+BI30+BX30+CM30+DB30+DQ30))*(1+J30)*F30*K30*(1+G30)</f>
        <v>25395.9242007614</v>
      </c>
      <c r="I30" s="93">
        <f t="shared" ref="I30:I32" si="0">H30/$C$30</f>
        <v>0.00325785819892027</v>
      </c>
      <c r="J30" s="108">
        <f>$F$3+VLOOKUP($E30,武器奇术!$A:$R,12,FALSE)+VLOOKUP($E30,武器奇术!$A:$R,14,FALSE)*$G$3+$P30+IF($F$21="√",5%,0)</f>
        <v>0.473</v>
      </c>
      <c r="K30" s="94">
        <f>VLOOKUP($E30,武器奇术!$A:$R,11,FALSE)</f>
        <v>1</v>
      </c>
      <c r="L30" s="109">
        <f>IF(VLOOKUP($E30,武器奇术!$A:$R,15,FALSE)="天工",0%,IF($C$17+VLOOKUP($E30,武器奇术!$A:$R,7,FALSE)&gt;80%,80%,$C$17+VLOOKUP($E30,武器奇术!$A:$R,7,FALSE))+IF($C$19&gt;20%,20%,$C$19))</f>
        <v>0.887</v>
      </c>
      <c r="M30" s="110">
        <f>IF(VLOOKUP($E30,武器奇术!$A:$R,15,FALSE)="天工",0%,IF($C$18+VLOOKUP($E30,武器奇术!$A:$R,9,FALSE)&gt;40%,40%,$C$18+VLOOKUP($E30,武器奇术!$A:$R,9,FALSE))+IF($C$20&gt;10%,10%,$C$20))</f>
        <v>0.0986</v>
      </c>
      <c r="N30" s="111">
        <f>IF(VLOOKUP($E30,武器奇术!$A:$R,15,FALSE)="天工",100%,MIN($C$16,1))</f>
        <v>1</v>
      </c>
      <c r="O30" s="112" t="str">
        <f>VLOOKUP($E30,武器奇术!$A:$R,16,FALSE)</f>
        <v>N/A</v>
      </c>
      <c r="P30" s="113">
        <f>VLOOKUP($O30,$B$22:$C$27,2,FALSE)+IF(OR($O30="双刀",$O30="绳标"),$C$24,0)</f>
        <v>0</v>
      </c>
      <c r="Q30" s="99">
        <f>$B$5*(1+VLOOKUP($E30,武器奇术!$A:$R,5,FALSE)+IF($G$5="飞隼",0.1,0)+IF($G$5="撼天",0.05,0))-$F$9*IF(VLOOKUP($E30,武器奇术!$A:$S,19,FALSE)=1,0.9,1)+IF($I$5="√",160,0)</f>
        <v>2848.3</v>
      </c>
      <c r="R30" s="91">
        <f>(Q30+S30)/2</f>
        <v>2848.3</v>
      </c>
      <c r="S30" s="91">
        <f>MAX($C$5,$B$5)*(1+VLOOKUP($E30,武器奇术!$A:$R,5,FALSE)+IF($G$5="飞隼",0.1,0)+IF($G$5="撼天",0.05,0))-$F$9*IF(VLOOKUP($E30,武器奇术!$A:$S,19,FALSE)=1,0.9,1)+IF($I$5="√",320,0)</f>
        <v>2848.3</v>
      </c>
      <c r="T30" s="93">
        <f>IF(($D$5+VLOOKUP($E30,武器奇术!$A:$R,13,FALSE)+IF($I$3="√",10,0)-VLOOKUP($F$7,目标属性!$A:$R,5,FALSE))&gt;0,($D$5+VLOOKUP($E30,武器奇术!$A:$R,13,FALSE)+IF($I$3="√",10,0)-VLOOKUP($F$7,目标属性!$A:$R,5,FALSE))/200,($D$5+VLOOKUP($E30,武器奇术!$A:$R,13,FALSE)+IF($I$3="√",10,0)-VLOOKUP($F$7,目标属性!$A:$R,5,FALSE))/100)</f>
        <v>0.2675</v>
      </c>
      <c r="U30" s="100">
        <f>$E$5+IF(VLOOKUP($E30,武器奇术!$A:$R,18,FALSE)="鼠鼠",0.24,0)</f>
        <v>0</v>
      </c>
      <c r="V30" s="91">
        <v>1</v>
      </c>
      <c r="W30" s="92">
        <f>Q30*VLOOKUP($E30,武器奇术!$A:$R,2,FALSE)*(1+T30)*(1+U30)*V30</f>
        <v>5379.95021655</v>
      </c>
      <c r="X30" s="93">
        <f>(1-IF(VLOOKUP($E30,武器奇术!$A:$R,16,FALSE)="陌刀",1,$N30))*(1-$M30)</f>
        <v>0</v>
      </c>
      <c r="Y30" s="92">
        <f>R30*VLOOKUP($E30,武器奇术!$A:$R,2,FALSE)*(1+T30)*(1+U30)*V30*(1+$E$16+VLOOKUP($E30,武器奇术!$A:$R,8,FALSE))</f>
        <v>11534.6132642832</v>
      </c>
      <c r="Z30" s="93">
        <f>IF($L30+$M30&lt;=100%,$N30*$L30,$N30*(1-$M30))</f>
        <v>0.887</v>
      </c>
      <c r="AA30" s="92">
        <f>S30*VLOOKUP($E30,武器奇术!$A:$R,2,FALSE)*(1+T30)*(1+U30)*V30*(1+$E$17+VLOOKUP($E30,武器奇术!$A:$R,10,FALSE))</f>
        <v>7262.9327923425</v>
      </c>
      <c r="AB30" s="93">
        <f>$M30</f>
        <v>0.0986</v>
      </c>
      <c r="AC30" s="92">
        <f>R30*VLOOKUP($E30,武器奇术!$A:$R,2,FALSE)*(1+T30)*(1+U30)*V30</f>
        <v>5379.95021655</v>
      </c>
      <c r="AD30" s="93">
        <f>MAX((1-X30-Z30-AB30),0)</f>
        <v>0.0144</v>
      </c>
      <c r="AE30" s="101">
        <f>W30*X30+Y30*Z30+AA30*AB30+AC30*AD30</f>
        <v>11024.7984218625</v>
      </c>
      <c r="AF30" s="102">
        <f>VLOOKUP($E30,武器奇术!$A:$R,3,FALSE)*(1+IF(VLOOKUP($E30,武器奇术!$A:$R,15,FALSE)="武器",$E$15,0))</f>
        <v>358</v>
      </c>
      <c r="AG30" s="92">
        <f>(AF30+AH30)/2</f>
        <v>358</v>
      </c>
      <c r="AH30" s="92">
        <f>VLOOKUP($E30,武器奇术!$A:$R,3,FALSE)*(1+IF(VLOOKUP($E30,武器奇术!$A:$R,15,FALSE)="武器",$E$15,0))</f>
        <v>358</v>
      </c>
      <c r="AI30" s="93">
        <f>IF(($D$5+VLOOKUP($E30,武器奇术!$A:$R,13,FALSE)+IF($I$3="√",10,0)-VLOOKUP($F$7,目标属性!$A:$R,5,FALSE))&gt;0,($D$5+VLOOKUP($E30,武器奇术!$A:$R,13,FALSE)+IF($I$3="√",10,0)-VLOOKUP($F$7,目标属性!$A:$R,5,FALSE))/200,($D$5+VLOOKUP($E30,武器奇术!$A:$R,13,FALSE)+IF($I$3="√",10,0)-VLOOKUP($F$7,目标属性!$A:$R,5,FALSE))/100)</f>
        <v>0.2675</v>
      </c>
      <c r="AJ30" s="100">
        <f>$E$5+IF(VLOOKUP($E30,武器奇术!$A:$R,18,FALSE)="鼠鼠",0.24,0)</f>
        <v>0</v>
      </c>
      <c r="AK30" s="91">
        <v>1</v>
      </c>
      <c r="AL30" s="92">
        <f>AF30*(1+AI30)*(1+AJ30)*AK30</f>
        <v>453.765</v>
      </c>
      <c r="AM30" s="93">
        <f>(1-IF(VLOOKUP($E30,武器奇术!$A:$R,16,FALSE)="陌刀",1,$N30))*(1-$M30)</f>
        <v>0</v>
      </c>
      <c r="AN30" s="92">
        <f>AG30*(1+AI30)*(1+AJ30)*AK30*(1+$E$16+VLOOKUP($E30,武器奇术!$A:$R,8,FALSE))</f>
        <v>972.87216</v>
      </c>
      <c r="AO30" s="93">
        <f t="shared" ref="AO30:AO93" si="1">IF($L30+$M30&lt;=100%,$N30*$L30,$N30*(1-$M30))</f>
        <v>0.887</v>
      </c>
      <c r="AP30" s="92">
        <f>AH30*(1+AI30)*(1+AJ30)*AK30*(1+$E$17+VLOOKUP($E30,武器奇术!$A:$R,10,FALSE))</f>
        <v>612.58275</v>
      </c>
      <c r="AQ30" s="93">
        <f t="shared" ref="AQ30:AQ93" si="2">$M30</f>
        <v>0.0986</v>
      </c>
      <c r="AR30" s="92">
        <f>AG30*(1+AI30)*(1+AJ30)*AK30</f>
        <v>453.765</v>
      </c>
      <c r="AS30" s="93">
        <f>MAX((1-AM30-AO30-AQ30),0)</f>
        <v>0.0144</v>
      </c>
      <c r="AT30" s="101">
        <f>AL30*AM30+AN30*AO30+AP30*AQ30+AR30*AS30</f>
        <v>929.87248107</v>
      </c>
      <c r="AU30" s="99">
        <f>IF(VLOOKUP($E30,武器奇术!$A:$R,18,FALSE)="极乐",0,$B$7*IF($G$5="撼天",1.05,1)+IF(AND(VLOOKUP($E30,武器奇术!$A:$R,15,FALSE)="武器",VLOOKUP($E30,武器奇术!$A:$R,17,FALSE)="鸣金"),$E$3*(1+$E$15),0))</f>
        <v>0</v>
      </c>
      <c r="AV30" s="91">
        <f>(AU30+AW30)/2</f>
        <v>0</v>
      </c>
      <c r="AW30" s="91">
        <f>IF(VLOOKUP($E30,武器奇术!$A:$R,18,FALSE)="极乐",0,MAX($C$7*IF($G$5="撼天",1.05,1)+IF(AND(VLOOKUP($E30,武器奇术!$A:$R,15,FALSE)="武器",VLOOKUP($E30,武器奇术!$A:$R,17,FALSE)="鸣金"),$E$3*(1+$E$15),0),AU30))</f>
        <v>0</v>
      </c>
      <c r="AX30" s="93">
        <f>IF(($D$7+IF(VLOOKUP($E30,武器奇术!$A:$R,17,FALSE)="鸣金",$D$15,0)-VLOOKUP($F$7,目标属性!$A:$R,6,FALSE))&gt;0,($D$7+IF(VLOOKUP($E30,武器奇术!$A:$R,17,FALSE)="鸣金",$D$15,0)-VLOOKUP($F$7,目标属性!$A:$R,6,FALSE))/200,($D$7+IF(VLOOKUP($E30,武器奇术!$A:$R,17,FALSE)="鸣金",$D$15,0)-VLOOKUP($F$7,目标属性!$A:$R,6,FALSE))/100)</f>
        <v>-0.24</v>
      </c>
      <c r="AY30" s="100">
        <f>$E$7</f>
        <v>0</v>
      </c>
      <c r="AZ30" s="91">
        <v>1</v>
      </c>
      <c r="BA30" s="92">
        <f>AU30*IF(VLOOKUP($E30,武器奇术!$A:$R,17,FALSE)="鸣金",VLOOKUP($E30,武器奇术!$A:$R,4,FALSE),VLOOKUP($E30,武器奇术!$A:$R,2,FALSE))*(1+AX30)*(1+AY30)*AZ30</f>
        <v>0</v>
      </c>
      <c r="BB30" s="93">
        <f>(1-IF(VLOOKUP($E30,武器奇术!$A:$R,16,FALSE)="陌刀",1,$N30))*(1-$M30)</f>
        <v>0</v>
      </c>
      <c r="BC30" s="92">
        <f>AV30*IF(VLOOKUP($E30,武器奇术!$A:$R,17,FALSE)="鸣金",VLOOKUP($E30,武器奇术!$A:$R,4,FALSE),VLOOKUP($E30,武器奇术!$A:$R,2,FALSE))*(1+AX30)*(1+AY30)*AZ30*(1+$E$16+VLOOKUP($E30,武器奇术!$A:$R,8,FALSE))</f>
        <v>0</v>
      </c>
      <c r="BD30" s="93">
        <f t="shared" ref="BD30:BD93" si="3">IF($L30+$M30&lt;=100%,$N30*$L30,$N30*(1-$M30))</f>
        <v>0.887</v>
      </c>
      <c r="BE30" s="92">
        <f>AW30*IF(VLOOKUP($E30,武器奇术!$A:$R,17,FALSE)="鸣金",VLOOKUP($E30,武器奇术!$A:$R,4,FALSE),VLOOKUP($E30,武器奇术!$A:$R,2,FALSE))*(1+AX30)*(1+AY30)*AZ30*(1+$E$17+VLOOKUP($E30,武器奇术!$A:$R,10,FALSE))</f>
        <v>0</v>
      </c>
      <c r="BF30" s="93">
        <f t="shared" ref="BF30:BF93" si="4">$M30</f>
        <v>0.0986</v>
      </c>
      <c r="BG30" s="92">
        <f>AV30*IF(VLOOKUP($E30,武器奇术!$A:$R,17,FALSE)="鸣金",VLOOKUP($E30,武器奇术!$A:$R,4,FALSE),VLOOKUP($E30,武器奇术!$A:$R,2,FALSE))*(1+AX30)*(1+AY30)*AZ30</f>
        <v>0</v>
      </c>
      <c r="BH30" s="93">
        <f>MAX((1-BB30-BD30-BF30),0)</f>
        <v>0.0144</v>
      </c>
      <c r="BI30" s="101">
        <f>BA30*BB30+BC30*BD30+BE30*BF30+BG30*BH30</f>
        <v>0</v>
      </c>
      <c r="BJ30" s="99">
        <f>IF(VLOOKUP($E30,武器奇术!$A:$R,18,FALSE)="极乐",0,$B$9*IF($G$5="撼天",1.05,1)+IF(AND(VLOOKUP($E30,武器奇术!$A:$R,15,FALSE)="武器",VLOOKUP($E30,武器奇术!$A:$R,17,FALSE)="裂石"),$E$3*(1+$E$15),0))</f>
        <v>0</v>
      </c>
      <c r="BK30" s="91">
        <f>(BJ30+BL30)/2</f>
        <v>0</v>
      </c>
      <c r="BL30" s="91">
        <f>IF(VLOOKUP($E30,武器奇术!$A:$R,18,FALSE)="极乐",0,MAX($C$9*IF($G$5="撼天",1.05,1)+IF(AND(VLOOKUP($E30,武器奇术!$A:$R,15,FALSE)="武器",VLOOKUP($E30,武器奇术!$A:$R,17,FALSE)="裂石"),$E$3*(1+$E$15),0),BJ30))</f>
        <v>0</v>
      </c>
      <c r="BM30" s="93">
        <f>IF(($D$9+IF(VLOOKUP($E30,武器奇术!$A:$R,17,FALSE)="裂石",$D$15,0)-VLOOKUP($F$7,目标属性!$A:$R,6,FALSE))&gt;0,($D$9+IF(VLOOKUP($E30,武器奇术!$A:$R,17,FALSE)="裂石",$D$15,0)-VLOOKUP($F$7,目标属性!$A:$R,6,FALSE))/200,($D$9+IF(VLOOKUP($E30,武器奇术!$A:$R,17,FALSE)="裂石",$D$15,0)-VLOOKUP($F$7,目标属性!$A:$R,6,FALSE))/100)</f>
        <v>-0.24</v>
      </c>
      <c r="BN30" s="100">
        <f>$E$9</f>
        <v>0</v>
      </c>
      <c r="BO30" s="91">
        <v>1</v>
      </c>
      <c r="BP30" s="92">
        <f>BJ30*IF(VLOOKUP($E30,武器奇术!$A:$R,17,FALSE)="裂石",VLOOKUP($E30,武器奇术!$A:$R,4,FALSE),VLOOKUP($E30,武器奇术!$A:$R,2,FALSE))*(1+BM30)*(1+BN30)*BO30</f>
        <v>0</v>
      </c>
      <c r="BQ30" s="93">
        <f>(1-IF(VLOOKUP($E30,武器奇术!$A:$R,16,FALSE)="陌刀",1,$N30))*(1-$M30)</f>
        <v>0</v>
      </c>
      <c r="BR30" s="92">
        <f>BK30*IF(VLOOKUP($E30,武器奇术!$A:$R,17,FALSE)="裂石",VLOOKUP($E30,武器奇术!$A:$R,4,FALSE),VLOOKUP($E30,武器奇术!$A:$R,2,FALSE))*(1+BM30)*(1+BN30)*BO30*(1+$E$16+VLOOKUP($E30,武器奇术!$A:$R,8,FALSE))</f>
        <v>0</v>
      </c>
      <c r="BS30" s="93">
        <f t="shared" ref="BS30:BS93" si="5">IF($L30+$M30&lt;=100%,$N30*$L30,$N30*(1-$M30))</f>
        <v>0.887</v>
      </c>
      <c r="BT30" s="92">
        <f>BL30*IF(VLOOKUP($E30,武器奇术!$A:$R,17,FALSE)="裂石",VLOOKUP($E30,武器奇术!$A:$R,4,FALSE),VLOOKUP($E30,武器奇术!$A:$R,2,FALSE))*(1+BM30)*(1+BN30)*BO30*(1+$E$17+VLOOKUP($E30,武器奇术!$A:$R,10,FALSE))</f>
        <v>0</v>
      </c>
      <c r="BU30" s="93">
        <f t="shared" ref="BU30:BU93" si="6">$M30</f>
        <v>0.0986</v>
      </c>
      <c r="BV30" s="92">
        <f>BK30*IF(VLOOKUP($E30,武器奇术!$A:$R,17,FALSE)="裂石",VLOOKUP($E30,武器奇术!$A:$R,4,FALSE),VLOOKUP($E30,武器奇术!$A:$R,2,FALSE))*(1+BM30)*(1+BN30)*BO30</f>
        <v>0</v>
      </c>
      <c r="BW30" s="93">
        <f>MAX((1-BQ30-BS30-BU30),0)</f>
        <v>0.0144</v>
      </c>
      <c r="BX30" s="101">
        <f>BP30*BQ30+BR30*BS30+BT30*BU30+BV30*BW30</f>
        <v>0</v>
      </c>
      <c r="BY30" s="99">
        <f>IF(VLOOKUP($E30,武器奇术!$A:$R,18,FALSE)="极乐",0,$B$11*IF($G$5="撼天",1.05,1)+IF(AND(VLOOKUP($E30,武器奇术!$A:$R,15,FALSE)="武器",VLOOKUP($E30,武器奇术!$A:$R,17,FALSE)="牵丝"),$E$3*(1+$E$15),0))</f>
        <v>0</v>
      </c>
      <c r="BZ30" s="91">
        <f>(BY30+CA30)/2</f>
        <v>0</v>
      </c>
      <c r="CA30" s="91">
        <f>IF(VLOOKUP($E30,武器奇术!$A:$R,18,FALSE)="极乐",0,MAX($C$11*IF($G$5="撼天",1.05,1)+IF(AND(VLOOKUP($E30,武器奇术!$A:$R,15,FALSE)="武器",VLOOKUP($E30,武器奇术!$A:$R,17,FALSE)="牵丝"),$E$3*(1+$E$15),0),BY30))</f>
        <v>0</v>
      </c>
      <c r="CB30" s="93">
        <f>IF(($D$11+IF(VLOOKUP($E30,武器奇术!$A:$R,17,FALSE)="牵丝",$D$15,0)-VLOOKUP($F$7,目标属性!$A:$R,6,FALSE))&gt;0,($D$11+IF(VLOOKUP($E30,武器奇术!$A:$R,17,FALSE)="牵丝",$D$15,0)-VLOOKUP($F$7,目标属性!$A:$R,6,FALSE))/200,($D$11+IF(VLOOKUP($E30,武器奇术!$A:$R,17,FALSE)="牵丝",$D$15,0)-VLOOKUP($F$7,目标属性!$A:$R,6,FALSE))/100)</f>
        <v>-0.24</v>
      </c>
      <c r="CC30" s="100">
        <f>$E$11</f>
        <v>0</v>
      </c>
      <c r="CD30" s="91">
        <v>1</v>
      </c>
      <c r="CE30" s="92">
        <f>BY30*IF(VLOOKUP($E30,武器奇术!$A:$R,17,FALSE)="牵丝",VLOOKUP($E30,武器奇术!$A:$R,4,FALSE),VLOOKUP($E30,武器奇术!$A:$R,2,FALSE))*(1+CB30)*(1+CC30)*CD30</f>
        <v>0</v>
      </c>
      <c r="CF30" s="93">
        <f>(1-IF(VLOOKUP($E30,武器奇术!$A:$R,16,FALSE)="陌刀",1,$N30))*(1-$M30)</f>
        <v>0</v>
      </c>
      <c r="CG30" s="92">
        <f>BZ30*IF(VLOOKUP($E30,武器奇术!$A:$R,17,FALSE)="牵丝",VLOOKUP($E30,武器奇术!$A:$R,4,FALSE),VLOOKUP($E30,武器奇术!$A:$R,2,FALSE))*(1+CB30)*(1+CC30)*CD30*(1+$E$16+VLOOKUP($E30,武器奇术!$A:$R,8,FALSE))</f>
        <v>0</v>
      </c>
      <c r="CH30" s="93">
        <f t="shared" ref="CH30:CH93" si="7">IF($L30+$M30&lt;=100%,$N30*$L30,$N30*(1-$M30))</f>
        <v>0.887</v>
      </c>
      <c r="CI30" s="92">
        <f>CA30*IF(VLOOKUP($E30,武器奇术!$A:$R,17,FALSE)="牵丝",VLOOKUP($E30,武器奇术!$A:$R,4,FALSE),VLOOKUP($E30,武器奇术!$A:$R,2,FALSE))*(1+CB30)*(1+CC30)*CD30*(1+$E$17+VLOOKUP($E30,武器奇术!$A:$R,10,FALSE))</f>
        <v>0</v>
      </c>
      <c r="CJ30" s="93">
        <f t="shared" ref="CJ30:CJ93" si="8">$M30</f>
        <v>0.0986</v>
      </c>
      <c r="CK30" s="92">
        <f>BZ30*IF(VLOOKUP($E30,武器奇术!$A:$R,17,FALSE)="牵丝",VLOOKUP($E30,武器奇术!$A:$R,4,FALSE),VLOOKUP($E30,武器奇术!$A:$R,2,FALSE))*(1+CB30)*(1+CC30)*CD30</f>
        <v>0</v>
      </c>
      <c r="CL30" s="93">
        <f>MAX((1-CF30-CH30-CJ30),0)</f>
        <v>0.0144</v>
      </c>
      <c r="CM30" s="101">
        <f>CE30*CF30+CG30*CH30+CI30*CJ30+CK30*CL30</f>
        <v>0</v>
      </c>
      <c r="CN30" s="99">
        <f>IF(VLOOKUP($E30,武器奇术!$A:$R,18,FALSE)="极乐",0,$B$13*IF($G$5="撼天",1.05,1)+IF(AND(VLOOKUP($E30,武器奇术!$A:$R,15,FALSE)="武器",VLOOKUP($E30,武器奇术!$A:$R,17,FALSE)="破竹"),$E$3*(1+$E$15),0))</f>
        <v>490.8</v>
      </c>
      <c r="CO30" s="91">
        <f>(CN30+CP30)/2</f>
        <v>856.3</v>
      </c>
      <c r="CP30" s="91">
        <f>IF(VLOOKUP($E30,武器奇术!$A:$R,18,FALSE)="极乐",0,MAX($C$13*IF($G$5="撼天",1.05,1)+IF(AND(VLOOKUP($E30,武器奇术!$A:$R,15,FALSE)="武器",VLOOKUP($E30,武器奇术!$A:$R,17,FALSE)="破竹"),$E$3*(1+$E$15),0),CN30))</f>
        <v>1221.8</v>
      </c>
      <c r="CQ30" s="93">
        <f>IF(($D$13+IF(VLOOKUP($E30,武器奇术!$A:$R,17,FALSE)="破竹",$D$15,0)-VLOOKUP($F$7,目标属性!$A:$R,6,FALSE)+IF(VLOOKUP($E30,武器奇术!$A:$V,22,FALSE)=1,4,0)+IF(VLOOKUP($E30,武器奇术!$A:$T,20,FALSE)=1,10,0))&gt;0,($D$13+IF(VLOOKUP($E30,武器奇术!$A:$R,17,FALSE)="破竹",$D$15,0)-VLOOKUP($F$7,目标属性!$A:$R,6,FALSE)+IF(VLOOKUP($E30,武器奇术!$A:$V,22,FALSE)=1,4,0)+IF(VLOOKUP($E30,武器奇术!$A:$T,20,FALSE)=1,10,0))/200,($D$13+IF(VLOOKUP($E30,武器奇术!$A:$R,17,FALSE)="破竹",$D$15,0)-VLOOKUP($F$7,目标属性!$A:$R,6,FALSE)+IF(VLOOKUP($E30,武器奇术!$A:$V,22,FALSE)=1,4,0)+IF(VLOOKUP($E30,武器奇术!$A:$T,20,FALSE)=1,10,0))/100)</f>
        <v>0.028</v>
      </c>
      <c r="CR30" s="100">
        <f>$E$13</f>
        <v>0.148</v>
      </c>
      <c r="CS30" s="91">
        <v>1</v>
      </c>
      <c r="CT30" s="92">
        <f>CN30*IF(VLOOKUP($E30,武器奇术!$A:$R,17,FALSE)="破竹",VLOOKUP($E30,武器奇术!$A:$R,4,FALSE),VLOOKUP($E30,武器奇术!$A:$R,2,FALSE))*(1+CQ30)*(1+CR30)*CS30</f>
        <v>1294.71856347456</v>
      </c>
      <c r="CU30" s="93">
        <f>(1-IF(VLOOKUP($E30,武器奇术!$A:$R,16,FALSE)="陌刀",1,$N30))*(1-$M30)</f>
        <v>0</v>
      </c>
      <c r="CV30" s="92">
        <f>CO30*IF(VLOOKUP($E30,武器奇术!$A:$R,17,FALSE)="破竹",VLOOKUP($E30,武器奇术!$A:$R,4,FALSE),VLOOKUP($E30,武器奇术!$A:$R,2,FALSE))*(1+CQ30)*(1+CR30)*CS30*(1+$E$16+VLOOKUP($E30,武器奇术!$A:$R,8,FALSE))</f>
        <v>4843.07891739324</v>
      </c>
      <c r="CW30" s="93">
        <f t="shared" ref="CW30:CW93" si="9">IF($L30+$M30&lt;=100%,$N30*$L30,$N30*(1-$M30))</f>
        <v>0.887</v>
      </c>
      <c r="CX30" s="92">
        <f>CP30*IF(VLOOKUP($E30,武器奇术!$A:$R,17,FALSE)="破竹",VLOOKUP($E30,武器奇术!$A:$R,4,FALSE),VLOOKUP($E30,武器奇术!$A:$R,2,FALSE))*(1+CQ30)*(1+CR30)*CS30*(1+$E$17+VLOOKUP($E30,武器奇术!$A:$R,10,FALSE))</f>
        <v>4351.15656102658</v>
      </c>
      <c r="CY30" s="93">
        <f t="shared" ref="CY30:CY93" si="10">$M30</f>
        <v>0.0986</v>
      </c>
      <c r="CZ30" s="92">
        <f>CO30*IF(VLOOKUP($E30,武器奇术!$A:$R,17,FALSE)="破竹",VLOOKUP($E30,武器奇术!$A:$R,4,FALSE),VLOOKUP($E30,武器奇术!$A:$R,2,FALSE))*(1+CQ30)*(1+CR30)*CS30</f>
        <v>2258.89874878416</v>
      </c>
      <c r="DA30" s="93">
        <f>MAX((1-CU30-CW30-CY30),0)</f>
        <v>0.0144</v>
      </c>
      <c r="DB30" s="101">
        <f>CT30*CU30+CV30*CW30+CX30*CY30+CZ30*DA30</f>
        <v>4757.36317862752</v>
      </c>
      <c r="DC30" s="99">
        <f>IF(VLOOKUP($E30,武器奇术!$A:$R,18,FALSE)="极乐",0,$B$15)</f>
        <v>66</v>
      </c>
      <c r="DD30" s="91">
        <f>(DC30+DE30)/2</f>
        <v>95.9</v>
      </c>
      <c r="DE30" s="91">
        <f>IF(VLOOKUP($E30,武器奇术!$A:$R,18,FALSE)="极乐",0,$C$15)</f>
        <v>125.8</v>
      </c>
      <c r="DF30" s="93">
        <f>IF((IF(VLOOKUP($E30,武器奇术!$A:$R,17,FALSE)="鸣金",$D$7,0)+IF(VLOOKUP($E30,武器奇术!$A:$R,17,FALSE)="裂石",$D$9,0)+IF(VLOOKUP($E30,武器奇术!$A:$R,17,FALSE)="牵丝",$D$11,0)+IF(VLOOKUP($E30,武器奇术!$A:$R,17,FALSE)="破竹",$D$13,0)+$D$15-VLOOKUP($F$7,目标属性!$A:$R,6,FALSE)+IF(VLOOKUP($E30,武器奇术!$A:$V,22,FALSE)=1,4,0)+IF(VLOOKUP($E30,武器奇术!$A:$T,20,FALSE)=1,10,0))&gt;0,(IF(VLOOKUP($E30,武器奇术!$A:$R,17,FALSE)="鸣金",$D$7,0)+IF(VLOOKUP($E30,武器奇术!$A:$R,17,FALSE)="裂石",$D$9,0)+IF(VLOOKUP($E30,武器奇术!$A:$R,17,FALSE)="牵丝",$D$11,0)+IF(VLOOKUP($E30,武器奇术!$A:$R,17,FALSE)="破竹",$D$13,0)+$D$15-VLOOKUP($F$7,目标属性!$A:$R,6,FALSE)+IF(VLOOKUP($E30,武器奇术!$A:$V,22,FALSE)=1,4,0)+IF(VLOOKUP($E30,武器奇术!$A:$T,20,FALSE)=1,10,0))/200,(IF(VLOOKUP($E30,武器奇术!$A:$R,17,FALSE)="鸣金",$D$7,0)+IF(VLOOKUP($E30,武器奇术!$A:$R,17,FALSE)="裂石",$D$9,0)+IF(VLOOKUP($E30,武器奇术!$A:$R,17,FALSE)="牵丝",$D$11,0)+IF(VLOOKUP($E30,武器奇术!$A:$R,17,FALSE)="破竹",$D$13,0)+$D$15-VLOOKUP($F$7,目标属性!$A:$R,6,FALSE)+IF(VLOOKUP($E30,武器奇术!$A:$V,22,FALSE)=1,4,0)+IF(VLOOKUP($E30,武器奇术!$A:$T,20,FALSE)=1,10,0))/100)</f>
        <v>0.028</v>
      </c>
      <c r="DG30" s="100">
        <f t="shared" ref="DG30:DG36" si="11">$E$13</f>
        <v>0.148</v>
      </c>
      <c r="DH30" s="91">
        <v>1</v>
      </c>
      <c r="DI30" s="92">
        <f>DC30*IF(VLOOKUP($E30,武器奇术!$A:$R,17,FALSE)="破竹",VLOOKUP($E30,武器奇术!$A:$R,4,FALSE),VLOOKUP($E30,武器奇术!$A:$R,2,FALSE))*(1+DF30)*(1+DG30)*DH30</f>
        <v>174.1064082912</v>
      </c>
      <c r="DJ30" s="93">
        <f>(1-IF(VLOOKUP($E30,武器奇术!$A:$R,16,FALSE)="陌刀",1,$N30))*(1-$M30)</f>
        <v>0</v>
      </c>
      <c r="DK30" s="92">
        <f>DD30*IF(VLOOKUP($E30,武器奇术!$A:$R,17,FALSE)="破竹",VLOOKUP($E30,武器奇术!$A:$R,4,FALSE),VLOOKUP($E30,武器奇术!$A:$R,2,FALSE))*(1+DF30)*(1+DG30)*DH30*(1+$E$16+VLOOKUP($E30,武器奇术!$A:$R,8,FALSE))</f>
        <v>542.393166154399</v>
      </c>
      <c r="DL30" s="93">
        <f t="shared" ref="DL30:DL93" si="12">IF($L30+$M30&lt;=100%,$N30*$L30,$N30*(1-$M30))</f>
        <v>0.887</v>
      </c>
      <c r="DM30" s="92">
        <f>DE30*IF(VLOOKUP($E30,武器奇术!$A:$R,17,FALSE)="破竹",VLOOKUP($E30,武器奇术!$A:$R,4,FALSE),VLOOKUP($E30,武器奇术!$A:$R,2,FALSE))*(1+DF30)*(1+DG30)*DH30*(1+$E$17+VLOOKUP($E30,武器奇术!$A:$R,10,FALSE))</f>
        <v>448.007444243856</v>
      </c>
      <c r="DN30" s="93">
        <f t="shared" ref="DN30:DN93" si="13">$M30</f>
        <v>0.0986</v>
      </c>
      <c r="DO30" s="92">
        <f>DD30*IF(VLOOKUP($E30,武器奇术!$A:$R,17,FALSE)="破竹",VLOOKUP($E30,武器奇术!$A:$R,4,FALSE),VLOOKUP($E30,武器奇术!$A:$R,2,FALSE))*(1+DF30)*(1+DG30)*DH30</f>
        <v>252.98188719888</v>
      </c>
      <c r="DP30" s="93">
        <f t="shared" ref="DP30:DP93" si="14">MAX((1-DJ30-DL30-DN30),0)</f>
        <v>0.0144</v>
      </c>
      <c r="DQ30" s="101">
        <f t="shared" ref="DQ30:DQ93" si="15">DI30*DJ30+DK30*DL30+DM30*DN30+DO30*DP30</f>
        <v>528.91921155706</v>
      </c>
    </row>
    <row r="31" spans="1:121">
      <c r="B31" s="114"/>
      <c r="C31" s="115"/>
      <c r="D31" s="60"/>
      <c r="E31" s="105" t="s">
        <v>109</v>
      </c>
      <c r="F31" s="106">
        <v>1</v>
      </c>
      <c r="G31" s="107"/>
      <c r="H31" s="92">
        <f>IF(VLOOKUP($E31,武器奇术!$A:$R,18,FALSE)="天工",AE31,(AE31+AT31+BI31+BX31+CM31+DB31+DQ31))*(1+J31)*F31*K31*(1+G31)</f>
        <v>25395.9242007614</v>
      </c>
      <c r="I31" s="93">
        <f t="shared" ref="I31:I62" si="16">H31/$C$30</f>
        <v>0.00325785819892027</v>
      </c>
      <c r="J31" s="108">
        <f>$F$3+VLOOKUP($E31,武器奇术!$A:$R,12,FALSE)+VLOOKUP($E31,武器奇术!$A:$R,14,FALSE)*$G$3+$P31+IF($F$21="√",5%,0)</f>
        <v>0.473</v>
      </c>
      <c r="K31" s="94">
        <f>VLOOKUP($E31,武器奇术!$A:$R,11,FALSE)</f>
        <v>1</v>
      </c>
      <c r="L31" s="109">
        <f>IF(VLOOKUP($E31,武器奇术!$A:$R,15,FALSE)="天工",0%,IF($C$17+VLOOKUP($E31,武器奇术!$A:$R,7,FALSE)&gt;80%,80%,$C$17+VLOOKUP($E31,武器奇术!$A:$R,7,FALSE))+IF($C$19&gt;20%,20%,$C$19))</f>
        <v>0.887</v>
      </c>
      <c r="M31" s="110">
        <f>IF(VLOOKUP($E31,武器奇术!$A:$R,15,FALSE)="天工",0%,IF($C$18+VLOOKUP($E31,武器奇术!$A:$R,9,FALSE)&gt;40%,40%,$C$18+VLOOKUP($E31,武器奇术!$A:$R,9,FALSE))+IF($C$20&gt;10%,10%,$C$20))</f>
        <v>0.0986</v>
      </c>
      <c r="N31" s="111">
        <f>IF(VLOOKUP($E31,武器奇术!$A:$R,15,FALSE)="天工",100%,MIN($C$16,1))</f>
        <v>1</v>
      </c>
      <c r="O31" s="112" t="str">
        <f>VLOOKUP($E31,武器奇术!$A:$R,16,FALSE)</f>
        <v>N/A</v>
      </c>
      <c r="P31" s="113">
        <f t="shared" ref="P31:P62" si="17">VLOOKUP($O31,$B$22:$C$27,2,FALSE)+IF(OR($O31="双刀",$O31="绳标"),$C$24,0)</f>
        <v>0</v>
      </c>
      <c r="Q31" s="99">
        <f>$B$5*(1+VLOOKUP($E31,武器奇术!$A:$R,5,FALSE)+IF($G$5="飞隼",0.1,0)+IF($G$5="撼天",0.05,0))-$F$9*IF(VLOOKUP($E31,武器奇术!$A:$S,19,FALSE)=1,0.9,1)+IF($I$5="√",160,0)</f>
        <v>2848.3</v>
      </c>
      <c r="R31" s="91">
        <f t="shared" ref="R31:R62" si="18">(Q31+S31)/2</f>
        <v>2848.3</v>
      </c>
      <c r="S31" s="91">
        <f>MAX($C$5,$B$5)*(1+VLOOKUP($E31,武器奇术!$A:$R,5,FALSE)+IF($G$5="飞隼",0.1,0)+IF($G$5="撼天",0.05,0))-$F$9*IF(VLOOKUP($E31,武器奇术!$A:$S,19,FALSE)=1,0.9,1)+IF($I$5="√",320,0)</f>
        <v>2848.3</v>
      </c>
      <c r="T31" s="93">
        <f>IF(($D$5+VLOOKUP($E31,武器奇术!$A:$R,13,FALSE)+IF($I$3="√",10,0)-VLOOKUP($F$7,目标属性!$A:$R,5,FALSE))&gt;0,($D$5+VLOOKUP($E31,武器奇术!$A:$R,13,FALSE)+IF($I$3="√",10,0)-VLOOKUP($F$7,目标属性!$A:$R,5,FALSE))/200,($D$5+VLOOKUP($E31,武器奇术!$A:$R,13,FALSE)+IF($I$3="√",10,0)-VLOOKUP($F$7,目标属性!$A:$R,5,FALSE))/100)</f>
        <v>0.2675</v>
      </c>
      <c r="U31" s="100">
        <f>$E$5+IF(VLOOKUP($E31,武器奇术!$A:$R,18,FALSE)="鼠鼠",0.24,0)</f>
        <v>0</v>
      </c>
      <c r="V31" s="91">
        <v>1</v>
      </c>
      <c r="W31" s="92">
        <f>Q31*VLOOKUP($E31,武器奇术!$A:$R,2,FALSE)*(1+T31)*(1+U31)*V31</f>
        <v>5379.95021655</v>
      </c>
      <c r="X31" s="93">
        <f>(1-IF(VLOOKUP($E31,武器奇术!$A:$R,16,FALSE)="陌刀",1,$N31))*(1-$M31)</f>
        <v>0</v>
      </c>
      <c r="Y31" s="92">
        <f>R31*VLOOKUP($E31,武器奇术!$A:$R,2,FALSE)*(1+T31)*(1+U31)*V31*(1+$E$16+VLOOKUP($E31,武器奇术!$A:$R,8,FALSE))</f>
        <v>11534.6132642832</v>
      </c>
      <c r="Z31" s="93">
        <f t="shared" ref="Z31:Z62" si="19">IF($L31+$M31&lt;=100%,$N31*$L31,$N31*(1-$M31))</f>
        <v>0.887</v>
      </c>
      <c r="AA31" s="92">
        <f>S31*VLOOKUP($E31,武器奇术!$A:$R,2,FALSE)*(1+T31)*(1+U31)*V31*(1+$E$17+VLOOKUP($E31,武器奇术!$A:$R,10,FALSE))</f>
        <v>7262.9327923425</v>
      </c>
      <c r="AB31" s="93">
        <f t="shared" ref="AB31:AB62" si="20">$M31</f>
        <v>0.0986</v>
      </c>
      <c r="AC31" s="92">
        <f>R31*VLOOKUP($E31,武器奇术!$A:$R,2,FALSE)*(1+T31)*(1+U31)*V31</f>
        <v>5379.95021655</v>
      </c>
      <c r="AD31" s="93">
        <f t="shared" ref="AD31:AD62" si="21">MAX((1-X31-Z31-AB31),0)</f>
        <v>0.0144</v>
      </c>
      <c r="AE31" s="101">
        <f t="shared" ref="AE31:AE62" si="22">W31*X31+Y31*Z31+AA31*AB31+AC31*AD31</f>
        <v>11024.7984218625</v>
      </c>
      <c r="AF31" s="102">
        <f>VLOOKUP($E31,武器奇术!$A:$R,3,FALSE)*(1+IF(VLOOKUP($E31,武器奇术!$A:$R,15,FALSE)="武器",$E$15,0))</f>
        <v>358</v>
      </c>
      <c r="AG31" s="92">
        <f t="shared" ref="AG31:AG62" si="23">(AF31+AH31)/2</f>
        <v>358</v>
      </c>
      <c r="AH31" s="92">
        <f>VLOOKUP($E31,武器奇术!$A:$R,3,FALSE)*(1+IF(VLOOKUP($E31,武器奇术!$A:$R,15,FALSE)="武器",$E$15,0))</f>
        <v>358</v>
      </c>
      <c r="AI31" s="93">
        <f>IF(($D$5+VLOOKUP($E31,武器奇术!$A:$R,13,FALSE)+IF($I$3="√",10,0)-VLOOKUP($F$7,目标属性!$A:$R,5,FALSE))&gt;0,($D$5+VLOOKUP($E31,武器奇术!$A:$R,13,FALSE)+IF($I$3="√",10,0)-VLOOKUP($F$7,目标属性!$A:$R,5,FALSE))/200,($D$5+VLOOKUP($E31,武器奇术!$A:$R,13,FALSE)+IF($I$3="√",10,0)-VLOOKUP($F$7,目标属性!$A:$R,5,FALSE))/100)</f>
        <v>0.2675</v>
      </c>
      <c r="AJ31" s="100">
        <f>$E$5+IF(VLOOKUP($E31,武器奇术!$A:$R,18,FALSE)="鼠鼠",0.24,0)</f>
        <v>0</v>
      </c>
      <c r="AK31" s="91">
        <v>1</v>
      </c>
      <c r="AL31" s="92">
        <f t="shared" ref="AL31:AL62" si="24">AF31*(1+AI31)*(1+AJ31)*AK31</f>
        <v>453.765</v>
      </c>
      <c r="AM31" s="93">
        <f>(1-IF(VLOOKUP($E31,武器奇术!$A:$R,16,FALSE)="陌刀",1,$N31))*(1-$M31)</f>
        <v>0</v>
      </c>
      <c r="AN31" s="92">
        <f>AG31*(1+AI31)*(1+AJ31)*AK31*(1+$E$16+VLOOKUP($E31,武器奇术!$A:$R,8,FALSE))</f>
        <v>972.87216</v>
      </c>
      <c r="AO31" s="93">
        <f t="shared" si="1"/>
        <v>0.887</v>
      </c>
      <c r="AP31" s="92">
        <f>AH31*(1+AI31)*(1+AJ31)*AK31*(1+$E$17+VLOOKUP($E31,武器奇术!$A:$R,10,FALSE))</f>
        <v>612.58275</v>
      </c>
      <c r="AQ31" s="93">
        <f t="shared" si="2"/>
        <v>0.0986</v>
      </c>
      <c r="AR31" s="92">
        <f t="shared" ref="AR31:AR62" si="25">AG31*(1+AI31)*(1+AJ31)*AK31</f>
        <v>453.765</v>
      </c>
      <c r="AS31" s="93">
        <f t="shared" ref="AS31:AS62" si="26">MAX((1-AM31-AO31-AQ31),0)</f>
        <v>0.0144</v>
      </c>
      <c r="AT31" s="101">
        <f t="shared" ref="AT31:AT62" si="27">AL31*AM31+AN31*AO31+AP31*AQ31+AR31*AS31</f>
        <v>929.87248107</v>
      </c>
      <c r="AU31" s="99">
        <f>IF(VLOOKUP($E31,武器奇术!$A:$R,18,FALSE)="极乐",0,$B$7*IF($G$5="撼天",1.05,1)+IF(AND(VLOOKUP($E31,武器奇术!$A:$R,15,FALSE)="武器",VLOOKUP($E31,武器奇术!$A:$R,17,FALSE)="鸣金"),$E$3*(1+$E$15),0))</f>
        <v>0</v>
      </c>
      <c r="AV31" s="91">
        <f t="shared" ref="AV31:AV62" si="28">(AU31+AW31)/2</f>
        <v>0</v>
      </c>
      <c r="AW31" s="91">
        <f>IF(VLOOKUP($E31,武器奇术!$A:$R,18,FALSE)="极乐",0,MAX($C$7*IF($G$5="撼天",1.05,1)+IF(AND(VLOOKUP($E31,武器奇术!$A:$R,15,FALSE)="武器",VLOOKUP($E31,武器奇术!$A:$R,17,FALSE)="鸣金"),$E$3*(1+$E$15),0),AU31))</f>
        <v>0</v>
      </c>
      <c r="AX31" s="93">
        <f>IF(($D$7+IF(VLOOKUP($E31,武器奇术!$A:$R,17,FALSE)="鸣金",$D$15,0)-VLOOKUP($F$7,目标属性!$A:$R,6,FALSE))&gt;0,($D$7+IF(VLOOKUP($E31,武器奇术!$A:$R,17,FALSE)="鸣金",$D$15,0)-VLOOKUP($F$7,目标属性!$A:$R,6,FALSE))/200,($D$7+IF(VLOOKUP($E31,武器奇术!$A:$R,17,FALSE)="鸣金",$D$15,0)-VLOOKUP($F$7,目标属性!$A:$R,6,FALSE))/100)</f>
        <v>-0.24</v>
      </c>
      <c r="AY31" s="100">
        <f t="shared" ref="AY31:AY40" si="29">$E$7</f>
        <v>0</v>
      </c>
      <c r="AZ31" s="91">
        <v>1</v>
      </c>
      <c r="BA31" s="92">
        <f>AU31*IF(VLOOKUP($E31,武器奇术!$A:$R,17,FALSE)="鸣金",VLOOKUP($E31,武器奇术!$A:$R,4,FALSE),VLOOKUP($E31,武器奇术!$A:$R,2,FALSE))*(1+AX31)*(1+AY31)*AZ31</f>
        <v>0</v>
      </c>
      <c r="BB31" s="93">
        <f>(1-IF(VLOOKUP($E31,武器奇术!$A:$R,16,FALSE)="陌刀",1,$N31))*(1-$M31)</f>
        <v>0</v>
      </c>
      <c r="BC31" s="92">
        <f>AV31*IF(VLOOKUP($E31,武器奇术!$A:$R,17,FALSE)="鸣金",VLOOKUP($E31,武器奇术!$A:$R,4,FALSE),VLOOKUP($E31,武器奇术!$A:$R,2,FALSE))*(1+AX31)*(1+AY31)*AZ31*(1+$E$16+VLOOKUP($E31,武器奇术!$A:$R,8,FALSE))</f>
        <v>0</v>
      </c>
      <c r="BD31" s="93">
        <f t="shared" si="3"/>
        <v>0.887</v>
      </c>
      <c r="BE31" s="92">
        <f>AW31*IF(VLOOKUP($E31,武器奇术!$A:$R,17,FALSE)="鸣金",VLOOKUP($E31,武器奇术!$A:$R,4,FALSE),VLOOKUP($E31,武器奇术!$A:$R,2,FALSE))*(1+AX31)*(1+AY31)*AZ31*(1+$E$17+VLOOKUP($E31,武器奇术!$A:$R,10,FALSE))</f>
        <v>0</v>
      </c>
      <c r="BF31" s="93">
        <f t="shared" si="4"/>
        <v>0.0986</v>
      </c>
      <c r="BG31" s="92">
        <f>AV31*IF(VLOOKUP($E31,武器奇术!$A:$R,17,FALSE)="鸣金",VLOOKUP($E31,武器奇术!$A:$R,4,FALSE),VLOOKUP($E31,武器奇术!$A:$R,2,FALSE))*(1+AX31)*(1+AY31)*AZ31</f>
        <v>0</v>
      </c>
      <c r="BH31" s="93">
        <f t="shared" ref="BH31:BH62" si="30">MAX((1-BB31-BD31-BF31),0)</f>
        <v>0.0144</v>
      </c>
      <c r="BI31" s="101">
        <f t="shared" ref="BI31:BI62" si="31">BA31*BB31+BC31*BD31+BE31*BF31+BG31*BH31</f>
        <v>0</v>
      </c>
      <c r="BJ31" s="99">
        <f>IF(VLOOKUP($E31,武器奇术!$A:$R,18,FALSE)="极乐",0,$B$9*IF($G$5="撼天",1.05,1)+IF(AND(VLOOKUP($E31,武器奇术!$A:$R,15,FALSE)="武器",VLOOKUP($E31,武器奇术!$A:$R,17,FALSE)="裂石"),$E$3*(1+$E$15),0))</f>
        <v>0</v>
      </c>
      <c r="BK31" s="91">
        <f t="shared" ref="BK31:BK62" si="32">(BJ31+BL31)/2</f>
        <v>0</v>
      </c>
      <c r="BL31" s="91">
        <f>IF(VLOOKUP($E31,武器奇术!$A:$R,18,FALSE)="极乐",0,MAX($C$9*IF($G$5="撼天",1.05,1)+IF(AND(VLOOKUP($E31,武器奇术!$A:$R,15,FALSE)="武器",VLOOKUP($E31,武器奇术!$A:$R,17,FALSE)="裂石"),$E$3*(1+$E$15),0),BJ31))</f>
        <v>0</v>
      </c>
      <c r="BM31" s="93">
        <f>IF(($D$9+IF(VLOOKUP($E31,武器奇术!$A:$R,17,FALSE)="裂石",$D$15,0)-VLOOKUP($F$7,目标属性!$A:$R,6,FALSE))&gt;0,($D$9+IF(VLOOKUP($E31,武器奇术!$A:$R,17,FALSE)="裂石",$D$15,0)-VLOOKUP($F$7,目标属性!$A:$R,6,FALSE))/200,($D$9+IF(VLOOKUP($E31,武器奇术!$A:$R,17,FALSE)="裂石",$D$15,0)-VLOOKUP($F$7,目标属性!$A:$R,6,FALSE))/100)</f>
        <v>-0.24</v>
      </c>
      <c r="BN31" s="100">
        <f t="shared" ref="BN31:BN40" si="33">$E$9</f>
        <v>0</v>
      </c>
      <c r="BO31" s="91">
        <v>1</v>
      </c>
      <c r="BP31" s="92">
        <f>BJ31*IF(VLOOKUP($E31,武器奇术!$A:$R,17,FALSE)="裂石",VLOOKUP($E31,武器奇术!$A:$R,4,FALSE),VLOOKUP($E31,武器奇术!$A:$R,2,FALSE))*(1+BM31)*(1+BN31)*BO31</f>
        <v>0</v>
      </c>
      <c r="BQ31" s="93">
        <f>(1-IF(VLOOKUP($E31,武器奇术!$A:$R,16,FALSE)="陌刀",1,$N31))*(1-$M31)</f>
        <v>0</v>
      </c>
      <c r="BR31" s="92">
        <f>BK31*IF(VLOOKUP($E31,武器奇术!$A:$R,17,FALSE)="裂石",VLOOKUP($E31,武器奇术!$A:$R,4,FALSE),VLOOKUP($E31,武器奇术!$A:$R,2,FALSE))*(1+BM31)*(1+BN31)*BO31*(1+$E$16+VLOOKUP($E31,武器奇术!$A:$R,8,FALSE))</f>
        <v>0</v>
      </c>
      <c r="BS31" s="93">
        <f t="shared" si="5"/>
        <v>0.887</v>
      </c>
      <c r="BT31" s="92">
        <f>BL31*IF(VLOOKUP($E31,武器奇术!$A:$R,17,FALSE)="裂石",VLOOKUP($E31,武器奇术!$A:$R,4,FALSE),VLOOKUP($E31,武器奇术!$A:$R,2,FALSE))*(1+BM31)*(1+BN31)*BO31*(1+$E$17+VLOOKUP($E31,武器奇术!$A:$R,10,FALSE))</f>
        <v>0</v>
      </c>
      <c r="BU31" s="93">
        <f t="shared" si="6"/>
        <v>0.0986</v>
      </c>
      <c r="BV31" s="92">
        <f>BK31*IF(VLOOKUP($E31,武器奇术!$A:$R,17,FALSE)="裂石",VLOOKUP($E31,武器奇术!$A:$R,4,FALSE),VLOOKUP($E31,武器奇术!$A:$R,2,FALSE))*(1+BM31)*(1+BN31)*BO31</f>
        <v>0</v>
      </c>
      <c r="BW31" s="93">
        <f t="shared" ref="BW31:BW62" si="34">MAX((1-BQ31-BS31-BU31),0)</f>
        <v>0.0144</v>
      </c>
      <c r="BX31" s="101">
        <f t="shared" ref="BX31:BX62" si="35">BP31*BQ31+BR31*BS31+BT31*BU31+BV31*BW31</f>
        <v>0</v>
      </c>
      <c r="BY31" s="99">
        <f>IF(VLOOKUP($E31,武器奇术!$A:$R,18,FALSE)="极乐",0,$B$11*IF($G$5="撼天",1.05,1)+IF(AND(VLOOKUP($E31,武器奇术!$A:$R,15,FALSE)="武器",VLOOKUP($E31,武器奇术!$A:$R,17,FALSE)="牵丝"),$E$3*(1+$E$15),0))</f>
        <v>0</v>
      </c>
      <c r="BZ31" s="91">
        <f t="shared" ref="BZ31:BZ62" si="36">(BY31+CA31)/2</f>
        <v>0</v>
      </c>
      <c r="CA31" s="91">
        <f>IF(VLOOKUP($E31,武器奇术!$A:$R,18,FALSE)="极乐",0,MAX($C$11*IF($G$5="撼天",1.05,1)+IF(AND(VLOOKUP($E31,武器奇术!$A:$R,15,FALSE)="武器",VLOOKUP($E31,武器奇术!$A:$R,17,FALSE)="牵丝"),$E$3*(1+$E$15),0),BY31))</f>
        <v>0</v>
      </c>
      <c r="CB31" s="93">
        <f>IF(($D$11+IF(VLOOKUP($E31,武器奇术!$A:$R,17,FALSE)="牵丝",$D$15,0)-VLOOKUP($F$7,目标属性!$A:$R,6,FALSE))&gt;0,($D$11+IF(VLOOKUP($E31,武器奇术!$A:$R,17,FALSE)="牵丝",$D$15,0)-VLOOKUP($F$7,目标属性!$A:$R,6,FALSE))/200,($D$11+IF(VLOOKUP($E31,武器奇术!$A:$R,17,FALSE)="牵丝",$D$15,0)-VLOOKUP($F$7,目标属性!$A:$R,6,FALSE))/100)</f>
        <v>-0.24</v>
      </c>
      <c r="CC31" s="100">
        <f t="shared" ref="CC31:CC40" si="37">$E$11</f>
        <v>0</v>
      </c>
      <c r="CD31" s="91">
        <v>1</v>
      </c>
      <c r="CE31" s="92">
        <f>BY31*IF(VLOOKUP($E31,武器奇术!$A:$R,17,FALSE)="牵丝",VLOOKUP($E31,武器奇术!$A:$R,4,FALSE),VLOOKUP($E31,武器奇术!$A:$R,2,FALSE))*(1+CB31)*(1+CC31)*CD31</f>
        <v>0</v>
      </c>
      <c r="CF31" s="93">
        <f>(1-IF(VLOOKUP($E31,武器奇术!$A:$R,16,FALSE)="陌刀",1,$N31))*(1-$M31)</f>
        <v>0</v>
      </c>
      <c r="CG31" s="92">
        <f>BZ31*IF(VLOOKUP($E31,武器奇术!$A:$R,17,FALSE)="牵丝",VLOOKUP($E31,武器奇术!$A:$R,4,FALSE),VLOOKUP($E31,武器奇术!$A:$R,2,FALSE))*(1+CB31)*(1+CC31)*CD31*(1+$E$16+VLOOKUP($E31,武器奇术!$A:$R,8,FALSE))</f>
        <v>0</v>
      </c>
      <c r="CH31" s="93">
        <f t="shared" si="7"/>
        <v>0.887</v>
      </c>
      <c r="CI31" s="92">
        <f>CA31*IF(VLOOKUP($E31,武器奇术!$A:$R,17,FALSE)="牵丝",VLOOKUP($E31,武器奇术!$A:$R,4,FALSE),VLOOKUP($E31,武器奇术!$A:$R,2,FALSE))*(1+CB31)*(1+CC31)*CD31*(1+$E$17+VLOOKUP($E31,武器奇术!$A:$R,10,FALSE))</f>
        <v>0</v>
      </c>
      <c r="CJ31" s="93">
        <f t="shared" si="8"/>
        <v>0.0986</v>
      </c>
      <c r="CK31" s="92">
        <f>BZ31*IF(VLOOKUP($E31,武器奇术!$A:$R,17,FALSE)="牵丝",VLOOKUP($E31,武器奇术!$A:$R,4,FALSE),VLOOKUP($E31,武器奇术!$A:$R,2,FALSE))*(1+CB31)*(1+CC31)*CD31</f>
        <v>0</v>
      </c>
      <c r="CL31" s="93">
        <f t="shared" ref="CL31:CL62" si="38">MAX((1-CF31-CH31-CJ31),0)</f>
        <v>0.0144</v>
      </c>
      <c r="CM31" s="101">
        <f t="shared" ref="CM31:CM62" si="39">CE31*CF31+CG31*CH31+CI31*CJ31+CK31*CL31</f>
        <v>0</v>
      </c>
      <c r="CN31" s="99">
        <f>IF(VLOOKUP($E31,武器奇术!$A:$R,18,FALSE)="极乐",0,$B$13*IF($G$5="撼天",1.05,1)+IF(AND(VLOOKUP($E31,武器奇术!$A:$R,15,FALSE)="武器",VLOOKUP($E31,武器奇术!$A:$R,17,FALSE)="破竹"),$E$3*(1+$E$15),0))</f>
        <v>490.8</v>
      </c>
      <c r="CO31" s="91">
        <f t="shared" ref="CO31:CO62" si="40">(CN31+CP31)/2</f>
        <v>856.3</v>
      </c>
      <c r="CP31" s="91">
        <f>IF(VLOOKUP($E31,武器奇术!$A:$R,18,FALSE)="极乐",0,MAX($C$13*IF($G$5="撼天",1.05,1)+IF(AND(VLOOKUP($E31,武器奇术!$A:$R,15,FALSE)="武器",VLOOKUP($E31,武器奇术!$A:$R,17,FALSE)="破竹"),$E$3*(1+$E$15),0),CN31))</f>
        <v>1221.8</v>
      </c>
      <c r="CQ31" s="93">
        <f>IF(($D$13+IF(VLOOKUP($E31,武器奇术!$A:$R,17,FALSE)="破竹",$D$15,0)-VLOOKUP($F$7,目标属性!$A:$R,6,FALSE)+IF(VLOOKUP($E31,武器奇术!$A:$V,22,FALSE)=1,4,0)+IF(VLOOKUP($E31,武器奇术!$A:$T,20,FALSE)=1,10,0))&gt;0,($D$13+IF(VLOOKUP($E31,武器奇术!$A:$R,17,FALSE)="破竹",$D$15,0)-VLOOKUP($F$7,目标属性!$A:$R,6,FALSE)+IF(VLOOKUP($E31,武器奇术!$A:$V,22,FALSE)=1,4,0)+IF(VLOOKUP($E31,武器奇术!$A:$T,20,FALSE)=1,10,0))/200,($D$13+IF(VLOOKUP($E31,武器奇术!$A:$R,17,FALSE)="破竹",$D$15,0)-VLOOKUP($F$7,目标属性!$A:$R,6,FALSE)+IF(VLOOKUP($E31,武器奇术!$A:$V,22,FALSE)=1,4,0)+IF(VLOOKUP($E31,武器奇术!$A:$T,20,FALSE)=1,10,0))/100)</f>
        <v>0.028</v>
      </c>
      <c r="CR31" s="100">
        <f t="shared" ref="CR31:CR40" si="41">$E$13</f>
        <v>0.148</v>
      </c>
      <c r="CS31" s="91">
        <v>1</v>
      </c>
      <c r="CT31" s="92">
        <f>CN31*IF(VLOOKUP($E31,武器奇术!$A:$R,17,FALSE)="破竹",VLOOKUP($E31,武器奇术!$A:$R,4,FALSE),VLOOKUP($E31,武器奇术!$A:$R,2,FALSE))*(1+CQ31)*(1+CR31)*CS31</f>
        <v>1294.71856347456</v>
      </c>
      <c r="CU31" s="93">
        <f>(1-IF(VLOOKUP($E31,武器奇术!$A:$R,16,FALSE)="陌刀",1,$N31))*(1-$M31)</f>
        <v>0</v>
      </c>
      <c r="CV31" s="92">
        <f>CO31*IF(VLOOKUP($E31,武器奇术!$A:$R,17,FALSE)="破竹",VLOOKUP($E31,武器奇术!$A:$R,4,FALSE),VLOOKUP($E31,武器奇术!$A:$R,2,FALSE))*(1+CQ31)*(1+CR31)*CS31*(1+$E$16+VLOOKUP($E31,武器奇术!$A:$R,8,FALSE))</f>
        <v>4843.07891739324</v>
      </c>
      <c r="CW31" s="93">
        <f t="shared" si="9"/>
        <v>0.887</v>
      </c>
      <c r="CX31" s="92">
        <f>CP31*IF(VLOOKUP($E31,武器奇术!$A:$R,17,FALSE)="破竹",VLOOKUP($E31,武器奇术!$A:$R,4,FALSE),VLOOKUP($E31,武器奇术!$A:$R,2,FALSE))*(1+CQ31)*(1+CR31)*CS31*(1+$E$17+VLOOKUP($E31,武器奇术!$A:$R,10,FALSE))</f>
        <v>4351.15656102658</v>
      </c>
      <c r="CY31" s="93">
        <f t="shared" si="10"/>
        <v>0.0986</v>
      </c>
      <c r="CZ31" s="92">
        <f>CO31*IF(VLOOKUP($E31,武器奇术!$A:$R,17,FALSE)="破竹",VLOOKUP($E31,武器奇术!$A:$R,4,FALSE),VLOOKUP($E31,武器奇术!$A:$R,2,FALSE))*(1+CQ31)*(1+CR31)*CS31</f>
        <v>2258.89874878416</v>
      </c>
      <c r="DA31" s="93">
        <f t="shared" ref="DA31:DA62" si="42">MAX((1-CU31-CW31-CY31),0)</f>
        <v>0.0144</v>
      </c>
      <c r="DB31" s="101">
        <f t="shared" ref="DB31:DB62" si="43">CT31*CU31+CV31*CW31+CX31*CY31+CZ31*DA31</f>
        <v>4757.36317862752</v>
      </c>
      <c r="DC31" s="99">
        <f>IF(VLOOKUP($E31,武器奇术!$A:$R,18,FALSE)="极乐",0,$B$15)</f>
        <v>66</v>
      </c>
      <c r="DD31" s="91">
        <f t="shared" ref="DD31:DD62" si="44">(DC31+DE31)/2</f>
        <v>95.9</v>
      </c>
      <c r="DE31" s="91">
        <f>IF(VLOOKUP($E31,武器奇术!$A:$R,18,FALSE)="极乐",0,$C$15)</f>
        <v>125.8</v>
      </c>
      <c r="DF31" s="93">
        <f>IF((IF(VLOOKUP($E31,武器奇术!$A:$R,17,FALSE)="鸣金",$D$7,0)+IF(VLOOKUP($E31,武器奇术!$A:$R,17,FALSE)="裂石",$D$9,0)+IF(VLOOKUP($E31,武器奇术!$A:$R,17,FALSE)="牵丝",$D$11,0)+IF(VLOOKUP($E31,武器奇术!$A:$R,17,FALSE)="破竹",$D$13,0)+$D$15-VLOOKUP($F$7,目标属性!$A:$R,6,FALSE)+IF(VLOOKUP($E31,武器奇术!$A:$V,22,FALSE)=1,4,0)+IF(VLOOKUP($E31,武器奇术!$A:$T,20,FALSE)=1,10,0))&gt;0,(IF(VLOOKUP($E31,武器奇术!$A:$R,17,FALSE)="鸣金",$D$7,0)+IF(VLOOKUP($E31,武器奇术!$A:$R,17,FALSE)="裂石",$D$9,0)+IF(VLOOKUP($E31,武器奇术!$A:$R,17,FALSE)="牵丝",$D$11,0)+IF(VLOOKUP($E31,武器奇术!$A:$R,17,FALSE)="破竹",$D$13,0)+$D$15-VLOOKUP($F$7,目标属性!$A:$R,6,FALSE)+IF(VLOOKUP($E31,武器奇术!$A:$V,22,FALSE)=1,4,0)+IF(VLOOKUP($E31,武器奇术!$A:$T,20,FALSE)=1,10,0))/200,(IF(VLOOKUP($E31,武器奇术!$A:$R,17,FALSE)="鸣金",$D$7,0)+IF(VLOOKUP($E31,武器奇术!$A:$R,17,FALSE)="裂石",$D$9,0)+IF(VLOOKUP($E31,武器奇术!$A:$R,17,FALSE)="牵丝",$D$11,0)+IF(VLOOKUP($E31,武器奇术!$A:$R,17,FALSE)="破竹",$D$13,0)+$D$15-VLOOKUP($F$7,目标属性!$A:$R,6,FALSE)+IF(VLOOKUP($E31,武器奇术!$A:$V,22,FALSE)=1,4,0)+IF(VLOOKUP($E31,武器奇术!$A:$T,20,FALSE)=1,10,0))/100)</f>
        <v>0.028</v>
      </c>
      <c r="DG31" s="100">
        <f t="shared" si="11"/>
        <v>0.148</v>
      </c>
      <c r="DH31" s="91">
        <v>1</v>
      </c>
      <c r="DI31" s="92">
        <f>DC31*IF(VLOOKUP($E31,武器奇术!$A:$R,17,FALSE)="破竹",VLOOKUP($E31,武器奇术!$A:$R,4,FALSE),VLOOKUP($E31,武器奇术!$A:$R,2,FALSE))*(1+DF31)*(1+DG31)*DH31</f>
        <v>174.1064082912</v>
      </c>
      <c r="DJ31" s="93">
        <f>(1-IF(VLOOKUP($E31,武器奇术!$A:$R,16,FALSE)="陌刀",1,$N31))*(1-$M31)</f>
        <v>0</v>
      </c>
      <c r="DK31" s="92">
        <f>DD31*IF(VLOOKUP($E31,武器奇术!$A:$R,17,FALSE)="破竹",VLOOKUP($E31,武器奇术!$A:$R,4,FALSE),VLOOKUP($E31,武器奇术!$A:$R,2,FALSE))*(1+DF31)*(1+DG31)*DH31*(1+$E$16+VLOOKUP($E31,武器奇术!$A:$R,8,FALSE))</f>
        <v>542.393166154399</v>
      </c>
      <c r="DL31" s="93">
        <f t="shared" si="12"/>
        <v>0.887</v>
      </c>
      <c r="DM31" s="92">
        <f>DE31*IF(VLOOKUP($E31,武器奇术!$A:$R,17,FALSE)="破竹",VLOOKUP($E31,武器奇术!$A:$R,4,FALSE),VLOOKUP($E31,武器奇术!$A:$R,2,FALSE))*(1+DF31)*(1+DG31)*DH31*(1+$E$17+VLOOKUP($E31,武器奇术!$A:$R,10,FALSE))</f>
        <v>448.007444243856</v>
      </c>
      <c r="DN31" s="93">
        <f t="shared" si="13"/>
        <v>0.0986</v>
      </c>
      <c r="DO31" s="92">
        <f>DD31*IF(VLOOKUP($E31,武器奇术!$A:$R,17,FALSE)="破竹",VLOOKUP($E31,武器奇术!$A:$R,4,FALSE),VLOOKUP($E31,武器奇术!$A:$R,2,FALSE))*(1+DF31)*(1+DG31)*DH31</f>
        <v>252.98188719888</v>
      </c>
      <c r="DP31" s="93">
        <f t="shared" si="14"/>
        <v>0.0144</v>
      </c>
      <c r="DQ31" s="101">
        <f t="shared" si="15"/>
        <v>528.91921155706</v>
      </c>
    </row>
    <row r="32" spans="1:121">
      <c r="B32" s="114"/>
      <c r="C32" s="115"/>
      <c r="D32" s="60"/>
      <c r="E32" s="105" t="s">
        <v>109</v>
      </c>
      <c r="F32" s="106">
        <v>1</v>
      </c>
      <c r="G32" s="116"/>
      <c r="H32" s="92">
        <f>IF(VLOOKUP($E32,武器奇术!$A:$R,18,FALSE)="天工",AE32,(AE32+AT32+BI32+BX32+CM32+DB32+DQ32))*(1+J32)*F32*K32*(1+G32)</f>
        <v>25395.9242007614</v>
      </c>
      <c r="I32" s="93">
        <f t="shared" si="16"/>
        <v>0.00325785819892027</v>
      </c>
      <c r="J32" s="108">
        <f>$F$3+VLOOKUP($E32,武器奇术!$A:$R,12,FALSE)+VLOOKUP($E32,武器奇术!$A:$R,14,FALSE)*$G$3+$P32+IF($F$21="√",5%,0)</f>
        <v>0.473</v>
      </c>
      <c r="K32" s="94">
        <f>VLOOKUP($E32,武器奇术!$A:$R,11,FALSE)</f>
        <v>1</v>
      </c>
      <c r="L32" s="109">
        <f>IF(VLOOKUP($E32,武器奇术!$A:$R,15,FALSE)="天工",0%,IF($C$17+VLOOKUP($E32,武器奇术!$A:$R,7,FALSE)&gt;80%,80%,$C$17+VLOOKUP($E32,武器奇术!$A:$R,7,FALSE))+IF($C$19&gt;20%,20%,$C$19))</f>
        <v>0.887</v>
      </c>
      <c r="M32" s="110">
        <f>IF(VLOOKUP($E32,武器奇术!$A:$R,15,FALSE)="天工",0%,IF($C$18+VLOOKUP($E32,武器奇术!$A:$R,9,FALSE)&gt;40%,40%,$C$18+VLOOKUP($E32,武器奇术!$A:$R,9,FALSE))+IF($C$20&gt;10%,10%,$C$20))</f>
        <v>0.0986</v>
      </c>
      <c r="N32" s="111">
        <f>IF(VLOOKUP($E32,武器奇术!$A:$R,15,FALSE)="天工",100%,MIN($C$16,1))</f>
        <v>1</v>
      </c>
      <c r="O32" s="112" t="str">
        <f>VLOOKUP($E32,武器奇术!$A:$R,16,FALSE)</f>
        <v>N/A</v>
      </c>
      <c r="P32" s="113">
        <f t="shared" si="17"/>
        <v>0</v>
      </c>
      <c r="Q32" s="99">
        <f>$B$5*(1+VLOOKUP($E32,武器奇术!$A:$R,5,FALSE)+IF($G$5="飞隼",0.1,0)+IF($G$5="撼天",0.05,0))-$F$9*IF(VLOOKUP($E32,武器奇术!$A:$S,19,FALSE)=1,0.9,1)+IF($I$5="√",160,0)</f>
        <v>2848.3</v>
      </c>
      <c r="R32" s="91">
        <f t="shared" si="18"/>
        <v>2848.3</v>
      </c>
      <c r="S32" s="91">
        <f>MAX($C$5,$B$5)*(1+VLOOKUP($E32,武器奇术!$A:$R,5,FALSE)+IF($G$5="飞隼",0.1,0)+IF($G$5="撼天",0.05,0))-$F$9*IF(VLOOKUP($E32,武器奇术!$A:$S,19,FALSE)=1,0.9,1)+IF($I$5="√",320,0)</f>
        <v>2848.3</v>
      </c>
      <c r="T32" s="93">
        <f>IF(($D$5+VLOOKUP($E32,武器奇术!$A:$R,13,FALSE)+IF($I$3="√",10,0)-VLOOKUP($F$7,目标属性!$A:$R,5,FALSE))&gt;0,($D$5+VLOOKUP($E32,武器奇术!$A:$R,13,FALSE)+IF($I$3="√",10,0)-VLOOKUP($F$7,目标属性!$A:$R,5,FALSE))/200,($D$5+VLOOKUP($E32,武器奇术!$A:$R,13,FALSE)+IF($I$3="√",10,0)-VLOOKUP($F$7,目标属性!$A:$R,5,FALSE))/100)</f>
        <v>0.2675</v>
      </c>
      <c r="U32" s="100">
        <f>$E$5+IF(VLOOKUP($E32,武器奇术!$A:$R,18,FALSE)="鼠鼠",0.24,0)</f>
        <v>0</v>
      </c>
      <c r="V32" s="91">
        <v>1</v>
      </c>
      <c r="W32" s="92">
        <f>Q32*VLOOKUP($E32,武器奇术!$A:$R,2,FALSE)*(1+T32)*(1+U32)*V32</f>
        <v>5379.95021655</v>
      </c>
      <c r="X32" s="93">
        <f>(1-IF(VLOOKUP($E32,武器奇术!$A:$R,16,FALSE)="陌刀",1,$N32))*(1-$M32)</f>
        <v>0</v>
      </c>
      <c r="Y32" s="92">
        <f>R32*VLOOKUP($E32,武器奇术!$A:$R,2,FALSE)*(1+T32)*(1+U32)*V32*(1+$E$16+VLOOKUP($E32,武器奇术!$A:$R,8,FALSE))</f>
        <v>11534.6132642832</v>
      </c>
      <c r="Z32" s="93">
        <f t="shared" si="19"/>
        <v>0.887</v>
      </c>
      <c r="AA32" s="92">
        <f>S32*VLOOKUP($E32,武器奇术!$A:$R,2,FALSE)*(1+T32)*(1+U32)*V32*(1+$E$17+VLOOKUP($E32,武器奇术!$A:$R,10,FALSE))</f>
        <v>7262.9327923425</v>
      </c>
      <c r="AB32" s="93">
        <f t="shared" si="20"/>
        <v>0.0986</v>
      </c>
      <c r="AC32" s="92">
        <f>R32*VLOOKUP($E32,武器奇术!$A:$R,2,FALSE)*(1+T32)*(1+U32)*V32</f>
        <v>5379.95021655</v>
      </c>
      <c r="AD32" s="93">
        <f t="shared" si="21"/>
        <v>0.0144</v>
      </c>
      <c r="AE32" s="101">
        <f t="shared" si="22"/>
        <v>11024.7984218625</v>
      </c>
      <c r="AF32" s="102">
        <f>VLOOKUP($E32,武器奇术!$A:$R,3,FALSE)*(1+IF(VLOOKUP($E32,武器奇术!$A:$R,15,FALSE)="武器",$E$15,0))</f>
        <v>358</v>
      </c>
      <c r="AG32" s="92">
        <f t="shared" si="23"/>
        <v>358</v>
      </c>
      <c r="AH32" s="92">
        <f>VLOOKUP($E32,武器奇术!$A:$R,3,FALSE)*(1+IF(VLOOKUP($E32,武器奇术!$A:$R,15,FALSE)="武器",$E$15,0))</f>
        <v>358</v>
      </c>
      <c r="AI32" s="93">
        <f>IF(($D$5+VLOOKUP($E32,武器奇术!$A:$R,13,FALSE)+IF($I$3="√",10,0)-VLOOKUP($F$7,目标属性!$A:$R,5,FALSE))&gt;0,($D$5+VLOOKUP($E32,武器奇术!$A:$R,13,FALSE)+IF($I$3="√",10,0)-VLOOKUP($F$7,目标属性!$A:$R,5,FALSE))/200,($D$5+VLOOKUP($E32,武器奇术!$A:$R,13,FALSE)+IF($I$3="√",10,0)-VLOOKUP($F$7,目标属性!$A:$R,5,FALSE))/100)</f>
        <v>0.2675</v>
      </c>
      <c r="AJ32" s="100">
        <f>$E$5+IF(VLOOKUP($E32,武器奇术!$A:$R,18,FALSE)="鼠鼠",0.24,0)</f>
        <v>0</v>
      </c>
      <c r="AK32" s="91">
        <v>1</v>
      </c>
      <c r="AL32" s="92">
        <f t="shared" si="24"/>
        <v>453.765</v>
      </c>
      <c r="AM32" s="93">
        <f>(1-IF(VLOOKUP($E32,武器奇术!$A:$R,16,FALSE)="陌刀",1,$N32))*(1-$M32)</f>
        <v>0</v>
      </c>
      <c r="AN32" s="92">
        <f>AG32*(1+AI32)*(1+AJ32)*AK32*(1+$E$16+VLOOKUP($E32,武器奇术!$A:$R,8,FALSE))</f>
        <v>972.87216</v>
      </c>
      <c r="AO32" s="93">
        <f t="shared" si="1"/>
        <v>0.887</v>
      </c>
      <c r="AP32" s="92">
        <f>AH32*(1+AI32)*(1+AJ32)*AK32*(1+$E$17+VLOOKUP($E32,武器奇术!$A:$R,10,FALSE))</f>
        <v>612.58275</v>
      </c>
      <c r="AQ32" s="93">
        <f t="shared" si="2"/>
        <v>0.0986</v>
      </c>
      <c r="AR32" s="92">
        <f t="shared" si="25"/>
        <v>453.765</v>
      </c>
      <c r="AS32" s="93">
        <f t="shared" si="26"/>
        <v>0.0144</v>
      </c>
      <c r="AT32" s="101">
        <f t="shared" si="27"/>
        <v>929.87248107</v>
      </c>
      <c r="AU32" s="99">
        <f>IF(VLOOKUP($E32,武器奇术!$A:$R,18,FALSE)="极乐",0,$B$7*IF($G$5="撼天",1.05,1)+IF(AND(VLOOKUP($E32,武器奇术!$A:$R,15,FALSE)="武器",VLOOKUP($E32,武器奇术!$A:$R,17,FALSE)="鸣金"),$E$3*(1+$E$15),0))</f>
        <v>0</v>
      </c>
      <c r="AV32" s="91">
        <f t="shared" si="28"/>
        <v>0</v>
      </c>
      <c r="AW32" s="91">
        <f>IF(VLOOKUP($E32,武器奇术!$A:$R,18,FALSE)="极乐",0,MAX($C$7*IF($G$5="撼天",1.05,1)+IF(AND(VLOOKUP($E32,武器奇术!$A:$R,15,FALSE)="武器",VLOOKUP($E32,武器奇术!$A:$R,17,FALSE)="鸣金"),$E$3*(1+$E$15),0),AU32))</f>
        <v>0</v>
      </c>
      <c r="AX32" s="93">
        <f>IF(($D$7+IF(VLOOKUP($E32,武器奇术!$A:$R,17,FALSE)="鸣金",$D$15,0)-VLOOKUP($F$7,目标属性!$A:$R,6,FALSE))&gt;0,($D$7+IF(VLOOKUP($E32,武器奇术!$A:$R,17,FALSE)="鸣金",$D$15,0)-VLOOKUP($F$7,目标属性!$A:$R,6,FALSE))/200,($D$7+IF(VLOOKUP($E32,武器奇术!$A:$R,17,FALSE)="鸣金",$D$15,0)-VLOOKUP($F$7,目标属性!$A:$R,6,FALSE))/100)</f>
        <v>-0.24</v>
      </c>
      <c r="AY32" s="100">
        <f t="shared" si="29"/>
        <v>0</v>
      </c>
      <c r="AZ32" s="91">
        <v>1</v>
      </c>
      <c r="BA32" s="92">
        <f>AU32*IF(VLOOKUP($E32,武器奇术!$A:$R,17,FALSE)="鸣金",VLOOKUP($E32,武器奇术!$A:$R,4,FALSE),VLOOKUP($E32,武器奇术!$A:$R,2,FALSE))*(1+AX32)*(1+AY32)*AZ32</f>
        <v>0</v>
      </c>
      <c r="BB32" s="93">
        <f>(1-IF(VLOOKUP($E32,武器奇术!$A:$R,16,FALSE)="陌刀",1,$N32))*(1-$M32)</f>
        <v>0</v>
      </c>
      <c r="BC32" s="92">
        <f>AV32*IF(VLOOKUP($E32,武器奇术!$A:$R,17,FALSE)="鸣金",VLOOKUP($E32,武器奇术!$A:$R,4,FALSE),VLOOKUP($E32,武器奇术!$A:$R,2,FALSE))*(1+AX32)*(1+AY32)*AZ32*(1+$E$16+VLOOKUP($E32,武器奇术!$A:$R,8,FALSE))</f>
        <v>0</v>
      </c>
      <c r="BD32" s="93">
        <f t="shared" si="3"/>
        <v>0.887</v>
      </c>
      <c r="BE32" s="92">
        <f>AW32*IF(VLOOKUP($E32,武器奇术!$A:$R,17,FALSE)="鸣金",VLOOKUP($E32,武器奇术!$A:$R,4,FALSE),VLOOKUP($E32,武器奇术!$A:$R,2,FALSE))*(1+AX32)*(1+AY32)*AZ32*(1+$E$17+VLOOKUP($E32,武器奇术!$A:$R,10,FALSE))</f>
        <v>0</v>
      </c>
      <c r="BF32" s="93">
        <f t="shared" si="4"/>
        <v>0.0986</v>
      </c>
      <c r="BG32" s="92">
        <f>AV32*IF(VLOOKUP($E32,武器奇术!$A:$R,17,FALSE)="鸣金",VLOOKUP($E32,武器奇术!$A:$R,4,FALSE),VLOOKUP($E32,武器奇术!$A:$R,2,FALSE))*(1+AX32)*(1+AY32)*AZ32</f>
        <v>0</v>
      </c>
      <c r="BH32" s="93">
        <f t="shared" si="30"/>
        <v>0.0144</v>
      </c>
      <c r="BI32" s="101">
        <f t="shared" si="31"/>
        <v>0</v>
      </c>
      <c r="BJ32" s="99">
        <f>IF(VLOOKUP($E32,武器奇术!$A:$R,18,FALSE)="极乐",0,$B$9*IF($G$5="撼天",1.05,1)+IF(AND(VLOOKUP($E32,武器奇术!$A:$R,15,FALSE)="武器",VLOOKUP($E32,武器奇术!$A:$R,17,FALSE)="裂石"),$E$3*(1+$E$15),0))</f>
        <v>0</v>
      </c>
      <c r="BK32" s="91">
        <f t="shared" si="32"/>
        <v>0</v>
      </c>
      <c r="BL32" s="91">
        <f>IF(VLOOKUP($E32,武器奇术!$A:$R,18,FALSE)="极乐",0,MAX($C$9*IF($G$5="撼天",1.05,1)+IF(AND(VLOOKUP($E32,武器奇术!$A:$R,15,FALSE)="武器",VLOOKUP($E32,武器奇术!$A:$R,17,FALSE)="裂石"),$E$3*(1+$E$15),0),BJ32))</f>
        <v>0</v>
      </c>
      <c r="BM32" s="93">
        <f>IF(($D$9+IF(VLOOKUP($E32,武器奇术!$A:$R,17,FALSE)="裂石",$D$15,0)-VLOOKUP($F$7,目标属性!$A:$R,6,FALSE))&gt;0,($D$9+IF(VLOOKUP($E32,武器奇术!$A:$R,17,FALSE)="裂石",$D$15,0)-VLOOKUP($F$7,目标属性!$A:$R,6,FALSE))/200,($D$9+IF(VLOOKUP($E32,武器奇术!$A:$R,17,FALSE)="裂石",$D$15,0)-VLOOKUP($F$7,目标属性!$A:$R,6,FALSE))/100)</f>
        <v>-0.24</v>
      </c>
      <c r="BN32" s="100">
        <f t="shared" si="33"/>
        <v>0</v>
      </c>
      <c r="BO32" s="91">
        <v>1</v>
      </c>
      <c r="BP32" s="92">
        <f>BJ32*IF(VLOOKUP($E32,武器奇术!$A:$R,17,FALSE)="裂石",VLOOKUP($E32,武器奇术!$A:$R,4,FALSE),VLOOKUP($E32,武器奇术!$A:$R,2,FALSE))*(1+BM32)*(1+BN32)*BO32</f>
        <v>0</v>
      </c>
      <c r="BQ32" s="93">
        <f>(1-IF(VLOOKUP($E32,武器奇术!$A:$R,16,FALSE)="陌刀",1,$N32))*(1-$M32)</f>
        <v>0</v>
      </c>
      <c r="BR32" s="92">
        <f>BK32*IF(VLOOKUP($E32,武器奇术!$A:$R,17,FALSE)="裂石",VLOOKUP($E32,武器奇术!$A:$R,4,FALSE),VLOOKUP($E32,武器奇术!$A:$R,2,FALSE))*(1+BM32)*(1+BN32)*BO32*(1+$E$16+VLOOKUP($E32,武器奇术!$A:$R,8,FALSE))</f>
        <v>0</v>
      </c>
      <c r="BS32" s="93">
        <f t="shared" si="5"/>
        <v>0.887</v>
      </c>
      <c r="BT32" s="92">
        <f>BL32*IF(VLOOKUP($E32,武器奇术!$A:$R,17,FALSE)="裂石",VLOOKUP($E32,武器奇术!$A:$R,4,FALSE),VLOOKUP($E32,武器奇术!$A:$R,2,FALSE))*(1+BM32)*(1+BN32)*BO32*(1+$E$17+VLOOKUP($E32,武器奇术!$A:$R,10,FALSE))</f>
        <v>0</v>
      </c>
      <c r="BU32" s="93">
        <f t="shared" si="6"/>
        <v>0.0986</v>
      </c>
      <c r="BV32" s="92">
        <f>BK32*IF(VLOOKUP($E32,武器奇术!$A:$R,17,FALSE)="裂石",VLOOKUP($E32,武器奇术!$A:$R,4,FALSE),VLOOKUP($E32,武器奇术!$A:$R,2,FALSE))*(1+BM32)*(1+BN32)*BO32</f>
        <v>0</v>
      </c>
      <c r="BW32" s="93">
        <f t="shared" si="34"/>
        <v>0.0144</v>
      </c>
      <c r="BX32" s="101">
        <f t="shared" si="35"/>
        <v>0</v>
      </c>
      <c r="BY32" s="99">
        <f>IF(VLOOKUP($E32,武器奇术!$A:$R,18,FALSE)="极乐",0,$B$11*IF($G$5="撼天",1.05,1)+IF(AND(VLOOKUP($E32,武器奇术!$A:$R,15,FALSE)="武器",VLOOKUP($E32,武器奇术!$A:$R,17,FALSE)="牵丝"),$E$3*(1+$E$15),0))</f>
        <v>0</v>
      </c>
      <c r="BZ32" s="91">
        <f t="shared" si="36"/>
        <v>0</v>
      </c>
      <c r="CA32" s="91">
        <f>IF(VLOOKUP($E32,武器奇术!$A:$R,18,FALSE)="极乐",0,MAX($C$11*IF($G$5="撼天",1.05,1)+IF(AND(VLOOKUP($E32,武器奇术!$A:$R,15,FALSE)="武器",VLOOKUP($E32,武器奇术!$A:$R,17,FALSE)="牵丝"),$E$3*(1+$E$15),0),BY32))</f>
        <v>0</v>
      </c>
      <c r="CB32" s="93">
        <f>IF(($D$11+IF(VLOOKUP($E32,武器奇术!$A:$R,17,FALSE)="牵丝",$D$15,0)-VLOOKUP($F$7,目标属性!$A:$R,6,FALSE))&gt;0,($D$11+IF(VLOOKUP($E32,武器奇术!$A:$R,17,FALSE)="牵丝",$D$15,0)-VLOOKUP($F$7,目标属性!$A:$R,6,FALSE))/200,($D$11+IF(VLOOKUP($E32,武器奇术!$A:$R,17,FALSE)="牵丝",$D$15,0)-VLOOKUP($F$7,目标属性!$A:$R,6,FALSE))/100)</f>
        <v>-0.24</v>
      </c>
      <c r="CC32" s="100">
        <f t="shared" si="37"/>
        <v>0</v>
      </c>
      <c r="CD32" s="91">
        <v>1</v>
      </c>
      <c r="CE32" s="92">
        <f>BY32*IF(VLOOKUP($E32,武器奇术!$A:$R,17,FALSE)="牵丝",VLOOKUP($E32,武器奇术!$A:$R,4,FALSE),VLOOKUP($E32,武器奇术!$A:$R,2,FALSE))*(1+CB32)*(1+CC32)*CD32</f>
        <v>0</v>
      </c>
      <c r="CF32" s="93">
        <f>(1-IF(VLOOKUP($E32,武器奇术!$A:$R,16,FALSE)="陌刀",1,$N32))*(1-$M32)</f>
        <v>0</v>
      </c>
      <c r="CG32" s="92">
        <f>BZ32*IF(VLOOKUP($E32,武器奇术!$A:$R,17,FALSE)="牵丝",VLOOKUP($E32,武器奇术!$A:$R,4,FALSE),VLOOKUP($E32,武器奇术!$A:$R,2,FALSE))*(1+CB32)*(1+CC32)*CD32*(1+$E$16+VLOOKUP($E32,武器奇术!$A:$R,8,FALSE))</f>
        <v>0</v>
      </c>
      <c r="CH32" s="93">
        <f t="shared" si="7"/>
        <v>0.887</v>
      </c>
      <c r="CI32" s="92">
        <f>CA32*IF(VLOOKUP($E32,武器奇术!$A:$R,17,FALSE)="牵丝",VLOOKUP($E32,武器奇术!$A:$R,4,FALSE),VLOOKUP($E32,武器奇术!$A:$R,2,FALSE))*(1+CB32)*(1+CC32)*CD32*(1+$E$17+VLOOKUP($E32,武器奇术!$A:$R,10,FALSE))</f>
        <v>0</v>
      </c>
      <c r="CJ32" s="93">
        <f t="shared" si="8"/>
        <v>0.0986</v>
      </c>
      <c r="CK32" s="92">
        <f>BZ32*IF(VLOOKUP($E32,武器奇术!$A:$R,17,FALSE)="牵丝",VLOOKUP($E32,武器奇术!$A:$R,4,FALSE),VLOOKUP($E32,武器奇术!$A:$R,2,FALSE))*(1+CB32)*(1+CC32)*CD32</f>
        <v>0</v>
      </c>
      <c r="CL32" s="93">
        <f t="shared" si="38"/>
        <v>0.0144</v>
      </c>
      <c r="CM32" s="101">
        <f t="shared" si="39"/>
        <v>0</v>
      </c>
      <c r="CN32" s="99">
        <f>IF(VLOOKUP($E32,武器奇术!$A:$R,18,FALSE)="极乐",0,$B$13*IF($G$5="撼天",1.05,1)+IF(AND(VLOOKUP($E32,武器奇术!$A:$R,15,FALSE)="武器",VLOOKUP($E32,武器奇术!$A:$R,17,FALSE)="破竹"),$E$3*(1+$E$15),0))</f>
        <v>490.8</v>
      </c>
      <c r="CO32" s="91">
        <f t="shared" si="40"/>
        <v>856.3</v>
      </c>
      <c r="CP32" s="91">
        <f>IF(VLOOKUP($E32,武器奇术!$A:$R,18,FALSE)="极乐",0,MAX($C$13*IF($G$5="撼天",1.05,1)+IF(AND(VLOOKUP($E32,武器奇术!$A:$R,15,FALSE)="武器",VLOOKUP($E32,武器奇术!$A:$R,17,FALSE)="破竹"),$E$3*(1+$E$15),0),CN32))</f>
        <v>1221.8</v>
      </c>
      <c r="CQ32" s="93">
        <f>IF(($D$13+IF(VLOOKUP($E32,武器奇术!$A:$R,17,FALSE)="破竹",$D$15,0)-VLOOKUP($F$7,目标属性!$A:$R,6,FALSE)+IF(VLOOKUP($E32,武器奇术!$A:$V,22,FALSE)=1,4,0)+IF(VLOOKUP($E32,武器奇术!$A:$T,20,FALSE)=1,10,0))&gt;0,($D$13+IF(VLOOKUP($E32,武器奇术!$A:$R,17,FALSE)="破竹",$D$15,0)-VLOOKUP($F$7,目标属性!$A:$R,6,FALSE)+IF(VLOOKUP($E32,武器奇术!$A:$V,22,FALSE)=1,4,0)+IF(VLOOKUP($E32,武器奇术!$A:$T,20,FALSE)=1,10,0))/200,($D$13+IF(VLOOKUP($E32,武器奇术!$A:$R,17,FALSE)="破竹",$D$15,0)-VLOOKUP($F$7,目标属性!$A:$R,6,FALSE)+IF(VLOOKUP($E32,武器奇术!$A:$V,22,FALSE)=1,4,0)+IF(VLOOKUP($E32,武器奇术!$A:$T,20,FALSE)=1,10,0))/100)</f>
        <v>0.028</v>
      </c>
      <c r="CR32" s="100">
        <f t="shared" si="41"/>
        <v>0.148</v>
      </c>
      <c r="CS32" s="91">
        <v>1</v>
      </c>
      <c r="CT32" s="92">
        <f>CN32*IF(VLOOKUP($E32,武器奇术!$A:$R,17,FALSE)="破竹",VLOOKUP($E32,武器奇术!$A:$R,4,FALSE),VLOOKUP($E32,武器奇术!$A:$R,2,FALSE))*(1+CQ32)*(1+CR32)*CS32</f>
        <v>1294.71856347456</v>
      </c>
      <c r="CU32" s="93">
        <f>(1-IF(VLOOKUP($E32,武器奇术!$A:$R,16,FALSE)="陌刀",1,$N32))*(1-$M32)</f>
        <v>0</v>
      </c>
      <c r="CV32" s="92">
        <f>CO32*IF(VLOOKUP($E32,武器奇术!$A:$R,17,FALSE)="破竹",VLOOKUP($E32,武器奇术!$A:$R,4,FALSE),VLOOKUP($E32,武器奇术!$A:$R,2,FALSE))*(1+CQ32)*(1+CR32)*CS32*(1+$E$16+VLOOKUP($E32,武器奇术!$A:$R,8,FALSE))</f>
        <v>4843.07891739324</v>
      </c>
      <c r="CW32" s="93">
        <f t="shared" si="9"/>
        <v>0.887</v>
      </c>
      <c r="CX32" s="92">
        <f>CP32*IF(VLOOKUP($E32,武器奇术!$A:$R,17,FALSE)="破竹",VLOOKUP($E32,武器奇术!$A:$R,4,FALSE),VLOOKUP($E32,武器奇术!$A:$R,2,FALSE))*(1+CQ32)*(1+CR32)*CS32*(1+$E$17+VLOOKUP($E32,武器奇术!$A:$R,10,FALSE))</f>
        <v>4351.15656102658</v>
      </c>
      <c r="CY32" s="93">
        <f t="shared" si="10"/>
        <v>0.0986</v>
      </c>
      <c r="CZ32" s="92">
        <f>CO32*IF(VLOOKUP($E32,武器奇术!$A:$R,17,FALSE)="破竹",VLOOKUP($E32,武器奇术!$A:$R,4,FALSE),VLOOKUP($E32,武器奇术!$A:$R,2,FALSE))*(1+CQ32)*(1+CR32)*CS32</f>
        <v>2258.89874878416</v>
      </c>
      <c r="DA32" s="93">
        <f t="shared" si="42"/>
        <v>0.0144</v>
      </c>
      <c r="DB32" s="101">
        <f t="shared" si="43"/>
        <v>4757.36317862752</v>
      </c>
      <c r="DC32" s="99">
        <f>IF(VLOOKUP($E32,武器奇术!$A:$R,18,FALSE)="极乐",0,$B$15)</f>
        <v>66</v>
      </c>
      <c r="DD32" s="91">
        <f t="shared" si="44"/>
        <v>95.9</v>
      </c>
      <c r="DE32" s="91">
        <f>IF(VLOOKUP($E32,武器奇术!$A:$R,18,FALSE)="极乐",0,$C$15)</f>
        <v>125.8</v>
      </c>
      <c r="DF32" s="93">
        <f>IF((IF(VLOOKUP($E32,武器奇术!$A:$R,17,FALSE)="鸣金",$D$7,0)+IF(VLOOKUP($E32,武器奇术!$A:$R,17,FALSE)="裂石",$D$9,0)+IF(VLOOKUP($E32,武器奇术!$A:$R,17,FALSE)="牵丝",$D$11,0)+IF(VLOOKUP($E32,武器奇术!$A:$R,17,FALSE)="破竹",$D$13,0)+$D$15-VLOOKUP($F$7,目标属性!$A:$R,6,FALSE)+IF(VLOOKUP($E32,武器奇术!$A:$V,22,FALSE)=1,4,0)+IF(VLOOKUP($E32,武器奇术!$A:$T,20,FALSE)=1,10,0))&gt;0,(IF(VLOOKUP($E32,武器奇术!$A:$R,17,FALSE)="鸣金",$D$7,0)+IF(VLOOKUP($E32,武器奇术!$A:$R,17,FALSE)="裂石",$D$9,0)+IF(VLOOKUP($E32,武器奇术!$A:$R,17,FALSE)="牵丝",$D$11,0)+IF(VLOOKUP($E32,武器奇术!$A:$R,17,FALSE)="破竹",$D$13,0)+$D$15-VLOOKUP($F$7,目标属性!$A:$R,6,FALSE)+IF(VLOOKUP($E32,武器奇术!$A:$V,22,FALSE)=1,4,0)+IF(VLOOKUP($E32,武器奇术!$A:$T,20,FALSE)=1,10,0))/200,(IF(VLOOKUP($E32,武器奇术!$A:$R,17,FALSE)="鸣金",$D$7,0)+IF(VLOOKUP($E32,武器奇术!$A:$R,17,FALSE)="裂石",$D$9,0)+IF(VLOOKUP($E32,武器奇术!$A:$R,17,FALSE)="牵丝",$D$11,0)+IF(VLOOKUP($E32,武器奇术!$A:$R,17,FALSE)="破竹",$D$13,0)+$D$15-VLOOKUP($F$7,目标属性!$A:$R,6,FALSE)+IF(VLOOKUP($E32,武器奇术!$A:$V,22,FALSE)=1,4,0)+IF(VLOOKUP($E32,武器奇术!$A:$T,20,FALSE)=1,10,0))/100)</f>
        <v>0.028</v>
      </c>
      <c r="DG32" s="100">
        <f t="shared" si="11"/>
        <v>0.148</v>
      </c>
      <c r="DH32" s="91">
        <v>1</v>
      </c>
      <c r="DI32" s="92">
        <f>DC32*IF(VLOOKUP($E32,武器奇术!$A:$R,17,FALSE)="破竹",VLOOKUP($E32,武器奇术!$A:$R,4,FALSE),VLOOKUP($E32,武器奇术!$A:$R,2,FALSE))*(1+DF32)*(1+DG32)*DH32</f>
        <v>174.1064082912</v>
      </c>
      <c r="DJ32" s="93">
        <f>(1-IF(VLOOKUP($E32,武器奇术!$A:$R,16,FALSE)="陌刀",1,$N32))*(1-$M32)</f>
        <v>0</v>
      </c>
      <c r="DK32" s="92">
        <f>DD32*IF(VLOOKUP($E32,武器奇术!$A:$R,17,FALSE)="破竹",VLOOKUP($E32,武器奇术!$A:$R,4,FALSE),VLOOKUP($E32,武器奇术!$A:$R,2,FALSE))*(1+DF32)*(1+DG32)*DH32*(1+$E$16+VLOOKUP($E32,武器奇术!$A:$R,8,FALSE))</f>
        <v>542.393166154399</v>
      </c>
      <c r="DL32" s="93">
        <f t="shared" si="12"/>
        <v>0.887</v>
      </c>
      <c r="DM32" s="92">
        <f>DE32*IF(VLOOKUP($E32,武器奇术!$A:$R,17,FALSE)="破竹",VLOOKUP($E32,武器奇术!$A:$R,4,FALSE),VLOOKUP($E32,武器奇术!$A:$R,2,FALSE))*(1+DF32)*(1+DG32)*DH32*(1+$E$17+VLOOKUP($E32,武器奇术!$A:$R,10,FALSE))</f>
        <v>448.007444243856</v>
      </c>
      <c r="DN32" s="93">
        <f t="shared" si="13"/>
        <v>0.0986</v>
      </c>
      <c r="DO32" s="92">
        <f>DD32*IF(VLOOKUP($E32,武器奇术!$A:$R,17,FALSE)="破竹",VLOOKUP($E32,武器奇术!$A:$R,4,FALSE),VLOOKUP($E32,武器奇术!$A:$R,2,FALSE))*(1+DF32)*(1+DG32)*DH32</f>
        <v>252.98188719888</v>
      </c>
      <c r="DP32" s="93">
        <f t="shared" si="14"/>
        <v>0.0144</v>
      </c>
      <c r="DQ32" s="101">
        <f t="shared" si="15"/>
        <v>528.91921155706</v>
      </c>
    </row>
    <row r="33" spans="1:121">
      <c r="B33" s="114"/>
      <c r="C33" s="115"/>
      <c r="D33" s="60"/>
      <c r="E33" s="105" t="s">
        <v>109</v>
      </c>
      <c r="F33" s="106">
        <v>1</v>
      </c>
      <c r="G33" s="107"/>
      <c r="H33" s="92">
        <f>IF(VLOOKUP($E33,武器奇术!$A:$R,18,FALSE)="天工",AE33,(AE33+AT33+BI33+BX33+CM33+DB33+DQ33))*(1+J33)*F33*K33*(1+G33)</f>
        <v>25395.9242007614</v>
      </c>
      <c r="I33" s="93">
        <f t="shared" si="16"/>
        <v>0.00325785819892027</v>
      </c>
      <c r="J33" s="108">
        <f>$F$3+VLOOKUP($E33,武器奇术!$A:$R,12,FALSE)+VLOOKUP($E33,武器奇术!$A:$R,14,FALSE)*$G$3+$P33+IF($F$21="√",5%,0)</f>
        <v>0.473</v>
      </c>
      <c r="K33" s="94">
        <f>VLOOKUP($E33,武器奇术!$A:$R,11,FALSE)</f>
        <v>1</v>
      </c>
      <c r="L33" s="109">
        <f>IF(VLOOKUP($E33,武器奇术!$A:$R,15,FALSE)="天工",0%,IF($C$17+VLOOKUP($E33,武器奇术!$A:$R,7,FALSE)&gt;80%,80%,$C$17+VLOOKUP($E33,武器奇术!$A:$R,7,FALSE))+IF($C$19&gt;20%,20%,$C$19))</f>
        <v>0.887</v>
      </c>
      <c r="M33" s="110">
        <f>IF(VLOOKUP($E33,武器奇术!$A:$R,15,FALSE)="天工",0%,IF($C$18+VLOOKUP($E33,武器奇术!$A:$R,9,FALSE)&gt;40%,40%,$C$18+VLOOKUP($E33,武器奇术!$A:$R,9,FALSE))+IF($C$20&gt;10%,10%,$C$20))</f>
        <v>0.0986</v>
      </c>
      <c r="N33" s="111">
        <f>IF(VLOOKUP($E33,武器奇术!$A:$R,15,FALSE)="天工",100%,MIN($C$16,1))</f>
        <v>1</v>
      </c>
      <c r="O33" s="112" t="str">
        <f>VLOOKUP($E33,武器奇术!$A:$R,16,FALSE)</f>
        <v>N/A</v>
      </c>
      <c r="P33" s="113">
        <f t="shared" si="17"/>
        <v>0</v>
      </c>
      <c r="Q33" s="99">
        <f>$B$5*(1+VLOOKUP($E33,武器奇术!$A:$R,5,FALSE)+IF($G$5="飞隼",0.1,0)+IF($G$5="撼天",0.05,0))-$F$9*IF(VLOOKUP($E33,武器奇术!$A:$S,19,FALSE)=1,0.9,1)+IF($I$5="√",160,0)</f>
        <v>2848.3</v>
      </c>
      <c r="R33" s="91">
        <f t="shared" si="18"/>
        <v>2848.3</v>
      </c>
      <c r="S33" s="91">
        <f>MAX($C$5,$B$5)*(1+VLOOKUP($E33,武器奇术!$A:$R,5,FALSE)+IF($G$5="飞隼",0.1,0)+IF($G$5="撼天",0.05,0))-$F$9*IF(VLOOKUP($E33,武器奇术!$A:$S,19,FALSE)=1,0.9,1)+IF($I$5="√",320,0)</f>
        <v>2848.3</v>
      </c>
      <c r="T33" s="93">
        <f>IF(($D$5+VLOOKUP($E33,武器奇术!$A:$R,13,FALSE)+IF($I$3="√",10,0)-VLOOKUP($F$7,目标属性!$A:$R,5,FALSE))&gt;0,($D$5+VLOOKUP($E33,武器奇术!$A:$R,13,FALSE)+IF($I$3="√",10,0)-VLOOKUP($F$7,目标属性!$A:$R,5,FALSE))/200,($D$5+VLOOKUP($E33,武器奇术!$A:$R,13,FALSE)+IF($I$3="√",10,0)-VLOOKUP($F$7,目标属性!$A:$R,5,FALSE))/100)</f>
        <v>0.2675</v>
      </c>
      <c r="U33" s="100">
        <f>$E$5+IF(VLOOKUP($E33,武器奇术!$A:$R,18,FALSE)="鼠鼠",0.24,0)</f>
        <v>0</v>
      </c>
      <c r="V33" s="91">
        <v>1</v>
      </c>
      <c r="W33" s="92">
        <f>Q33*VLOOKUP($E33,武器奇术!$A:$R,2,FALSE)*(1+T33)*(1+U33)*V33</f>
        <v>5379.95021655</v>
      </c>
      <c r="X33" s="93">
        <f>(1-IF(VLOOKUP($E33,武器奇术!$A:$R,16,FALSE)="陌刀",1,$N33))*(1-$M33)</f>
        <v>0</v>
      </c>
      <c r="Y33" s="92">
        <f>R33*VLOOKUP($E33,武器奇术!$A:$R,2,FALSE)*(1+T33)*(1+U33)*V33*(1+$E$16+VLOOKUP($E33,武器奇术!$A:$R,8,FALSE))</f>
        <v>11534.6132642832</v>
      </c>
      <c r="Z33" s="93">
        <f t="shared" si="19"/>
        <v>0.887</v>
      </c>
      <c r="AA33" s="92">
        <f>S33*VLOOKUP($E33,武器奇术!$A:$R,2,FALSE)*(1+T33)*(1+U33)*V33*(1+$E$17+VLOOKUP($E33,武器奇术!$A:$R,10,FALSE))</f>
        <v>7262.9327923425</v>
      </c>
      <c r="AB33" s="93">
        <f t="shared" si="20"/>
        <v>0.0986</v>
      </c>
      <c r="AC33" s="92">
        <f>R33*VLOOKUP($E33,武器奇术!$A:$R,2,FALSE)*(1+T33)*(1+U33)*V33</f>
        <v>5379.95021655</v>
      </c>
      <c r="AD33" s="93">
        <f t="shared" si="21"/>
        <v>0.0144</v>
      </c>
      <c r="AE33" s="101">
        <f t="shared" si="22"/>
        <v>11024.7984218625</v>
      </c>
      <c r="AF33" s="102">
        <f>VLOOKUP($E33,武器奇术!$A:$R,3,FALSE)*(1+IF(VLOOKUP($E33,武器奇术!$A:$R,15,FALSE)="武器",$E$15,0))</f>
        <v>358</v>
      </c>
      <c r="AG33" s="92">
        <f t="shared" si="23"/>
        <v>358</v>
      </c>
      <c r="AH33" s="92">
        <f>VLOOKUP($E33,武器奇术!$A:$R,3,FALSE)*(1+IF(VLOOKUP($E33,武器奇术!$A:$R,15,FALSE)="武器",$E$15,0))</f>
        <v>358</v>
      </c>
      <c r="AI33" s="93">
        <f>IF(($D$5+VLOOKUP($E33,武器奇术!$A:$R,13,FALSE)+IF($I$3="√",10,0)-VLOOKUP($F$7,目标属性!$A:$R,5,FALSE))&gt;0,($D$5+VLOOKUP($E33,武器奇术!$A:$R,13,FALSE)+IF($I$3="√",10,0)-VLOOKUP($F$7,目标属性!$A:$R,5,FALSE))/200,($D$5+VLOOKUP($E33,武器奇术!$A:$R,13,FALSE)+IF($I$3="√",10,0)-VLOOKUP($F$7,目标属性!$A:$R,5,FALSE))/100)</f>
        <v>0.2675</v>
      </c>
      <c r="AJ33" s="100">
        <f>$E$5+IF(VLOOKUP($E33,武器奇术!$A:$R,18,FALSE)="鼠鼠",0.24,0)</f>
        <v>0</v>
      </c>
      <c r="AK33" s="91">
        <v>1</v>
      </c>
      <c r="AL33" s="92">
        <f t="shared" si="24"/>
        <v>453.765</v>
      </c>
      <c r="AM33" s="93">
        <f>(1-IF(VLOOKUP($E33,武器奇术!$A:$R,16,FALSE)="陌刀",1,$N33))*(1-$M33)</f>
        <v>0</v>
      </c>
      <c r="AN33" s="92">
        <f>AG33*(1+AI33)*(1+AJ33)*AK33*(1+$E$16+VLOOKUP($E33,武器奇术!$A:$R,8,FALSE))</f>
        <v>972.87216</v>
      </c>
      <c r="AO33" s="93">
        <f t="shared" si="1"/>
        <v>0.887</v>
      </c>
      <c r="AP33" s="92">
        <f>AH33*(1+AI33)*(1+AJ33)*AK33*(1+$E$17+VLOOKUP($E33,武器奇术!$A:$R,10,FALSE))</f>
        <v>612.58275</v>
      </c>
      <c r="AQ33" s="93">
        <f t="shared" si="2"/>
        <v>0.0986</v>
      </c>
      <c r="AR33" s="92">
        <f t="shared" si="25"/>
        <v>453.765</v>
      </c>
      <c r="AS33" s="93">
        <f t="shared" si="26"/>
        <v>0.0144</v>
      </c>
      <c r="AT33" s="101">
        <f t="shared" si="27"/>
        <v>929.87248107</v>
      </c>
      <c r="AU33" s="99">
        <f>IF(VLOOKUP($E33,武器奇术!$A:$R,18,FALSE)="极乐",0,$B$7*IF($G$5="撼天",1.05,1)+IF(AND(VLOOKUP($E33,武器奇术!$A:$R,15,FALSE)="武器",VLOOKUP($E33,武器奇术!$A:$R,17,FALSE)="鸣金"),$E$3*(1+$E$15),0))</f>
        <v>0</v>
      </c>
      <c r="AV33" s="91">
        <f t="shared" si="28"/>
        <v>0</v>
      </c>
      <c r="AW33" s="91">
        <f>IF(VLOOKUP($E33,武器奇术!$A:$R,18,FALSE)="极乐",0,MAX($C$7*IF($G$5="撼天",1.05,1)+IF(AND(VLOOKUP($E33,武器奇术!$A:$R,15,FALSE)="武器",VLOOKUP($E33,武器奇术!$A:$R,17,FALSE)="鸣金"),$E$3*(1+$E$15),0),AU33))</f>
        <v>0</v>
      </c>
      <c r="AX33" s="93">
        <f>IF(($D$7+IF(VLOOKUP($E33,武器奇术!$A:$R,17,FALSE)="鸣金",$D$15,0)-VLOOKUP($F$7,目标属性!$A:$R,6,FALSE))&gt;0,($D$7+IF(VLOOKUP($E33,武器奇术!$A:$R,17,FALSE)="鸣金",$D$15,0)-VLOOKUP($F$7,目标属性!$A:$R,6,FALSE))/200,($D$7+IF(VLOOKUP($E33,武器奇术!$A:$R,17,FALSE)="鸣金",$D$15,0)-VLOOKUP($F$7,目标属性!$A:$R,6,FALSE))/100)</f>
        <v>-0.24</v>
      </c>
      <c r="AY33" s="100">
        <f t="shared" si="29"/>
        <v>0</v>
      </c>
      <c r="AZ33" s="91">
        <v>1</v>
      </c>
      <c r="BA33" s="92">
        <f>AU33*IF(VLOOKUP($E33,武器奇术!$A:$R,17,FALSE)="鸣金",VLOOKUP($E33,武器奇术!$A:$R,4,FALSE),VLOOKUP($E33,武器奇术!$A:$R,2,FALSE))*(1+AX33)*(1+AY33)*AZ33</f>
        <v>0</v>
      </c>
      <c r="BB33" s="93">
        <f>(1-IF(VLOOKUP($E33,武器奇术!$A:$R,16,FALSE)="陌刀",1,$N33))*(1-$M33)</f>
        <v>0</v>
      </c>
      <c r="BC33" s="92">
        <f>AV33*IF(VLOOKUP($E33,武器奇术!$A:$R,17,FALSE)="鸣金",VLOOKUP($E33,武器奇术!$A:$R,4,FALSE),VLOOKUP($E33,武器奇术!$A:$R,2,FALSE))*(1+AX33)*(1+AY33)*AZ33*(1+$E$16+VLOOKUP($E33,武器奇术!$A:$R,8,FALSE))</f>
        <v>0</v>
      </c>
      <c r="BD33" s="93">
        <f t="shared" si="3"/>
        <v>0.887</v>
      </c>
      <c r="BE33" s="92">
        <f>AW33*IF(VLOOKUP($E33,武器奇术!$A:$R,17,FALSE)="鸣金",VLOOKUP($E33,武器奇术!$A:$R,4,FALSE),VLOOKUP($E33,武器奇术!$A:$R,2,FALSE))*(1+AX33)*(1+AY33)*AZ33*(1+$E$17+VLOOKUP($E33,武器奇术!$A:$R,10,FALSE))</f>
        <v>0</v>
      </c>
      <c r="BF33" s="93">
        <f t="shared" si="4"/>
        <v>0.0986</v>
      </c>
      <c r="BG33" s="92">
        <f>AV33*IF(VLOOKUP($E33,武器奇术!$A:$R,17,FALSE)="鸣金",VLOOKUP($E33,武器奇术!$A:$R,4,FALSE),VLOOKUP($E33,武器奇术!$A:$R,2,FALSE))*(1+AX33)*(1+AY33)*AZ33</f>
        <v>0</v>
      </c>
      <c r="BH33" s="93">
        <f t="shared" si="30"/>
        <v>0.0144</v>
      </c>
      <c r="BI33" s="101">
        <f t="shared" si="31"/>
        <v>0</v>
      </c>
      <c r="BJ33" s="99">
        <f>IF(VLOOKUP($E33,武器奇术!$A:$R,18,FALSE)="极乐",0,$B$9*IF($G$5="撼天",1.05,1)+IF(AND(VLOOKUP($E33,武器奇术!$A:$R,15,FALSE)="武器",VLOOKUP($E33,武器奇术!$A:$R,17,FALSE)="裂石"),$E$3*(1+$E$15),0))</f>
        <v>0</v>
      </c>
      <c r="BK33" s="91">
        <f t="shared" si="32"/>
        <v>0</v>
      </c>
      <c r="BL33" s="91">
        <f>IF(VLOOKUP($E33,武器奇术!$A:$R,18,FALSE)="极乐",0,MAX($C$9*IF($G$5="撼天",1.05,1)+IF(AND(VLOOKUP($E33,武器奇术!$A:$R,15,FALSE)="武器",VLOOKUP($E33,武器奇术!$A:$R,17,FALSE)="裂石"),$E$3*(1+$E$15),0),BJ33))</f>
        <v>0</v>
      </c>
      <c r="BM33" s="93">
        <f>IF(($D$9+IF(VLOOKUP($E33,武器奇术!$A:$R,17,FALSE)="裂石",$D$15,0)-VLOOKUP($F$7,目标属性!$A:$R,6,FALSE))&gt;0,($D$9+IF(VLOOKUP($E33,武器奇术!$A:$R,17,FALSE)="裂石",$D$15,0)-VLOOKUP($F$7,目标属性!$A:$R,6,FALSE))/200,($D$9+IF(VLOOKUP($E33,武器奇术!$A:$R,17,FALSE)="裂石",$D$15,0)-VLOOKUP($F$7,目标属性!$A:$R,6,FALSE))/100)</f>
        <v>-0.24</v>
      </c>
      <c r="BN33" s="100">
        <f t="shared" si="33"/>
        <v>0</v>
      </c>
      <c r="BO33" s="91">
        <v>1</v>
      </c>
      <c r="BP33" s="92">
        <f>BJ33*IF(VLOOKUP($E33,武器奇术!$A:$R,17,FALSE)="裂石",VLOOKUP($E33,武器奇术!$A:$R,4,FALSE),VLOOKUP($E33,武器奇术!$A:$R,2,FALSE))*(1+BM33)*(1+BN33)*BO33</f>
        <v>0</v>
      </c>
      <c r="BQ33" s="93">
        <f>(1-IF(VLOOKUP($E33,武器奇术!$A:$R,16,FALSE)="陌刀",1,$N33))*(1-$M33)</f>
        <v>0</v>
      </c>
      <c r="BR33" s="92">
        <f>BK33*IF(VLOOKUP($E33,武器奇术!$A:$R,17,FALSE)="裂石",VLOOKUP($E33,武器奇术!$A:$R,4,FALSE),VLOOKUP($E33,武器奇术!$A:$R,2,FALSE))*(1+BM33)*(1+BN33)*BO33*(1+$E$16+VLOOKUP($E33,武器奇术!$A:$R,8,FALSE))</f>
        <v>0</v>
      </c>
      <c r="BS33" s="93">
        <f t="shared" si="5"/>
        <v>0.887</v>
      </c>
      <c r="BT33" s="92">
        <f>BL33*IF(VLOOKUP($E33,武器奇术!$A:$R,17,FALSE)="裂石",VLOOKUP($E33,武器奇术!$A:$R,4,FALSE),VLOOKUP($E33,武器奇术!$A:$R,2,FALSE))*(1+BM33)*(1+BN33)*BO33*(1+$E$17+VLOOKUP($E33,武器奇术!$A:$R,10,FALSE))</f>
        <v>0</v>
      </c>
      <c r="BU33" s="93">
        <f t="shared" si="6"/>
        <v>0.0986</v>
      </c>
      <c r="BV33" s="92">
        <f>BK33*IF(VLOOKUP($E33,武器奇术!$A:$R,17,FALSE)="裂石",VLOOKUP($E33,武器奇术!$A:$R,4,FALSE),VLOOKUP($E33,武器奇术!$A:$R,2,FALSE))*(1+BM33)*(1+BN33)*BO33</f>
        <v>0</v>
      </c>
      <c r="BW33" s="93">
        <f t="shared" si="34"/>
        <v>0.0144</v>
      </c>
      <c r="BX33" s="101">
        <f t="shared" si="35"/>
        <v>0</v>
      </c>
      <c r="BY33" s="99">
        <f>IF(VLOOKUP($E33,武器奇术!$A:$R,18,FALSE)="极乐",0,$B$11*IF($G$5="撼天",1.05,1)+IF(AND(VLOOKUP($E33,武器奇术!$A:$R,15,FALSE)="武器",VLOOKUP($E33,武器奇术!$A:$R,17,FALSE)="牵丝"),$E$3*(1+$E$15),0))</f>
        <v>0</v>
      </c>
      <c r="BZ33" s="91">
        <f t="shared" si="36"/>
        <v>0</v>
      </c>
      <c r="CA33" s="91">
        <f>IF(VLOOKUP($E33,武器奇术!$A:$R,18,FALSE)="极乐",0,MAX($C$11*IF($G$5="撼天",1.05,1)+IF(AND(VLOOKUP($E33,武器奇术!$A:$R,15,FALSE)="武器",VLOOKUP($E33,武器奇术!$A:$R,17,FALSE)="牵丝"),$E$3*(1+$E$15),0),BY33))</f>
        <v>0</v>
      </c>
      <c r="CB33" s="93">
        <f>IF(($D$11+IF(VLOOKUP($E33,武器奇术!$A:$R,17,FALSE)="牵丝",$D$15,0)-VLOOKUP($F$7,目标属性!$A:$R,6,FALSE))&gt;0,($D$11+IF(VLOOKUP($E33,武器奇术!$A:$R,17,FALSE)="牵丝",$D$15,0)-VLOOKUP($F$7,目标属性!$A:$R,6,FALSE))/200,($D$11+IF(VLOOKUP($E33,武器奇术!$A:$R,17,FALSE)="牵丝",$D$15,0)-VLOOKUP($F$7,目标属性!$A:$R,6,FALSE))/100)</f>
        <v>-0.24</v>
      </c>
      <c r="CC33" s="100">
        <f t="shared" si="37"/>
        <v>0</v>
      </c>
      <c r="CD33" s="91">
        <v>1</v>
      </c>
      <c r="CE33" s="92">
        <f>BY33*IF(VLOOKUP($E33,武器奇术!$A:$R,17,FALSE)="牵丝",VLOOKUP($E33,武器奇术!$A:$R,4,FALSE),VLOOKUP($E33,武器奇术!$A:$R,2,FALSE))*(1+CB33)*(1+CC33)*CD33</f>
        <v>0</v>
      </c>
      <c r="CF33" s="93">
        <f>(1-IF(VLOOKUP($E33,武器奇术!$A:$R,16,FALSE)="陌刀",1,$N33))*(1-$M33)</f>
        <v>0</v>
      </c>
      <c r="CG33" s="92">
        <f>BZ33*IF(VLOOKUP($E33,武器奇术!$A:$R,17,FALSE)="牵丝",VLOOKUP($E33,武器奇术!$A:$R,4,FALSE),VLOOKUP($E33,武器奇术!$A:$R,2,FALSE))*(1+CB33)*(1+CC33)*CD33*(1+$E$16+VLOOKUP($E33,武器奇术!$A:$R,8,FALSE))</f>
        <v>0</v>
      </c>
      <c r="CH33" s="93">
        <f t="shared" si="7"/>
        <v>0.887</v>
      </c>
      <c r="CI33" s="92">
        <f>CA33*IF(VLOOKUP($E33,武器奇术!$A:$R,17,FALSE)="牵丝",VLOOKUP($E33,武器奇术!$A:$R,4,FALSE),VLOOKUP($E33,武器奇术!$A:$R,2,FALSE))*(1+CB33)*(1+CC33)*CD33*(1+$E$17+VLOOKUP($E33,武器奇术!$A:$R,10,FALSE))</f>
        <v>0</v>
      </c>
      <c r="CJ33" s="93">
        <f t="shared" si="8"/>
        <v>0.0986</v>
      </c>
      <c r="CK33" s="92">
        <f>BZ33*IF(VLOOKUP($E33,武器奇术!$A:$R,17,FALSE)="牵丝",VLOOKUP($E33,武器奇术!$A:$R,4,FALSE),VLOOKUP($E33,武器奇术!$A:$R,2,FALSE))*(1+CB33)*(1+CC33)*CD33</f>
        <v>0</v>
      </c>
      <c r="CL33" s="93">
        <f t="shared" si="38"/>
        <v>0.0144</v>
      </c>
      <c r="CM33" s="101">
        <f t="shared" si="39"/>
        <v>0</v>
      </c>
      <c r="CN33" s="99">
        <f>IF(VLOOKUP($E33,武器奇术!$A:$R,18,FALSE)="极乐",0,$B$13*IF($G$5="撼天",1.05,1)+IF(AND(VLOOKUP($E33,武器奇术!$A:$R,15,FALSE)="武器",VLOOKUP($E33,武器奇术!$A:$R,17,FALSE)="破竹"),$E$3*(1+$E$15),0))</f>
        <v>490.8</v>
      </c>
      <c r="CO33" s="91">
        <f t="shared" si="40"/>
        <v>856.3</v>
      </c>
      <c r="CP33" s="91">
        <f>IF(VLOOKUP($E33,武器奇术!$A:$R,18,FALSE)="极乐",0,MAX($C$13*IF($G$5="撼天",1.05,1)+IF(AND(VLOOKUP($E33,武器奇术!$A:$R,15,FALSE)="武器",VLOOKUP($E33,武器奇术!$A:$R,17,FALSE)="破竹"),$E$3*(1+$E$15),0),CN33))</f>
        <v>1221.8</v>
      </c>
      <c r="CQ33" s="93">
        <f>IF(($D$13+IF(VLOOKUP($E33,武器奇术!$A:$R,17,FALSE)="破竹",$D$15,0)-VLOOKUP($F$7,目标属性!$A:$R,6,FALSE)+IF(VLOOKUP($E33,武器奇术!$A:$V,22,FALSE)=1,4,0)+IF(VLOOKUP($E33,武器奇术!$A:$T,20,FALSE)=1,10,0))&gt;0,($D$13+IF(VLOOKUP($E33,武器奇术!$A:$R,17,FALSE)="破竹",$D$15,0)-VLOOKUP($F$7,目标属性!$A:$R,6,FALSE)+IF(VLOOKUP($E33,武器奇术!$A:$V,22,FALSE)=1,4,0)+IF(VLOOKUP($E33,武器奇术!$A:$T,20,FALSE)=1,10,0))/200,($D$13+IF(VLOOKUP($E33,武器奇术!$A:$R,17,FALSE)="破竹",$D$15,0)-VLOOKUP($F$7,目标属性!$A:$R,6,FALSE)+IF(VLOOKUP($E33,武器奇术!$A:$V,22,FALSE)=1,4,0)+IF(VLOOKUP($E33,武器奇术!$A:$T,20,FALSE)=1,10,0))/100)</f>
        <v>0.028</v>
      </c>
      <c r="CR33" s="100">
        <f t="shared" si="41"/>
        <v>0.148</v>
      </c>
      <c r="CS33" s="91">
        <v>1</v>
      </c>
      <c r="CT33" s="92">
        <f>CN33*IF(VLOOKUP($E33,武器奇术!$A:$R,17,FALSE)="破竹",VLOOKUP($E33,武器奇术!$A:$R,4,FALSE),VLOOKUP($E33,武器奇术!$A:$R,2,FALSE))*(1+CQ33)*(1+CR33)*CS33</f>
        <v>1294.71856347456</v>
      </c>
      <c r="CU33" s="93">
        <f>(1-IF(VLOOKUP($E33,武器奇术!$A:$R,16,FALSE)="陌刀",1,$N33))*(1-$M33)</f>
        <v>0</v>
      </c>
      <c r="CV33" s="92">
        <f>CO33*IF(VLOOKUP($E33,武器奇术!$A:$R,17,FALSE)="破竹",VLOOKUP($E33,武器奇术!$A:$R,4,FALSE),VLOOKUP($E33,武器奇术!$A:$R,2,FALSE))*(1+CQ33)*(1+CR33)*CS33*(1+$E$16+VLOOKUP($E33,武器奇术!$A:$R,8,FALSE))</f>
        <v>4843.07891739324</v>
      </c>
      <c r="CW33" s="93">
        <f t="shared" si="9"/>
        <v>0.887</v>
      </c>
      <c r="CX33" s="92">
        <f>CP33*IF(VLOOKUP($E33,武器奇术!$A:$R,17,FALSE)="破竹",VLOOKUP($E33,武器奇术!$A:$R,4,FALSE),VLOOKUP($E33,武器奇术!$A:$R,2,FALSE))*(1+CQ33)*(1+CR33)*CS33*(1+$E$17+VLOOKUP($E33,武器奇术!$A:$R,10,FALSE))</f>
        <v>4351.15656102658</v>
      </c>
      <c r="CY33" s="93">
        <f t="shared" si="10"/>
        <v>0.0986</v>
      </c>
      <c r="CZ33" s="92">
        <f>CO33*IF(VLOOKUP($E33,武器奇术!$A:$R,17,FALSE)="破竹",VLOOKUP($E33,武器奇术!$A:$R,4,FALSE),VLOOKUP($E33,武器奇术!$A:$R,2,FALSE))*(1+CQ33)*(1+CR33)*CS33</f>
        <v>2258.89874878416</v>
      </c>
      <c r="DA33" s="93">
        <f t="shared" si="42"/>
        <v>0.0144</v>
      </c>
      <c r="DB33" s="101">
        <f t="shared" si="43"/>
        <v>4757.36317862752</v>
      </c>
      <c r="DC33" s="99">
        <f>IF(VLOOKUP($E33,武器奇术!$A:$R,18,FALSE)="极乐",0,$B$15)</f>
        <v>66</v>
      </c>
      <c r="DD33" s="91">
        <f t="shared" si="44"/>
        <v>95.9</v>
      </c>
      <c r="DE33" s="91">
        <f>IF(VLOOKUP($E33,武器奇术!$A:$R,18,FALSE)="极乐",0,$C$15)</f>
        <v>125.8</v>
      </c>
      <c r="DF33" s="93">
        <f>IF((IF(VLOOKUP($E33,武器奇术!$A:$R,17,FALSE)="鸣金",$D$7,0)+IF(VLOOKUP($E33,武器奇术!$A:$R,17,FALSE)="裂石",$D$9,0)+IF(VLOOKUP($E33,武器奇术!$A:$R,17,FALSE)="牵丝",$D$11,0)+IF(VLOOKUP($E33,武器奇术!$A:$R,17,FALSE)="破竹",$D$13,0)+$D$15-VLOOKUP($F$7,目标属性!$A:$R,6,FALSE)+IF(VLOOKUP($E33,武器奇术!$A:$V,22,FALSE)=1,4,0)+IF(VLOOKUP($E33,武器奇术!$A:$T,20,FALSE)=1,10,0))&gt;0,(IF(VLOOKUP($E33,武器奇术!$A:$R,17,FALSE)="鸣金",$D$7,0)+IF(VLOOKUP($E33,武器奇术!$A:$R,17,FALSE)="裂石",$D$9,0)+IF(VLOOKUP($E33,武器奇术!$A:$R,17,FALSE)="牵丝",$D$11,0)+IF(VLOOKUP($E33,武器奇术!$A:$R,17,FALSE)="破竹",$D$13,0)+$D$15-VLOOKUP($F$7,目标属性!$A:$R,6,FALSE)+IF(VLOOKUP($E33,武器奇术!$A:$V,22,FALSE)=1,4,0)+IF(VLOOKUP($E33,武器奇术!$A:$T,20,FALSE)=1,10,0))/200,(IF(VLOOKUP($E33,武器奇术!$A:$R,17,FALSE)="鸣金",$D$7,0)+IF(VLOOKUP($E33,武器奇术!$A:$R,17,FALSE)="裂石",$D$9,0)+IF(VLOOKUP($E33,武器奇术!$A:$R,17,FALSE)="牵丝",$D$11,0)+IF(VLOOKUP($E33,武器奇术!$A:$R,17,FALSE)="破竹",$D$13,0)+$D$15-VLOOKUP($F$7,目标属性!$A:$R,6,FALSE)+IF(VLOOKUP($E33,武器奇术!$A:$V,22,FALSE)=1,4,0)+IF(VLOOKUP($E33,武器奇术!$A:$T,20,FALSE)=1,10,0))/100)</f>
        <v>0.028</v>
      </c>
      <c r="DG33" s="100">
        <f t="shared" si="11"/>
        <v>0.148</v>
      </c>
      <c r="DH33" s="91">
        <v>1</v>
      </c>
      <c r="DI33" s="92">
        <f>DC33*IF(VLOOKUP($E33,武器奇术!$A:$R,17,FALSE)="破竹",VLOOKUP($E33,武器奇术!$A:$R,4,FALSE),VLOOKUP($E33,武器奇术!$A:$R,2,FALSE))*(1+DF33)*(1+DG33)*DH33</f>
        <v>174.1064082912</v>
      </c>
      <c r="DJ33" s="93">
        <f>(1-IF(VLOOKUP($E33,武器奇术!$A:$R,16,FALSE)="陌刀",1,$N33))*(1-$M33)</f>
        <v>0</v>
      </c>
      <c r="DK33" s="92">
        <f>DD33*IF(VLOOKUP($E33,武器奇术!$A:$R,17,FALSE)="破竹",VLOOKUP($E33,武器奇术!$A:$R,4,FALSE),VLOOKUP($E33,武器奇术!$A:$R,2,FALSE))*(1+DF33)*(1+DG33)*DH33*(1+$E$16+VLOOKUP($E33,武器奇术!$A:$R,8,FALSE))</f>
        <v>542.393166154399</v>
      </c>
      <c r="DL33" s="93">
        <f t="shared" si="12"/>
        <v>0.887</v>
      </c>
      <c r="DM33" s="92">
        <f>DE33*IF(VLOOKUP($E33,武器奇术!$A:$R,17,FALSE)="破竹",VLOOKUP($E33,武器奇术!$A:$R,4,FALSE),VLOOKUP($E33,武器奇术!$A:$R,2,FALSE))*(1+DF33)*(1+DG33)*DH33*(1+$E$17+VLOOKUP($E33,武器奇术!$A:$R,10,FALSE))</f>
        <v>448.007444243856</v>
      </c>
      <c r="DN33" s="93">
        <f t="shared" si="13"/>
        <v>0.0986</v>
      </c>
      <c r="DO33" s="92">
        <f>DD33*IF(VLOOKUP($E33,武器奇术!$A:$R,17,FALSE)="破竹",VLOOKUP($E33,武器奇术!$A:$R,4,FALSE),VLOOKUP($E33,武器奇术!$A:$R,2,FALSE))*(1+DF33)*(1+DG33)*DH33</f>
        <v>252.98188719888</v>
      </c>
      <c r="DP33" s="93">
        <f t="shared" si="14"/>
        <v>0.0144</v>
      </c>
      <c r="DQ33" s="101">
        <f t="shared" si="15"/>
        <v>528.91921155706</v>
      </c>
    </row>
    <row r="34" ht="14.25" spans="1:121">
      <c r="B34" s="87"/>
      <c r="C34" s="117"/>
      <c r="D34" s="118"/>
      <c r="E34" s="105" t="s">
        <v>109</v>
      </c>
      <c r="F34" s="106">
        <v>1</v>
      </c>
      <c r="G34" s="107"/>
      <c r="H34" s="92">
        <f>IF(VLOOKUP($E34,武器奇术!$A:$R,18,FALSE)="天工",AE34,(AE34+AT34+BI34+BX34+CM34+DB34+DQ34))*(1+J34)*F34*K34*(1+G34)</f>
        <v>25395.9242007614</v>
      </c>
      <c r="I34" s="93">
        <f t="shared" si="16"/>
        <v>0.00325785819892027</v>
      </c>
      <c r="J34" s="108">
        <f>$F$3+VLOOKUP($E34,武器奇术!$A:$R,12,FALSE)+VLOOKUP($E34,武器奇术!$A:$R,14,FALSE)*$G$3+$P34+IF($F$21="√",5%,0)</f>
        <v>0.473</v>
      </c>
      <c r="K34" s="94">
        <f>VLOOKUP($E34,武器奇术!$A:$R,11,FALSE)</f>
        <v>1</v>
      </c>
      <c r="L34" s="109">
        <f>IF(VLOOKUP($E34,武器奇术!$A:$R,15,FALSE)="天工",0%,IF($C$17+VLOOKUP($E34,武器奇术!$A:$R,7,FALSE)&gt;80%,80%,$C$17+VLOOKUP($E34,武器奇术!$A:$R,7,FALSE))+IF($C$19&gt;20%,20%,$C$19))</f>
        <v>0.887</v>
      </c>
      <c r="M34" s="110">
        <f>IF(VLOOKUP($E34,武器奇术!$A:$R,15,FALSE)="天工",0%,IF($C$18+VLOOKUP($E34,武器奇术!$A:$R,9,FALSE)&gt;40%,40%,$C$18+VLOOKUP($E34,武器奇术!$A:$R,9,FALSE))+IF($C$20&gt;10%,10%,$C$20))</f>
        <v>0.0986</v>
      </c>
      <c r="N34" s="111">
        <f>IF(VLOOKUP($E34,武器奇术!$A:$R,15,FALSE)="天工",100%,MIN($C$16,1))</f>
        <v>1</v>
      </c>
      <c r="O34" s="112" t="str">
        <f>VLOOKUP($E34,武器奇术!$A:$R,16,FALSE)</f>
        <v>N/A</v>
      </c>
      <c r="P34" s="113">
        <f t="shared" si="17"/>
        <v>0</v>
      </c>
      <c r="Q34" s="99">
        <f>$B$5*(1+VLOOKUP($E34,武器奇术!$A:$R,5,FALSE)+IF($G$5="飞隼",0.1,0)+IF($G$5="撼天",0.05,0))-$F$9*IF(VLOOKUP($E34,武器奇术!$A:$S,19,FALSE)=1,0.9,1)+IF($I$5="√",160,0)</f>
        <v>2848.3</v>
      </c>
      <c r="R34" s="91">
        <f t="shared" si="18"/>
        <v>2848.3</v>
      </c>
      <c r="S34" s="91">
        <f>MAX($C$5,$B$5)*(1+VLOOKUP($E34,武器奇术!$A:$R,5,FALSE)+IF($G$5="飞隼",0.1,0)+IF($G$5="撼天",0.05,0))-$F$9*IF(VLOOKUP($E34,武器奇术!$A:$S,19,FALSE)=1,0.9,1)+IF($I$5="√",320,0)</f>
        <v>2848.3</v>
      </c>
      <c r="T34" s="93">
        <f>IF(($D$5+VLOOKUP($E34,武器奇术!$A:$R,13,FALSE)+IF($I$3="√",10,0)-VLOOKUP($F$7,目标属性!$A:$R,5,FALSE))&gt;0,($D$5+VLOOKUP($E34,武器奇术!$A:$R,13,FALSE)+IF($I$3="√",10,0)-VLOOKUP($F$7,目标属性!$A:$R,5,FALSE))/200,($D$5+VLOOKUP($E34,武器奇术!$A:$R,13,FALSE)+IF($I$3="√",10,0)-VLOOKUP($F$7,目标属性!$A:$R,5,FALSE))/100)</f>
        <v>0.2675</v>
      </c>
      <c r="U34" s="100">
        <f>$E$5+IF(VLOOKUP($E34,武器奇术!$A:$R,18,FALSE)="鼠鼠",0.24,0)</f>
        <v>0</v>
      </c>
      <c r="V34" s="91">
        <v>1</v>
      </c>
      <c r="W34" s="92">
        <f>Q34*VLOOKUP($E34,武器奇术!$A:$R,2,FALSE)*(1+T34)*(1+U34)*V34</f>
        <v>5379.95021655</v>
      </c>
      <c r="X34" s="93">
        <f>(1-IF(VLOOKUP($E34,武器奇术!$A:$R,16,FALSE)="陌刀",1,$N34))*(1-$M34)</f>
        <v>0</v>
      </c>
      <c r="Y34" s="92">
        <f>R34*VLOOKUP($E34,武器奇术!$A:$R,2,FALSE)*(1+T34)*(1+U34)*V34*(1+$E$16+VLOOKUP($E34,武器奇术!$A:$R,8,FALSE))</f>
        <v>11534.6132642832</v>
      </c>
      <c r="Z34" s="93">
        <f t="shared" si="19"/>
        <v>0.887</v>
      </c>
      <c r="AA34" s="92">
        <f>S34*VLOOKUP($E34,武器奇术!$A:$R,2,FALSE)*(1+T34)*(1+U34)*V34*(1+$E$17+VLOOKUP($E34,武器奇术!$A:$R,10,FALSE))</f>
        <v>7262.9327923425</v>
      </c>
      <c r="AB34" s="93">
        <f t="shared" si="20"/>
        <v>0.0986</v>
      </c>
      <c r="AC34" s="92">
        <f>R34*VLOOKUP($E34,武器奇术!$A:$R,2,FALSE)*(1+T34)*(1+U34)*V34</f>
        <v>5379.95021655</v>
      </c>
      <c r="AD34" s="93">
        <f t="shared" si="21"/>
        <v>0.0144</v>
      </c>
      <c r="AE34" s="101">
        <f t="shared" si="22"/>
        <v>11024.7984218625</v>
      </c>
      <c r="AF34" s="102">
        <f>VLOOKUP($E34,武器奇术!$A:$R,3,FALSE)*(1+IF(VLOOKUP($E34,武器奇术!$A:$R,15,FALSE)="武器",$E$15,0))</f>
        <v>358</v>
      </c>
      <c r="AG34" s="92">
        <f t="shared" si="23"/>
        <v>358</v>
      </c>
      <c r="AH34" s="92">
        <f>VLOOKUP($E34,武器奇术!$A:$R,3,FALSE)*(1+IF(VLOOKUP($E34,武器奇术!$A:$R,15,FALSE)="武器",$E$15,0))</f>
        <v>358</v>
      </c>
      <c r="AI34" s="93">
        <f>IF(($D$5+VLOOKUP($E34,武器奇术!$A:$R,13,FALSE)+IF($I$3="√",10,0)-VLOOKUP($F$7,目标属性!$A:$R,5,FALSE))&gt;0,($D$5+VLOOKUP($E34,武器奇术!$A:$R,13,FALSE)+IF($I$3="√",10,0)-VLOOKUP($F$7,目标属性!$A:$R,5,FALSE))/200,($D$5+VLOOKUP($E34,武器奇术!$A:$R,13,FALSE)+IF($I$3="√",10,0)-VLOOKUP($F$7,目标属性!$A:$R,5,FALSE))/100)</f>
        <v>0.2675</v>
      </c>
      <c r="AJ34" s="100">
        <f>$E$5+IF(VLOOKUP($E34,武器奇术!$A:$R,18,FALSE)="鼠鼠",0.24,0)</f>
        <v>0</v>
      </c>
      <c r="AK34" s="91">
        <v>1</v>
      </c>
      <c r="AL34" s="92">
        <f t="shared" si="24"/>
        <v>453.765</v>
      </c>
      <c r="AM34" s="93">
        <f>(1-IF(VLOOKUP($E34,武器奇术!$A:$R,16,FALSE)="陌刀",1,$N34))*(1-$M34)</f>
        <v>0</v>
      </c>
      <c r="AN34" s="92">
        <f>AG34*(1+AI34)*(1+AJ34)*AK34*(1+$E$16+VLOOKUP($E34,武器奇术!$A:$R,8,FALSE))</f>
        <v>972.87216</v>
      </c>
      <c r="AO34" s="93">
        <f t="shared" si="1"/>
        <v>0.887</v>
      </c>
      <c r="AP34" s="92">
        <f>AH34*(1+AI34)*(1+AJ34)*AK34*(1+$E$17+VLOOKUP($E34,武器奇术!$A:$R,10,FALSE))</f>
        <v>612.58275</v>
      </c>
      <c r="AQ34" s="93">
        <f t="shared" si="2"/>
        <v>0.0986</v>
      </c>
      <c r="AR34" s="92">
        <f t="shared" si="25"/>
        <v>453.765</v>
      </c>
      <c r="AS34" s="93">
        <f t="shared" si="26"/>
        <v>0.0144</v>
      </c>
      <c r="AT34" s="101">
        <f t="shared" si="27"/>
        <v>929.87248107</v>
      </c>
      <c r="AU34" s="99">
        <f>IF(VLOOKUP($E34,武器奇术!$A:$R,18,FALSE)="极乐",0,$B$7*IF($G$5="撼天",1.05,1)+IF(AND(VLOOKUP($E34,武器奇术!$A:$R,15,FALSE)="武器",VLOOKUP($E34,武器奇术!$A:$R,17,FALSE)="鸣金"),$E$3*(1+$E$15),0))</f>
        <v>0</v>
      </c>
      <c r="AV34" s="91">
        <f t="shared" si="28"/>
        <v>0</v>
      </c>
      <c r="AW34" s="91">
        <f>IF(VLOOKUP($E34,武器奇术!$A:$R,18,FALSE)="极乐",0,MAX($C$7*IF($G$5="撼天",1.05,1)+IF(AND(VLOOKUP($E34,武器奇术!$A:$R,15,FALSE)="武器",VLOOKUP($E34,武器奇术!$A:$R,17,FALSE)="鸣金"),$E$3*(1+$E$15),0),AU34))</f>
        <v>0</v>
      </c>
      <c r="AX34" s="93">
        <f>IF(($D$7+IF(VLOOKUP($E34,武器奇术!$A:$R,17,FALSE)="鸣金",$D$15,0)-VLOOKUP($F$7,目标属性!$A:$R,6,FALSE))&gt;0,($D$7+IF(VLOOKUP($E34,武器奇术!$A:$R,17,FALSE)="鸣金",$D$15,0)-VLOOKUP($F$7,目标属性!$A:$R,6,FALSE))/200,($D$7+IF(VLOOKUP($E34,武器奇术!$A:$R,17,FALSE)="鸣金",$D$15,0)-VLOOKUP($F$7,目标属性!$A:$R,6,FALSE))/100)</f>
        <v>-0.24</v>
      </c>
      <c r="AY34" s="100">
        <f t="shared" si="29"/>
        <v>0</v>
      </c>
      <c r="AZ34" s="91">
        <v>1</v>
      </c>
      <c r="BA34" s="92">
        <f>AU34*IF(VLOOKUP($E34,武器奇术!$A:$R,17,FALSE)="鸣金",VLOOKUP($E34,武器奇术!$A:$R,4,FALSE),VLOOKUP($E34,武器奇术!$A:$R,2,FALSE))*(1+AX34)*(1+AY34)*AZ34</f>
        <v>0</v>
      </c>
      <c r="BB34" s="93">
        <f>(1-IF(VLOOKUP($E34,武器奇术!$A:$R,16,FALSE)="陌刀",1,$N34))*(1-$M34)</f>
        <v>0</v>
      </c>
      <c r="BC34" s="92">
        <f>AV34*IF(VLOOKUP($E34,武器奇术!$A:$R,17,FALSE)="鸣金",VLOOKUP($E34,武器奇术!$A:$R,4,FALSE),VLOOKUP($E34,武器奇术!$A:$R,2,FALSE))*(1+AX34)*(1+AY34)*AZ34*(1+$E$16+VLOOKUP($E34,武器奇术!$A:$R,8,FALSE))</f>
        <v>0</v>
      </c>
      <c r="BD34" s="93">
        <f t="shared" si="3"/>
        <v>0.887</v>
      </c>
      <c r="BE34" s="92">
        <f>AW34*IF(VLOOKUP($E34,武器奇术!$A:$R,17,FALSE)="鸣金",VLOOKUP($E34,武器奇术!$A:$R,4,FALSE),VLOOKUP($E34,武器奇术!$A:$R,2,FALSE))*(1+AX34)*(1+AY34)*AZ34*(1+$E$17+VLOOKUP($E34,武器奇术!$A:$R,10,FALSE))</f>
        <v>0</v>
      </c>
      <c r="BF34" s="93">
        <f t="shared" si="4"/>
        <v>0.0986</v>
      </c>
      <c r="BG34" s="92">
        <f>AV34*IF(VLOOKUP($E34,武器奇术!$A:$R,17,FALSE)="鸣金",VLOOKUP($E34,武器奇术!$A:$R,4,FALSE),VLOOKUP($E34,武器奇术!$A:$R,2,FALSE))*(1+AX34)*(1+AY34)*AZ34</f>
        <v>0</v>
      </c>
      <c r="BH34" s="93">
        <f t="shared" si="30"/>
        <v>0.0144</v>
      </c>
      <c r="BI34" s="101">
        <f t="shared" si="31"/>
        <v>0</v>
      </c>
      <c r="BJ34" s="99">
        <f>IF(VLOOKUP($E34,武器奇术!$A:$R,18,FALSE)="极乐",0,$B$9*IF($G$5="撼天",1.05,1)+IF(AND(VLOOKUP($E34,武器奇术!$A:$R,15,FALSE)="武器",VLOOKUP($E34,武器奇术!$A:$R,17,FALSE)="裂石"),$E$3*(1+$E$15),0))</f>
        <v>0</v>
      </c>
      <c r="BK34" s="91">
        <f t="shared" si="32"/>
        <v>0</v>
      </c>
      <c r="BL34" s="91">
        <f>IF(VLOOKUP($E34,武器奇术!$A:$R,18,FALSE)="极乐",0,MAX($C$9*IF($G$5="撼天",1.05,1)+IF(AND(VLOOKUP($E34,武器奇术!$A:$R,15,FALSE)="武器",VLOOKUP($E34,武器奇术!$A:$R,17,FALSE)="裂石"),$E$3*(1+$E$15),0),BJ34))</f>
        <v>0</v>
      </c>
      <c r="BM34" s="93">
        <f>IF(($D$9+IF(VLOOKUP($E34,武器奇术!$A:$R,17,FALSE)="裂石",$D$15,0)-VLOOKUP($F$7,目标属性!$A:$R,6,FALSE))&gt;0,($D$9+IF(VLOOKUP($E34,武器奇术!$A:$R,17,FALSE)="裂石",$D$15,0)-VLOOKUP($F$7,目标属性!$A:$R,6,FALSE))/200,($D$9+IF(VLOOKUP($E34,武器奇术!$A:$R,17,FALSE)="裂石",$D$15,0)-VLOOKUP($F$7,目标属性!$A:$R,6,FALSE))/100)</f>
        <v>-0.24</v>
      </c>
      <c r="BN34" s="100">
        <f t="shared" si="33"/>
        <v>0</v>
      </c>
      <c r="BO34" s="91">
        <v>1</v>
      </c>
      <c r="BP34" s="92">
        <f>BJ34*IF(VLOOKUP($E34,武器奇术!$A:$R,17,FALSE)="裂石",VLOOKUP($E34,武器奇术!$A:$R,4,FALSE),VLOOKUP($E34,武器奇术!$A:$R,2,FALSE))*(1+BM34)*(1+BN34)*BO34</f>
        <v>0</v>
      </c>
      <c r="BQ34" s="93">
        <f>(1-IF(VLOOKUP($E34,武器奇术!$A:$R,16,FALSE)="陌刀",1,$N34))*(1-$M34)</f>
        <v>0</v>
      </c>
      <c r="BR34" s="92">
        <f>BK34*IF(VLOOKUP($E34,武器奇术!$A:$R,17,FALSE)="裂石",VLOOKUP($E34,武器奇术!$A:$R,4,FALSE),VLOOKUP($E34,武器奇术!$A:$R,2,FALSE))*(1+BM34)*(1+BN34)*BO34*(1+$E$16+VLOOKUP($E34,武器奇术!$A:$R,8,FALSE))</f>
        <v>0</v>
      </c>
      <c r="BS34" s="93">
        <f t="shared" si="5"/>
        <v>0.887</v>
      </c>
      <c r="BT34" s="92">
        <f>BL34*IF(VLOOKUP($E34,武器奇术!$A:$R,17,FALSE)="裂石",VLOOKUP($E34,武器奇术!$A:$R,4,FALSE),VLOOKUP($E34,武器奇术!$A:$R,2,FALSE))*(1+BM34)*(1+BN34)*BO34*(1+$E$17+VLOOKUP($E34,武器奇术!$A:$R,10,FALSE))</f>
        <v>0</v>
      </c>
      <c r="BU34" s="93">
        <f t="shared" si="6"/>
        <v>0.0986</v>
      </c>
      <c r="BV34" s="92">
        <f>BK34*IF(VLOOKUP($E34,武器奇术!$A:$R,17,FALSE)="裂石",VLOOKUP($E34,武器奇术!$A:$R,4,FALSE),VLOOKUP($E34,武器奇术!$A:$R,2,FALSE))*(1+BM34)*(1+BN34)*BO34</f>
        <v>0</v>
      </c>
      <c r="BW34" s="93">
        <f t="shared" si="34"/>
        <v>0.0144</v>
      </c>
      <c r="BX34" s="101">
        <f t="shared" si="35"/>
        <v>0</v>
      </c>
      <c r="BY34" s="99">
        <f>IF(VLOOKUP($E34,武器奇术!$A:$R,18,FALSE)="极乐",0,$B$11*IF($G$5="撼天",1.05,1)+IF(AND(VLOOKUP($E34,武器奇术!$A:$R,15,FALSE)="武器",VLOOKUP($E34,武器奇术!$A:$R,17,FALSE)="牵丝"),$E$3*(1+$E$15),0))</f>
        <v>0</v>
      </c>
      <c r="BZ34" s="91">
        <f t="shared" si="36"/>
        <v>0</v>
      </c>
      <c r="CA34" s="91">
        <f>IF(VLOOKUP($E34,武器奇术!$A:$R,18,FALSE)="极乐",0,MAX($C$11*IF($G$5="撼天",1.05,1)+IF(AND(VLOOKUP($E34,武器奇术!$A:$R,15,FALSE)="武器",VLOOKUP($E34,武器奇术!$A:$R,17,FALSE)="牵丝"),$E$3*(1+$E$15),0),BY34))</f>
        <v>0</v>
      </c>
      <c r="CB34" s="93">
        <f>IF(($D$11+IF(VLOOKUP($E34,武器奇术!$A:$R,17,FALSE)="牵丝",$D$15,0)-VLOOKUP($F$7,目标属性!$A:$R,6,FALSE))&gt;0,($D$11+IF(VLOOKUP($E34,武器奇术!$A:$R,17,FALSE)="牵丝",$D$15,0)-VLOOKUP($F$7,目标属性!$A:$R,6,FALSE))/200,($D$11+IF(VLOOKUP($E34,武器奇术!$A:$R,17,FALSE)="牵丝",$D$15,0)-VLOOKUP($F$7,目标属性!$A:$R,6,FALSE))/100)</f>
        <v>-0.24</v>
      </c>
      <c r="CC34" s="100">
        <f t="shared" si="37"/>
        <v>0</v>
      </c>
      <c r="CD34" s="91">
        <v>1</v>
      </c>
      <c r="CE34" s="92">
        <f>BY34*IF(VLOOKUP($E34,武器奇术!$A:$R,17,FALSE)="牵丝",VLOOKUP($E34,武器奇术!$A:$R,4,FALSE),VLOOKUP($E34,武器奇术!$A:$R,2,FALSE))*(1+CB34)*(1+CC34)*CD34</f>
        <v>0</v>
      </c>
      <c r="CF34" s="93">
        <f>(1-IF(VLOOKUP($E34,武器奇术!$A:$R,16,FALSE)="陌刀",1,$N34))*(1-$M34)</f>
        <v>0</v>
      </c>
      <c r="CG34" s="92">
        <f>BZ34*IF(VLOOKUP($E34,武器奇术!$A:$R,17,FALSE)="牵丝",VLOOKUP($E34,武器奇术!$A:$R,4,FALSE),VLOOKUP($E34,武器奇术!$A:$R,2,FALSE))*(1+CB34)*(1+CC34)*CD34*(1+$E$16+VLOOKUP($E34,武器奇术!$A:$R,8,FALSE))</f>
        <v>0</v>
      </c>
      <c r="CH34" s="93">
        <f t="shared" si="7"/>
        <v>0.887</v>
      </c>
      <c r="CI34" s="92">
        <f>CA34*IF(VLOOKUP($E34,武器奇术!$A:$R,17,FALSE)="牵丝",VLOOKUP($E34,武器奇术!$A:$R,4,FALSE),VLOOKUP($E34,武器奇术!$A:$R,2,FALSE))*(1+CB34)*(1+CC34)*CD34*(1+$E$17+VLOOKUP($E34,武器奇术!$A:$R,10,FALSE))</f>
        <v>0</v>
      </c>
      <c r="CJ34" s="93">
        <f t="shared" si="8"/>
        <v>0.0986</v>
      </c>
      <c r="CK34" s="92">
        <f>BZ34*IF(VLOOKUP($E34,武器奇术!$A:$R,17,FALSE)="牵丝",VLOOKUP($E34,武器奇术!$A:$R,4,FALSE),VLOOKUP($E34,武器奇术!$A:$R,2,FALSE))*(1+CB34)*(1+CC34)*CD34</f>
        <v>0</v>
      </c>
      <c r="CL34" s="93">
        <f t="shared" si="38"/>
        <v>0.0144</v>
      </c>
      <c r="CM34" s="101">
        <f t="shared" si="39"/>
        <v>0</v>
      </c>
      <c r="CN34" s="99">
        <f>IF(VLOOKUP($E34,武器奇术!$A:$R,18,FALSE)="极乐",0,$B$13*IF($G$5="撼天",1.05,1)+IF(AND(VLOOKUP($E34,武器奇术!$A:$R,15,FALSE)="武器",VLOOKUP($E34,武器奇术!$A:$R,17,FALSE)="破竹"),$E$3*(1+$E$15),0))</f>
        <v>490.8</v>
      </c>
      <c r="CO34" s="91">
        <f t="shared" si="40"/>
        <v>856.3</v>
      </c>
      <c r="CP34" s="91">
        <f>IF(VLOOKUP($E34,武器奇术!$A:$R,18,FALSE)="极乐",0,MAX($C$13*IF($G$5="撼天",1.05,1)+IF(AND(VLOOKUP($E34,武器奇术!$A:$R,15,FALSE)="武器",VLOOKUP($E34,武器奇术!$A:$R,17,FALSE)="破竹"),$E$3*(1+$E$15),0),CN34))</f>
        <v>1221.8</v>
      </c>
      <c r="CQ34" s="93">
        <f>IF(($D$13+IF(VLOOKUP($E34,武器奇术!$A:$R,17,FALSE)="破竹",$D$15,0)-VLOOKUP($F$7,目标属性!$A:$R,6,FALSE)+IF(VLOOKUP($E34,武器奇术!$A:$V,22,FALSE)=1,4,0)+IF(VLOOKUP($E34,武器奇术!$A:$T,20,FALSE)=1,10,0))&gt;0,($D$13+IF(VLOOKUP($E34,武器奇术!$A:$R,17,FALSE)="破竹",$D$15,0)-VLOOKUP($F$7,目标属性!$A:$R,6,FALSE)+IF(VLOOKUP($E34,武器奇术!$A:$V,22,FALSE)=1,4,0)+IF(VLOOKUP($E34,武器奇术!$A:$T,20,FALSE)=1,10,0))/200,($D$13+IF(VLOOKUP($E34,武器奇术!$A:$R,17,FALSE)="破竹",$D$15,0)-VLOOKUP($F$7,目标属性!$A:$R,6,FALSE)+IF(VLOOKUP($E34,武器奇术!$A:$V,22,FALSE)=1,4,0)+IF(VLOOKUP($E34,武器奇术!$A:$T,20,FALSE)=1,10,0))/100)</f>
        <v>0.028</v>
      </c>
      <c r="CR34" s="100">
        <f t="shared" si="41"/>
        <v>0.148</v>
      </c>
      <c r="CS34" s="91">
        <v>1</v>
      </c>
      <c r="CT34" s="92">
        <f>CN34*IF(VLOOKUP($E34,武器奇术!$A:$R,17,FALSE)="破竹",VLOOKUP($E34,武器奇术!$A:$R,4,FALSE),VLOOKUP($E34,武器奇术!$A:$R,2,FALSE))*(1+CQ34)*(1+CR34)*CS34</f>
        <v>1294.71856347456</v>
      </c>
      <c r="CU34" s="93">
        <f>(1-IF(VLOOKUP($E34,武器奇术!$A:$R,16,FALSE)="陌刀",1,$N34))*(1-$M34)</f>
        <v>0</v>
      </c>
      <c r="CV34" s="92">
        <f>CO34*IF(VLOOKUP($E34,武器奇术!$A:$R,17,FALSE)="破竹",VLOOKUP($E34,武器奇术!$A:$R,4,FALSE),VLOOKUP($E34,武器奇术!$A:$R,2,FALSE))*(1+CQ34)*(1+CR34)*CS34*(1+$E$16+VLOOKUP($E34,武器奇术!$A:$R,8,FALSE))</f>
        <v>4843.07891739324</v>
      </c>
      <c r="CW34" s="93">
        <f t="shared" si="9"/>
        <v>0.887</v>
      </c>
      <c r="CX34" s="92">
        <f>CP34*IF(VLOOKUP($E34,武器奇术!$A:$R,17,FALSE)="破竹",VLOOKUP($E34,武器奇术!$A:$R,4,FALSE),VLOOKUP($E34,武器奇术!$A:$R,2,FALSE))*(1+CQ34)*(1+CR34)*CS34*(1+$E$17+VLOOKUP($E34,武器奇术!$A:$R,10,FALSE))</f>
        <v>4351.15656102658</v>
      </c>
      <c r="CY34" s="93">
        <f t="shared" si="10"/>
        <v>0.0986</v>
      </c>
      <c r="CZ34" s="92">
        <f>CO34*IF(VLOOKUP($E34,武器奇术!$A:$R,17,FALSE)="破竹",VLOOKUP($E34,武器奇术!$A:$R,4,FALSE),VLOOKUP($E34,武器奇术!$A:$R,2,FALSE))*(1+CQ34)*(1+CR34)*CS34</f>
        <v>2258.89874878416</v>
      </c>
      <c r="DA34" s="93">
        <f t="shared" si="42"/>
        <v>0.0144</v>
      </c>
      <c r="DB34" s="101">
        <f t="shared" si="43"/>
        <v>4757.36317862752</v>
      </c>
      <c r="DC34" s="99">
        <f>IF(VLOOKUP($E34,武器奇术!$A:$R,18,FALSE)="极乐",0,$B$15)</f>
        <v>66</v>
      </c>
      <c r="DD34" s="91">
        <f t="shared" si="44"/>
        <v>95.9</v>
      </c>
      <c r="DE34" s="91">
        <f>IF(VLOOKUP($E34,武器奇术!$A:$R,18,FALSE)="极乐",0,$C$15)</f>
        <v>125.8</v>
      </c>
      <c r="DF34" s="93">
        <f>IF((IF(VLOOKUP($E34,武器奇术!$A:$R,17,FALSE)="鸣金",$D$7,0)+IF(VLOOKUP($E34,武器奇术!$A:$R,17,FALSE)="裂石",$D$9,0)+IF(VLOOKUP($E34,武器奇术!$A:$R,17,FALSE)="牵丝",$D$11,0)+IF(VLOOKUP($E34,武器奇术!$A:$R,17,FALSE)="破竹",$D$13,0)+$D$15-VLOOKUP($F$7,目标属性!$A:$R,6,FALSE)+IF(VLOOKUP($E34,武器奇术!$A:$V,22,FALSE)=1,4,0)+IF(VLOOKUP($E34,武器奇术!$A:$T,20,FALSE)=1,10,0))&gt;0,(IF(VLOOKUP($E34,武器奇术!$A:$R,17,FALSE)="鸣金",$D$7,0)+IF(VLOOKUP($E34,武器奇术!$A:$R,17,FALSE)="裂石",$D$9,0)+IF(VLOOKUP($E34,武器奇术!$A:$R,17,FALSE)="牵丝",$D$11,0)+IF(VLOOKUP($E34,武器奇术!$A:$R,17,FALSE)="破竹",$D$13,0)+$D$15-VLOOKUP($F$7,目标属性!$A:$R,6,FALSE)+IF(VLOOKUP($E34,武器奇术!$A:$V,22,FALSE)=1,4,0)+IF(VLOOKUP($E34,武器奇术!$A:$T,20,FALSE)=1,10,0))/200,(IF(VLOOKUP($E34,武器奇术!$A:$R,17,FALSE)="鸣金",$D$7,0)+IF(VLOOKUP($E34,武器奇术!$A:$R,17,FALSE)="裂石",$D$9,0)+IF(VLOOKUP($E34,武器奇术!$A:$R,17,FALSE)="牵丝",$D$11,0)+IF(VLOOKUP($E34,武器奇术!$A:$R,17,FALSE)="破竹",$D$13,0)+$D$15-VLOOKUP($F$7,目标属性!$A:$R,6,FALSE)+IF(VLOOKUP($E34,武器奇术!$A:$V,22,FALSE)=1,4,0)+IF(VLOOKUP($E34,武器奇术!$A:$T,20,FALSE)=1,10,0))/100)</f>
        <v>0.028</v>
      </c>
      <c r="DG34" s="100">
        <f t="shared" si="11"/>
        <v>0.148</v>
      </c>
      <c r="DH34" s="91">
        <v>1</v>
      </c>
      <c r="DI34" s="92">
        <f>DC34*IF(VLOOKUP($E34,武器奇术!$A:$R,17,FALSE)="破竹",VLOOKUP($E34,武器奇术!$A:$R,4,FALSE),VLOOKUP($E34,武器奇术!$A:$R,2,FALSE))*(1+DF34)*(1+DG34)*DH34</f>
        <v>174.1064082912</v>
      </c>
      <c r="DJ34" s="93">
        <f>(1-IF(VLOOKUP($E34,武器奇术!$A:$R,16,FALSE)="陌刀",1,$N34))*(1-$M34)</f>
        <v>0</v>
      </c>
      <c r="DK34" s="92">
        <f>DD34*IF(VLOOKUP($E34,武器奇术!$A:$R,17,FALSE)="破竹",VLOOKUP($E34,武器奇术!$A:$R,4,FALSE),VLOOKUP($E34,武器奇术!$A:$R,2,FALSE))*(1+DF34)*(1+DG34)*DH34*(1+$E$16+VLOOKUP($E34,武器奇术!$A:$R,8,FALSE))</f>
        <v>542.393166154399</v>
      </c>
      <c r="DL34" s="93">
        <f t="shared" si="12"/>
        <v>0.887</v>
      </c>
      <c r="DM34" s="92">
        <f>DE34*IF(VLOOKUP($E34,武器奇术!$A:$R,17,FALSE)="破竹",VLOOKUP($E34,武器奇术!$A:$R,4,FALSE),VLOOKUP($E34,武器奇术!$A:$R,2,FALSE))*(1+DF34)*(1+DG34)*DH34*(1+$E$17+VLOOKUP($E34,武器奇术!$A:$R,10,FALSE))</f>
        <v>448.007444243856</v>
      </c>
      <c r="DN34" s="93">
        <f t="shared" si="13"/>
        <v>0.0986</v>
      </c>
      <c r="DO34" s="92">
        <f>DD34*IF(VLOOKUP($E34,武器奇术!$A:$R,17,FALSE)="破竹",VLOOKUP($E34,武器奇术!$A:$R,4,FALSE),VLOOKUP($E34,武器奇术!$A:$R,2,FALSE))*(1+DF34)*(1+DG34)*DH34</f>
        <v>252.98188719888</v>
      </c>
      <c r="DP34" s="93">
        <f t="shared" si="14"/>
        <v>0.0144</v>
      </c>
      <c r="DQ34" s="101">
        <f t="shared" si="15"/>
        <v>528.91921155706</v>
      </c>
    </row>
    <row r="35" spans="1:121">
      <c r="B35" s="72" t="s">
        <v>110</v>
      </c>
      <c r="C35" s="103">
        <f>C30/C28</f>
        <v>103732.398107439</v>
      </c>
      <c r="D35" s="104"/>
      <c r="E35" s="105" t="s">
        <v>111</v>
      </c>
      <c r="F35" s="106">
        <v>1</v>
      </c>
      <c r="G35" s="116"/>
      <c r="H35" s="92">
        <f>IF(VLOOKUP($E35,武器奇术!$A:$R,18,FALSE)="天工",AE35,(AE35+AT35+BI35+BX35+CM35+DB35+DQ35))*(1+J35)*F35*K35*(1+G35)</f>
        <v>966.697135779228</v>
      </c>
      <c r="I35" s="93">
        <f t="shared" si="16"/>
        <v>0.000124010536681972</v>
      </c>
      <c r="J35" s="108">
        <f>$F$3+VLOOKUP($E35,武器奇术!$A:$R,12,FALSE)+VLOOKUP($E35,武器奇术!$A:$R,14,FALSE)*$G$3+$P35+IF($F$21="√",5%,0)</f>
        <v>0.623</v>
      </c>
      <c r="K35" s="94">
        <f>VLOOKUP($E35,武器奇术!$A:$R,11,FALSE)</f>
        <v>1</v>
      </c>
      <c r="L35" s="109">
        <f>IF(VLOOKUP($E35,武器奇术!$A:$R,15,FALSE)="天工",0%,IF($C$17+VLOOKUP($E35,武器奇术!$A:$R,7,FALSE)&gt;80%,80%,$C$17+VLOOKUP($E35,武器奇术!$A:$R,7,FALSE))+IF($C$19&gt;20%,20%,$C$19))</f>
        <v>0.8135</v>
      </c>
      <c r="M35" s="110">
        <f>IF(VLOOKUP($E35,武器奇术!$A:$R,15,FALSE)="天工",0%,IF($C$18+VLOOKUP($E35,武器奇术!$A:$R,9,FALSE)&gt;40%,40%,$C$18+VLOOKUP($E35,武器奇术!$A:$R,9,FALSE))+IF($C$20&gt;10%,10%,$C$20))</f>
        <v>0.0986</v>
      </c>
      <c r="N35" s="111">
        <f>IF(VLOOKUP($E35,武器奇术!$A:$R,15,FALSE)="天工",100%,MIN($C$16,1))</f>
        <v>1</v>
      </c>
      <c r="O35" s="112" t="str">
        <f>VLOOKUP($E35,武器奇术!$A:$R,16,FALSE)</f>
        <v>绳标</v>
      </c>
      <c r="P35" s="113">
        <f t="shared" si="17"/>
        <v>0.17</v>
      </c>
      <c r="Q35" s="99">
        <f>$B$5*(1+VLOOKUP($E35,武器奇术!$A:$R,5,FALSE)+IF($G$5="飞隼",0.1,0)+IF($G$5="撼天",0.05,0))-$F$9*IF(VLOOKUP($E35,武器奇术!$A:$S,19,FALSE)=1,0.9,1)+IF($I$5="√",160,0)</f>
        <v>2848.3</v>
      </c>
      <c r="R35" s="91">
        <f t="shared" si="18"/>
        <v>2848.3</v>
      </c>
      <c r="S35" s="91">
        <f>MAX($C$5,$B$5)*(1+VLOOKUP($E35,武器奇术!$A:$R,5,FALSE)+IF($G$5="飞隼",0.1,0)+IF($G$5="撼天",0.05,0))-$F$9*IF(VLOOKUP($E35,武器奇术!$A:$S,19,FALSE)=1,0.9,1)+IF($I$5="√",320,0)</f>
        <v>2848.3</v>
      </c>
      <c r="T35" s="93">
        <f>IF(($D$5+VLOOKUP($E35,武器奇术!$A:$R,13,FALSE)+IF($I$3="√",10,0)-VLOOKUP($F$7,目标属性!$A:$R,5,FALSE))&gt;0,($D$5+VLOOKUP($E35,武器奇术!$A:$R,13,FALSE)+IF($I$3="√",10,0)-VLOOKUP($F$7,目标属性!$A:$R,5,FALSE))/200,($D$5+VLOOKUP($E35,武器奇术!$A:$R,13,FALSE)+IF($I$3="√",10,0)-VLOOKUP($F$7,目标属性!$A:$R,5,FALSE))/100)</f>
        <v>0.2675</v>
      </c>
      <c r="U35" s="100">
        <f>$E$5+IF(VLOOKUP($E35,武器奇术!$A:$R,18,FALSE)="鼠鼠",0.24,0)</f>
        <v>0</v>
      </c>
      <c r="V35" s="91">
        <v>1</v>
      </c>
      <c r="W35" s="92">
        <f>Q35*VLOOKUP($E35,武器奇术!$A:$R,2,FALSE)*(1+T35)*(1+U35)*V35</f>
        <v>224.194677525</v>
      </c>
      <c r="X35" s="93">
        <f>(1-IF(VLOOKUP($E35,武器奇术!$A:$R,16,FALSE)="陌刀",1,$N35))*(1-$M35)</f>
        <v>0</v>
      </c>
      <c r="Y35" s="92">
        <f>R35*VLOOKUP($E35,武器奇术!$A:$R,2,FALSE)*(1+T35)*(1+U35)*V35*(1+$E$16+VLOOKUP($E35,武器奇术!$A:$R,8,FALSE))</f>
        <v>368.5760498511</v>
      </c>
      <c r="Z35" s="93">
        <f t="shared" si="19"/>
        <v>0.8135</v>
      </c>
      <c r="AA35" s="92">
        <f>S35*VLOOKUP($E35,武器奇术!$A:$R,2,FALSE)*(1+T35)*(1+U35)*V35*(1+$E$17+VLOOKUP($E35,武器奇术!$A:$R,10,FALSE))</f>
        <v>302.66281465875</v>
      </c>
      <c r="AB35" s="93">
        <f t="shared" si="20"/>
        <v>0.0986</v>
      </c>
      <c r="AC35" s="92">
        <f>R35*VLOOKUP($E35,武器奇术!$A:$R,2,FALSE)*(1+T35)*(1+U35)*V35</f>
        <v>224.194677525</v>
      </c>
      <c r="AD35" s="93">
        <f t="shared" si="21"/>
        <v>0.0879</v>
      </c>
      <c r="AE35" s="101">
        <f t="shared" si="22"/>
        <v>349.38588223367</v>
      </c>
      <c r="AF35" s="102">
        <f>VLOOKUP($E35,武器奇术!$A:$R,3,FALSE)*(1+IF(VLOOKUP($E35,武器奇术!$A:$R,15,FALSE)="武器",$E$15,0))</f>
        <v>22.1</v>
      </c>
      <c r="AG35" s="92">
        <f t="shared" si="23"/>
        <v>22.1</v>
      </c>
      <c r="AH35" s="92">
        <f>VLOOKUP($E35,武器奇术!$A:$R,3,FALSE)*(1+IF(VLOOKUP($E35,武器奇术!$A:$R,15,FALSE)="武器",$E$15,0))</f>
        <v>22.1</v>
      </c>
      <c r="AI35" s="93">
        <f>IF(($D$5+VLOOKUP($E35,武器奇术!$A:$R,13,FALSE)+IF($I$3="√",10,0)-VLOOKUP($F$7,目标属性!$A:$R,5,FALSE))&gt;0,($D$5+VLOOKUP($E35,武器奇术!$A:$R,13,FALSE)+IF($I$3="√",10,0)-VLOOKUP($F$7,目标属性!$A:$R,5,FALSE))/200,($D$5+VLOOKUP($E35,武器奇术!$A:$R,13,FALSE)+IF($I$3="√",10,0)-VLOOKUP($F$7,目标属性!$A:$R,5,FALSE))/100)</f>
        <v>0.2675</v>
      </c>
      <c r="AJ35" s="100">
        <f>$E$5+IF(VLOOKUP($E35,武器奇术!$A:$R,18,FALSE)="鼠鼠",0.24,0)</f>
        <v>0</v>
      </c>
      <c r="AK35" s="91">
        <v>1</v>
      </c>
      <c r="AL35" s="92">
        <f t="shared" si="24"/>
        <v>28.01175</v>
      </c>
      <c r="AM35" s="93">
        <f>(1-IF(VLOOKUP($E35,武器奇术!$A:$R,16,FALSE)="陌刀",1,$N35))*(1-$M35)</f>
        <v>0</v>
      </c>
      <c r="AN35" s="92">
        <f>AG35*(1+AI35)*(1+AJ35)*AK35*(1+$E$16+VLOOKUP($E35,武器奇术!$A:$R,8,FALSE))</f>
        <v>46.051317</v>
      </c>
      <c r="AO35" s="93">
        <f t="shared" si="1"/>
        <v>0.8135</v>
      </c>
      <c r="AP35" s="92">
        <f>AH35*(1+AI35)*(1+AJ35)*AK35*(1+$E$17+VLOOKUP($E35,武器奇术!$A:$R,10,FALSE))</f>
        <v>37.8158625</v>
      </c>
      <c r="AQ35" s="93">
        <f t="shared" si="2"/>
        <v>0.0986</v>
      </c>
      <c r="AR35" s="92">
        <f t="shared" si="25"/>
        <v>28.01175</v>
      </c>
      <c r="AS35" s="93">
        <f t="shared" si="26"/>
        <v>0.0879</v>
      </c>
      <c r="AT35" s="101">
        <f t="shared" si="27"/>
        <v>43.653623247</v>
      </c>
      <c r="AU35" s="99">
        <f>IF(VLOOKUP($E35,武器奇术!$A:$R,18,FALSE)="极乐",0,$B$7*IF($G$5="撼天",1.05,1)+IF(AND(VLOOKUP($E35,武器奇术!$A:$R,15,FALSE)="武器",VLOOKUP($E35,武器奇术!$A:$R,17,FALSE)="鸣金"),$E$3*(1+$E$15),0))</f>
        <v>0</v>
      </c>
      <c r="AV35" s="91">
        <f t="shared" si="28"/>
        <v>0</v>
      </c>
      <c r="AW35" s="91">
        <f>IF(VLOOKUP($E35,武器奇术!$A:$R,18,FALSE)="极乐",0,MAX($C$7*IF($G$5="撼天",1.05,1)+IF(AND(VLOOKUP($E35,武器奇术!$A:$R,15,FALSE)="武器",VLOOKUP($E35,武器奇术!$A:$R,17,FALSE)="鸣金"),$E$3*(1+$E$15),0),AU35))</f>
        <v>0</v>
      </c>
      <c r="AX35" s="93">
        <f>IF(($D$7+IF(VLOOKUP($E35,武器奇术!$A:$R,17,FALSE)="鸣金",$D$15,0)-VLOOKUP($F$7,目标属性!$A:$R,6,FALSE))&gt;0,($D$7+IF(VLOOKUP($E35,武器奇术!$A:$R,17,FALSE)="鸣金",$D$15,0)-VLOOKUP($F$7,目标属性!$A:$R,6,FALSE))/200,($D$7+IF(VLOOKUP($E35,武器奇术!$A:$R,17,FALSE)="鸣金",$D$15,0)-VLOOKUP($F$7,目标属性!$A:$R,6,FALSE))/100)</f>
        <v>-0.24</v>
      </c>
      <c r="AY35" s="100">
        <f t="shared" si="29"/>
        <v>0</v>
      </c>
      <c r="AZ35" s="91">
        <v>1</v>
      </c>
      <c r="BA35" s="92">
        <f>AU35*IF(VLOOKUP($E35,武器奇术!$A:$R,17,FALSE)="鸣金",VLOOKUP($E35,武器奇术!$A:$R,4,FALSE),VLOOKUP($E35,武器奇术!$A:$R,2,FALSE))*(1+AX35)*(1+AY35)*AZ35</f>
        <v>0</v>
      </c>
      <c r="BB35" s="93">
        <f>(1-IF(VLOOKUP($E35,武器奇术!$A:$R,16,FALSE)="陌刀",1,$N35))*(1-$M35)</f>
        <v>0</v>
      </c>
      <c r="BC35" s="92">
        <f>AV35*IF(VLOOKUP($E35,武器奇术!$A:$R,17,FALSE)="鸣金",VLOOKUP($E35,武器奇术!$A:$R,4,FALSE),VLOOKUP($E35,武器奇术!$A:$R,2,FALSE))*(1+AX35)*(1+AY35)*AZ35*(1+$E$16+VLOOKUP($E35,武器奇术!$A:$R,8,FALSE))</f>
        <v>0</v>
      </c>
      <c r="BD35" s="93">
        <f t="shared" si="3"/>
        <v>0.8135</v>
      </c>
      <c r="BE35" s="92">
        <f>AW35*IF(VLOOKUP($E35,武器奇术!$A:$R,17,FALSE)="鸣金",VLOOKUP($E35,武器奇术!$A:$R,4,FALSE),VLOOKUP($E35,武器奇术!$A:$R,2,FALSE))*(1+AX35)*(1+AY35)*AZ35*(1+$E$17+VLOOKUP($E35,武器奇术!$A:$R,10,FALSE))</f>
        <v>0</v>
      </c>
      <c r="BF35" s="93">
        <f t="shared" si="4"/>
        <v>0.0986</v>
      </c>
      <c r="BG35" s="92">
        <f>AV35*IF(VLOOKUP($E35,武器奇术!$A:$R,17,FALSE)="鸣金",VLOOKUP($E35,武器奇术!$A:$R,4,FALSE),VLOOKUP($E35,武器奇术!$A:$R,2,FALSE))*(1+AX35)*(1+AY35)*AZ35</f>
        <v>0</v>
      </c>
      <c r="BH35" s="93">
        <f t="shared" si="30"/>
        <v>0.0879</v>
      </c>
      <c r="BI35" s="101">
        <f t="shared" si="31"/>
        <v>0</v>
      </c>
      <c r="BJ35" s="99">
        <f>IF(VLOOKUP($E35,武器奇术!$A:$R,18,FALSE)="极乐",0,$B$9*IF($G$5="撼天",1.05,1)+IF(AND(VLOOKUP($E35,武器奇术!$A:$R,15,FALSE)="武器",VLOOKUP($E35,武器奇术!$A:$R,17,FALSE)="裂石"),$E$3*(1+$E$15),0))</f>
        <v>0</v>
      </c>
      <c r="BK35" s="91">
        <f t="shared" si="32"/>
        <v>0</v>
      </c>
      <c r="BL35" s="91">
        <f>IF(VLOOKUP($E35,武器奇术!$A:$R,18,FALSE)="极乐",0,MAX($C$9*IF($G$5="撼天",1.05,1)+IF(AND(VLOOKUP($E35,武器奇术!$A:$R,15,FALSE)="武器",VLOOKUP($E35,武器奇术!$A:$R,17,FALSE)="裂石"),$E$3*(1+$E$15),0),BJ35))</f>
        <v>0</v>
      </c>
      <c r="BM35" s="93">
        <f>IF(($D$9+IF(VLOOKUP($E35,武器奇术!$A:$R,17,FALSE)="裂石",$D$15,0)-VLOOKUP($F$7,目标属性!$A:$R,6,FALSE))&gt;0,($D$9+IF(VLOOKUP($E35,武器奇术!$A:$R,17,FALSE)="裂石",$D$15,0)-VLOOKUP($F$7,目标属性!$A:$R,6,FALSE))/200,($D$9+IF(VLOOKUP($E35,武器奇术!$A:$R,17,FALSE)="裂石",$D$15,0)-VLOOKUP($F$7,目标属性!$A:$R,6,FALSE))/100)</f>
        <v>-0.24</v>
      </c>
      <c r="BN35" s="100">
        <f t="shared" si="33"/>
        <v>0</v>
      </c>
      <c r="BO35" s="91">
        <v>1</v>
      </c>
      <c r="BP35" s="92">
        <f>BJ35*IF(VLOOKUP($E35,武器奇术!$A:$R,17,FALSE)="裂石",VLOOKUP($E35,武器奇术!$A:$R,4,FALSE),VLOOKUP($E35,武器奇术!$A:$R,2,FALSE))*(1+BM35)*(1+BN35)*BO35</f>
        <v>0</v>
      </c>
      <c r="BQ35" s="93">
        <f>(1-IF(VLOOKUP($E35,武器奇术!$A:$R,16,FALSE)="陌刀",1,$N35))*(1-$M35)</f>
        <v>0</v>
      </c>
      <c r="BR35" s="92">
        <f>BK35*IF(VLOOKUP($E35,武器奇术!$A:$R,17,FALSE)="裂石",VLOOKUP($E35,武器奇术!$A:$R,4,FALSE),VLOOKUP($E35,武器奇术!$A:$R,2,FALSE))*(1+BM35)*(1+BN35)*BO35*(1+$E$16+VLOOKUP($E35,武器奇术!$A:$R,8,FALSE))</f>
        <v>0</v>
      </c>
      <c r="BS35" s="93">
        <f t="shared" si="5"/>
        <v>0.8135</v>
      </c>
      <c r="BT35" s="92">
        <f>BL35*IF(VLOOKUP($E35,武器奇术!$A:$R,17,FALSE)="裂石",VLOOKUP($E35,武器奇术!$A:$R,4,FALSE),VLOOKUP($E35,武器奇术!$A:$R,2,FALSE))*(1+BM35)*(1+BN35)*BO35*(1+$E$17+VLOOKUP($E35,武器奇术!$A:$R,10,FALSE))</f>
        <v>0</v>
      </c>
      <c r="BU35" s="93">
        <f t="shared" si="6"/>
        <v>0.0986</v>
      </c>
      <c r="BV35" s="92">
        <f>BK35*IF(VLOOKUP($E35,武器奇术!$A:$R,17,FALSE)="裂石",VLOOKUP($E35,武器奇术!$A:$R,4,FALSE),VLOOKUP($E35,武器奇术!$A:$R,2,FALSE))*(1+BM35)*(1+BN35)*BO35</f>
        <v>0</v>
      </c>
      <c r="BW35" s="93">
        <f t="shared" si="34"/>
        <v>0.0879</v>
      </c>
      <c r="BX35" s="101">
        <f t="shared" si="35"/>
        <v>0</v>
      </c>
      <c r="BY35" s="99">
        <f>IF(VLOOKUP($E35,武器奇术!$A:$R,18,FALSE)="极乐",0,$B$11*IF($G$5="撼天",1.05,1)+IF(AND(VLOOKUP($E35,武器奇术!$A:$R,15,FALSE)="武器",VLOOKUP($E35,武器奇术!$A:$R,17,FALSE)="牵丝"),$E$3*(1+$E$15),0))</f>
        <v>0</v>
      </c>
      <c r="BZ35" s="91">
        <f t="shared" si="36"/>
        <v>0</v>
      </c>
      <c r="CA35" s="91">
        <f>IF(VLOOKUP($E35,武器奇术!$A:$R,18,FALSE)="极乐",0,MAX($C$11*IF($G$5="撼天",1.05,1)+IF(AND(VLOOKUP($E35,武器奇术!$A:$R,15,FALSE)="武器",VLOOKUP($E35,武器奇术!$A:$R,17,FALSE)="牵丝"),$E$3*(1+$E$15),0),BY35))</f>
        <v>0</v>
      </c>
      <c r="CB35" s="93">
        <f>IF(($D$11+IF(VLOOKUP($E35,武器奇术!$A:$R,17,FALSE)="牵丝",$D$15,0)-VLOOKUP($F$7,目标属性!$A:$R,6,FALSE))&gt;0,($D$11+IF(VLOOKUP($E35,武器奇术!$A:$R,17,FALSE)="牵丝",$D$15,0)-VLOOKUP($F$7,目标属性!$A:$R,6,FALSE))/200,($D$11+IF(VLOOKUP($E35,武器奇术!$A:$R,17,FALSE)="牵丝",$D$15,0)-VLOOKUP($F$7,目标属性!$A:$R,6,FALSE))/100)</f>
        <v>-0.24</v>
      </c>
      <c r="CC35" s="100">
        <f t="shared" si="37"/>
        <v>0</v>
      </c>
      <c r="CD35" s="91">
        <v>1</v>
      </c>
      <c r="CE35" s="92">
        <f>BY35*IF(VLOOKUP($E35,武器奇术!$A:$R,17,FALSE)="牵丝",VLOOKUP($E35,武器奇术!$A:$R,4,FALSE),VLOOKUP($E35,武器奇术!$A:$R,2,FALSE))*(1+CB35)*(1+CC35)*CD35</f>
        <v>0</v>
      </c>
      <c r="CF35" s="93">
        <f>(1-IF(VLOOKUP($E35,武器奇术!$A:$R,16,FALSE)="陌刀",1,$N35))*(1-$M35)</f>
        <v>0</v>
      </c>
      <c r="CG35" s="92">
        <f>BZ35*IF(VLOOKUP($E35,武器奇术!$A:$R,17,FALSE)="牵丝",VLOOKUP($E35,武器奇术!$A:$R,4,FALSE),VLOOKUP($E35,武器奇术!$A:$R,2,FALSE))*(1+CB35)*(1+CC35)*CD35*(1+$E$16+VLOOKUP($E35,武器奇术!$A:$R,8,FALSE))</f>
        <v>0</v>
      </c>
      <c r="CH35" s="93">
        <f t="shared" si="7"/>
        <v>0.8135</v>
      </c>
      <c r="CI35" s="92">
        <f>CA35*IF(VLOOKUP($E35,武器奇术!$A:$R,17,FALSE)="牵丝",VLOOKUP($E35,武器奇术!$A:$R,4,FALSE),VLOOKUP($E35,武器奇术!$A:$R,2,FALSE))*(1+CB35)*(1+CC35)*CD35*(1+$E$17+VLOOKUP($E35,武器奇术!$A:$R,10,FALSE))</f>
        <v>0</v>
      </c>
      <c r="CJ35" s="93">
        <f t="shared" si="8"/>
        <v>0.0986</v>
      </c>
      <c r="CK35" s="92">
        <f>BZ35*IF(VLOOKUP($E35,武器奇术!$A:$R,17,FALSE)="牵丝",VLOOKUP($E35,武器奇术!$A:$R,4,FALSE),VLOOKUP($E35,武器奇术!$A:$R,2,FALSE))*(1+CB35)*(1+CC35)*CD35</f>
        <v>0</v>
      </c>
      <c r="CL35" s="93">
        <f t="shared" si="38"/>
        <v>0.0879</v>
      </c>
      <c r="CM35" s="101">
        <f t="shared" si="39"/>
        <v>0</v>
      </c>
      <c r="CN35" s="99">
        <f>IF(VLOOKUP($E35,武器奇术!$A:$R,18,FALSE)="极乐",0,$B$13*IF($G$5="撼天",1.05,1)+IF(AND(VLOOKUP($E35,武器奇术!$A:$R,15,FALSE)="武器",VLOOKUP($E35,武器奇术!$A:$R,17,FALSE)="破竹"),$E$3*(1+$E$15),0))</f>
        <v>686.71</v>
      </c>
      <c r="CO35" s="91">
        <f t="shared" si="40"/>
        <v>1052.21</v>
      </c>
      <c r="CP35" s="91">
        <f>IF(VLOOKUP($E35,武器奇术!$A:$R,18,FALSE)="极乐",0,MAX($C$13*IF($G$5="撼天",1.05,1)+IF(AND(VLOOKUP($E35,武器奇术!$A:$R,15,FALSE)="武器",VLOOKUP($E35,武器奇术!$A:$R,17,FALSE)="破竹"),$E$3*(1+$E$15),0),CN35))</f>
        <v>1417.71</v>
      </c>
      <c r="CQ35" s="93">
        <f>IF(($D$13+IF(VLOOKUP($E35,武器奇术!$A:$R,17,FALSE)="破竹",$D$15,0)-VLOOKUP($F$7,目标属性!$A:$R,6,FALSE)+IF(VLOOKUP($E35,武器奇术!$A:$V,22,FALSE)=1,4,0)+IF(VLOOKUP($E35,武器奇术!$A:$T,20,FALSE)=1,10,0))&gt;0,($D$13+IF(VLOOKUP($E35,武器奇术!$A:$R,17,FALSE)="破竹",$D$15,0)-VLOOKUP($F$7,目标属性!$A:$R,6,FALSE)+IF(VLOOKUP($E35,武器奇术!$A:$V,22,FALSE)=1,4,0)+IF(VLOOKUP($E35,武器奇术!$A:$T,20,FALSE)=1,10,0))/200,($D$13+IF(VLOOKUP($E35,武器奇术!$A:$R,17,FALSE)="破竹",$D$15,0)-VLOOKUP($F$7,目标属性!$A:$R,6,FALSE)+IF(VLOOKUP($E35,武器奇术!$A:$V,22,FALSE)=1,4,0)+IF(VLOOKUP($E35,武器奇术!$A:$T,20,FALSE)=1,10,0))/100)</f>
        <v>0.028</v>
      </c>
      <c r="CR35" s="100">
        <f t="shared" si="41"/>
        <v>0.148</v>
      </c>
      <c r="CS35" s="91">
        <v>1</v>
      </c>
      <c r="CT35" s="92">
        <f>CN35*IF(VLOOKUP($E35,武器奇术!$A:$R,17,FALSE)="破竹",VLOOKUP($E35,武器奇术!$A:$R,4,FALSE),VLOOKUP($E35,武器奇术!$A:$R,2,FALSE))*(1+CQ35)*(1+CR35)*CS35</f>
        <v>75.530835157568</v>
      </c>
      <c r="CU35" s="93">
        <f>(1-IF(VLOOKUP($E35,武器奇术!$A:$R,16,FALSE)="陌刀",1,$N35))*(1-$M35)</f>
        <v>0</v>
      </c>
      <c r="CV35" s="92">
        <f>CO35*IF(VLOOKUP($E35,武器奇术!$A:$R,17,FALSE)="破竹",VLOOKUP($E35,武器奇术!$A:$R,4,FALSE),VLOOKUP($E35,武器奇术!$A:$R,2,FALSE))*(1+CQ35)*(1+CR35)*CS35*(1+$E$16+VLOOKUP($E35,武器奇术!$A:$R,8,FALSE))</f>
        <v>190.263356148187</v>
      </c>
      <c r="CW35" s="93">
        <f t="shared" si="9"/>
        <v>0.8135</v>
      </c>
      <c r="CX35" s="92">
        <f>CP35*IF(VLOOKUP($E35,武器奇术!$A:$R,17,FALSE)="破竹",VLOOKUP($E35,武器奇术!$A:$R,4,FALSE),VLOOKUP($E35,武器奇术!$A:$R,2,FALSE))*(1+CQ35)*(1+CR35)*CS35*(1+$E$17+VLOOKUP($E35,武器奇术!$A:$R,10,FALSE))</f>
        <v>210.509687379197</v>
      </c>
      <c r="CY35" s="93">
        <f t="shared" si="10"/>
        <v>0.0986</v>
      </c>
      <c r="CZ35" s="92">
        <f>CO35*IF(VLOOKUP($E35,武器奇术!$A:$R,17,FALSE)="破竹",VLOOKUP($E35,武器奇术!$A:$R,4,FALSE),VLOOKUP($E35,武器奇术!$A:$R,2,FALSE))*(1+CQ35)*(1+CR35)*CS35</f>
        <v>115.731968459968</v>
      </c>
      <c r="DA35" s="93">
        <f t="shared" si="42"/>
        <v>0.0879</v>
      </c>
      <c r="DB35" s="101">
        <f t="shared" si="43"/>
        <v>185.70833542977</v>
      </c>
      <c r="DC35" s="99">
        <f>IF(VLOOKUP($E35,武器奇术!$A:$R,18,FALSE)="极乐",0,$B$15)</f>
        <v>66</v>
      </c>
      <c r="DD35" s="91">
        <f t="shared" si="44"/>
        <v>95.9</v>
      </c>
      <c r="DE35" s="91">
        <f>IF(VLOOKUP($E35,武器奇术!$A:$R,18,FALSE)="极乐",0,$C$15)</f>
        <v>125.8</v>
      </c>
      <c r="DF35" s="93">
        <f>IF((IF(VLOOKUP($E35,武器奇术!$A:$R,17,FALSE)="鸣金",$D$7,0)+IF(VLOOKUP($E35,武器奇术!$A:$R,17,FALSE)="裂石",$D$9,0)+IF(VLOOKUP($E35,武器奇术!$A:$R,17,FALSE)="牵丝",$D$11,0)+IF(VLOOKUP($E35,武器奇术!$A:$R,17,FALSE)="破竹",$D$13,0)+$D$15-VLOOKUP($F$7,目标属性!$A:$R,6,FALSE)+IF(VLOOKUP($E35,武器奇术!$A:$V,22,FALSE)=1,4,0)+IF(VLOOKUP($E35,武器奇术!$A:$T,20,FALSE)=1,10,0))&gt;0,(IF(VLOOKUP($E35,武器奇术!$A:$R,17,FALSE)="鸣金",$D$7,0)+IF(VLOOKUP($E35,武器奇术!$A:$R,17,FALSE)="裂石",$D$9,0)+IF(VLOOKUP($E35,武器奇术!$A:$R,17,FALSE)="牵丝",$D$11,0)+IF(VLOOKUP($E35,武器奇术!$A:$R,17,FALSE)="破竹",$D$13,0)+$D$15-VLOOKUP($F$7,目标属性!$A:$R,6,FALSE)+IF(VLOOKUP($E35,武器奇术!$A:$V,22,FALSE)=1,4,0)+IF(VLOOKUP($E35,武器奇术!$A:$T,20,FALSE)=1,10,0))/200,(IF(VLOOKUP($E35,武器奇术!$A:$R,17,FALSE)="鸣金",$D$7,0)+IF(VLOOKUP($E35,武器奇术!$A:$R,17,FALSE)="裂石",$D$9,0)+IF(VLOOKUP($E35,武器奇术!$A:$R,17,FALSE)="牵丝",$D$11,0)+IF(VLOOKUP($E35,武器奇术!$A:$R,17,FALSE)="破竹",$D$13,0)+$D$15-VLOOKUP($F$7,目标属性!$A:$R,6,FALSE)+IF(VLOOKUP($E35,武器奇术!$A:$V,22,FALSE)=1,4,0)+IF(VLOOKUP($E35,武器奇术!$A:$T,20,FALSE)=1,10,0))/100)</f>
        <v>0.028</v>
      </c>
      <c r="DG35" s="100">
        <f t="shared" si="11"/>
        <v>0.148</v>
      </c>
      <c r="DH35" s="91">
        <v>1</v>
      </c>
      <c r="DI35" s="92">
        <f>DC35*IF(VLOOKUP($E35,武器奇术!$A:$R,17,FALSE)="破竹",VLOOKUP($E35,武器奇术!$A:$R,4,FALSE),VLOOKUP($E35,武器奇术!$A:$R,2,FALSE))*(1+DF35)*(1+DG35)*DH35</f>
        <v>7.2593017728</v>
      </c>
      <c r="DJ35" s="93">
        <f>(1-IF(VLOOKUP($E35,武器奇术!$A:$R,16,FALSE)="陌刀",1,$N35))*(1-$M35)</f>
        <v>0</v>
      </c>
      <c r="DK35" s="92">
        <f>DD35*IF(VLOOKUP($E35,武器奇术!$A:$R,17,FALSE)="破竹",VLOOKUP($E35,武器奇术!$A:$R,4,FALSE),VLOOKUP($E35,武器奇术!$A:$R,2,FALSE))*(1+DF35)*(1+DG35)*DH35*(1+$E$16+VLOOKUP($E35,武器奇术!$A:$R,8,FALSE))</f>
        <v>17.3408880875597</v>
      </c>
      <c r="DL35" s="93">
        <f t="shared" si="12"/>
        <v>0.8135</v>
      </c>
      <c r="DM35" s="92">
        <f>DE35*IF(VLOOKUP($E35,武器奇术!$A:$R,17,FALSE)="破竹",VLOOKUP($E35,武器奇术!$A:$R,4,FALSE),VLOOKUP($E35,武器奇术!$A:$R,2,FALSE))*(1+DF35)*(1+DG35)*DH35*(1+$E$17+VLOOKUP($E35,武器奇术!$A:$R,10,FALSE))</f>
        <v>18.679503334464</v>
      </c>
      <c r="DN35" s="93">
        <f t="shared" si="13"/>
        <v>0.0986</v>
      </c>
      <c r="DO35" s="92">
        <f>DD35*IF(VLOOKUP($E35,武器奇术!$A:$R,17,FALSE)="破竹",VLOOKUP($E35,武器奇术!$A:$R,4,FALSE),VLOOKUP($E35,武器奇术!$A:$R,2,FALSE))*(1+DF35)*(1+DG35)*DH35</f>
        <v>10.54798545472</v>
      </c>
      <c r="DP35" s="93">
        <f t="shared" si="14"/>
        <v>0.0879</v>
      </c>
      <c r="DQ35" s="101">
        <f t="shared" si="15"/>
        <v>16.8757794094779</v>
      </c>
    </row>
    <row r="36" spans="1:121">
      <c r="B36" s="114"/>
      <c r="C36" s="115"/>
      <c r="D36" s="119"/>
      <c r="E36" s="105" t="s">
        <v>112</v>
      </c>
      <c r="F36" s="106">
        <v>1</v>
      </c>
      <c r="G36" s="107">
        <f>$E$23</f>
        <v>0.32</v>
      </c>
      <c r="H36" s="92">
        <f>IF(VLOOKUP($E36,武器奇术!$A:$R,18,FALSE)="天工",AE36,(AE36+AT36+BI36+BX36+CM36+DB36+DQ36))*(1+J36)*F36*K36*(1+G36)</f>
        <v>11392.0647003147</v>
      </c>
      <c r="I36" s="93">
        <f t="shared" si="16"/>
        <v>0.0014614050307111</v>
      </c>
      <c r="J36" s="108">
        <f>$F$3+VLOOKUP($E36,武器奇术!$A:$R,12,FALSE)+VLOOKUP($E36,武器奇术!$A:$R,14,FALSE)*$G$3+$P36+IF($F$21="√",5%,0)</f>
        <v>1.543</v>
      </c>
      <c r="K36" s="94">
        <f>VLOOKUP($E36,武器奇术!$A:$R,11,FALSE)</f>
        <v>1</v>
      </c>
      <c r="L36" s="109">
        <f>IF(VLOOKUP($E36,武器奇术!$A:$R,15,FALSE)="天工",0%,IF($C$17+VLOOKUP($E36,武器奇术!$A:$R,7,FALSE)&gt;80%,80%,$C$17+VLOOKUP($E36,武器奇术!$A:$R,7,FALSE))+IF($C$19&gt;20%,20%,$C$19))</f>
        <v>0.8135</v>
      </c>
      <c r="M36" s="110">
        <f>IF(VLOOKUP($E36,武器奇术!$A:$R,15,FALSE)="天工",0%,IF($C$18+VLOOKUP($E36,武器奇术!$A:$R,9,FALSE)&gt;40%,40%,$C$18+VLOOKUP($E36,武器奇术!$A:$R,9,FALSE))+IF($C$20&gt;10%,10%,$C$20))</f>
        <v>0.0986</v>
      </c>
      <c r="N36" s="111">
        <f>IF(VLOOKUP($E36,武器奇术!$A:$R,15,FALSE)="天工",100%,MIN($C$16,1))</f>
        <v>1</v>
      </c>
      <c r="O36" s="112" t="str">
        <f>VLOOKUP($E36,武器奇术!$A:$R,16,FALSE)</f>
        <v>绳标</v>
      </c>
      <c r="P36" s="113">
        <f t="shared" si="17"/>
        <v>0.17</v>
      </c>
      <c r="Q36" s="99">
        <f>$B$5*(1+VLOOKUP($E36,武器奇术!$A:$R,5,FALSE)+IF($G$5="飞隼",0.1,0)+IF($G$5="撼天",0.05,0))-$F$9*IF(VLOOKUP($E36,武器奇术!$A:$S,19,FALSE)=1,0.9,1)+IF($I$5="√",160,0)</f>
        <v>2848.3</v>
      </c>
      <c r="R36" s="91">
        <f t="shared" si="18"/>
        <v>2848.3</v>
      </c>
      <c r="S36" s="91">
        <f>MAX($C$5,$B$5)*(1+VLOOKUP($E36,武器奇术!$A:$R,5,FALSE)+IF($G$5="飞隼",0.1,0)+IF($G$5="撼天",0.05,0))-$F$9*IF(VLOOKUP($E36,武器奇术!$A:$S,19,FALSE)=1,0.9,1)+IF($I$5="√",320,0)</f>
        <v>2848.3</v>
      </c>
      <c r="T36" s="93">
        <f>IF(($D$5+VLOOKUP($E36,武器奇术!$A:$R,13,FALSE)+IF($I$3="√",10,0)-VLOOKUP($F$7,目标属性!$A:$R,5,FALSE))&gt;0,($D$5+VLOOKUP($E36,武器奇术!$A:$R,13,FALSE)+IF($I$3="√",10,0)-VLOOKUP($F$7,目标属性!$A:$R,5,FALSE))/200,($D$5+VLOOKUP($E36,武器奇术!$A:$R,13,FALSE)+IF($I$3="√",10,0)-VLOOKUP($F$7,目标属性!$A:$R,5,FALSE))/100)</f>
        <v>0.2675</v>
      </c>
      <c r="U36" s="100">
        <f>$E$5+IF(VLOOKUP($E36,武器奇术!$A:$R,18,FALSE)="鼠鼠",0.24,0)</f>
        <v>0.24</v>
      </c>
      <c r="V36" s="91">
        <v>1</v>
      </c>
      <c r="W36" s="92">
        <f>Q36*VLOOKUP($E36,武器奇术!$A:$R,2,FALSE)*(1+T36)*(1+U36)*V36</f>
        <v>1566.8355885</v>
      </c>
      <c r="X36" s="93">
        <f>(1-IF(VLOOKUP($E36,武器奇术!$A:$R,16,FALSE)="陌刀",1,$N36))*(1-$M36)</f>
        <v>0</v>
      </c>
      <c r="Y36" s="92">
        <f>R36*VLOOKUP($E36,武器奇术!$A:$R,2,FALSE)*(1+T36)*(1+U36)*V36*(1+$E$16+VLOOKUP($E36,武器奇术!$A:$R,8,FALSE))</f>
        <v>2575.877707494</v>
      </c>
      <c r="Z36" s="93">
        <f t="shared" si="19"/>
        <v>0.8135</v>
      </c>
      <c r="AA36" s="92">
        <f>S36*VLOOKUP($E36,武器奇术!$A:$R,2,FALSE)*(1+T36)*(1+U36)*V36*(1+$E$17+VLOOKUP($E36,武器奇术!$A:$R,10,FALSE))</f>
        <v>2115.228044475</v>
      </c>
      <c r="AB36" s="93">
        <f t="shared" si="20"/>
        <v>0.0986</v>
      </c>
      <c r="AC36" s="92">
        <f>R36*VLOOKUP($E36,武器奇术!$A:$R,2,FALSE)*(1+T36)*(1+U36)*V36</f>
        <v>1566.8355885</v>
      </c>
      <c r="AD36" s="93">
        <f t="shared" si="21"/>
        <v>0.0879</v>
      </c>
      <c r="AE36" s="101">
        <f t="shared" si="22"/>
        <v>2441.76284846075</v>
      </c>
      <c r="AF36" s="102">
        <f>VLOOKUP($E36,武器奇术!$A:$R,3,FALSE)*(1+IF(VLOOKUP($E36,武器奇术!$A:$R,15,FALSE)="武器",$E$15,0))</f>
        <v>0</v>
      </c>
      <c r="AG36" s="92">
        <f t="shared" si="23"/>
        <v>0</v>
      </c>
      <c r="AH36" s="92">
        <f>VLOOKUP($E36,武器奇术!$A:$R,3,FALSE)*(1+IF(VLOOKUP($E36,武器奇术!$A:$R,15,FALSE)="武器",$E$15,0))</f>
        <v>0</v>
      </c>
      <c r="AI36" s="93">
        <f>IF(($D$5+VLOOKUP($E36,武器奇术!$A:$R,13,FALSE)+IF($I$3="√",10,0)-VLOOKUP($F$7,目标属性!$A:$R,5,FALSE))&gt;0,($D$5+VLOOKUP($E36,武器奇术!$A:$R,13,FALSE)+IF($I$3="√",10,0)-VLOOKUP($F$7,目标属性!$A:$R,5,FALSE))/200,($D$5+VLOOKUP($E36,武器奇术!$A:$R,13,FALSE)+IF($I$3="√",10,0)-VLOOKUP($F$7,目标属性!$A:$R,5,FALSE))/100)</f>
        <v>0.2675</v>
      </c>
      <c r="AJ36" s="100">
        <f>$E$5+IF(VLOOKUP($E36,武器奇术!$A:$R,18,FALSE)="鼠鼠",0.24,0)</f>
        <v>0.24</v>
      </c>
      <c r="AK36" s="91">
        <v>1</v>
      </c>
      <c r="AL36" s="92">
        <f t="shared" si="24"/>
        <v>0</v>
      </c>
      <c r="AM36" s="93">
        <f>(1-IF(VLOOKUP($E36,武器奇术!$A:$R,16,FALSE)="陌刀",1,$N36))*(1-$M36)</f>
        <v>0</v>
      </c>
      <c r="AN36" s="92">
        <f>AG36*(1+AI36)*(1+AJ36)*AK36*(1+$E$16+VLOOKUP($E36,武器奇术!$A:$R,8,FALSE))</f>
        <v>0</v>
      </c>
      <c r="AO36" s="93">
        <f t="shared" si="1"/>
        <v>0.8135</v>
      </c>
      <c r="AP36" s="92">
        <f>AH36*(1+AI36)*(1+AJ36)*AK36*(1+$E$17+VLOOKUP($E36,武器奇术!$A:$R,10,FALSE))</f>
        <v>0</v>
      </c>
      <c r="AQ36" s="93">
        <f t="shared" si="2"/>
        <v>0.0986</v>
      </c>
      <c r="AR36" s="92">
        <f t="shared" si="25"/>
        <v>0</v>
      </c>
      <c r="AS36" s="93">
        <f t="shared" si="26"/>
        <v>0.0879</v>
      </c>
      <c r="AT36" s="101">
        <f t="shared" si="27"/>
        <v>0</v>
      </c>
      <c r="AU36" s="99">
        <f>IF(VLOOKUP($E36,武器奇术!$A:$R,18,FALSE)="极乐",0,$B$7*IF($G$5="撼天",1.05,1)+IF(AND(VLOOKUP($E36,武器奇术!$A:$R,15,FALSE)="武器",VLOOKUP($E36,武器奇术!$A:$R,17,FALSE)="鸣金"),$E$3*(1+$E$15),0))</f>
        <v>0</v>
      </c>
      <c r="AV36" s="91">
        <f t="shared" si="28"/>
        <v>0</v>
      </c>
      <c r="AW36" s="91">
        <f>IF(VLOOKUP($E36,武器奇术!$A:$R,18,FALSE)="极乐",0,MAX($C$7*IF($G$5="撼天",1.05,1)+IF(AND(VLOOKUP($E36,武器奇术!$A:$R,15,FALSE)="武器",VLOOKUP($E36,武器奇术!$A:$R,17,FALSE)="鸣金"),$E$3*(1+$E$15),0),AU36))</f>
        <v>0</v>
      </c>
      <c r="AX36" s="93">
        <f>IF(($D$7+IF(VLOOKUP($E36,武器奇术!$A:$R,17,FALSE)="鸣金",$D$15,0)-VLOOKUP($F$7,目标属性!$A:$R,6,FALSE))&gt;0,($D$7+IF(VLOOKUP($E36,武器奇术!$A:$R,17,FALSE)="鸣金",$D$15,0)-VLOOKUP($F$7,目标属性!$A:$R,6,FALSE))/200,($D$7+IF(VLOOKUP($E36,武器奇术!$A:$R,17,FALSE)="鸣金",$D$15,0)-VLOOKUP($F$7,目标属性!$A:$R,6,FALSE))/100)</f>
        <v>-0.24</v>
      </c>
      <c r="AY36" s="100">
        <f t="shared" si="29"/>
        <v>0</v>
      </c>
      <c r="AZ36" s="91">
        <v>1</v>
      </c>
      <c r="BA36" s="92">
        <f>AU36*IF(VLOOKUP($E36,武器奇术!$A:$R,17,FALSE)="鸣金",VLOOKUP($E36,武器奇术!$A:$R,4,FALSE),VLOOKUP($E36,武器奇术!$A:$R,2,FALSE))*(1+AX36)*(1+AY36)*AZ36</f>
        <v>0</v>
      </c>
      <c r="BB36" s="93">
        <f>(1-IF(VLOOKUP($E36,武器奇术!$A:$R,16,FALSE)="陌刀",1,$N36))*(1-$M36)</f>
        <v>0</v>
      </c>
      <c r="BC36" s="92">
        <f>AV36*IF(VLOOKUP($E36,武器奇术!$A:$R,17,FALSE)="鸣金",VLOOKUP($E36,武器奇术!$A:$R,4,FALSE),VLOOKUP($E36,武器奇术!$A:$R,2,FALSE))*(1+AX36)*(1+AY36)*AZ36*(1+$E$16+VLOOKUP($E36,武器奇术!$A:$R,8,FALSE))</f>
        <v>0</v>
      </c>
      <c r="BD36" s="93">
        <f t="shared" si="3"/>
        <v>0.8135</v>
      </c>
      <c r="BE36" s="92">
        <f>AW36*IF(VLOOKUP($E36,武器奇术!$A:$R,17,FALSE)="鸣金",VLOOKUP($E36,武器奇术!$A:$R,4,FALSE),VLOOKUP($E36,武器奇术!$A:$R,2,FALSE))*(1+AX36)*(1+AY36)*AZ36*(1+$E$17+VLOOKUP($E36,武器奇术!$A:$R,10,FALSE))</f>
        <v>0</v>
      </c>
      <c r="BF36" s="93">
        <f t="shared" si="4"/>
        <v>0.0986</v>
      </c>
      <c r="BG36" s="92">
        <f>AV36*IF(VLOOKUP($E36,武器奇术!$A:$R,17,FALSE)="鸣金",VLOOKUP($E36,武器奇术!$A:$R,4,FALSE),VLOOKUP($E36,武器奇术!$A:$R,2,FALSE))*(1+AX36)*(1+AY36)*AZ36</f>
        <v>0</v>
      </c>
      <c r="BH36" s="93">
        <f t="shared" si="30"/>
        <v>0.0879</v>
      </c>
      <c r="BI36" s="101">
        <f t="shared" si="31"/>
        <v>0</v>
      </c>
      <c r="BJ36" s="99">
        <f>IF(VLOOKUP($E36,武器奇术!$A:$R,18,FALSE)="极乐",0,$B$9*IF($G$5="撼天",1.05,1)+IF(AND(VLOOKUP($E36,武器奇术!$A:$R,15,FALSE)="武器",VLOOKUP($E36,武器奇术!$A:$R,17,FALSE)="裂石"),$E$3*(1+$E$15),0))</f>
        <v>0</v>
      </c>
      <c r="BK36" s="91">
        <f t="shared" si="32"/>
        <v>0</v>
      </c>
      <c r="BL36" s="91">
        <f>IF(VLOOKUP($E36,武器奇术!$A:$R,18,FALSE)="极乐",0,MAX($C$9*IF($G$5="撼天",1.05,1)+IF(AND(VLOOKUP($E36,武器奇术!$A:$R,15,FALSE)="武器",VLOOKUP($E36,武器奇术!$A:$R,17,FALSE)="裂石"),$E$3*(1+$E$15),0),BJ36))</f>
        <v>0</v>
      </c>
      <c r="BM36" s="93">
        <f>IF(($D$9+IF(VLOOKUP($E36,武器奇术!$A:$R,17,FALSE)="裂石",$D$15,0)-VLOOKUP($F$7,目标属性!$A:$R,6,FALSE))&gt;0,($D$9+IF(VLOOKUP($E36,武器奇术!$A:$R,17,FALSE)="裂石",$D$15,0)-VLOOKUP($F$7,目标属性!$A:$R,6,FALSE))/200,($D$9+IF(VLOOKUP($E36,武器奇术!$A:$R,17,FALSE)="裂石",$D$15,0)-VLOOKUP($F$7,目标属性!$A:$R,6,FALSE))/100)</f>
        <v>-0.24</v>
      </c>
      <c r="BN36" s="100">
        <f t="shared" si="33"/>
        <v>0</v>
      </c>
      <c r="BO36" s="91">
        <v>1</v>
      </c>
      <c r="BP36" s="92">
        <f>BJ36*IF(VLOOKUP($E36,武器奇术!$A:$R,17,FALSE)="裂石",VLOOKUP($E36,武器奇术!$A:$R,4,FALSE),VLOOKUP($E36,武器奇术!$A:$R,2,FALSE))*(1+BM36)*(1+BN36)*BO36</f>
        <v>0</v>
      </c>
      <c r="BQ36" s="93">
        <f>(1-IF(VLOOKUP($E36,武器奇术!$A:$R,16,FALSE)="陌刀",1,$N36))*(1-$M36)</f>
        <v>0</v>
      </c>
      <c r="BR36" s="92">
        <f>BK36*IF(VLOOKUP($E36,武器奇术!$A:$R,17,FALSE)="裂石",VLOOKUP($E36,武器奇术!$A:$R,4,FALSE),VLOOKUP($E36,武器奇术!$A:$R,2,FALSE))*(1+BM36)*(1+BN36)*BO36*(1+$E$16+VLOOKUP($E36,武器奇术!$A:$R,8,FALSE))</f>
        <v>0</v>
      </c>
      <c r="BS36" s="93">
        <f t="shared" si="5"/>
        <v>0.8135</v>
      </c>
      <c r="BT36" s="92">
        <f>BL36*IF(VLOOKUP($E36,武器奇术!$A:$R,17,FALSE)="裂石",VLOOKUP($E36,武器奇术!$A:$R,4,FALSE),VLOOKUP($E36,武器奇术!$A:$R,2,FALSE))*(1+BM36)*(1+BN36)*BO36*(1+$E$17+VLOOKUP($E36,武器奇术!$A:$R,10,FALSE))</f>
        <v>0</v>
      </c>
      <c r="BU36" s="93">
        <f t="shared" si="6"/>
        <v>0.0986</v>
      </c>
      <c r="BV36" s="92">
        <f>BK36*IF(VLOOKUP($E36,武器奇术!$A:$R,17,FALSE)="裂石",VLOOKUP($E36,武器奇术!$A:$R,4,FALSE),VLOOKUP($E36,武器奇术!$A:$R,2,FALSE))*(1+BM36)*(1+BN36)*BO36</f>
        <v>0</v>
      </c>
      <c r="BW36" s="93">
        <f t="shared" si="34"/>
        <v>0.0879</v>
      </c>
      <c r="BX36" s="101">
        <f t="shared" si="35"/>
        <v>0</v>
      </c>
      <c r="BY36" s="99">
        <f>IF(VLOOKUP($E36,武器奇术!$A:$R,18,FALSE)="极乐",0,$B$11*IF($G$5="撼天",1.05,1)+IF(AND(VLOOKUP($E36,武器奇术!$A:$R,15,FALSE)="武器",VLOOKUP($E36,武器奇术!$A:$R,17,FALSE)="牵丝"),$E$3*(1+$E$15),0))</f>
        <v>0</v>
      </c>
      <c r="BZ36" s="91">
        <f t="shared" si="36"/>
        <v>0</v>
      </c>
      <c r="CA36" s="91">
        <f>IF(VLOOKUP($E36,武器奇术!$A:$R,18,FALSE)="极乐",0,MAX($C$11*IF($G$5="撼天",1.05,1)+IF(AND(VLOOKUP($E36,武器奇术!$A:$R,15,FALSE)="武器",VLOOKUP($E36,武器奇术!$A:$R,17,FALSE)="牵丝"),$E$3*(1+$E$15),0),BY36))</f>
        <v>0</v>
      </c>
      <c r="CB36" s="93">
        <f>IF(($D$11+IF(VLOOKUP($E36,武器奇术!$A:$R,17,FALSE)="牵丝",$D$15,0)-VLOOKUP($F$7,目标属性!$A:$R,6,FALSE))&gt;0,($D$11+IF(VLOOKUP($E36,武器奇术!$A:$R,17,FALSE)="牵丝",$D$15,0)-VLOOKUP($F$7,目标属性!$A:$R,6,FALSE))/200,($D$11+IF(VLOOKUP($E36,武器奇术!$A:$R,17,FALSE)="牵丝",$D$15,0)-VLOOKUP($F$7,目标属性!$A:$R,6,FALSE))/100)</f>
        <v>-0.24</v>
      </c>
      <c r="CC36" s="100">
        <f t="shared" si="37"/>
        <v>0</v>
      </c>
      <c r="CD36" s="91">
        <v>1</v>
      </c>
      <c r="CE36" s="92">
        <f>BY36*IF(VLOOKUP($E36,武器奇术!$A:$R,17,FALSE)="牵丝",VLOOKUP($E36,武器奇术!$A:$R,4,FALSE),VLOOKUP($E36,武器奇术!$A:$R,2,FALSE))*(1+CB36)*(1+CC36)*CD36</f>
        <v>0</v>
      </c>
      <c r="CF36" s="93">
        <f>(1-IF(VLOOKUP($E36,武器奇术!$A:$R,16,FALSE)="陌刀",1,$N36))*(1-$M36)</f>
        <v>0</v>
      </c>
      <c r="CG36" s="92">
        <f>BZ36*IF(VLOOKUP($E36,武器奇术!$A:$R,17,FALSE)="牵丝",VLOOKUP($E36,武器奇术!$A:$R,4,FALSE),VLOOKUP($E36,武器奇术!$A:$R,2,FALSE))*(1+CB36)*(1+CC36)*CD36*(1+$E$16+VLOOKUP($E36,武器奇术!$A:$R,8,FALSE))</f>
        <v>0</v>
      </c>
      <c r="CH36" s="93">
        <f t="shared" si="7"/>
        <v>0.8135</v>
      </c>
      <c r="CI36" s="92">
        <f>CA36*IF(VLOOKUP($E36,武器奇术!$A:$R,17,FALSE)="牵丝",VLOOKUP($E36,武器奇术!$A:$R,4,FALSE),VLOOKUP($E36,武器奇术!$A:$R,2,FALSE))*(1+CB36)*(1+CC36)*CD36*(1+$E$17+VLOOKUP($E36,武器奇术!$A:$R,10,FALSE))</f>
        <v>0</v>
      </c>
      <c r="CJ36" s="93">
        <f t="shared" si="8"/>
        <v>0.0986</v>
      </c>
      <c r="CK36" s="92">
        <f>BZ36*IF(VLOOKUP($E36,武器奇术!$A:$R,17,FALSE)="牵丝",VLOOKUP($E36,武器奇术!$A:$R,4,FALSE),VLOOKUP($E36,武器奇术!$A:$R,2,FALSE))*(1+CB36)*(1+CC36)*CD36</f>
        <v>0</v>
      </c>
      <c r="CL36" s="93">
        <f t="shared" si="38"/>
        <v>0.0879</v>
      </c>
      <c r="CM36" s="101">
        <f t="shared" si="39"/>
        <v>0</v>
      </c>
      <c r="CN36" s="99">
        <f>IF(VLOOKUP($E36,武器奇术!$A:$R,18,FALSE)="极乐",0,$B$13*IF($G$5="撼天",1.05,1)+IF(AND(VLOOKUP($E36,武器奇术!$A:$R,15,FALSE)="武器",VLOOKUP($E36,武器奇术!$A:$R,17,FALSE)="破竹"),$E$3*(1+$E$15),0))</f>
        <v>490.8</v>
      </c>
      <c r="CO36" s="91">
        <f t="shared" si="40"/>
        <v>856.3</v>
      </c>
      <c r="CP36" s="91">
        <f>IF(VLOOKUP($E36,武器奇术!$A:$R,18,FALSE)="极乐",0,MAX($C$13*IF($G$5="撼天",1.05,1)+IF(AND(VLOOKUP($E36,武器奇术!$A:$R,15,FALSE)="武器",VLOOKUP($E36,武器奇术!$A:$R,17,FALSE)="破竹"),$E$3*(1+$E$15),0),CN36))</f>
        <v>1221.8</v>
      </c>
      <c r="CQ36" s="93">
        <f>IF(($D$13+IF(VLOOKUP($E36,武器奇术!$A:$R,17,FALSE)="破竹",$D$15,0)-VLOOKUP($F$7,目标属性!$A:$R,6,FALSE)+IF(VLOOKUP($E36,武器奇术!$A:$V,22,FALSE)=1,4,0)+IF(VLOOKUP($E36,武器奇术!$A:$T,20,FALSE)=1,10,0))&gt;0,($D$13+IF(VLOOKUP($E36,武器奇术!$A:$R,17,FALSE)="破竹",$D$15,0)-VLOOKUP($F$7,目标属性!$A:$R,6,FALSE)+IF(VLOOKUP($E36,武器奇术!$A:$V,22,FALSE)=1,4,0)+IF(VLOOKUP($E36,武器奇术!$A:$T,20,FALSE)=1,10,0))/200,($D$13+IF(VLOOKUP($E36,武器奇术!$A:$R,17,FALSE)="破竹",$D$15,0)-VLOOKUP($F$7,目标属性!$A:$R,6,FALSE)+IF(VLOOKUP($E36,武器奇术!$A:$V,22,FALSE)=1,4,0)+IF(VLOOKUP($E36,武器奇术!$A:$T,20,FALSE)=1,10,0))/100)</f>
        <v>0.028</v>
      </c>
      <c r="CR36" s="100">
        <f t="shared" si="41"/>
        <v>0.148</v>
      </c>
      <c r="CS36" s="91">
        <v>1</v>
      </c>
      <c r="CT36" s="92">
        <f>CN36*IF(VLOOKUP($E36,武器奇术!$A:$R,17,FALSE)="破竹",VLOOKUP($E36,武器奇术!$A:$R,4,FALSE),VLOOKUP($E36,武器奇术!$A:$R,2,FALSE))*(1+CQ36)*(1+CR36)*CS36</f>
        <v>304.08770448</v>
      </c>
      <c r="CU36" s="93">
        <f>(1-IF(VLOOKUP($E36,武器奇术!$A:$R,16,FALSE)="陌刀",1,$N36))*(1-$M36)</f>
        <v>0</v>
      </c>
      <c r="CV36" s="92">
        <f>CO36*IF(VLOOKUP($E36,武器奇术!$A:$R,17,FALSE)="破竹",VLOOKUP($E36,武器奇术!$A:$R,4,FALSE),VLOOKUP($E36,武器奇术!$A:$R,2,FALSE))*(1+CQ36)*(1+CR36)*CS36*(1+$E$16+VLOOKUP($E36,武器奇术!$A:$R,8,FALSE))</f>
        <v>872.21201184432</v>
      </c>
      <c r="CW36" s="93">
        <f t="shared" si="9"/>
        <v>0.8135</v>
      </c>
      <c r="CX36" s="92">
        <f>CP36*IF(VLOOKUP($E36,武器奇术!$A:$R,17,FALSE)="破竹",VLOOKUP($E36,武器奇术!$A:$R,4,FALSE),VLOOKUP($E36,武器奇术!$A:$R,2,FALSE))*(1+CQ36)*(1+CR36)*CS36*(1+$E$17+VLOOKUP($E36,武器奇术!$A:$R,10,FALSE))</f>
        <v>1021.946581908</v>
      </c>
      <c r="CY36" s="93">
        <f t="shared" si="10"/>
        <v>0.0986</v>
      </c>
      <c r="CZ36" s="92">
        <f>CO36*IF(VLOOKUP($E36,武器奇术!$A:$R,17,FALSE)="破竹",VLOOKUP($E36,武器奇术!$A:$R,4,FALSE),VLOOKUP($E36,武器奇术!$A:$R,2,FALSE))*(1+CQ36)*(1+CR36)*CS36</f>
        <v>530.54258628</v>
      </c>
      <c r="DA36" s="93">
        <f t="shared" si="42"/>
        <v>0.0879</v>
      </c>
      <c r="DB36" s="101">
        <f t="shared" si="43"/>
        <v>856.943097945495</v>
      </c>
      <c r="DC36" s="99">
        <f>IF(VLOOKUP($E36,武器奇术!$A:$R,18,FALSE)="极乐",0,$B$15)</f>
        <v>66</v>
      </c>
      <c r="DD36" s="91">
        <f t="shared" si="44"/>
        <v>95.9</v>
      </c>
      <c r="DE36" s="91">
        <f>IF(VLOOKUP($E36,武器奇术!$A:$R,18,FALSE)="极乐",0,$C$15)</f>
        <v>125.8</v>
      </c>
      <c r="DF36" s="93">
        <f>IF((IF(VLOOKUP($E36,武器奇术!$A:$R,17,FALSE)="鸣金",$D$7,0)+IF(VLOOKUP($E36,武器奇术!$A:$R,17,FALSE)="裂石",$D$9,0)+IF(VLOOKUP($E36,武器奇术!$A:$R,17,FALSE)="牵丝",$D$11,0)+IF(VLOOKUP($E36,武器奇术!$A:$R,17,FALSE)="破竹",$D$13,0)+$D$15-VLOOKUP($F$7,目标属性!$A:$R,6,FALSE)+IF(VLOOKUP($E36,武器奇术!$A:$V,22,FALSE)=1,4,0)+IF(VLOOKUP($E36,武器奇术!$A:$T,20,FALSE)=1,10,0))&gt;0,(IF(VLOOKUP($E36,武器奇术!$A:$R,17,FALSE)="鸣金",$D$7,0)+IF(VLOOKUP($E36,武器奇术!$A:$R,17,FALSE)="裂石",$D$9,0)+IF(VLOOKUP($E36,武器奇术!$A:$R,17,FALSE)="牵丝",$D$11,0)+IF(VLOOKUP($E36,武器奇术!$A:$R,17,FALSE)="破竹",$D$13,0)+$D$15-VLOOKUP($F$7,目标属性!$A:$R,6,FALSE)+IF(VLOOKUP($E36,武器奇术!$A:$V,22,FALSE)=1,4,0)+IF(VLOOKUP($E36,武器奇术!$A:$T,20,FALSE)=1,10,0))/200,(IF(VLOOKUP($E36,武器奇术!$A:$R,17,FALSE)="鸣金",$D$7,0)+IF(VLOOKUP($E36,武器奇术!$A:$R,17,FALSE)="裂石",$D$9,0)+IF(VLOOKUP($E36,武器奇术!$A:$R,17,FALSE)="牵丝",$D$11,0)+IF(VLOOKUP($E36,武器奇术!$A:$R,17,FALSE)="破竹",$D$13,0)+$D$15-VLOOKUP($F$7,目标属性!$A:$R,6,FALSE)+IF(VLOOKUP($E36,武器奇术!$A:$V,22,FALSE)=1,4,0)+IF(VLOOKUP($E36,武器奇术!$A:$T,20,FALSE)=1,10,0))/100)</f>
        <v>0.028</v>
      </c>
      <c r="DG36" s="100">
        <f t="shared" si="11"/>
        <v>0.148</v>
      </c>
      <c r="DH36" s="91">
        <v>1</v>
      </c>
      <c r="DI36" s="92">
        <f>DC36*IF(VLOOKUP($E36,武器奇术!$A:$R,17,FALSE)="破竹",VLOOKUP($E36,武器奇术!$A:$R,4,FALSE),VLOOKUP($E36,武器奇术!$A:$R,2,FALSE))*(1+DF36)*(1+DG36)*DH36</f>
        <v>40.8919896</v>
      </c>
      <c r="DJ36" s="93">
        <f>(1-IF(VLOOKUP($E36,武器奇术!$A:$R,16,FALSE)="陌刀",1,$N36))*(1-$M36)</f>
        <v>0</v>
      </c>
      <c r="DK36" s="92">
        <f>DD36*IF(VLOOKUP($E36,武器奇术!$A:$R,17,FALSE)="破竹",VLOOKUP($E36,武器奇术!$A:$R,4,FALSE),VLOOKUP($E36,武器奇术!$A:$R,2,FALSE))*(1+DF36)*(1+DG36)*DH36*(1+$E$16+VLOOKUP($E36,武器奇术!$A:$R,8,FALSE))</f>
        <v>97.68204126576</v>
      </c>
      <c r="DL36" s="93">
        <f t="shared" si="12"/>
        <v>0.8135</v>
      </c>
      <c r="DM36" s="92">
        <f>DE36*IF(VLOOKUP($E36,武器奇术!$A:$R,17,FALSE)="破竹",VLOOKUP($E36,武器奇术!$A:$R,4,FALSE),VLOOKUP($E36,武器奇术!$A:$R,2,FALSE))*(1+DF36)*(1+DG36)*DH36*(1+$E$17+VLOOKUP($E36,武器奇术!$A:$R,10,FALSE))</f>
        <v>105.222524148</v>
      </c>
      <c r="DN36" s="93">
        <f t="shared" si="13"/>
        <v>0.0986</v>
      </c>
      <c r="DO36" s="92">
        <f>DD36*IF(VLOOKUP($E36,武器奇术!$A:$R,17,FALSE)="破竹",VLOOKUP($E36,武器奇术!$A:$R,4,FALSE),VLOOKUP($E36,武器奇术!$A:$R,2,FALSE))*(1+DF36)*(1+DG36)*DH36</f>
        <v>59.41730004</v>
      </c>
      <c r="DP36" s="93">
        <f t="shared" si="14"/>
        <v>0.0879</v>
      </c>
      <c r="DQ36" s="101">
        <f t="shared" si="15"/>
        <v>95.0620621242046</v>
      </c>
    </row>
    <row r="37" spans="1:121">
      <c r="B37" s="114"/>
      <c r="C37" s="115"/>
      <c r="D37" s="119"/>
      <c r="E37" s="105" t="s">
        <v>113</v>
      </c>
      <c r="F37" s="106">
        <v>3</v>
      </c>
      <c r="G37" s="107">
        <f t="shared" ref="G37:G41" si="45">$E$24</f>
        <v>0</v>
      </c>
      <c r="H37" s="92">
        <f>IF(VLOOKUP($E37,武器奇术!$A:$R,18,FALSE)="天工",AE37,(AE37+AT37+BI37+BX37+CM37+DB37+DQ37))*(1+J37)*F37*K37*(1+G37)</f>
        <v>50615.7938300019</v>
      </c>
      <c r="I37" s="93">
        <f t="shared" si="16"/>
        <v>0.00649313163877634</v>
      </c>
      <c r="J37" s="108">
        <f>$F$3+VLOOKUP($E37,武器奇术!$A:$R,12,FALSE)+VLOOKUP($E37,武器奇术!$A:$R,14,FALSE)*$G$3+$P37+IF($F$21="√",5%,0)</f>
        <v>0.763</v>
      </c>
      <c r="K37" s="94">
        <f>VLOOKUP($E37,武器奇术!$A:$R,11,FALSE)</f>
        <v>1</v>
      </c>
      <c r="L37" s="109">
        <f>IF(VLOOKUP($E37,武器奇术!$A:$R,15,FALSE)="天工",0%,IF($C$17+VLOOKUP($E37,武器奇术!$A:$R,7,FALSE)&gt;80%,80%,$C$17+VLOOKUP($E37,武器奇术!$A:$R,7,FALSE))+IF($C$19&gt;20%,20%,$C$19))</f>
        <v>0.887</v>
      </c>
      <c r="M37" s="110">
        <f>IF(VLOOKUP($E37,武器奇术!$A:$R,15,FALSE)="天工",0%,IF($C$18+VLOOKUP($E37,武器奇术!$A:$R,9,FALSE)&gt;40%,40%,$C$18+VLOOKUP($E37,武器奇术!$A:$R,9,FALSE))+IF($C$20&gt;10%,10%,$C$20))</f>
        <v>0.0986</v>
      </c>
      <c r="N37" s="111">
        <f>IF(VLOOKUP($E37,武器奇术!$A:$R,15,FALSE)="天工",100%,MIN($C$16,1))</f>
        <v>1</v>
      </c>
      <c r="O37" s="112" t="str">
        <f>VLOOKUP($E37,武器奇术!$A:$R,16,FALSE)</f>
        <v>双刀</v>
      </c>
      <c r="P37" s="113">
        <f t="shared" si="17"/>
        <v>0.17</v>
      </c>
      <c r="Q37" s="99">
        <f>$B$5*(1+VLOOKUP($E37,武器奇术!$A:$R,5,FALSE)+IF($G$5="飞隼",0.1,0)+IF($G$5="撼天",0.05,0))-$F$9*IF(VLOOKUP($E37,武器奇术!$A:$S,19,FALSE)=1,0.9,1)+IF($I$5="√",160,0)</f>
        <v>2904.2</v>
      </c>
      <c r="R37" s="91">
        <f t="shared" si="18"/>
        <v>2904.2</v>
      </c>
      <c r="S37" s="91">
        <f>MAX($C$5,$B$5)*(1+VLOOKUP($E37,武器奇术!$A:$R,5,FALSE)+IF($G$5="飞隼",0.1,0)+IF($G$5="撼天",0.05,0))-$F$9*IF(VLOOKUP($E37,武器奇术!$A:$S,19,FALSE)=1,0.9,1)+IF($I$5="√",320,0)</f>
        <v>2904.2</v>
      </c>
      <c r="T37" s="93">
        <f>IF(($D$5+VLOOKUP($E37,武器奇术!$A:$R,13,FALSE)+IF($I$3="√",10,0)-VLOOKUP($F$7,目标属性!$A:$R,5,FALSE))&gt;0,($D$5+VLOOKUP($E37,武器奇术!$A:$R,13,FALSE)+IF($I$3="√",10,0)-VLOOKUP($F$7,目标属性!$A:$R,5,FALSE))/200,($D$5+VLOOKUP($E37,武器奇术!$A:$R,13,FALSE)+IF($I$3="√",10,0)-VLOOKUP($F$7,目标属性!$A:$R,5,FALSE))/100)</f>
        <v>0.2675</v>
      </c>
      <c r="U37" s="120">
        <f>$E$5+IF(VLOOKUP($E37,武器奇术!$A:$R,18,FALSE)="鼠鼠",0.24,0)+IF(期望!$G$5="燕归",6/3*2/100,0)</f>
        <v>0.04</v>
      </c>
      <c r="V37" s="91">
        <v>1</v>
      </c>
      <c r="W37" s="92">
        <f>Q37*VLOOKUP($E37,武器奇术!$A:$R,2,FALSE)*(1+T37)*(1+U37)*V37</f>
        <v>2725.4550399648</v>
      </c>
      <c r="X37" s="93">
        <f>(1-IF(VLOOKUP($E37,武器奇术!$A:$R,16,FALSE)="陌刀",1,$N37))*(1-$M37)</f>
        <v>0</v>
      </c>
      <c r="Y37" s="92">
        <f>R37*VLOOKUP($E37,武器奇术!$A:$R,2,FALSE)*(1+T37)*(1+U37)*V37*(1+$E$16+VLOOKUP($E37,武器奇术!$A:$R,8,FALSE))</f>
        <v>5843.37560568453</v>
      </c>
      <c r="Z37" s="93">
        <f t="shared" si="19"/>
        <v>0.887</v>
      </c>
      <c r="AA37" s="92">
        <f>S37*VLOOKUP($E37,武器奇术!$A:$R,2,FALSE)*(1+T37)*(1+U37)*V37*(1+$E$17+VLOOKUP($E37,武器奇术!$A:$R,10,FALSE))</f>
        <v>3679.36430395248</v>
      </c>
      <c r="AB37" s="93">
        <f t="shared" si="20"/>
        <v>0.0986</v>
      </c>
      <c r="AC37" s="92">
        <f>R37*VLOOKUP($E37,武器奇术!$A:$R,2,FALSE)*(1+T37)*(1+U37)*V37</f>
        <v>2725.4550399648</v>
      </c>
      <c r="AD37" s="93">
        <f t="shared" si="21"/>
        <v>0.0144</v>
      </c>
      <c r="AE37" s="101">
        <f t="shared" si="22"/>
        <v>5585.10603518738</v>
      </c>
      <c r="AF37" s="102">
        <f>VLOOKUP($E37,武器奇术!$A:$R,3,FALSE)*(1+IF(VLOOKUP($E37,武器奇术!$A:$R,15,FALSE)="武器",$E$15,0))</f>
        <v>257.4</v>
      </c>
      <c r="AG37" s="92">
        <f t="shared" si="23"/>
        <v>257.4</v>
      </c>
      <c r="AH37" s="92">
        <f>VLOOKUP($E37,武器奇术!$A:$R,3,FALSE)*(1+IF(VLOOKUP($E37,武器奇术!$A:$R,15,FALSE)="武器",$E$15,0))</f>
        <v>257.4</v>
      </c>
      <c r="AI37" s="93">
        <f>IF(($D$5+VLOOKUP($E37,武器奇术!$A:$R,13,FALSE)+IF($I$3="√",10,0)-VLOOKUP($F$7,目标属性!$A:$R,5,FALSE))&gt;0,($D$5+VLOOKUP($E37,武器奇术!$A:$R,13,FALSE)+IF($I$3="√",10,0)-VLOOKUP($F$7,目标属性!$A:$R,5,FALSE))/200,($D$5+VLOOKUP($E37,武器奇术!$A:$R,13,FALSE)+IF($I$3="√",10,0)-VLOOKUP($F$7,目标属性!$A:$R,5,FALSE))/100)</f>
        <v>0.2675</v>
      </c>
      <c r="AJ37" s="120">
        <f>$E$5+IF(VLOOKUP($E37,武器奇术!$A:$R,18,FALSE)="鼠鼠",0.24,0)+IF(期望!$G$5="燕归",6/3*2/100,0)</f>
        <v>0.04</v>
      </c>
      <c r="AK37" s="91">
        <v>1</v>
      </c>
      <c r="AL37" s="92">
        <f t="shared" si="24"/>
        <v>339.30468</v>
      </c>
      <c r="AM37" s="93">
        <f>(1-IF(VLOOKUP($E37,武器奇术!$A:$R,16,FALSE)="陌刀",1,$N37))*(1-$M37)</f>
        <v>0</v>
      </c>
      <c r="AN37" s="92">
        <f>AG37*(1+AI37)*(1+AJ37)*AK37*(1+$E$16+VLOOKUP($E37,武器奇术!$A:$R,8,FALSE))</f>
        <v>727.46923392</v>
      </c>
      <c r="AO37" s="93">
        <f t="shared" si="1"/>
        <v>0.887</v>
      </c>
      <c r="AP37" s="92">
        <f>AH37*(1+AI37)*(1+AJ37)*AK37*(1+$E$17+VLOOKUP($E37,武器奇术!$A:$R,10,FALSE))</f>
        <v>458.061318</v>
      </c>
      <c r="AQ37" s="93">
        <f t="shared" si="2"/>
        <v>0.0986</v>
      </c>
      <c r="AR37" s="92">
        <f t="shared" si="25"/>
        <v>339.30468</v>
      </c>
      <c r="AS37" s="93">
        <f t="shared" si="26"/>
        <v>0.0144</v>
      </c>
      <c r="AT37" s="101">
        <f t="shared" si="27"/>
        <v>695.31604383384</v>
      </c>
      <c r="AU37" s="99">
        <f>IF(VLOOKUP($E37,武器奇术!$A:$R,18,FALSE)="极乐",0,$B$7*IF($G$5="撼天",1.05,1)+IF(AND(VLOOKUP($E37,武器奇术!$A:$R,15,FALSE)="武器",VLOOKUP($E37,武器奇术!$A:$R,17,FALSE)="鸣金"),$E$3*(1+$E$15),0))</f>
        <v>0</v>
      </c>
      <c r="AV37" s="91">
        <f t="shared" si="28"/>
        <v>0</v>
      </c>
      <c r="AW37" s="91">
        <f>IF(VLOOKUP($E37,武器奇术!$A:$R,18,FALSE)="极乐",0,MAX($C$7*IF($G$5="撼天",1.05,1)+IF(AND(VLOOKUP($E37,武器奇术!$A:$R,15,FALSE)="武器",VLOOKUP($E37,武器奇术!$A:$R,17,FALSE)="鸣金"),$E$3*(1+$E$15),0),AU37))</f>
        <v>0</v>
      </c>
      <c r="AX37" s="93">
        <f>IF(($D$7+IF(VLOOKUP($E37,武器奇术!$A:$R,17,FALSE)="鸣金",$D$15,0)-VLOOKUP($F$7,目标属性!$A:$R,6,FALSE))&gt;0,($D$7+IF(VLOOKUP($E37,武器奇术!$A:$R,17,FALSE)="鸣金",$D$15,0)-VLOOKUP($F$7,目标属性!$A:$R,6,FALSE))/200,($D$7+IF(VLOOKUP($E37,武器奇术!$A:$R,17,FALSE)="鸣金",$D$15,0)-VLOOKUP($F$7,目标属性!$A:$R,6,FALSE))/100)</f>
        <v>-0.24</v>
      </c>
      <c r="AY37" s="100">
        <f t="shared" si="29"/>
        <v>0</v>
      </c>
      <c r="AZ37" s="91">
        <v>1</v>
      </c>
      <c r="BA37" s="92">
        <f>AU37*IF(VLOOKUP($E37,武器奇术!$A:$R,17,FALSE)="鸣金",VLOOKUP($E37,武器奇术!$A:$R,4,FALSE),VLOOKUP($E37,武器奇术!$A:$R,2,FALSE))*(1+AX37)*(1+AY37)*AZ37</f>
        <v>0</v>
      </c>
      <c r="BB37" s="93">
        <f>(1-IF(VLOOKUP($E37,武器奇术!$A:$R,16,FALSE)="陌刀",1,$N37))*(1-$M37)</f>
        <v>0</v>
      </c>
      <c r="BC37" s="92">
        <f>AV37*IF(VLOOKUP($E37,武器奇术!$A:$R,17,FALSE)="鸣金",VLOOKUP($E37,武器奇术!$A:$R,4,FALSE),VLOOKUP($E37,武器奇术!$A:$R,2,FALSE))*(1+AX37)*(1+AY37)*AZ37*(1+$E$16+VLOOKUP($E37,武器奇术!$A:$R,8,FALSE))</f>
        <v>0</v>
      </c>
      <c r="BD37" s="93">
        <f t="shared" si="3"/>
        <v>0.887</v>
      </c>
      <c r="BE37" s="92">
        <f>AW37*IF(VLOOKUP($E37,武器奇术!$A:$R,17,FALSE)="鸣金",VLOOKUP($E37,武器奇术!$A:$R,4,FALSE),VLOOKUP($E37,武器奇术!$A:$R,2,FALSE))*(1+AX37)*(1+AY37)*AZ37*(1+$E$17+VLOOKUP($E37,武器奇术!$A:$R,10,FALSE))</f>
        <v>0</v>
      </c>
      <c r="BF37" s="93">
        <f t="shared" si="4"/>
        <v>0.0986</v>
      </c>
      <c r="BG37" s="92">
        <f>AV37*IF(VLOOKUP($E37,武器奇术!$A:$R,17,FALSE)="鸣金",VLOOKUP($E37,武器奇术!$A:$R,4,FALSE),VLOOKUP($E37,武器奇术!$A:$R,2,FALSE))*(1+AX37)*(1+AY37)*AZ37</f>
        <v>0</v>
      </c>
      <c r="BH37" s="93">
        <f t="shared" si="30"/>
        <v>0.0144</v>
      </c>
      <c r="BI37" s="101">
        <f t="shared" si="31"/>
        <v>0</v>
      </c>
      <c r="BJ37" s="99">
        <f>IF(VLOOKUP($E37,武器奇术!$A:$R,18,FALSE)="极乐",0,$B$9*IF($G$5="撼天",1.05,1)+IF(AND(VLOOKUP($E37,武器奇术!$A:$R,15,FALSE)="武器",VLOOKUP($E37,武器奇术!$A:$R,17,FALSE)="裂石"),$E$3*(1+$E$15),0))</f>
        <v>0</v>
      </c>
      <c r="BK37" s="91">
        <f t="shared" si="32"/>
        <v>0</v>
      </c>
      <c r="BL37" s="91">
        <f>IF(VLOOKUP($E37,武器奇术!$A:$R,18,FALSE)="极乐",0,MAX($C$9*IF($G$5="撼天",1.05,1)+IF(AND(VLOOKUP($E37,武器奇术!$A:$R,15,FALSE)="武器",VLOOKUP($E37,武器奇术!$A:$R,17,FALSE)="裂石"),$E$3*(1+$E$15),0),BJ37))</f>
        <v>0</v>
      </c>
      <c r="BM37" s="93">
        <f>IF(($D$9+IF(VLOOKUP($E37,武器奇术!$A:$R,17,FALSE)="裂石",$D$15,0)-VLOOKUP($F$7,目标属性!$A:$R,6,FALSE))&gt;0,($D$9+IF(VLOOKUP($E37,武器奇术!$A:$R,17,FALSE)="裂石",$D$15,0)-VLOOKUP($F$7,目标属性!$A:$R,6,FALSE))/200,($D$9+IF(VLOOKUP($E37,武器奇术!$A:$R,17,FALSE)="裂石",$D$15,0)-VLOOKUP($F$7,目标属性!$A:$R,6,FALSE))/100)</f>
        <v>-0.24</v>
      </c>
      <c r="BN37" s="100">
        <f t="shared" si="33"/>
        <v>0</v>
      </c>
      <c r="BO37" s="91">
        <v>1</v>
      </c>
      <c r="BP37" s="92">
        <f>BJ37*IF(VLOOKUP($E37,武器奇术!$A:$R,17,FALSE)="裂石",VLOOKUP($E37,武器奇术!$A:$R,4,FALSE),VLOOKUP($E37,武器奇术!$A:$R,2,FALSE))*(1+BM37)*(1+BN37)*BO37</f>
        <v>0</v>
      </c>
      <c r="BQ37" s="93">
        <f>(1-IF(VLOOKUP($E37,武器奇术!$A:$R,16,FALSE)="陌刀",1,$N37))*(1-$M37)</f>
        <v>0</v>
      </c>
      <c r="BR37" s="92">
        <f>BK37*IF(VLOOKUP($E37,武器奇术!$A:$R,17,FALSE)="裂石",VLOOKUP($E37,武器奇术!$A:$R,4,FALSE),VLOOKUP($E37,武器奇术!$A:$R,2,FALSE))*(1+BM37)*(1+BN37)*BO37*(1+$E$16+VLOOKUP($E37,武器奇术!$A:$R,8,FALSE))</f>
        <v>0</v>
      </c>
      <c r="BS37" s="93">
        <f t="shared" si="5"/>
        <v>0.887</v>
      </c>
      <c r="BT37" s="92">
        <f>BL37*IF(VLOOKUP($E37,武器奇术!$A:$R,17,FALSE)="裂石",VLOOKUP($E37,武器奇术!$A:$R,4,FALSE),VLOOKUP($E37,武器奇术!$A:$R,2,FALSE))*(1+BM37)*(1+BN37)*BO37*(1+$E$17+VLOOKUP($E37,武器奇术!$A:$R,10,FALSE))</f>
        <v>0</v>
      </c>
      <c r="BU37" s="93">
        <f t="shared" si="6"/>
        <v>0.0986</v>
      </c>
      <c r="BV37" s="92">
        <f>BK37*IF(VLOOKUP($E37,武器奇术!$A:$R,17,FALSE)="裂石",VLOOKUP($E37,武器奇术!$A:$R,4,FALSE),VLOOKUP($E37,武器奇术!$A:$R,2,FALSE))*(1+BM37)*(1+BN37)*BO37</f>
        <v>0</v>
      </c>
      <c r="BW37" s="93">
        <f t="shared" si="34"/>
        <v>0.0144</v>
      </c>
      <c r="BX37" s="101">
        <f t="shared" si="35"/>
        <v>0</v>
      </c>
      <c r="BY37" s="99">
        <f>IF(VLOOKUP($E37,武器奇术!$A:$R,18,FALSE)="极乐",0,$B$11*IF($G$5="撼天",1.05,1)+IF(AND(VLOOKUP($E37,武器奇术!$A:$R,15,FALSE)="武器",VLOOKUP($E37,武器奇术!$A:$R,17,FALSE)="牵丝"),$E$3*(1+$E$15),0))</f>
        <v>0</v>
      </c>
      <c r="BZ37" s="91">
        <f t="shared" si="36"/>
        <v>0</v>
      </c>
      <c r="CA37" s="91">
        <f>IF(VLOOKUP($E37,武器奇术!$A:$R,18,FALSE)="极乐",0,MAX($C$11*IF($G$5="撼天",1.05,1)+IF(AND(VLOOKUP($E37,武器奇术!$A:$R,15,FALSE)="武器",VLOOKUP($E37,武器奇术!$A:$R,17,FALSE)="牵丝"),$E$3*(1+$E$15),0),BY37))</f>
        <v>0</v>
      </c>
      <c r="CB37" s="93">
        <f>IF(($D$11+IF(VLOOKUP($E37,武器奇术!$A:$R,17,FALSE)="牵丝",$D$15,0)-VLOOKUP($F$7,目标属性!$A:$R,6,FALSE))&gt;0,($D$11+IF(VLOOKUP($E37,武器奇术!$A:$R,17,FALSE)="牵丝",$D$15,0)-VLOOKUP($F$7,目标属性!$A:$R,6,FALSE))/200,($D$11+IF(VLOOKUP($E37,武器奇术!$A:$R,17,FALSE)="牵丝",$D$15,0)-VLOOKUP($F$7,目标属性!$A:$R,6,FALSE))/100)</f>
        <v>-0.24</v>
      </c>
      <c r="CC37" s="100">
        <f t="shared" si="37"/>
        <v>0</v>
      </c>
      <c r="CD37" s="91">
        <v>1</v>
      </c>
      <c r="CE37" s="92">
        <f>BY37*IF(VLOOKUP($E37,武器奇术!$A:$R,17,FALSE)="牵丝",VLOOKUP($E37,武器奇术!$A:$R,4,FALSE),VLOOKUP($E37,武器奇术!$A:$R,2,FALSE))*(1+CB37)*(1+CC37)*CD37</f>
        <v>0</v>
      </c>
      <c r="CF37" s="93">
        <f>(1-IF(VLOOKUP($E37,武器奇术!$A:$R,16,FALSE)="陌刀",1,$N37))*(1-$M37)</f>
        <v>0</v>
      </c>
      <c r="CG37" s="92">
        <f>BZ37*IF(VLOOKUP($E37,武器奇术!$A:$R,17,FALSE)="牵丝",VLOOKUP($E37,武器奇术!$A:$R,4,FALSE),VLOOKUP($E37,武器奇术!$A:$R,2,FALSE))*(1+CB37)*(1+CC37)*CD37*(1+$E$16+VLOOKUP($E37,武器奇术!$A:$R,8,FALSE))</f>
        <v>0</v>
      </c>
      <c r="CH37" s="93">
        <f t="shared" si="7"/>
        <v>0.887</v>
      </c>
      <c r="CI37" s="92">
        <f>CA37*IF(VLOOKUP($E37,武器奇术!$A:$R,17,FALSE)="牵丝",VLOOKUP($E37,武器奇术!$A:$R,4,FALSE),VLOOKUP($E37,武器奇术!$A:$R,2,FALSE))*(1+CB37)*(1+CC37)*CD37*(1+$E$17+VLOOKUP($E37,武器奇术!$A:$R,10,FALSE))</f>
        <v>0</v>
      </c>
      <c r="CJ37" s="93">
        <f t="shared" si="8"/>
        <v>0.0986</v>
      </c>
      <c r="CK37" s="92">
        <f>BZ37*IF(VLOOKUP($E37,武器奇术!$A:$R,17,FALSE)="牵丝",VLOOKUP($E37,武器奇术!$A:$R,4,FALSE),VLOOKUP($E37,武器奇术!$A:$R,2,FALSE))*(1+CB37)*(1+CC37)*CD37</f>
        <v>0</v>
      </c>
      <c r="CL37" s="93">
        <f t="shared" si="38"/>
        <v>0.0144</v>
      </c>
      <c r="CM37" s="101">
        <f t="shared" si="39"/>
        <v>0</v>
      </c>
      <c r="CN37" s="99">
        <f>IF(VLOOKUP($E37,武器奇术!$A:$R,18,FALSE)="极乐",0,$B$13*IF($G$5="撼天",1.05,1)+IF(AND(VLOOKUP($E37,武器奇术!$A:$R,15,FALSE)="武器",VLOOKUP($E37,武器奇术!$A:$R,17,FALSE)="破竹"),$E$3*(1+$E$15),0))</f>
        <v>686.71</v>
      </c>
      <c r="CO37" s="91">
        <f t="shared" si="40"/>
        <v>1052.21</v>
      </c>
      <c r="CP37" s="91">
        <f>IF(VLOOKUP($E37,武器奇术!$A:$R,18,FALSE)="极乐",0,MAX($C$13*IF($G$5="撼天",1.05,1)+IF(AND(VLOOKUP($E37,武器奇术!$A:$R,15,FALSE)="武器",VLOOKUP($E37,武器奇术!$A:$R,17,FALSE)="破竹"),$E$3*(1+$E$15),0),CN37))</f>
        <v>1417.71</v>
      </c>
      <c r="CQ37" s="93">
        <f>IF(($D$13+IF(VLOOKUP($E37,武器奇术!$A:$R,17,FALSE)="破竹",$D$15,0)-VLOOKUP($F$7,目标属性!$A:$R,6,FALSE)+IF(VLOOKUP($E37,武器奇术!$A:$V,22,FALSE)=1,4,0)+IF(VLOOKUP($E37,武器奇术!$A:$T,20,FALSE)=1,10,0))&gt;0,($D$13+IF(VLOOKUP($E37,武器奇术!$A:$R,17,FALSE)="破竹",$D$15,0)-VLOOKUP($F$7,目标属性!$A:$R,6,FALSE)+IF(VLOOKUP($E37,武器奇术!$A:$V,22,FALSE)=1,4,0)+IF(VLOOKUP($E37,武器奇术!$A:$T,20,FALSE)=1,10,0))/200,($D$13+IF(VLOOKUP($E37,武器奇术!$A:$R,17,FALSE)="破竹",$D$15,0)-VLOOKUP($F$7,目标属性!$A:$R,6,FALSE)+IF(VLOOKUP($E37,武器奇术!$A:$V,22,FALSE)=1,4,0)+IF(VLOOKUP($E37,武器奇术!$A:$T,20,FALSE)=1,10,0))/100)</f>
        <v>0.078</v>
      </c>
      <c r="CR37" s="120">
        <f>$E$13+IF(期望!$G$5="燕归",6/3*2/100,0)</f>
        <v>0.188</v>
      </c>
      <c r="CS37" s="91">
        <v>1</v>
      </c>
      <c r="CT37" s="92">
        <f>CN37*IF(VLOOKUP($E37,武器奇术!$A:$R,17,FALSE)="破竹",VLOOKUP($E37,武器奇术!$A:$R,4,FALSE),VLOOKUP($E37,武器奇术!$A:$R,2,FALSE))*(1+CQ37)*(1+CR37)*CS37</f>
        <v>939.141486796867</v>
      </c>
      <c r="CU37" s="93">
        <f>(1-IF(VLOOKUP($E37,武器奇术!$A:$R,16,FALSE)="陌刀",1,$N37))*(1-$M37)</f>
        <v>0</v>
      </c>
      <c r="CV37" s="92">
        <f>CO37*IF(VLOOKUP($E37,武器奇术!$A:$R,17,FALSE)="破竹",VLOOKUP($E37,武器奇术!$A:$R,4,FALSE),VLOOKUP($E37,武器奇术!$A:$R,2,FALSE))*(1+CQ37)*(1+CR37)*CS37*(1+$E$16+VLOOKUP($E37,武器奇术!$A:$R,8,FALSE))</f>
        <v>3085.21092285755</v>
      </c>
      <c r="CW37" s="93">
        <f t="shared" si="9"/>
        <v>0.887</v>
      </c>
      <c r="CX37" s="92">
        <f>CP37*IF(VLOOKUP($E37,武器奇术!$A:$R,17,FALSE)="破竹",VLOOKUP($E37,武器奇术!$A:$R,4,FALSE),VLOOKUP($E37,武器奇术!$A:$R,2,FALSE))*(1+CQ37)*(1+CR37)*CS37*(1+$E$17+VLOOKUP($E37,武器奇术!$A:$R,10,FALSE))</f>
        <v>2617.45259903476</v>
      </c>
      <c r="CY37" s="93">
        <f t="shared" si="10"/>
        <v>0.0986</v>
      </c>
      <c r="CZ37" s="92">
        <f>CO37*IF(VLOOKUP($E37,武器奇术!$A:$R,17,FALSE)="破竹",VLOOKUP($E37,武器奇术!$A:$R,4,FALSE),VLOOKUP($E37,武器奇术!$A:$R,2,FALSE))*(1+CQ37)*(1+CR37)*CS37</f>
        <v>1438.99763192983</v>
      </c>
      <c r="DA37" s="93">
        <f t="shared" si="42"/>
        <v>0.0144</v>
      </c>
      <c r="DB37" s="101">
        <f t="shared" si="43"/>
        <v>3015.38448073926</v>
      </c>
      <c r="DC37" s="99">
        <f>IF(VLOOKUP($E37,武器奇术!$A:$R,18,FALSE)="极乐",0,$B$15)</f>
        <v>66</v>
      </c>
      <c r="DD37" s="91">
        <f t="shared" si="44"/>
        <v>95.9</v>
      </c>
      <c r="DE37" s="91">
        <f>IF(VLOOKUP($E37,武器奇术!$A:$R,18,FALSE)="极乐",0,$C$15)</f>
        <v>125.8</v>
      </c>
      <c r="DF37" s="93">
        <f>IF((IF(VLOOKUP($E37,武器奇术!$A:$R,17,FALSE)="鸣金",$D$7,0)+IF(VLOOKUP($E37,武器奇术!$A:$R,17,FALSE)="裂石",$D$9,0)+IF(VLOOKUP($E37,武器奇术!$A:$R,17,FALSE)="牵丝",$D$11,0)+IF(VLOOKUP($E37,武器奇术!$A:$R,17,FALSE)="破竹",$D$13,0)+$D$15-VLOOKUP($F$7,目标属性!$A:$R,6,FALSE)+IF(VLOOKUP($E37,武器奇术!$A:$V,22,FALSE)=1,4,0)+IF(VLOOKUP($E37,武器奇术!$A:$T,20,FALSE)=1,10,0))&gt;0,(IF(VLOOKUP($E37,武器奇术!$A:$R,17,FALSE)="鸣金",$D$7,0)+IF(VLOOKUP($E37,武器奇术!$A:$R,17,FALSE)="裂石",$D$9,0)+IF(VLOOKUP($E37,武器奇术!$A:$R,17,FALSE)="牵丝",$D$11,0)+IF(VLOOKUP($E37,武器奇术!$A:$R,17,FALSE)="破竹",$D$13,0)+$D$15-VLOOKUP($F$7,目标属性!$A:$R,6,FALSE)+IF(VLOOKUP($E37,武器奇术!$A:$V,22,FALSE)=1,4,0)+IF(VLOOKUP($E37,武器奇术!$A:$T,20,FALSE)=1,10,0))/200,(IF(VLOOKUP($E37,武器奇术!$A:$R,17,FALSE)="鸣金",$D$7,0)+IF(VLOOKUP($E37,武器奇术!$A:$R,17,FALSE)="裂石",$D$9,0)+IF(VLOOKUP($E37,武器奇术!$A:$R,17,FALSE)="牵丝",$D$11,0)+IF(VLOOKUP($E37,武器奇术!$A:$R,17,FALSE)="破竹",$D$13,0)+$D$15-VLOOKUP($F$7,目标属性!$A:$R,6,FALSE)+IF(VLOOKUP($E37,武器奇术!$A:$V,22,FALSE)=1,4,0)+IF(VLOOKUP($E37,武器奇术!$A:$T,20,FALSE)=1,10,0))/100)</f>
        <v>0.078</v>
      </c>
      <c r="DG37" s="120">
        <f>$E$13+IF(期望!$G$5="燕归",6/3*2/100,0)</f>
        <v>0.188</v>
      </c>
      <c r="DH37" s="91">
        <v>1</v>
      </c>
      <c r="DI37" s="92">
        <f>DC37*IF(VLOOKUP($E37,武器奇术!$A:$R,17,FALSE)="破竹",VLOOKUP($E37,武器奇术!$A:$R,4,FALSE),VLOOKUP($E37,武器奇术!$A:$R,2,FALSE))*(1+DF37)*(1+DG37)*DH37</f>
        <v>90.26130117312</v>
      </c>
      <c r="DJ37" s="93">
        <f>(1-IF(VLOOKUP($E37,武器奇术!$A:$R,16,FALSE)="陌刀",1,$N37))*(1-$M37)</f>
        <v>0</v>
      </c>
      <c r="DK37" s="92">
        <f>DD37*IF(VLOOKUP($E37,武器奇术!$A:$R,17,FALSE)="破竹",VLOOKUP($E37,武器奇术!$A:$R,4,FALSE),VLOOKUP($E37,武器奇术!$A:$R,2,FALSE))*(1+DF37)*(1+DG37)*DH37*(1+$E$16+VLOOKUP($E37,武器奇术!$A:$R,8,FALSE))</f>
        <v>281.190758025526</v>
      </c>
      <c r="DL37" s="93">
        <f t="shared" si="12"/>
        <v>0.887</v>
      </c>
      <c r="DM37" s="92">
        <f>DE37*IF(VLOOKUP($E37,武器奇术!$A:$R,17,FALSE)="破竹",VLOOKUP($E37,武器奇术!$A:$R,4,FALSE),VLOOKUP($E37,武器奇术!$A:$R,2,FALSE))*(1+DF37)*(1+DG37)*DH37*(1+$E$17+VLOOKUP($E37,武器奇术!$A:$R,10,FALSE))</f>
        <v>232.258739064106</v>
      </c>
      <c r="DN37" s="93">
        <f t="shared" si="13"/>
        <v>0.0986</v>
      </c>
      <c r="DO37" s="92">
        <f>DD37*IF(VLOOKUP($E37,武器奇术!$A:$R,17,FALSE)="破竹",VLOOKUP($E37,武器奇术!$A:$R,4,FALSE),VLOOKUP($E37,武器奇术!$A:$R,2,FALSE))*(1+DF37)*(1+DG37)*DH37</f>
        <v>131.152405795488</v>
      </c>
      <c r="DP37" s="93">
        <f t="shared" si="14"/>
        <v>0.0144</v>
      </c>
      <c r="DQ37" s="101">
        <f t="shared" si="15"/>
        <v>274.205508683817</v>
      </c>
    </row>
    <row r="38" spans="1:121">
      <c r="B38" s="114"/>
      <c r="C38" s="115"/>
      <c r="D38" s="119"/>
      <c r="E38" s="105" t="s">
        <v>114</v>
      </c>
      <c r="F38" s="106">
        <v>3</v>
      </c>
      <c r="G38" s="107">
        <f t="shared" si="45"/>
        <v>0</v>
      </c>
      <c r="H38" s="92">
        <f>IF(VLOOKUP($E38,武器奇术!$A:$R,18,FALSE)="天工",AE38,(AE38+AT38+BI38+BX38+CM38+DB38+DQ38))*(1+J38)*F38*K38*(1+G38)</f>
        <v>70467.3272977645</v>
      </c>
      <c r="I38" s="93">
        <f t="shared" si="16"/>
        <v>0.00903974032124954</v>
      </c>
      <c r="J38" s="108">
        <f>$F$3+VLOOKUP($E38,武器奇术!$A:$R,12,FALSE)+VLOOKUP($E38,武器奇术!$A:$R,14,FALSE)*$G$3+$P38+IF($F$21="√",5%,0)</f>
        <v>0.763</v>
      </c>
      <c r="K38" s="94">
        <f>VLOOKUP($E38,武器奇术!$A:$R,11,FALSE)</f>
        <v>1</v>
      </c>
      <c r="L38" s="109">
        <f>IF(VLOOKUP($E38,武器奇术!$A:$R,15,FALSE)="天工",0%,IF($C$17+VLOOKUP($E38,武器奇术!$A:$R,7,FALSE)&gt;80%,80%,$C$17+VLOOKUP($E38,武器奇术!$A:$R,7,FALSE))+IF($C$19&gt;20%,20%,$C$19))</f>
        <v>0.887</v>
      </c>
      <c r="M38" s="110">
        <f>IF(VLOOKUP($E38,武器奇术!$A:$R,15,FALSE)="天工",0%,IF($C$18+VLOOKUP($E38,武器奇术!$A:$R,9,FALSE)&gt;40%,40%,$C$18+VLOOKUP($E38,武器奇术!$A:$R,9,FALSE))+IF($C$20&gt;10%,10%,$C$20))</f>
        <v>0.0986</v>
      </c>
      <c r="N38" s="111">
        <f>IF(VLOOKUP($E38,武器奇术!$A:$R,15,FALSE)="天工",100%,MIN($C$16,1))</f>
        <v>1</v>
      </c>
      <c r="O38" s="112" t="str">
        <f>VLOOKUP($E38,武器奇术!$A:$R,16,FALSE)</f>
        <v>双刀</v>
      </c>
      <c r="P38" s="113">
        <f t="shared" si="17"/>
        <v>0.17</v>
      </c>
      <c r="Q38" s="99">
        <f>$B$5*(1+VLOOKUP($E38,武器奇术!$A:$R,5,FALSE)+IF($G$5="飞隼",0.1,0)+IF($G$5="撼天",0.05,0))-$F$9*IF(VLOOKUP($E38,武器奇术!$A:$S,19,FALSE)=1,0.9,1)+IF($I$5="√",160,0)</f>
        <v>2904.2</v>
      </c>
      <c r="R38" s="91">
        <f t="shared" si="18"/>
        <v>2904.2</v>
      </c>
      <c r="S38" s="91">
        <f>MAX($C$5,$B$5)*(1+VLOOKUP($E38,武器奇术!$A:$R,5,FALSE)+IF($G$5="飞隼",0.1,0)+IF($G$5="撼天",0.05,0))-$F$9*IF(VLOOKUP($E38,武器奇术!$A:$S,19,FALSE)=1,0.9,1)+IF($I$5="√",320,0)</f>
        <v>2904.2</v>
      </c>
      <c r="T38" s="93">
        <f>IF(($D$5+VLOOKUP($E38,武器奇术!$A:$R,13,FALSE)+IF($I$3="√",10,0)-VLOOKUP($F$7,目标属性!$A:$R,5,FALSE))&gt;0,($D$5+VLOOKUP($E38,武器奇术!$A:$R,13,FALSE)+IF($I$3="√",10,0)-VLOOKUP($F$7,目标属性!$A:$R,5,FALSE))/200,($D$5+VLOOKUP($E38,武器奇术!$A:$R,13,FALSE)+IF($I$3="√",10,0)-VLOOKUP($F$7,目标属性!$A:$R,5,FALSE))/100)</f>
        <v>0.2675</v>
      </c>
      <c r="U38" s="120">
        <f>$E$5+IF(VLOOKUP($E38,武器奇术!$A:$R,18,FALSE)="鼠鼠",0.24,0)+IF(期望!$G$5="燕归",6/3*2/100,0)</f>
        <v>0.04</v>
      </c>
      <c r="V38" s="91">
        <v>1</v>
      </c>
      <c r="W38" s="92">
        <f>Q38*VLOOKUP($E38,武器奇术!$A:$R,2,FALSE)*(1+T38)*(1+U38)*V38</f>
        <v>3795.0866533008</v>
      </c>
      <c r="X38" s="93">
        <f>(1-IF(VLOOKUP($E38,武器奇术!$A:$R,16,FALSE)="陌刀",1,$N38))*(1-$M38)</f>
        <v>0</v>
      </c>
      <c r="Y38" s="92">
        <f>R38*VLOOKUP($E38,武器奇术!$A:$R,2,FALSE)*(1+T38)*(1+U38)*V38*(1+$E$16+VLOOKUP($E38,武器奇术!$A:$R,8,FALSE))</f>
        <v>8136.66578467692</v>
      </c>
      <c r="Z38" s="93">
        <f t="shared" si="19"/>
        <v>0.887</v>
      </c>
      <c r="AA38" s="92">
        <f>S38*VLOOKUP($E38,武器奇术!$A:$R,2,FALSE)*(1+T38)*(1+U38)*V38*(1+$E$17+VLOOKUP($E38,武器奇术!$A:$R,10,FALSE))</f>
        <v>5123.36698195608</v>
      </c>
      <c r="AB38" s="93">
        <f t="shared" si="20"/>
        <v>0.0986</v>
      </c>
      <c r="AC38" s="92">
        <f>R38*VLOOKUP($E38,武器奇术!$A:$R,2,FALSE)*(1+T38)*(1+U38)*V38</f>
        <v>3795.0866533008</v>
      </c>
      <c r="AD38" s="93">
        <f t="shared" si="21"/>
        <v>0.0144</v>
      </c>
      <c r="AE38" s="101">
        <f t="shared" si="22"/>
        <v>7777.03578323683</v>
      </c>
      <c r="AF38" s="102">
        <f>VLOOKUP($E38,武器奇术!$A:$R,3,FALSE)*(1+IF(VLOOKUP($E38,武器奇术!$A:$R,15,FALSE)="武器",$E$15,0))</f>
        <v>357.5</v>
      </c>
      <c r="AG38" s="92">
        <f t="shared" si="23"/>
        <v>357.5</v>
      </c>
      <c r="AH38" s="92">
        <f>VLOOKUP($E38,武器奇术!$A:$R,3,FALSE)*(1+IF(VLOOKUP($E38,武器奇术!$A:$R,15,FALSE)="武器",$E$15,0))</f>
        <v>357.5</v>
      </c>
      <c r="AI38" s="93">
        <f>IF(($D$5+VLOOKUP($E38,武器奇术!$A:$R,13,FALSE)+IF($I$3="√",10,0)-VLOOKUP($F$7,目标属性!$A:$R,5,FALSE))&gt;0,($D$5+VLOOKUP($E38,武器奇术!$A:$R,13,FALSE)+IF($I$3="√",10,0)-VLOOKUP($F$7,目标属性!$A:$R,5,FALSE))/200,($D$5+VLOOKUP($E38,武器奇术!$A:$R,13,FALSE)+IF($I$3="√",10,0)-VLOOKUP($F$7,目标属性!$A:$R,5,FALSE))/100)</f>
        <v>0.2675</v>
      </c>
      <c r="AJ38" s="120">
        <f>$E$5+IF(VLOOKUP($E38,武器奇术!$A:$R,18,FALSE)="鼠鼠",0.24,0)+IF(期望!$G$5="燕归",6/3*2/100,0)</f>
        <v>0.04</v>
      </c>
      <c r="AK38" s="91">
        <v>1</v>
      </c>
      <c r="AL38" s="92">
        <f t="shared" si="24"/>
        <v>471.2565</v>
      </c>
      <c r="AM38" s="93">
        <f>(1-IF(VLOOKUP($E38,武器奇术!$A:$R,16,FALSE)="陌刀",1,$N38))*(1-$M38)</f>
        <v>0</v>
      </c>
      <c r="AN38" s="92">
        <f>AG38*(1+AI38)*(1+AJ38)*AK38*(1+$E$16+VLOOKUP($E38,武器奇术!$A:$R,8,FALSE))</f>
        <v>1010.373936</v>
      </c>
      <c r="AO38" s="93">
        <f t="shared" si="1"/>
        <v>0.887</v>
      </c>
      <c r="AP38" s="92">
        <f>AH38*(1+AI38)*(1+AJ38)*AK38*(1+$E$17+VLOOKUP($E38,武器奇术!$A:$R,10,FALSE))</f>
        <v>636.196275</v>
      </c>
      <c r="AQ38" s="93">
        <f t="shared" si="2"/>
        <v>0.0986</v>
      </c>
      <c r="AR38" s="92">
        <f t="shared" si="25"/>
        <v>471.2565</v>
      </c>
      <c r="AS38" s="93">
        <f t="shared" si="26"/>
        <v>0.0144</v>
      </c>
      <c r="AT38" s="101">
        <f t="shared" si="27"/>
        <v>965.716727547</v>
      </c>
      <c r="AU38" s="99">
        <f>IF(VLOOKUP($E38,武器奇术!$A:$R,18,FALSE)="极乐",0,$B$7*IF($G$5="撼天",1.05,1)+IF(AND(VLOOKUP($E38,武器奇术!$A:$R,15,FALSE)="武器",VLOOKUP($E38,武器奇术!$A:$R,17,FALSE)="鸣金"),$E$3*(1+$E$15),0))</f>
        <v>0</v>
      </c>
      <c r="AV38" s="91">
        <f t="shared" si="28"/>
        <v>0</v>
      </c>
      <c r="AW38" s="91">
        <f>IF(VLOOKUP($E38,武器奇术!$A:$R,18,FALSE)="极乐",0,MAX($C$7*IF($G$5="撼天",1.05,1)+IF(AND(VLOOKUP($E38,武器奇术!$A:$R,15,FALSE)="武器",VLOOKUP($E38,武器奇术!$A:$R,17,FALSE)="鸣金"),$E$3*(1+$E$15),0),AU38))</f>
        <v>0</v>
      </c>
      <c r="AX38" s="93">
        <f>IF(($D$7+IF(VLOOKUP($E38,武器奇术!$A:$R,17,FALSE)="鸣金",$D$15,0)-VLOOKUP($F$7,目标属性!$A:$R,6,FALSE))&gt;0,($D$7+IF(VLOOKUP($E38,武器奇术!$A:$R,17,FALSE)="鸣金",$D$15,0)-VLOOKUP($F$7,目标属性!$A:$R,6,FALSE))/200,($D$7+IF(VLOOKUP($E38,武器奇术!$A:$R,17,FALSE)="鸣金",$D$15,0)-VLOOKUP($F$7,目标属性!$A:$R,6,FALSE))/100)</f>
        <v>-0.24</v>
      </c>
      <c r="AY38" s="100">
        <f t="shared" si="29"/>
        <v>0</v>
      </c>
      <c r="AZ38" s="91">
        <v>1</v>
      </c>
      <c r="BA38" s="92">
        <f>AU38*IF(VLOOKUP($E38,武器奇术!$A:$R,17,FALSE)="鸣金",VLOOKUP($E38,武器奇术!$A:$R,4,FALSE),VLOOKUP($E38,武器奇术!$A:$R,2,FALSE))*(1+AX38)*(1+AY38)*AZ38</f>
        <v>0</v>
      </c>
      <c r="BB38" s="93">
        <f>(1-IF(VLOOKUP($E38,武器奇术!$A:$R,16,FALSE)="陌刀",1,$N38))*(1-$M38)</f>
        <v>0</v>
      </c>
      <c r="BC38" s="92">
        <f>AV38*IF(VLOOKUP($E38,武器奇术!$A:$R,17,FALSE)="鸣金",VLOOKUP($E38,武器奇术!$A:$R,4,FALSE),VLOOKUP($E38,武器奇术!$A:$R,2,FALSE))*(1+AX38)*(1+AY38)*AZ38*(1+$E$16+VLOOKUP($E38,武器奇术!$A:$R,8,FALSE))</f>
        <v>0</v>
      </c>
      <c r="BD38" s="93">
        <f t="shared" si="3"/>
        <v>0.887</v>
      </c>
      <c r="BE38" s="92">
        <f>AW38*IF(VLOOKUP($E38,武器奇术!$A:$R,17,FALSE)="鸣金",VLOOKUP($E38,武器奇术!$A:$R,4,FALSE),VLOOKUP($E38,武器奇术!$A:$R,2,FALSE))*(1+AX38)*(1+AY38)*AZ38*(1+$E$17+VLOOKUP($E38,武器奇术!$A:$R,10,FALSE))</f>
        <v>0</v>
      </c>
      <c r="BF38" s="93">
        <f t="shared" si="4"/>
        <v>0.0986</v>
      </c>
      <c r="BG38" s="92">
        <f>AV38*IF(VLOOKUP($E38,武器奇术!$A:$R,17,FALSE)="鸣金",VLOOKUP($E38,武器奇术!$A:$R,4,FALSE),VLOOKUP($E38,武器奇术!$A:$R,2,FALSE))*(1+AX38)*(1+AY38)*AZ38</f>
        <v>0</v>
      </c>
      <c r="BH38" s="93">
        <f t="shared" si="30"/>
        <v>0.0144</v>
      </c>
      <c r="BI38" s="101">
        <f t="shared" si="31"/>
        <v>0</v>
      </c>
      <c r="BJ38" s="99">
        <f>IF(VLOOKUP($E38,武器奇术!$A:$R,18,FALSE)="极乐",0,$B$9*IF($G$5="撼天",1.05,1)+IF(AND(VLOOKUP($E38,武器奇术!$A:$R,15,FALSE)="武器",VLOOKUP($E38,武器奇术!$A:$R,17,FALSE)="裂石"),$E$3*(1+$E$15),0))</f>
        <v>0</v>
      </c>
      <c r="BK38" s="91">
        <f t="shared" si="32"/>
        <v>0</v>
      </c>
      <c r="BL38" s="91">
        <f>IF(VLOOKUP($E38,武器奇术!$A:$R,18,FALSE)="极乐",0,MAX($C$9*IF($G$5="撼天",1.05,1)+IF(AND(VLOOKUP($E38,武器奇术!$A:$R,15,FALSE)="武器",VLOOKUP($E38,武器奇术!$A:$R,17,FALSE)="裂石"),$E$3*(1+$E$15),0),BJ38))</f>
        <v>0</v>
      </c>
      <c r="BM38" s="93">
        <f>IF(($D$9+IF(VLOOKUP($E38,武器奇术!$A:$R,17,FALSE)="裂石",$D$15,0)-VLOOKUP($F$7,目标属性!$A:$R,6,FALSE))&gt;0,($D$9+IF(VLOOKUP($E38,武器奇术!$A:$R,17,FALSE)="裂石",$D$15,0)-VLOOKUP($F$7,目标属性!$A:$R,6,FALSE))/200,($D$9+IF(VLOOKUP($E38,武器奇术!$A:$R,17,FALSE)="裂石",$D$15,0)-VLOOKUP($F$7,目标属性!$A:$R,6,FALSE))/100)</f>
        <v>-0.24</v>
      </c>
      <c r="BN38" s="100">
        <f t="shared" si="33"/>
        <v>0</v>
      </c>
      <c r="BO38" s="91">
        <v>1</v>
      </c>
      <c r="BP38" s="92">
        <f>BJ38*IF(VLOOKUP($E38,武器奇术!$A:$R,17,FALSE)="裂石",VLOOKUP($E38,武器奇术!$A:$R,4,FALSE),VLOOKUP($E38,武器奇术!$A:$R,2,FALSE))*(1+BM38)*(1+BN38)*BO38</f>
        <v>0</v>
      </c>
      <c r="BQ38" s="93">
        <f>(1-IF(VLOOKUP($E38,武器奇术!$A:$R,16,FALSE)="陌刀",1,$N38))*(1-$M38)</f>
        <v>0</v>
      </c>
      <c r="BR38" s="92">
        <f>BK38*IF(VLOOKUP($E38,武器奇术!$A:$R,17,FALSE)="裂石",VLOOKUP($E38,武器奇术!$A:$R,4,FALSE),VLOOKUP($E38,武器奇术!$A:$R,2,FALSE))*(1+BM38)*(1+BN38)*BO38*(1+$E$16+VLOOKUP($E38,武器奇术!$A:$R,8,FALSE))</f>
        <v>0</v>
      </c>
      <c r="BS38" s="93">
        <f t="shared" si="5"/>
        <v>0.887</v>
      </c>
      <c r="BT38" s="92">
        <f>BL38*IF(VLOOKUP($E38,武器奇术!$A:$R,17,FALSE)="裂石",VLOOKUP($E38,武器奇术!$A:$R,4,FALSE),VLOOKUP($E38,武器奇术!$A:$R,2,FALSE))*(1+BM38)*(1+BN38)*BO38*(1+$E$17+VLOOKUP($E38,武器奇术!$A:$R,10,FALSE))</f>
        <v>0</v>
      </c>
      <c r="BU38" s="93">
        <f t="shared" si="6"/>
        <v>0.0986</v>
      </c>
      <c r="BV38" s="92">
        <f>BK38*IF(VLOOKUP($E38,武器奇术!$A:$R,17,FALSE)="裂石",VLOOKUP($E38,武器奇术!$A:$R,4,FALSE),VLOOKUP($E38,武器奇术!$A:$R,2,FALSE))*(1+BM38)*(1+BN38)*BO38</f>
        <v>0</v>
      </c>
      <c r="BW38" s="93">
        <f t="shared" si="34"/>
        <v>0.0144</v>
      </c>
      <c r="BX38" s="101">
        <f t="shared" si="35"/>
        <v>0</v>
      </c>
      <c r="BY38" s="99">
        <f>IF(VLOOKUP($E38,武器奇术!$A:$R,18,FALSE)="极乐",0,$B$11*IF($G$5="撼天",1.05,1)+IF(AND(VLOOKUP($E38,武器奇术!$A:$R,15,FALSE)="武器",VLOOKUP($E38,武器奇术!$A:$R,17,FALSE)="牵丝"),$E$3*(1+$E$15),0))</f>
        <v>0</v>
      </c>
      <c r="BZ38" s="91">
        <f t="shared" si="36"/>
        <v>0</v>
      </c>
      <c r="CA38" s="91">
        <f>IF(VLOOKUP($E38,武器奇术!$A:$R,18,FALSE)="极乐",0,MAX($C$11*IF($G$5="撼天",1.05,1)+IF(AND(VLOOKUP($E38,武器奇术!$A:$R,15,FALSE)="武器",VLOOKUP($E38,武器奇术!$A:$R,17,FALSE)="牵丝"),$E$3*(1+$E$15),0),BY38))</f>
        <v>0</v>
      </c>
      <c r="CB38" s="93">
        <f>IF(($D$11+IF(VLOOKUP($E38,武器奇术!$A:$R,17,FALSE)="牵丝",$D$15,0)-VLOOKUP($F$7,目标属性!$A:$R,6,FALSE))&gt;0,($D$11+IF(VLOOKUP($E38,武器奇术!$A:$R,17,FALSE)="牵丝",$D$15,0)-VLOOKUP($F$7,目标属性!$A:$R,6,FALSE))/200,($D$11+IF(VLOOKUP($E38,武器奇术!$A:$R,17,FALSE)="牵丝",$D$15,0)-VLOOKUP($F$7,目标属性!$A:$R,6,FALSE))/100)</f>
        <v>-0.24</v>
      </c>
      <c r="CC38" s="100">
        <f t="shared" si="37"/>
        <v>0</v>
      </c>
      <c r="CD38" s="91">
        <v>1</v>
      </c>
      <c r="CE38" s="92">
        <f>BY38*IF(VLOOKUP($E38,武器奇术!$A:$R,17,FALSE)="牵丝",VLOOKUP($E38,武器奇术!$A:$R,4,FALSE),VLOOKUP($E38,武器奇术!$A:$R,2,FALSE))*(1+CB38)*(1+CC38)*CD38</f>
        <v>0</v>
      </c>
      <c r="CF38" s="93">
        <f>(1-IF(VLOOKUP($E38,武器奇术!$A:$R,16,FALSE)="陌刀",1,$N38))*(1-$M38)</f>
        <v>0</v>
      </c>
      <c r="CG38" s="92">
        <f>BZ38*IF(VLOOKUP($E38,武器奇术!$A:$R,17,FALSE)="牵丝",VLOOKUP($E38,武器奇术!$A:$R,4,FALSE),VLOOKUP($E38,武器奇术!$A:$R,2,FALSE))*(1+CB38)*(1+CC38)*CD38*(1+$E$16+VLOOKUP($E38,武器奇术!$A:$R,8,FALSE))</f>
        <v>0</v>
      </c>
      <c r="CH38" s="93">
        <f t="shared" si="7"/>
        <v>0.887</v>
      </c>
      <c r="CI38" s="92">
        <f>CA38*IF(VLOOKUP($E38,武器奇术!$A:$R,17,FALSE)="牵丝",VLOOKUP($E38,武器奇术!$A:$R,4,FALSE),VLOOKUP($E38,武器奇术!$A:$R,2,FALSE))*(1+CB38)*(1+CC38)*CD38*(1+$E$17+VLOOKUP($E38,武器奇术!$A:$R,10,FALSE))</f>
        <v>0</v>
      </c>
      <c r="CJ38" s="93">
        <f t="shared" si="8"/>
        <v>0.0986</v>
      </c>
      <c r="CK38" s="92">
        <f>BZ38*IF(VLOOKUP($E38,武器奇术!$A:$R,17,FALSE)="牵丝",VLOOKUP($E38,武器奇术!$A:$R,4,FALSE),VLOOKUP($E38,武器奇术!$A:$R,2,FALSE))*(1+CB38)*(1+CC38)*CD38</f>
        <v>0</v>
      </c>
      <c r="CL38" s="93">
        <f t="shared" si="38"/>
        <v>0.0144</v>
      </c>
      <c r="CM38" s="101">
        <f t="shared" si="39"/>
        <v>0</v>
      </c>
      <c r="CN38" s="99">
        <f>IF(VLOOKUP($E38,武器奇术!$A:$R,18,FALSE)="极乐",0,$B$13*IF($G$5="撼天",1.05,1)+IF(AND(VLOOKUP($E38,武器奇术!$A:$R,15,FALSE)="武器",VLOOKUP($E38,武器奇术!$A:$R,17,FALSE)="破竹"),$E$3*(1+$E$15),0))</f>
        <v>686.71</v>
      </c>
      <c r="CO38" s="91">
        <f t="shared" si="40"/>
        <v>1052.21</v>
      </c>
      <c r="CP38" s="91">
        <f>IF(VLOOKUP($E38,武器奇术!$A:$R,18,FALSE)="极乐",0,MAX($C$13*IF($G$5="撼天",1.05,1)+IF(AND(VLOOKUP($E38,武器奇术!$A:$R,15,FALSE)="武器",VLOOKUP($E38,武器奇术!$A:$R,17,FALSE)="破竹"),$E$3*(1+$E$15),0),CN38))</f>
        <v>1417.71</v>
      </c>
      <c r="CQ38" s="93">
        <f>IF(($D$13+IF(VLOOKUP($E38,武器奇术!$A:$R,17,FALSE)="破竹",$D$15,0)-VLOOKUP($F$7,目标属性!$A:$R,6,FALSE)+IF(VLOOKUP($E38,武器奇术!$A:$V,22,FALSE)=1,4,0)+IF(VLOOKUP($E38,武器奇术!$A:$T,20,FALSE)=1,10,0))&gt;0,($D$13+IF(VLOOKUP($E38,武器奇术!$A:$R,17,FALSE)="破竹",$D$15,0)-VLOOKUP($F$7,目标属性!$A:$R,6,FALSE)+IF(VLOOKUP($E38,武器奇术!$A:$V,22,FALSE)=1,4,0)+IF(VLOOKUP($E38,武器奇术!$A:$T,20,FALSE)=1,10,0))/200,($D$13+IF(VLOOKUP($E38,武器奇术!$A:$R,17,FALSE)="破竹",$D$15,0)-VLOOKUP($F$7,目标属性!$A:$R,6,FALSE)+IF(VLOOKUP($E38,武器奇术!$A:$V,22,FALSE)=1,4,0)+IF(VLOOKUP($E38,武器奇术!$A:$T,20,FALSE)=1,10,0))/100)</f>
        <v>0.078</v>
      </c>
      <c r="CR38" s="120">
        <f>$E$13+IF(期望!$G$5="燕归",6/3*2/100,0)</f>
        <v>0.188</v>
      </c>
      <c r="CS38" s="91">
        <v>1</v>
      </c>
      <c r="CT38" s="92">
        <f>CN38*IF(VLOOKUP($E38,武器奇术!$A:$R,17,FALSE)="破竹",VLOOKUP($E38,武器奇术!$A:$R,4,FALSE),VLOOKUP($E38,武器奇术!$A:$R,2,FALSE))*(1+CQ38)*(1+CR38)*CS38</f>
        <v>1307.71679218377</v>
      </c>
      <c r="CU38" s="93">
        <f>(1-IF(VLOOKUP($E38,武器奇术!$A:$R,16,FALSE)="陌刀",1,$N38))*(1-$M38)</f>
        <v>0</v>
      </c>
      <c r="CV38" s="92">
        <f>CO38*IF(VLOOKUP($E38,武器奇术!$A:$R,17,FALSE)="破竹",VLOOKUP($E38,武器奇术!$A:$R,4,FALSE),VLOOKUP($E38,武器奇术!$A:$R,2,FALSE))*(1+CQ38)*(1+CR38)*CS38*(1+$E$16+VLOOKUP($E38,武器奇术!$A:$R,8,FALSE))</f>
        <v>4296.03226773675</v>
      </c>
      <c r="CW38" s="93">
        <f t="shared" si="9"/>
        <v>0.887</v>
      </c>
      <c r="CX38" s="92">
        <f>CP38*IF(VLOOKUP($E38,武器奇术!$A:$R,17,FALSE)="破竹",VLOOKUP($E38,武器奇术!$A:$R,4,FALSE),VLOOKUP($E38,武器奇术!$A:$R,2,FALSE))*(1+CQ38)*(1+CR38)*CS38*(1+$E$17+VLOOKUP($E38,武器奇术!$A:$R,10,FALSE))</f>
        <v>3644.69759309352</v>
      </c>
      <c r="CY38" s="93">
        <f t="shared" si="10"/>
        <v>0.0986</v>
      </c>
      <c r="CZ38" s="92">
        <f>CO38*IF(VLOOKUP($E38,武器奇术!$A:$R,17,FALSE)="破竹",VLOOKUP($E38,武器奇术!$A:$R,4,FALSE),VLOOKUP($E38,武器奇术!$A:$R,2,FALSE))*(1+CQ38)*(1+CR38)*CS38</f>
        <v>2003.74639353393</v>
      </c>
      <c r="DA38" s="93">
        <f t="shared" si="42"/>
        <v>0.0144</v>
      </c>
      <c r="DB38" s="101">
        <f t="shared" si="43"/>
        <v>4198.80175222841</v>
      </c>
      <c r="DC38" s="99">
        <f>IF(VLOOKUP($E38,武器奇术!$A:$R,18,FALSE)="极乐",0,$B$15)</f>
        <v>66</v>
      </c>
      <c r="DD38" s="91">
        <f t="shared" si="44"/>
        <v>95.9</v>
      </c>
      <c r="DE38" s="91">
        <f>IF(VLOOKUP($E38,武器奇术!$A:$R,18,FALSE)="极乐",0,$C$15)</f>
        <v>125.8</v>
      </c>
      <c r="DF38" s="93">
        <f>IF((IF(VLOOKUP($E38,武器奇术!$A:$R,17,FALSE)="鸣金",$D$7,0)+IF(VLOOKUP($E38,武器奇术!$A:$R,17,FALSE)="裂石",$D$9,0)+IF(VLOOKUP($E38,武器奇术!$A:$R,17,FALSE)="牵丝",$D$11,0)+IF(VLOOKUP($E38,武器奇术!$A:$R,17,FALSE)="破竹",$D$13,0)+$D$15-VLOOKUP($F$7,目标属性!$A:$R,6,FALSE)+IF(VLOOKUP($E38,武器奇术!$A:$V,22,FALSE)=1,4,0)+IF(VLOOKUP($E38,武器奇术!$A:$T,20,FALSE)=1,10,0))&gt;0,(IF(VLOOKUP($E38,武器奇术!$A:$R,17,FALSE)="鸣金",$D$7,0)+IF(VLOOKUP($E38,武器奇术!$A:$R,17,FALSE)="裂石",$D$9,0)+IF(VLOOKUP($E38,武器奇术!$A:$R,17,FALSE)="牵丝",$D$11,0)+IF(VLOOKUP($E38,武器奇术!$A:$R,17,FALSE)="破竹",$D$13,0)+$D$15-VLOOKUP($F$7,目标属性!$A:$R,6,FALSE)+IF(VLOOKUP($E38,武器奇术!$A:$V,22,FALSE)=1,4,0)+IF(VLOOKUP($E38,武器奇术!$A:$T,20,FALSE)=1,10,0))/200,(IF(VLOOKUP($E38,武器奇术!$A:$R,17,FALSE)="鸣金",$D$7,0)+IF(VLOOKUP($E38,武器奇术!$A:$R,17,FALSE)="裂石",$D$9,0)+IF(VLOOKUP($E38,武器奇术!$A:$R,17,FALSE)="牵丝",$D$11,0)+IF(VLOOKUP($E38,武器奇术!$A:$R,17,FALSE)="破竹",$D$13,0)+$D$15-VLOOKUP($F$7,目标属性!$A:$R,6,FALSE)+IF(VLOOKUP($E38,武器奇术!$A:$V,22,FALSE)=1,4,0)+IF(VLOOKUP($E38,武器奇术!$A:$T,20,FALSE)=1,10,0))/100)</f>
        <v>0.078</v>
      </c>
      <c r="DG38" s="120">
        <f>$E$13+IF(期望!$G$5="燕归",6/3*2/100,0)</f>
        <v>0.188</v>
      </c>
      <c r="DH38" s="91">
        <v>1</v>
      </c>
      <c r="DI38" s="92">
        <f>DC38*IF(VLOOKUP($E38,武器奇术!$A:$R,17,FALSE)="破竹",VLOOKUP($E38,武器奇术!$A:$R,4,FALSE),VLOOKUP($E38,武器奇术!$A:$R,2,FALSE))*(1+DF38)*(1+DG38)*DH38</f>
        <v>125.68523581152</v>
      </c>
      <c r="DJ38" s="93">
        <f>(1-IF(VLOOKUP($E38,武器奇术!$A:$R,16,FALSE)="陌刀",1,$N38))*(1-$M38)</f>
        <v>0</v>
      </c>
      <c r="DK38" s="92">
        <f>DD38*IF(VLOOKUP($E38,武器奇术!$A:$R,17,FALSE)="破竹",VLOOKUP($E38,武器奇术!$A:$R,4,FALSE),VLOOKUP($E38,武器奇术!$A:$R,2,FALSE))*(1+DF38)*(1+DG38)*DH38*(1+$E$16+VLOOKUP($E38,武器奇术!$A:$R,8,FALSE))</f>
        <v>391.546834259277</v>
      </c>
      <c r="DL38" s="93">
        <f t="shared" si="12"/>
        <v>0.887</v>
      </c>
      <c r="DM38" s="92">
        <f>DE38*IF(VLOOKUP($E38,武器奇术!$A:$R,17,FALSE)="破竹",VLOOKUP($E38,武器奇术!$A:$R,4,FALSE),VLOOKUP($E38,武器奇术!$A:$R,2,FALSE))*(1+DF38)*(1+DG38)*DH38*(1+$E$17+VLOOKUP($E38,武器奇术!$A:$R,10,FALSE))</f>
        <v>323.410963604098</v>
      </c>
      <c r="DN38" s="93">
        <f t="shared" si="13"/>
        <v>0.0986</v>
      </c>
      <c r="DO38" s="92">
        <f>DD38*IF(VLOOKUP($E38,武器奇术!$A:$R,17,FALSE)="破竹",VLOOKUP($E38,武器奇术!$A:$R,4,FALSE),VLOOKUP($E38,武器奇术!$A:$R,2,FALSE))*(1+DF38)*(1+DG38)*DH38</f>
        <v>182.624456277648</v>
      </c>
      <c r="DP38" s="93">
        <f t="shared" si="14"/>
        <v>0.0144</v>
      </c>
      <c r="DQ38" s="101">
        <f t="shared" si="15"/>
        <v>381.820155169741</v>
      </c>
    </row>
    <row r="39" spans="1:121">
      <c r="B39" s="87"/>
      <c r="C39" s="117"/>
      <c r="D39" s="118"/>
      <c r="E39" s="105" t="s">
        <v>115</v>
      </c>
      <c r="F39" s="106">
        <v>3</v>
      </c>
      <c r="G39" s="107">
        <f t="shared" si="45"/>
        <v>0</v>
      </c>
      <c r="H39" s="92">
        <f>IF(VLOOKUP($E39,武器奇术!$A:$R,18,FALSE)="天工",AE39,(AE39+AT39+BI39+BX39+CM39+DB39+DQ39))*(1+J39)*F39*K39*(1+G39)</f>
        <v>113028.690460408</v>
      </c>
      <c r="I39" s="93">
        <f t="shared" si="16"/>
        <v>0.0144996276968972</v>
      </c>
      <c r="J39" s="108">
        <f>$F$3+VLOOKUP($E39,武器奇术!$A:$R,12,FALSE)+VLOOKUP($E39,武器奇术!$A:$R,14,FALSE)*$G$3+$P39+IF($F$21="√",5%,0)</f>
        <v>0.763</v>
      </c>
      <c r="K39" s="94">
        <f>VLOOKUP($E39,武器奇术!$A:$R,11,FALSE)</f>
        <v>1</v>
      </c>
      <c r="L39" s="109">
        <f>IF(VLOOKUP($E39,武器奇术!$A:$R,15,FALSE)="天工",0%,IF($C$17+VLOOKUP($E39,武器奇术!$A:$R,7,FALSE)&gt;80%,80%,$C$17+VLOOKUP($E39,武器奇术!$A:$R,7,FALSE))+IF($C$19&gt;20%,20%,$C$19))</f>
        <v>0.887</v>
      </c>
      <c r="M39" s="110">
        <f>IF(VLOOKUP($E39,武器奇术!$A:$R,15,FALSE)="天工",0%,IF($C$18+VLOOKUP($E39,武器奇术!$A:$R,9,FALSE)&gt;40%,40%,$C$18+VLOOKUP($E39,武器奇术!$A:$R,9,FALSE))+IF($C$20&gt;10%,10%,$C$20))</f>
        <v>0.0986</v>
      </c>
      <c r="N39" s="111">
        <f>IF(VLOOKUP($E39,武器奇术!$A:$R,15,FALSE)="天工",100%,MIN($C$16,1))</f>
        <v>1</v>
      </c>
      <c r="O39" s="112" t="str">
        <f>VLOOKUP($E39,武器奇术!$A:$R,16,FALSE)</f>
        <v>双刀</v>
      </c>
      <c r="P39" s="113">
        <f t="shared" si="17"/>
        <v>0.17</v>
      </c>
      <c r="Q39" s="99">
        <f>$B$5*(1+VLOOKUP($E39,武器奇术!$A:$R,5,FALSE)+IF($G$5="飞隼",0.1,0)+IF($G$5="撼天",0.05,0))-$F$9*IF(VLOOKUP($E39,武器奇术!$A:$S,19,FALSE)=1,0.9,1)+IF($I$5="√",160,0)</f>
        <v>2904.2</v>
      </c>
      <c r="R39" s="91">
        <f t="shared" si="18"/>
        <v>2904.2</v>
      </c>
      <c r="S39" s="91">
        <f>MAX($C$5,$B$5)*(1+VLOOKUP($E39,武器奇术!$A:$R,5,FALSE)+IF($G$5="飞隼",0.1,0)+IF($G$5="撼天",0.05,0))-$F$9*IF(VLOOKUP($E39,武器奇术!$A:$S,19,FALSE)=1,0.9,1)+IF($I$5="√",320,0)</f>
        <v>2904.2</v>
      </c>
      <c r="T39" s="93">
        <f>IF(($D$5+VLOOKUP($E39,武器奇术!$A:$R,13,FALSE)+IF($I$3="√",10,0)-VLOOKUP($F$7,目标属性!$A:$R,5,FALSE))&gt;0,($D$5+VLOOKUP($E39,武器奇术!$A:$R,13,FALSE)+IF($I$3="√",10,0)-VLOOKUP($F$7,目标属性!$A:$R,5,FALSE))/200,($D$5+VLOOKUP($E39,武器奇术!$A:$R,13,FALSE)+IF($I$3="√",10,0)-VLOOKUP($F$7,目标属性!$A:$R,5,FALSE))/100)</f>
        <v>0.2675</v>
      </c>
      <c r="U39" s="120">
        <f>$E$5+IF(VLOOKUP($E39,武器奇术!$A:$R,18,FALSE)="鼠鼠",0.24,0)+IF(期望!$G$5="燕归",6/3*2/100,0)</f>
        <v>0.04</v>
      </c>
      <c r="V39" s="91">
        <v>1</v>
      </c>
      <c r="W39" s="92">
        <f>Q39*VLOOKUP($E39,武器奇术!$A:$R,2,FALSE)*(1+T39)*(1+U39)*V39</f>
        <v>6087.214555422</v>
      </c>
      <c r="X39" s="93">
        <f>(1-IF(VLOOKUP($E39,武器奇术!$A:$R,16,FALSE)="陌刀",1,$N39))*(1-$M39)</f>
        <v>0</v>
      </c>
      <c r="Y39" s="92">
        <f>R39*VLOOKUP($E39,武器奇术!$A:$R,2,FALSE)*(1+T39)*(1+U39)*V39*(1+$E$16+VLOOKUP($E39,武器奇术!$A:$R,8,FALSE))</f>
        <v>13050.9880068248</v>
      </c>
      <c r="Z39" s="93">
        <f t="shared" si="19"/>
        <v>0.887</v>
      </c>
      <c r="AA39" s="92">
        <f>S39*VLOOKUP($E39,武器奇术!$A:$R,2,FALSE)*(1+T39)*(1+U39)*V39*(1+$E$17+VLOOKUP($E39,武器奇术!$A:$R,10,FALSE))</f>
        <v>8217.7396498197</v>
      </c>
      <c r="AB39" s="93">
        <f t="shared" si="20"/>
        <v>0.0986</v>
      </c>
      <c r="AC39" s="92">
        <f>R39*VLOOKUP($E39,武器奇术!$A:$R,2,FALSE)*(1+T39)*(1+U39)*V39</f>
        <v>6087.214555422</v>
      </c>
      <c r="AD39" s="93">
        <f t="shared" si="21"/>
        <v>0.0144</v>
      </c>
      <c r="AE39" s="101">
        <f t="shared" si="22"/>
        <v>12474.1513811239</v>
      </c>
      <c r="AF39" s="102">
        <f>VLOOKUP($E39,武器奇术!$A:$R,3,FALSE)*(1+IF(VLOOKUP($E39,武器奇术!$A:$R,15,FALSE)="武器",$E$15,0))</f>
        <v>573.43</v>
      </c>
      <c r="AG39" s="92">
        <f t="shared" si="23"/>
        <v>573.43</v>
      </c>
      <c r="AH39" s="92">
        <f>VLOOKUP($E39,武器奇术!$A:$R,3,FALSE)*(1+IF(VLOOKUP($E39,武器奇术!$A:$R,15,FALSE)="武器",$E$15,0))</f>
        <v>573.43</v>
      </c>
      <c r="AI39" s="93">
        <f>IF(($D$5+VLOOKUP($E39,武器奇术!$A:$R,13,FALSE)+IF($I$3="√",10,0)-VLOOKUP($F$7,目标属性!$A:$R,5,FALSE))&gt;0,($D$5+VLOOKUP($E39,武器奇术!$A:$R,13,FALSE)+IF($I$3="√",10,0)-VLOOKUP($F$7,目标属性!$A:$R,5,FALSE))/200,($D$5+VLOOKUP($E39,武器奇术!$A:$R,13,FALSE)+IF($I$3="√",10,0)-VLOOKUP($F$7,目标属性!$A:$R,5,FALSE))/100)</f>
        <v>0.2675</v>
      </c>
      <c r="AJ39" s="120">
        <f>$E$5+IF(VLOOKUP($E39,武器奇术!$A:$R,18,FALSE)="鼠鼠",0.24,0)+IF(期望!$G$5="燕归",6/3*2/100,0)</f>
        <v>0.04</v>
      </c>
      <c r="AK39" s="91">
        <v>1</v>
      </c>
      <c r="AL39" s="92">
        <f t="shared" si="24"/>
        <v>755.895426</v>
      </c>
      <c r="AM39" s="93">
        <f>(1-IF(VLOOKUP($E39,武器奇术!$A:$R,16,FALSE)="陌刀",1,$N39))*(1-$M39)</f>
        <v>0</v>
      </c>
      <c r="AN39" s="92">
        <f>AG39*(1+AI39)*(1+AJ39)*AK39*(1+$E$16+VLOOKUP($E39,武器奇术!$A:$R,8,FALSE))</f>
        <v>1620.639793344</v>
      </c>
      <c r="AO39" s="93">
        <f t="shared" si="1"/>
        <v>0.887</v>
      </c>
      <c r="AP39" s="92">
        <f>AH39*(1+AI39)*(1+AJ39)*AK39*(1+$E$17+VLOOKUP($E39,武器奇术!$A:$R,10,FALSE))</f>
        <v>1020.4588251</v>
      </c>
      <c r="AQ39" s="93">
        <f t="shared" si="2"/>
        <v>0.0986</v>
      </c>
      <c r="AR39" s="92">
        <f t="shared" si="25"/>
        <v>755.895426</v>
      </c>
      <c r="AS39" s="93">
        <f t="shared" si="26"/>
        <v>0.0144</v>
      </c>
      <c r="AT39" s="101">
        <f t="shared" si="27"/>
        <v>1549.00963098539</v>
      </c>
      <c r="AU39" s="99">
        <f>IF(VLOOKUP($E39,武器奇术!$A:$R,18,FALSE)="极乐",0,$B$7*IF($G$5="撼天",1.05,1)+IF(AND(VLOOKUP($E39,武器奇术!$A:$R,15,FALSE)="武器",VLOOKUP($E39,武器奇术!$A:$R,17,FALSE)="鸣金"),$E$3*(1+$E$15),0))</f>
        <v>0</v>
      </c>
      <c r="AV39" s="91">
        <f t="shared" si="28"/>
        <v>0</v>
      </c>
      <c r="AW39" s="91">
        <f>IF(VLOOKUP($E39,武器奇术!$A:$R,18,FALSE)="极乐",0,MAX($C$7*IF($G$5="撼天",1.05,1)+IF(AND(VLOOKUP($E39,武器奇术!$A:$R,15,FALSE)="武器",VLOOKUP($E39,武器奇术!$A:$R,17,FALSE)="鸣金"),$E$3*(1+$E$15),0),AU39))</f>
        <v>0</v>
      </c>
      <c r="AX39" s="93">
        <f>IF(($D$7+IF(VLOOKUP($E39,武器奇术!$A:$R,17,FALSE)="鸣金",$D$15,0)-VLOOKUP($F$7,目标属性!$A:$R,6,FALSE))&gt;0,($D$7+IF(VLOOKUP($E39,武器奇术!$A:$R,17,FALSE)="鸣金",$D$15,0)-VLOOKUP($F$7,目标属性!$A:$R,6,FALSE))/200,($D$7+IF(VLOOKUP($E39,武器奇术!$A:$R,17,FALSE)="鸣金",$D$15,0)-VLOOKUP($F$7,目标属性!$A:$R,6,FALSE))/100)</f>
        <v>-0.24</v>
      </c>
      <c r="AY39" s="100">
        <f t="shared" si="29"/>
        <v>0</v>
      </c>
      <c r="AZ39" s="91">
        <v>1</v>
      </c>
      <c r="BA39" s="92">
        <f>AU39*IF(VLOOKUP($E39,武器奇术!$A:$R,17,FALSE)="鸣金",VLOOKUP($E39,武器奇术!$A:$R,4,FALSE),VLOOKUP($E39,武器奇术!$A:$R,2,FALSE))*(1+AX39)*(1+AY39)*AZ39</f>
        <v>0</v>
      </c>
      <c r="BB39" s="93">
        <f>(1-IF(VLOOKUP($E39,武器奇术!$A:$R,16,FALSE)="陌刀",1,$N39))*(1-$M39)</f>
        <v>0</v>
      </c>
      <c r="BC39" s="92">
        <f>AV39*IF(VLOOKUP($E39,武器奇术!$A:$R,17,FALSE)="鸣金",VLOOKUP($E39,武器奇术!$A:$R,4,FALSE),VLOOKUP($E39,武器奇术!$A:$R,2,FALSE))*(1+AX39)*(1+AY39)*AZ39*(1+$E$16+VLOOKUP($E39,武器奇术!$A:$R,8,FALSE))</f>
        <v>0</v>
      </c>
      <c r="BD39" s="93">
        <f t="shared" si="3"/>
        <v>0.887</v>
      </c>
      <c r="BE39" s="92">
        <f>AW39*IF(VLOOKUP($E39,武器奇术!$A:$R,17,FALSE)="鸣金",VLOOKUP($E39,武器奇术!$A:$R,4,FALSE),VLOOKUP($E39,武器奇术!$A:$R,2,FALSE))*(1+AX39)*(1+AY39)*AZ39*(1+$E$17+VLOOKUP($E39,武器奇术!$A:$R,10,FALSE))</f>
        <v>0</v>
      </c>
      <c r="BF39" s="93">
        <f t="shared" si="4"/>
        <v>0.0986</v>
      </c>
      <c r="BG39" s="92">
        <f>AV39*IF(VLOOKUP($E39,武器奇术!$A:$R,17,FALSE)="鸣金",VLOOKUP($E39,武器奇术!$A:$R,4,FALSE),VLOOKUP($E39,武器奇术!$A:$R,2,FALSE))*(1+AX39)*(1+AY39)*AZ39</f>
        <v>0</v>
      </c>
      <c r="BH39" s="93">
        <f t="shared" si="30"/>
        <v>0.0144</v>
      </c>
      <c r="BI39" s="101">
        <f t="shared" si="31"/>
        <v>0</v>
      </c>
      <c r="BJ39" s="99">
        <f>IF(VLOOKUP($E39,武器奇术!$A:$R,18,FALSE)="极乐",0,$B$9*IF($G$5="撼天",1.05,1)+IF(AND(VLOOKUP($E39,武器奇术!$A:$R,15,FALSE)="武器",VLOOKUP($E39,武器奇术!$A:$R,17,FALSE)="裂石"),$E$3*(1+$E$15),0))</f>
        <v>0</v>
      </c>
      <c r="BK39" s="91">
        <f t="shared" si="32"/>
        <v>0</v>
      </c>
      <c r="BL39" s="91">
        <f>IF(VLOOKUP($E39,武器奇术!$A:$R,18,FALSE)="极乐",0,MAX($C$9*IF($G$5="撼天",1.05,1)+IF(AND(VLOOKUP($E39,武器奇术!$A:$R,15,FALSE)="武器",VLOOKUP($E39,武器奇术!$A:$R,17,FALSE)="裂石"),$E$3*(1+$E$15),0),BJ39))</f>
        <v>0</v>
      </c>
      <c r="BM39" s="93">
        <f>IF(($D$9+IF(VLOOKUP($E39,武器奇术!$A:$R,17,FALSE)="裂石",$D$15,0)-VLOOKUP($F$7,目标属性!$A:$R,6,FALSE))&gt;0,($D$9+IF(VLOOKUP($E39,武器奇术!$A:$R,17,FALSE)="裂石",$D$15,0)-VLOOKUP($F$7,目标属性!$A:$R,6,FALSE))/200,($D$9+IF(VLOOKUP($E39,武器奇术!$A:$R,17,FALSE)="裂石",$D$15,0)-VLOOKUP($F$7,目标属性!$A:$R,6,FALSE))/100)</f>
        <v>-0.24</v>
      </c>
      <c r="BN39" s="100">
        <f t="shared" si="33"/>
        <v>0</v>
      </c>
      <c r="BO39" s="91">
        <v>1</v>
      </c>
      <c r="BP39" s="92">
        <f>BJ39*IF(VLOOKUP($E39,武器奇术!$A:$R,17,FALSE)="裂石",VLOOKUP($E39,武器奇术!$A:$R,4,FALSE),VLOOKUP($E39,武器奇术!$A:$R,2,FALSE))*(1+BM39)*(1+BN39)*BO39</f>
        <v>0</v>
      </c>
      <c r="BQ39" s="93">
        <f>(1-IF(VLOOKUP($E39,武器奇术!$A:$R,16,FALSE)="陌刀",1,$N39))*(1-$M39)</f>
        <v>0</v>
      </c>
      <c r="BR39" s="92">
        <f>BK39*IF(VLOOKUP($E39,武器奇术!$A:$R,17,FALSE)="裂石",VLOOKUP($E39,武器奇术!$A:$R,4,FALSE),VLOOKUP($E39,武器奇术!$A:$R,2,FALSE))*(1+BM39)*(1+BN39)*BO39*(1+$E$16+VLOOKUP($E39,武器奇术!$A:$R,8,FALSE))</f>
        <v>0</v>
      </c>
      <c r="BS39" s="93">
        <f t="shared" si="5"/>
        <v>0.887</v>
      </c>
      <c r="BT39" s="92">
        <f>BL39*IF(VLOOKUP($E39,武器奇术!$A:$R,17,FALSE)="裂石",VLOOKUP($E39,武器奇术!$A:$R,4,FALSE),VLOOKUP($E39,武器奇术!$A:$R,2,FALSE))*(1+BM39)*(1+BN39)*BO39*(1+$E$17+VLOOKUP($E39,武器奇术!$A:$R,10,FALSE))</f>
        <v>0</v>
      </c>
      <c r="BU39" s="93">
        <f t="shared" si="6"/>
        <v>0.0986</v>
      </c>
      <c r="BV39" s="92">
        <f>BK39*IF(VLOOKUP($E39,武器奇术!$A:$R,17,FALSE)="裂石",VLOOKUP($E39,武器奇术!$A:$R,4,FALSE),VLOOKUP($E39,武器奇术!$A:$R,2,FALSE))*(1+BM39)*(1+BN39)*BO39</f>
        <v>0</v>
      </c>
      <c r="BW39" s="93">
        <f t="shared" si="34"/>
        <v>0.0144</v>
      </c>
      <c r="BX39" s="101">
        <f t="shared" si="35"/>
        <v>0</v>
      </c>
      <c r="BY39" s="99">
        <f>IF(VLOOKUP($E39,武器奇术!$A:$R,18,FALSE)="极乐",0,$B$11*IF($G$5="撼天",1.05,1)+IF(AND(VLOOKUP($E39,武器奇术!$A:$R,15,FALSE)="武器",VLOOKUP($E39,武器奇术!$A:$R,17,FALSE)="牵丝"),$E$3*(1+$E$15),0))</f>
        <v>0</v>
      </c>
      <c r="BZ39" s="91">
        <f t="shared" si="36"/>
        <v>0</v>
      </c>
      <c r="CA39" s="91">
        <f>IF(VLOOKUP($E39,武器奇术!$A:$R,18,FALSE)="极乐",0,MAX($C$11*IF($G$5="撼天",1.05,1)+IF(AND(VLOOKUP($E39,武器奇术!$A:$R,15,FALSE)="武器",VLOOKUP($E39,武器奇术!$A:$R,17,FALSE)="牵丝"),$E$3*(1+$E$15),0),BY39))</f>
        <v>0</v>
      </c>
      <c r="CB39" s="93">
        <f>IF(($D$11+IF(VLOOKUP($E39,武器奇术!$A:$R,17,FALSE)="牵丝",$D$15,0)-VLOOKUP($F$7,目标属性!$A:$R,6,FALSE))&gt;0,($D$11+IF(VLOOKUP($E39,武器奇术!$A:$R,17,FALSE)="牵丝",$D$15,0)-VLOOKUP($F$7,目标属性!$A:$R,6,FALSE))/200,($D$11+IF(VLOOKUP($E39,武器奇术!$A:$R,17,FALSE)="牵丝",$D$15,0)-VLOOKUP($F$7,目标属性!$A:$R,6,FALSE))/100)</f>
        <v>-0.24</v>
      </c>
      <c r="CC39" s="100">
        <f t="shared" si="37"/>
        <v>0</v>
      </c>
      <c r="CD39" s="91">
        <v>1</v>
      </c>
      <c r="CE39" s="92">
        <f>BY39*IF(VLOOKUP($E39,武器奇术!$A:$R,17,FALSE)="牵丝",VLOOKUP($E39,武器奇术!$A:$R,4,FALSE),VLOOKUP($E39,武器奇术!$A:$R,2,FALSE))*(1+CB39)*(1+CC39)*CD39</f>
        <v>0</v>
      </c>
      <c r="CF39" s="93">
        <f>(1-IF(VLOOKUP($E39,武器奇术!$A:$R,16,FALSE)="陌刀",1,$N39))*(1-$M39)</f>
        <v>0</v>
      </c>
      <c r="CG39" s="92">
        <f>BZ39*IF(VLOOKUP($E39,武器奇术!$A:$R,17,FALSE)="牵丝",VLOOKUP($E39,武器奇术!$A:$R,4,FALSE),VLOOKUP($E39,武器奇术!$A:$R,2,FALSE))*(1+CB39)*(1+CC39)*CD39*(1+$E$16+VLOOKUP($E39,武器奇术!$A:$R,8,FALSE))</f>
        <v>0</v>
      </c>
      <c r="CH39" s="93">
        <f t="shared" si="7"/>
        <v>0.887</v>
      </c>
      <c r="CI39" s="92">
        <f>CA39*IF(VLOOKUP($E39,武器奇术!$A:$R,17,FALSE)="牵丝",VLOOKUP($E39,武器奇术!$A:$R,4,FALSE),VLOOKUP($E39,武器奇术!$A:$R,2,FALSE))*(1+CB39)*(1+CC39)*CD39*(1+$E$17+VLOOKUP($E39,武器奇术!$A:$R,10,FALSE))</f>
        <v>0</v>
      </c>
      <c r="CJ39" s="93">
        <f t="shared" si="8"/>
        <v>0.0986</v>
      </c>
      <c r="CK39" s="92">
        <f>BZ39*IF(VLOOKUP($E39,武器奇术!$A:$R,17,FALSE)="牵丝",VLOOKUP($E39,武器奇术!$A:$R,4,FALSE),VLOOKUP($E39,武器奇术!$A:$R,2,FALSE))*(1+CB39)*(1+CC39)*CD39</f>
        <v>0</v>
      </c>
      <c r="CL39" s="93">
        <f t="shared" si="38"/>
        <v>0.0144</v>
      </c>
      <c r="CM39" s="101">
        <f t="shared" si="39"/>
        <v>0</v>
      </c>
      <c r="CN39" s="99">
        <f>IF(VLOOKUP($E39,武器奇术!$A:$R,18,FALSE)="极乐",0,$B$13*IF($G$5="撼天",1.05,1)+IF(AND(VLOOKUP($E39,武器奇术!$A:$R,15,FALSE)="武器",VLOOKUP($E39,武器奇术!$A:$R,17,FALSE)="破竹"),$E$3*(1+$E$15),0))</f>
        <v>686.71</v>
      </c>
      <c r="CO39" s="91">
        <f t="shared" si="40"/>
        <v>1052.21</v>
      </c>
      <c r="CP39" s="91">
        <f>IF(VLOOKUP($E39,武器奇术!$A:$R,18,FALSE)="极乐",0,MAX($C$13*IF($G$5="撼天",1.05,1)+IF(AND(VLOOKUP($E39,武器奇术!$A:$R,15,FALSE)="武器",VLOOKUP($E39,武器奇术!$A:$R,17,FALSE)="破竹"),$E$3*(1+$E$15),0),CN39))</f>
        <v>1417.71</v>
      </c>
      <c r="CQ39" s="93">
        <f>IF(($D$13+IF(VLOOKUP($E39,武器奇术!$A:$R,17,FALSE)="破竹",$D$15,0)-VLOOKUP($F$7,目标属性!$A:$R,6,FALSE)+IF(VLOOKUP($E39,武器奇术!$A:$V,22,FALSE)=1,4,0)+IF(VLOOKUP($E39,武器奇术!$A:$T,20,FALSE)=1,10,0))&gt;0,($D$13+IF(VLOOKUP($E39,武器奇术!$A:$R,17,FALSE)="破竹",$D$15,0)-VLOOKUP($F$7,目标属性!$A:$R,6,FALSE)+IF(VLOOKUP($E39,武器奇术!$A:$V,22,FALSE)=1,4,0)+IF(VLOOKUP($E39,武器奇术!$A:$T,20,FALSE)=1,10,0))/200,($D$13+IF(VLOOKUP($E39,武器奇术!$A:$R,17,FALSE)="破竹",$D$15,0)-VLOOKUP($F$7,目标属性!$A:$R,6,FALSE)+IF(VLOOKUP($E39,武器奇术!$A:$V,22,FALSE)=1,4,0)+IF(VLOOKUP($E39,武器奇术!$A:$T,20,FALSE)=1,10,0))/100)</f>
        <v>0.078</v>
      </c>
      <c r="CR39" s="120">
        <f>$E$13+IF(期望!$G$5="燕归",6/3*2/100,0)</f>
        <v>0.188</v>
      </c>
      <c r="CS39" s="91">
        <v>1</v>
      </c>
      <c r="CT39" s="92">
        <f>CN39*IF(VLOOKUP($E39,武器奇术!$A:$R,17,FALSE)="破竹",VLOOKUP($E39,武器奇术!$A:$R,4,FALSE),VLOOKUP($E39,武器奇术!$A:$R,2,FALSE))*(1+CQ39)*(1+CR39)*CS39</f>
        <v>2097.59011724521</v>
      </c>
      <c r="CU39" s="93">
        <f>(1-IF(VLOOKUP($E39,武器奇术!$A:$R,16,FALSE)="陌刀",1,$N39))*(1-$M39)</f>
        <v>0</v>
      </c>
      <c r="CV39" s="92">
        <f>CO39*IF(VLOOKUP($E39,武器奇术!$A:$R,17,FALSE)="破竹",VLOOKUP($E39,武器奇术!$A:$R,4,FALSE),VLOOKUP($E39,武器奇术!$A:$R,2,FALSE))*(1+CQ39)*(1+CR39)*CS39*(1+$E$16+VLOOKUP($E39,武器奇术!$A:$R,8,FALSE))</f>
        <v>6890.87643596212</v>
      </c>
      <c r="CW39" s="93">
        <f t="shared" si="9"/>
        <v>0.887</v>
      </c>
      <c r="CX39" s="92">
        <f>CP39*IF(VLOOKUP($E39,武器奇术!$A:$R,17,FALSE)="破竹",VLOOKUP($E39,武器奇术!$A:$R,4,FALSE),VLOOKUP($E39,武器奇术!$A:$R,2,FALSE))*(1+CQ39)*(1+CR39)*CS39*(1+$E$17+VLOOKUP($E39,武器奇术!$A:$R,10,FALSE))</f>
        <v>5846.12945043992</v>
      </c>
      <c r="CY39" s="93">
        <f t="shared" si="10"/>
        <v>0.0986</v>
      </c>
      <c r="CZ39" s="92">
        <f>CO39*IF(VLOOKUP($E39,武器奇术!$A:$R,17,FALSE)="破竹",VLOOKUP($E39,武器奇术!$A:$R,4,FALSE),VLOOKUP($E39,武器奇术!$A:$R,2,FALSE))*(1+CQ39)*(1+CR39)*CS39</f>
        <v>3214.02818841517</v>
      </c>
      <c r="DA39" s="93">
        <f t="shared" si="42"/>
        <v>0.0144</v>
      </c>
      <c r="DB39" s="101">
        <f t="shared" si="43"/>
        <v>6734.91776842496</v>
      </c>
      <c r="DC39" s="99">
        <f>IF(VLOOKUP($E39,武器奇术!$A:$R,18,FALSE)="极乐",0,$B$15)</f>
        <v>66</v>
      </c>
      <c r="DD39" s="91">
        <f t="shared" si="44"/>
        <v>95.9</v>
      </c>
      <c r="DE39" s="91">
        <f>IF(VLOOKUP($E39,武器奇术!$A:$R,18,FALSE)="极乐",0,$C$15)</f>
        <v>125.8</v>
      </c>
      <c r="DF39" s="93">
        <f>IF((IF(VLOOKUP($E39,武器奇术!$A:$R,17,FALSE)="鸣金",$D$7,0)+IF(VLOOKUP($E39,武器奇术!$A:$R,17,FALSE)="裂石",$D$9,0)+IF(VLOOKUP($E39,武器奇术!$A:$R,17,FALSE)="牵丝",$D$11,0)+IF(VLOOKUP($E39,武器奇术!$A:$R,17,FALSE)="破竹",$D$13,0)+$D$15-VLOOKUP($F$7,目标属性!$A:$R,6,FALSE)+IF(VLOOKUP($E39,武器奇术!$A:$V,22,FALSE)=1,4,0)+IF(VLOOKUP($E39,武器奇术!$A:$T,20,FALSE)=1,10,0))&gt;0,(IF(VLOOKUP($E39,武器奇术!$A:$R,17,FALSE)="鸣金",$D$7,0)+IF(VLOOKUP($E39,武器奇术!$A:$R,17,FALSE)="裂石",$D$9,0)+IF(VLOOKUP($E39,武器奇术!$A:$R,17,FALSE)="牵丝",$D$11,0)+IF(VLOOKUP($E39,武器奇术!$A:$R,17,FALSE)="破竹",$D$13,0)+$D$15-VLOOKUP($F$7,目标属性!$A:$R,6,FALSE)+IF(VLOOKUP($E39,武器奇术!$A:$V,22,FALSE)=1,4,0)+IF(VLOOKUP($E39,武器奇术!$A:$T,20,FALSE)=1,10,0))/200,(IF(VLOOKUP($E39,武器奇术!$A:$R,17,FALSE)="鸣金",$D$7,0)+IF(VLOOKUP($E39,武器奇术!$A:$R,17,FALSE)="裂石",$D$9,0)+IF(VLOOKUP($E39,武器奇术!$A:$R,17,FALSE)="牵丝",$D$11,0)+IF(VLOOKUP($E39,武器奇术!$A:$R,17,FALSE)="破竹",$D$13,0)+$D$15-VLOOKUP($F$7,目标属性!$A:$R,6,FALSE)+IF(VLOOKUP($E39,武器奇术!$A:$V,22,FALSE)=1,4,0)+IF(VLOOKUP($E39,武器奇术!$A:$T,20,FALSE)=1,10,0))/100)</f>
        <v>0.078</v>
      </c>
      <c r="DG39" s="120">
        <f>$E$13+IF(期望!$G$5="燕归",6/3*2/100,0)</f>
        <v>0.188</v>
      </c>
      <c r="DH39" s="91">
        <v>1</v>
      </c>
      <c r="DI39" s="92">
        <f>DC39*IF(VLOOKUP($E39,武器奇术!$A:$R,17,FALSE)="破竹",VLOOKUP($E39,武器奇术!$A:$R,4,FALSE),VLOOKUP($E39,武器奇术!$A:$R,2,FALSE))*(1+DF39)*(1+DG39)*DH39</f>
        <v>201.60030833712</v>
      </c>
      <c r="DJ39" s="93">
        <f>(1-IF(VLOOKUP($E39,武器奇术!$A:$R,16,FALSE)="陌刀",1,$N39))*(1-$M39)</f>
        <v>0</v>
      </c>
      <c r="DK39" s="92">
        <f>DD39*IF(VLOOKUP($E39,武器奇术!$A:$R,17,FALSE)="破竹",VLOOKUP($E39,武器奇术!$A:$R,4,FALSE),VLOOKUP($E39,武器奇术!$A:$R,2,FALSE))*(1+DF39)*(1+DG39)*DH39*(1+$E$16+VLOOKUP($E39,武器奇术!$A:$R,8,FALSE))</f>
        <v>628.044829652605</v>
      </c>
      <c r="DL39" s="93">
        <f t="shared" si="12"/>
        <v>0.887</v>
      </c>
      <c r="DM39" s="92">
        <f>DE39*IF(VLOOKUP($E39,武器奇术!$A:$R,17,FALSE)="破竹",VLOOKUP($E39,武器奇术!$A:$R,4,FALSE),VLOOKUP($E39,武器奇术!$A:$R,2,FALSE))*(1+DF39)*(1+DG39)*DH39*(1+$E$17+VLOOKUP($E39,武器奇术!$A:$R,10,FALSE))</f>
        <v>518.754247952926</v>
      </c>
      <c r="DN39" s="93">
        <f t="shared" si="13"/>
        <v>0.0986</v>
      </c>
      <c r="DO39" s="92">
        <f>DD39*IF(VLOOKUP($E39,武器奇术!$A:$R,17,FALSE)="破竹",VLOOKUP($E39,武器奇术!$A:$R,4,FALSE),VLOOKUP($E39,武器奇术!$A:$R,2,FALSE))*(1+DF39)*(1+DG39)*DH39</f>
        <v>292.931357114088</v>
      </c>
      <c r="DP39" s="93">
        <f t="shared" si="14"/>
        <v>0.0144</v>
      </c>
      <c r="DQ39" s="101">
        <f t="shared" si="15"/>
        <v>612.443144292462</v>
      </c>
    </row>
    <row r="40" spans="1:121">
      <c r="B40" s="72" t="s">
        <v>116</v>
      </c>
      <c r="C40" s="121">
        <f>C35/103732.4</f>
        <v>0.999999981755351</v>
      </c>
      <c r="D40" s="122"/>
      <c r="E40" s="105" t="s">
        <v>117</v>
      </c>
      <c r="F40" s="106">
        <f>IF($E$26&gt;=32,2,3)</f>
        <v>3</v>
      </c>
      <c r="G40" s="107">
        <f t="shared" si="45"/>
        <v>0</v>
      </c>
      <c r="H40" s="92">
        <f>IF(VLOOKUP($E40,武器奇术!$A:$R,18,FALSE)="天工",AE40,(AE40+AT40+BI40+BX40+CM40+DB40+DQ40))*(1+J40)*F40*K40*(1+G40)</f>
        <v>135716.297255925</v>
      </c>
      <c r="I40" s="93">
        <f t="shared" si="16"/>
        <v>0.017410055576125</v>
      </c>
      <c r="J40" s="108">
        <f>$F$3+VLOOKUP($E40,武器奇术!$A:$R,12,FALSE)+VLOOKUP($E40,武器奇术!$A:$R,14,FALSE)*$G$3+$P40+IF($F$21="√",5%,0)</f>
        <v>0.763</v>
      </c>
      <c r="K40" s="94">
        <f>VLOOKUP($E40,武器奇术!$A:$R,11,FALSE)</f>
        <v>1</v>
      </c>
      <c r="L40" s="109">
        <f>IF(VLOOKUP($E40,武器奇术!$A:$R,15,FALSE)="天工",0%,IF($C$17+VLOOKUP($E40,武器奇术!$A:$R,7,FALSE)&gt;80%,80%,$C$17+VLOOKUP($E40,武器奇术!$A:$R,7,FALSE))+IF($C$19&gt;20%,20%,$C$19))</f>
        <v>0.887</v>
      </c>
      <c r="M40" s="110">
        <f>IF(VLOOKUP($E40,武器奇术!$A:$R,15,FALSE)="天工",0%,IF($C$18+VLOOKUP($E40,武器奇术!$A:$R,9,FALSE)&gt;40%,40%,$C$18+VLOOKUP($E40,武器奇术!$A:$R,9,FALSE))+IF($C$20&gt;10%,10%,$C$20))</f>
        <v>0.0986</v>
      </c>
      <c r="N40" s="111">
        <f>IF(VLOOKUP($E40,武器奇术!$A:$R,15,FALSE)="天工",100%,MIN($C$16,1))</f>
        <v>1</v>
      </c>
      <c r="O40" s="112" t="str">
        <f>VLOOKUP($E40,武器奇术!$A:$R,16,FALSE)</f>
        <v>双刀</v>
      </c>
      <c r="P40" s="113">
        <f t="shared" si="17"/>
        <v>0.17</v>
      </c>
      <c r="Q40" s="99">
        <f>$B$5*(1+VLOOKUP($E40,武器奇术!$A:$R,5,FALSE)+IF($G$5="飞隼",0.1,0)+IF($G$5="撼天",0.05,0))-$F$9*IF(VLOOKUP($E40,武器奇术!$A:$S,19,FALSE)=1,0.9,1)+IF($I$5="√",160,0)</f>
        <v>2904.2</v>
      </c>
      <c r="R40" s="91">
        <f t="shared" si="18"/>
        <v>2904.2</v>
      </c>
      <c r="S40" s="91">
        <f>MAX($C$5,$B$5)*(1+VLOOKUP($E40,武器奇术!$A:$R,5,FALSE)+IF($G$5="飞隼",0.1,0)+IF($G$5="撼天",0.05,0))-$F$9*IF(VLOOKUP($E40,武器奇术!$A:$S,19,FALSE)=1,0.9,1)+IF($I$5="√",320,0)</f>
        <v>2904.2</v>
      </c>
      <c r="T40" s="93">
        <f>IF(($D$5+VLOOKUP($E40,武器奇术!$A:$R,13,FALSE)+IF($I$3="√",10,0)-VLOOKUP($F$7,目标属性!$A:$R,5,FALSE))&gt;0,($D$5+VLOOKUP($E40,武器奇术!$A:$R,13,FALSE)+IF($I$3="√",10,0)-VLOOKUP($F$7,目标属性!$A:$R,5,FALSE))/200,($D$5+VLOOKUP($E40,武器奇术!$A:$R,13,FALSE)+IF($I$3="√",10,0)-VLOOKUP($F$7,目标属性!$A:$R,5,FALSE))/100)</f>
        <v>0.2675</v>
      </c>
      <c r="U40" s="120">
        <f>$E$5+IF(VLOOKUP($E40,武器奇术!$A:$R,18,FALSE)="鼠鼠",0.24,0)+IF(期望!$G$5="燕归",6/3*2/100,0)</f>
        <v>0.04</v>
      </c>
      <c r="V40" s="91">
        <v>1</v>
      </c>
      <c r="W40" s="92">
        <f>Q40*VLOOKUP($E40,武器奇术!$A:$R,2,FALSE)*(1+T40)*(1+U40)*V40</f>
        <v>7309.7108442072</v>
      </c>
      <c r="X40" s="93">
        <f>(1-IF(VLOOKUP($E40,武器奇术!$A:$R,16,FALSE)="陌刀",1,$N40))*(1-$M40)</f>
        <v>0</v>
      </c>
      <c r="Y40" s="92">
        <f>R40*VLOOKUP($E40,武器奇术!$A:$R,2,FALSE)*(1+T40)*(1+U40)*V40*(1+$E$16+VLOOKUP($E40,武器奇术!$A:$R,8,FALSE))</f>
        <v>15672.0200499802</v>
      </c>
      <c r="Z40" s="93">
        <f t="shared" si="19"/>
        <v>0.887</v>
      </c>
      <c r="AA40" s="92">
        <f>S40*VLOOKUP($E40,武器奇术!$A:$R,2,FALSE)*(1+T40)*(1+U40)*V40*(1+$E$17+VLOOKUP($E40,武器奇术!$A:$R,10,FALSE))</f>
        <v>9868.10963967972</v>
      </c>
      <c r="AB40" s="93">
        <f t="shared" si="20"/>
        <v>0.0986</v>
      </c>
      <c r="AC40" s="92">
        <f>R40*VLOOKUP($E40,武器奇术!$A:$R,2,FALSE)*(1+T40)*(1+U40)*V40</f>
        <v>7309.7108442072</v>
      </c>
      <c r="AD40" s="93">
        <f t="shared" si="21"/>
        <v>0.0144</v>
      </c>
      <c r="AE40" s="101">
        <f t="shared" si="22"/>
        <v>14979.3372309614</v>
      </c>
      <c r="AF40" s="102">
        <f>VLOOKUP($E40,武器奇术!$A:$R,3,FALSE)*(1+IF(VLOOKUP($E40,武器奇术!$A:$R,15,FALSE)="武器",$E$15,0))</f>
        <v>687.83</v>
      </c>
      <c r="AG40" s="92">
        <f t="shared" si="23"/>
        <v>687.83</v>
      </c>
      <c r="AH40" s="92">
        <f>VLOOKUP($E40,武器奇术!$A:$R,3,FALSE)*(1+IF(VLOOKUP($E40,武器奇术!$A:$R,15,FALSE)="武器",$E$15,0))</f>
        <v>687.83</v>
      </c>
      <c r="AI40" s="93">
        <f>IF(($D$5+VLOOKUP($E40,武器奇术!$A:$R,13,FALSE)+IF($I$3="√",10,0)-VLOOKUP($F$7,目标属性!$A:$R,5,FALSE))&gt;0,($D$5+VLOOKUP($E40,武器奇术!$A:$R,13,FALSE)+IF($I$3="√",10,0)-VLOOKUP($F$7,目标属性!$A:$R,5,FALSE))/200,($D$5+VLOOKUP($E40,武器奇术!$A:$R,13,FALSE)+IF($I$3="√",10,0)-VLOOKUP($F$7,目标属性!$A:$R,5,FALSE))/100)</f>
        <v>0.2675</v>
      </c>
      <c r="AJ40" s="120">
        <f>$E$5+IF(VLOOKUP($E40,武器奇术!$A:$R,18,FALSE)="鼠鼠",0.24,0)+IF(期望!$G$5="燕归",6/3*2/100,0)</f>
        <v>0.04</v>
      </c>
      <c r="AK40" s="91">
        <v>1</v>
      </c>
      <c r="AL40" s="92">
        <f t="shared" si="24"/>
        <v>906.697506</v>
      </c>
      <c r="AM40" s="93">
        <f>(1-IF(VLOOKUP($E40,武器奇术!$A:$R,16,FALSE)="陌刀",1,$N40))*(1-$M40)</f>
        <v>0</v>
      </c>
      <c r="AN40" s="92">
        <f>AG40*(1+AI40)*(1+AJ40)*AK40*(1+$E$16+VLOOKUP($E40,武器奇术!$A:$R,8,FALSE))</f>
        <v>1943.959452864</v>
      </c>
      <c r="AO40" s="93">
        <f t="shared" si="1"/>
        <v>0.887</v>
      </c>
      <c r="AP40" s="92">
        <f>AH40*(1+AI40)*(1+AJ40)*AK40*(1+$E$17+VLOOKUP($E40,武器奇术!$A:$R,10,FALSE))</f>
        <v>1224.0416331</v>
      </c>
      <c r="AQ40" s="93">
        <f t="shared" si="2"/>
        <v>0.0986</v>
      </c>
      <c r="AR40" s="92">
        <f t="shared" si="25"/>
        <v>906.697506</v>
      </c>
      <c r="AS40" s="93">
        <f t="shared" si="26"/>
        <v>0.0144</v>
      </c>
      <c r="AT40" s="101">
        <f t="shared" si="27"/>
        <v>1858.03898380043</v>
      </c>
      <c r="AU40" s="99">
        <f>IF(VLOOKUP($E40,武器奇术!$A:$R,18,FALSE)="极乐",0,$B$7*IF($G$5="撼天",1.05,1)+IF(AND(VLOOKUP($E40,武器奇术!$A:$R,15,FALSE)="武器",VLOOKUP($E40,武器奇术!$A:$R,17,FALSE)="鸣金"),$E$3*(1+$E$15),0))</f>
        <v>0</v>
      </c>
      <c r="AV40" s="91">
        <f t="shared" si="28"/>
        <v>0</v>
      </c>
      <c r="AW40" s="91">
        <f>IF(VLOOKUP($E40,武器奇术!$A:$R,18,FALSE)="极乐",0,MAX($C$7*IF($G$5="撼天",1.05,1)+IF(AND(VLOOKUP($E40,武器奇术!$A:$R,15,FALSE)="武器",VLOOKUP($E40,武器奇术!$A:$R,17,FALSE)="鸣金"),$E$3*(1+$E$15),0),AU40))</f>
        <v>0</v>
      </c>
      <c r="AX40" s="93">
        <f>IF(($D$7+IF(VLOOKUP($E40,武器奇术!$A:$R,17,FALSE)="鸣金",$D$15,0)-VLOOKUP($F$7,目标属性!$A:$R,6,FALSE))&gt;0,($D$7+IF(VLOOKUP($E40,武器奇术!$A:$R,17,FALSE)="鸣金",$D$15,0)-VLOOKUP($F$7,目标属性!$A:$R,6,FALSE))/200,($D$7+IF(VLOOKUP($E40,武器奇术!$A:$R,17,FALSE)="鸣金",$D$15,0)-VLOOKUP($F$7,目标属性!$A:$R,6,FALSE))/100)</f>
        <v>-0.24</v>
      </c>
      <c r="AY40" s="100">
        <f t="shared" si="29"/>
        <v>0</v>
      </c>
      <c r="AZ40" s="91">
        <v>1</v>
      </c>
      <c r="BA40" s="92">
        <f>AU40*IF(VLOOKUP($E40,武器奇术!$A:$R,17,FALSE)="鸣金",VLOOKUP($E40,武器奇术!$A:$R,4,FALSE),VLOOKUP($E40,武器奇术!$A:$R,2,FALSE))*(1+AX40)*(1+AY40)*AZ40</f>
        <v>0</v>
      </c>
      <c r="BB40" s="93">
        <f>(1-IF(VLOOKUP($E40,武器奇术!$A:$R,16,FALSE)="陌刀",1,$N40))*(1-$M40)</f>
        <v>0</v>
      </c>
      <c r="BC40" s="92">
        <f>AV40*IF(VLOOKUP($E40,武器奇术!$A:$R,17,FALSE)="鸣金",VLOOKUP($E40,武器奇术!$A:$R,4,FALSE),VLOOKUP($E40,武器奇术!$A:$R,2,FALSE))*(1+AX40)*(1+AY40)*AZ40*(1+$E$16+VLOOKUP($E40,武器奇术!$A:$R,8,FALSE))</f>
        <v>0</v>
      </c>
      <c r="BD40" s="93">
        <f t="shared" si="3"/>
        <v>0.887</v>
      </c>
      <c r="BE40" s="92">
        <f>AW40*IF(VLOOKUP($E40,武器奇术!$A:$R,17,FALSE)="鸣金",VLOOKUP($E40,武器奇术!$A:$R,4,FALSE),VLOOKUP($E40,武器奇术!$A:$R,2,FALSE))*(1+AX40)*(1+AY40)*AZ40*(1+$E$17+VLOOKUP($E40,武器奇术!$A:$R,10,FALSE))</f>
        <v>0</v>
      </c>
      <c r="BF40" s="93">
        <f t="shared" si="4"/>
        <v>0.0986</v>
      </c>
      <c r="BG40" s="92">
        <f>AV40*IF(VLOOKUP($E40,武器奇术!$A:$R,17,FALSE)="鸣金",VLOOKUP($E40,武器奇术!$A:$R,4,FALSE),VLOOKUP($E40,武器奇术!$A:$R,2,FALSE))*(1+AX40)*(1+AY40)*AZ40</f>
        <v>0</v>
      </c>
      <c r="BH40" s="93">
        <f t="shared" si="30"/>
        <v>0.0144</v>
      </c>
      <c r="BI40" s="101">
        <f t="shared" si="31"/>
        <v>0</v>
      </c>
      <c r="BJ40" s="99">
        <f>IF(VLOOKUP($E40,武器奇术!$A:$R,18,FALSE)="极乐",0,$B$9*IF($G$5="撼天",1.05,1)+IF(AND(VLOOKUP($E40,武器奇术!$A:$R,15,FALSE)="武器",VLOOKUP($E40,武器奇术!$A:$R,17,FALSE)="裂石"),$E$3*(1+$E$15),0))</f>
        <v>0</v>
      </c>
      <c r="BK40" s="91">
        <f t="shared" si="32"/>
        <v>0</v>
      </c>
      <c r="BL40" s="91">
        <f>IF(VLOOKUP($E40,武器奇术!$A:$R,18,FALSE)="极乐",0,MAX($C$9*IF($G$5="撼天",1.05,1)+IF(AND(VLOOKUP($E40,武器奇术!$A:$R,15,FALSE)="武器",VLOOKUP($E40,武器奇术!$A:$R,17,FALSE)="裂石"),$E$3*(1+$E$15),0),BJ40))</f>
        <v>0</v>
      </c>
      <c r="BM40" s="93">
        <f>IF(($D$9+IF(VLOOKUP($E40,武器奇术!$A:$R,17,FALSE)="裂石",$D$15,0)-VLOOKUP($F$7,目标属性!$A:$R,6,FALSE))&gt;0,($D$9+IF(VLOOKUP($E40,武器奇术!$A:$R,17,FALSE)="裂石",$D$15,0)-VLOOKUP($F$7,目标属性!$A:$R,6,FALSE))/200,($D$9+IF(VLOOKUP($E40,武器奇术!$A:$R,17,FALSE)="裂石",$D$15,0)-VLOOKUP($F$7,目标属性!$A:$R,6,FALSE))/100)</f>
        <v>-0.24</v>
      </c>
      <c r="BN40" s="100">
        <f t="shared" si="33"/>
        <v>0</v>
      </c>
      <c r="BO40" s="91">
        <v>1</v>
      </c>
      <c r="BP40" s="92">
        <f>BJ40*IF(VLOOKUP($E40,武器奇术!$A:$R,17,FALSE)="裂石",VLOOKUP($E40,武器奇术!$A:$R,4,FALSE),VLOOKUP($E40,武器奇术!$A:$R,2,FALSE))*(1+BM40)*(1+BN40)*BO40</f>
        <v>0</v>
      </c>
      <c r="BQ40" s="93">
        <f>(1-IF(VLOOKUP($E40,武器奇术!$A:$R,16,FALSE)="陌刀",1,$N40))*(1-$M40)</f>
        <v>0</v>
      </c>
      <c r="BR40" s="92">
        <f>BK40*IF(VLOOKUP($E40,武器奇术!$A:$R,17,FALSE)="裂石",VLOOKUP($E40,武器奇术!$A:$R,4,FALSE),VLOOKUP($E40,武器奇术!$A:$R,2,FALSE))*(1+BM40)*(1+BN40)*BO40*(1+$E$16+VLOOKUP($E40,武器奇术!$A:$R,8,FALSE))</f>
        <v>0</v>
      </c>
      <c r="BS40" s="93">
        <f t="shared" si="5"/>
        <v>0.887</v>
      </c>
      <c r="BT40" s="92">
        <f>BL40*IF(VLOOKUP($E40,武器奇术!$A:$R,17,FALSE)="裂石",VLOOKUP($E40,武器奇术!$A:$R,4,FALSE),VLOOKUP($E40,武器奇术!$A:$R,2,FALSE))*(1+BM40)*(1+BN40)*BO40*(1+$E$17+VLOOKUP($E40,武器奇术!$A:$R,10,FALSE))</f>
        <v>0</v>
      </c>
      <c r="BU40" s="93">
        <f t="shared" si="6"/>
        <v>0.0986</v>
      </c>
      <c r="BV40" s="92">
        <f>BK40*IF(VLOOKUP($E40,武器奇术!$A:$R,17,FALSE)="裂石",VLOOKUP($E40,武器奇术!$A:$R,4,FALSE),VLOOKUP($E40,武器奇术!$A:$R,2,FALSE))*(1+BM40)*(1+BN40)*BO40</f>
        <v>0</v>
      </c>
      <c r="BW40" s="93">
        <f t="shared" si="34"/>
        <v>0.0144</v>
      </c>
      <c r="BX40" s="101">
        <f t="shared" si="35"/>
        <v>0</v>
      </c>
      <c r="BY40" s="99">
        <f>IF(VLOOKUP($E40,武器奇术!$A:$R,18,FALSE)="极乐",0,$B$11*IF($G$5="撼天",1.05,1)+IF(AND(VLOOKUP($E40,武器奇术!$A:$R,15,FALSE)="武器",VLOOKUP($E40,武器奇术!$A:$R,17,FALSE)="牵丝"),$E$3*(1+$E$15),0))</f>
        <v>0</v>
      </c>
      <c r="BZ40" s="91">
        <f t="shared" si="36"/>
        <v>0</v>
      </c>
      <c r="CA40" s="91">
        <f>IF(VLOOKUP($E40,武器奇术!$A:$R,18,FALSE)="极乐",0,MAX($C$11*IF($G$5="撼天",1.05,1)+IF(AND(VLOOKUP($E40,武器奇术!$A:$R,15,FALSE)="武器",VLOOKUP($E40,武器奇术!$A:$R,17,FALSE)="牵丝"),$E$3*(1+$E$15),0),BY40))</f>
        <v>0</v>
      </c>
      <c r="CB40" s="93">
        <f>IF(($D$11+IF(VLOOKUP($E40,武器奇术!$A:$R,17,FALSE)="牵丝",$D$15,0)-VLOOKUP($F$7,目标属性!$A:$R,6,FALSE))&gt;0,($D$11+IF(VLOOKUP($E40,武器奇术!$A:$R,17,FALSE)="牵丝",$D$15,0)-VLOOKUP($F$7,目标属性!$A:$R,6,FALSE))/200,($D$11+IF(VLOOKUP($E40,武器奇术!$A:$R,17,FALSE)="牵丝",$D$15,0)-VLOOKUP($F$7,目标属性!$A:$R,6,FALSE))/100)</f>
        <v>-0.24</v>
      </c>
      <c r="CC40" s="100">
        <f t="shared" si="37"/>
        <v>0</v>
      </c>
      <c r="CD40" s="91">
        <v>1</v>
      </c>
      <c r="CE40" s="92">
        <f>BY40*IF(VLOOKUP($E40,武器奇术!$A:$R,17,FALSE)="牵丝",VLOOKUP($E40,武器奇术!$A:$R,4,FALSE),VLOOKUP($E40,武器奇术!$A:$R,2,FALSE))*(1+CB40)*(1+CC40)*CD40</f>
        <v>0</v>
      </c>
      <c r="CF40" s="93">
        <f>(1-IF(VLOOKUP($E40,武器奇术!$A:$R,16,FALSE)="陌刀",1,$N40))*(1-$M40)</f>
        <v>0</v>
      </c>
      <c r="CG40" s="92">
        <f>BZ40*IF(VLOOKUP($E40,武器奇术!$A:$R,17,FALSE)="牵丝",VLOOKUP($E40,武器奇术!$A:$R,4,FALSE),VLOOKUP($E40,武器奇术!$A:$R,2,FALSE))*(1+CB40)*(1+CC40)*CD40*(1+$E$16+VLOOKUP($E40,武器奇术!$A:$R,8,FALSE))</f>
        <v>0</v>
      </c>
      <c r="CH40" s="93">
        <f t="shared" si="7"/>
        <v>0.887</v>
      </c>
      <c r="CI40" s="92">
        <f>CA40*IF(VLOOKUP($E40,武器奇术!$A:$R,17,FALSE)="牵丝",VLOOKUP($E40,武器奇术!$A:$R,4,FALSE),VLOOKUP($E40,武器奇术!$A:$R,2,FALSE))*(1+CB40)*(1+CC40)*CD40*(1+$E$17+VLOOKUP($E40,武器奇术!$A:$R,10,FALSE))</f>
        <v>0</v>
      </c>
      <c r="CJ40" s="93">
        <f t="shared" si="8"/>
        <v>0.0986</v>
      </c>
      <c r="CK40" s="92">
        <f>BZ40*IF(VLOOKUP($E40,武器奇术!$A:$R,17,FALSE)="牵丝",VLOOKUP($E40,武器奇术!$A:$R,4,FALSE),VLOOKUP($E40,武器奇术!$A:$R,2,FALSE))*(1+CB40)*(1+CC40)*CD40</f>
        <v>0</v>
      </c>
      <c r="CL40" s="93">
        <f t="shared" si="38"/>
        <v>0.0144</v>
      </c>
      <c r="CM40" s="101">
        <f t="shared" si="39"/>
        <v>0</v>
      </c>
      <c r="CN40" s="99">
        <f>IF(VLOOKUP($E40,武器奇术!$A:$R,18,FALSE)="极乐",0,$B$13*IF($G$5="撼天",1.05,1)+IF(AND(VLOOKUP($E40,武器奇术!$A:$R,15,FALSE)="武器",VLOOKUP($E40,武器奇术!$A:$R,17,FALSE)="破竹"),$E$3*(1+$E$15),0))</f>
        <v>686.71</v>
      </c>
      <c r="CO40" s="91">
        <f t="shared" si="40"/>
        <v>1052.21</v>
      </c>
      <c r="CP40" s="91">
        <f>IF(VLOOKUP($E40,武器奇术!$A:$R,18,FALSE)="极乐",0,MAX($C$13*IF($G$5="撼天",1.05,1)+IF(AND(VLOOKUP($E40,武器奇术!$A:$R,15,FALSE)="武器",VLOOKUP($E40,武器奇术!$A:$R,17,FALSE)="破竹"),$E$3*(1+$E$15),0),CN40))</f>
        <v>1417.71</v>
      </c>
      <c r="CQ40" s="93">
        <f>IF(($D$13+IF(VLOOKUP($E40,武器奇术!$A:$R,17,FALSE)="破竹",$D$15,0)-VLOOKUP($F$7,目标属性!$A:$R,6,FALSE)+IF(VLOOKUP($E40,武器奇术!$A:$V,22,FALSE)=1,4,0)+IF(VLOOKUP($E40,武器奇术!$A:$T,20,FALSE)=1,10,0))&gt;0,($D$13+IF(VLOOKUP($E40,武器奇术!$A:$R,17,FALSE)="破竹",$D$15,0)-VLOOKUP($F$7,目标属性!$A:$R,6,FALSE)+IF(VLOOKUP($E40,武器奇术!$A:$V,22,FALSE)=1,4,0)+IF(VLOOKUP($E40,武器奇术!$A:$T,20,FALSE)=1,10,0))/200,($D$13+IF(VLOOKUP($E40,武器奇术!$A:$R,17,FALSE)="破竹",$D$15,0)-VLOOKUP($F$7,目标属性!$A:$R,6,FALSE)+IF(VLOOKUP($E40,武器奇术!$A:$V,22,FALSE)=1,4,0)+IF(VLOOKUP($E40,武器奇术!$A:$T,20,FALSE)=1,10,0))/100)</f>
        <v>0.078</v>
      </c>
      <c r="CR40" s="120">
        <f>$E$13+IF(期望!$G$5="燕归",6/3*2/100,0)</f>
        <v>0.188</v>
      </c>
      <c r="CS40" s="91">
        <v>1</v>
      </c>
      <c r="CT40" s="92">
        <f>CN40*IF(VLOOKUP($E40,武器奇术!$A:$R,17,FALSE)="破竹",VLOOKUP($E40,武器奇术!$A:$R,4,FALSE),VLOOKUP($E40,武器奇术!$A:$R,2,FALSE))*(1+CQ40)*(1+CR40)*CS40</f>
        <v>2518.79139799444</v>
      </c>
      <c r="CU40" s="93">
        <f>(1-IF(VLOOKUP($E40,武器奇术!$A:$R,16,FALSE)="陌刀",1,$N40))*(1-$M40)</f>
        <v>0</v>
      </c>
      <c r="CV40" s="92">
        <f>CO40*IF(VLOOKUP($E40,武器奇术!$A:$R,17,FALSE)="破竹",VLOOKUP($E40,武器奇术!$A:$R,4,FALSE),VLOOKUP($E40,武器奇术!$A:$R,2,FALSE))*(1+CQ40)*(1+CR40)*CS40*(1+$E$16+VLOOKUP($E40,武器奇术!$A:$R,8,FALSE))</f>
        <v>8274.58145843037</v>
      </c>
      <c r="CW40" s="93">
        <f t="shared" si="9"/>
        <v>0.887</v>
      </c>
      <c r="CX40" s="92">
        <f>CP40*IF(VLOOKUP($E40,武器奇术!$A:$R,17,FALSE)="破竹",VLOOKUP($E40,武器奇术!$A:$R,4,FALSE),VLOOKUP($E40,武器奇术!$A:$R,2,FALSE))*(1+CQ40)*(1+CR40)*CS40*(1+$E$17+VLOOKUP($E40,武器奇术!$A:$R,10,FALSE))</f>
        <v>7020.04669561888</v>
      </c>
      <c r="CY40" s="93">
        <f t="shared" si="10"/>
        <v>0.0986</v>
      </c>
      <c r="CZ40" s="92">
        <f>CO40*IF(VLOOKUP($E40,武器奇术!$A:$R,17,FALSE)="破竹",VLOOKUP($E40,武器奇术!$A:$R,4,FALSE),VLOOKUP($E40,武器奇术!$A:$R,2,FALSE))*(1+CQ40)*(1+CR40)*CS40</f>
        <v>3859.41299367088</v>
      </c>
      <c r="DA40" s="93">
        <f t="shared" si="42"/>
        <v>0.0144</v>
      </c>
      <c r="DB40" s="101">
        <f t="shared" si="43"/>
        <v>8087.30590492462</v>
      </c>
      <c r="DC40" s="99">
        <f>IF(VLOOKUP($E40,武器奇术!$A:$R,18,FALSE)="极乐",0,$B$15)</f>
        <v>66</v>
      </c>
      <c r="DD40" s="91">
        <f t="shared" si="44"/>
        <v>95.9</v>
      </c>
      <c r="DE40" s="91">
        <f>IF(VLOOKUP($E40,武器奇术!$A:$R,18,FALSE)="极乐",0,$C$15)</f>
        <v>125.8</v>
      </c>
      <c r="DF40" s="93">
        <f>IF((IF(VLOOKUP($E40,武器奇术!$A:$R,17,FALSE)="鸣金",$D$7,0)+IF(VLOOKUP($E40,武器奇术!$A:$R,17,FALSE)="裂石",$D$9,0)+IF(VLOOKUP($E40,武器奇术!$A:$R,17,FALSE)="牵丝",$D$11,0)+IF(VLOOKUP($E40,武器奇术!$A:$R,17,FALSE)="破竹",$D$13,0)+$D$15-VLOOKUP($F$7,目标属性!$A:$R,6,FALSE)+IF(VLOOKUP($E40,武器奇术!$A:$V,22,FALSE)=1,4,0)+IF(VLOOKUP($E40,武器奇术!$A:$T,20,FALSE)=1,10,0))&gt;0,(IF(VLOOKUP($E40,武器奇术!$A:$R,17,FALSE)="鸣金",$D$7,0)+IF(VLOOKUP($E40,武器奇术!$A:$R,17,FALSE)="裂石",$D$9,0)+IF(VLOOKUP($E40,武器奇术!$A:$R,17,FALSE)="牵丝",$D$11,0)+IF(VLOOKUP($E40,武器奇术!$A:$R,17,FALSE)="破竹",$D$13,0)+$D$15-VLOOKUP($F$7,目标属性!$A:$R,6,FALSE)+IF(VLOOKUP($E40,武器奇术!$A:$V,22,FALSE)=1,4,0)+IF(VLOOKUP($E40,武器奇术!$A:$T,20,FALSE)=1,10,0))/200,(IF(VLOOKUP($E40,武器奇术!$A:$R,17,FALSE)="鸣金",$D$7,0)+IF(VLOOKUP($E40,武器奇术!$A:$R,17,FALSE)="裂石",$D$9,0)+IF(VLOOKUP($E40,武器奇术!$A:$R,17,FALSE)="牵丝",$D$11,0)+IF(VLOOKUP($E40,武器奇术!$A:$R,17,FALSE)="破竹",$D$13,0)+$D$15-VLOOKUP($F$7,目标属性!$A:$R,6,FALSE)+IF(VLOOKUP($E40,武器奇术!$A:$V,22,FALSE)=1,4,0)+IF(VLOOKUP($E40,武器奇术!$A:$T,20,FALSE)=1,10,0))/100)</f>
        <v>0.078</v>
      </c>
      <c r="DG40" s="120">
        <f>$E$13+IF(期望!$G$5="燕归",6/3*2/100,0)</f>
        <v>0.188</v>
      </c>
      <c r="DH40" s="91">
        <v>1</v>
      </c>
      <c r="DI40" s="92">
        <f>DC40*IF(VLOOKUP($E40,武器奇术!$A:$R,17,FALSE)="破竹",VLOOKUP($E40,武器奇术!$A:$R,4,FALSE),VLOOKUP($E40,武器奇术!$A:$R,2,FALSE))*(1+DF40)*(1+DG40)*DH40</f>
        <v>242.08214860368</v>
      </c>
      <c r="DJ40" s="93">
        <f>(1-IF(VLOOKUP($E40,武器奇术!$A:$R,16,FALSE)="陌刀",1,$N40))*(1-$M40)</f>
        <v>0</v>
      </c>
      <c r="DK40" s="92">
        <f>DD40*IF(VLOOKUP($E40,武器奇术!$A:$R,17,FALSE)="破竹",VLOOKUP($E40,武器奇术!$A:$R,4,FALSE),VLOOKUP($E40,武器奇术!$A:$R,2,FALSE))*(1+DF40)*(1+DG40)*DH40*(1+$E$16+VLOOKUP($E40,武器奇术!$A:$R,8,FALSE))</f>
        <v>754.157783962776</v>
      </c>
      <c r="DL40" s="93">
        <f t="shared" si="12"/>
        <v>0.887</v>
      </c>
      <c r="DM40" s="92">
        <f>DE40*IF(VLOOKUP($E40,武器奇术!$A:$R,17,FALSE)="破竹",VLOOKUP($E40,武器奇术!$A:$R,4,FALSE),VLOOKUP($E40,武器奇术!$A:$R,2,FALSE))*(1+DF40)*(1+DG40)*DH40*(1+$E$17+VLOOKUP($E40,武器奇术!$A:$R,10,FALSE))</f>
        <v>622.921383293378</v>
      </c>
      <c r="DN40" s="93">
        <f t="shared" si="13"/>
        <v>0.0986</v>
      </c>
      <c r="DO40" s="92">
        <f>DD40*IF(VLOOKUP($E40,武器奇术!$A:$R,17,FALSE)="破竹",VLOOKUP($E40,武器奇术!$A:$R,4,FALSE),VLOOKUP($E40,武器奇术!$A:$R,2,FALSE))*(1+DF40)*(1+DG40)*DH40</f>
        <v>351.752697743832</v>
      </c>
      <c r="DP40" s="93">
        <f t="shared" si="14"/>
        <v>0.0144</v>
      </c>
      <c r="DQ40" s="101">
        <f t="shared" si="15"/>
        <v>735.42324161522</v>
      </c>
    </row>
    <row r="41" spans="1:121">
      <c r="B41" s="114"/>
      <c r="C41" s="109"/>
      <c r="D41" s="110"/>
      <c r="E41" s="105" t="s">
        <v>118</v>
      </c>
      <c r="F41" s="106">
        <v>2</v>
      </c>
      <c r="G41" s="107">
        <f t="shared" si="45"/>
        <v>0</v>
      </c>
      <c r="H41" s="123">
        <f>IF(VLOOKUP($E41,武器奇术!$A:$R,18,FALSE)="天工",AE41,(AE41+AT41+BI41+BX41+CM41+DB41+DQ41))*(1+J41)*F41*K41*(1+G41)*IF(AND($E$26&lt;12,$E$26&gt;6,$F$26="√"),0.8,1)</f>
        <v>134520.54142437</v>
      </c>
      <c r="I41" s="93">
        <f t="shared" si="16"/>
        <v>0.0172566607672202</v>
      </c>
      <c r="J41" s="108">
        <f>$F$3+VLOOKUP($E41,武器奇术!$A:$R,12,FALSE)+VLOOKUP($E41,武器奇术!$A:$R,14,FALSE)*$G$3+$P41+IF($F$21="√",5%,0)</f>
        <v>0.763</v>
      </c>
      <c r="K41" s="94">
        <f>VLOOKUP($E41,武器奇术!$A:$R,11,FALSE)</f>
        <v>1</v>
      </c>
      <c r="L41" s="109">
        <f>IF(VLOOKUP($E41,武器奇术!$A:$R,15,FALSE)="天工",0%,IF($C$17+VLOOKUP($E41,武器奇术!$A:$R,7,FALSE)&gt;80%,80%,$C$17+VLOOKUP($E41,武器奇术!$A:$R,7,FALSE))+IF($C$19&gt;20%,20%,$C$19))</f>
        <v>0.887</v>
      </c>
      <c r="M41" s="110">
        <f>IF(VLOOKUP($E41,武器奇术!$A:$R,15,FALSE)="天工",0%,IF($C$18+VLOOKUP($E41,武器奇术!$A:$R,9,FALSE)&gt;40%,40%,$C$18+VLOOKUP($E41,武器奇术!$A:$R,9,FALSE))+IF($C$20&gt;10%,10%,$C$20))</f>
        <v>0.0986</v>
      </c>
      <c r="N41" s="111">
        <f>IF(VLOOKUP($E41,武器奇术!$A:$R,15,FALSE)="天工",100%,MIN($C$16,1))</f>
        <v>1</v>
      </c>
      <c r="O41" s="112" t="str">
        <f>VLOOKUP($E41,武器奇术!$A:$R,16,FALSE)</f>
        <v>双刀</v>
      </c>
      <c r="P41" s="113">
        <f t="shared" si="17"/>
        <v>0.17</v>
      </c>
      <c r="Q41" s="99">
        <f>$B$5*(1+VLOOKUP($E41,武器奇术!$A:$R,5,FALSE)+IF($G$5="飞隼",0.1,0)+IF($G$5="撼天",0.05,0))-$F$9*IF(VLOOKUP($E41,武器奇术!$A:$S,19,FALSE)=1,0.9,1)+IF($I$5="√",160,0)</f>
        <v>2904.2</v>
      </c>
      <c r="R41" s="91">
        <f t="shared" si="18"/>
        <v>2904.2</v>
      </c>
      <c r="S41" s="91">
        <f>MAX($C$5,$B$5)*(1+VLOOKUP($E41,武器奇术!$A:$R,5,FALSE)+IF($G$5="飞隼",0.1,0)+IF($G$5="撼天",0.05,0))-$F$9*IF(VLOOKUP($E41,武器奇术!$A:$S,19,FALSE)=1,0.9,1)+IF($I$5="√",320,0)</f>
        <v>2904.2</v>
      </c>
      <c r="T41" s="93">
        <f>IF(($D$5+VLOOKUP($E41,武器奇术!$A:$R,13,FALSE)+IF($I$3="√",10,0)-VLOOKUP($F$7,目标属性!$A:$R,5,FALSE))&gt;0,($D$5+VLOOKUP($E41,武器奇术!$A:$R,13,FALSE)+IF($I$3="√",10,0)-VLOOKUP($F$7,目标属性!$A:$R,5,FALSE))/200,($D$5+VLOOKUP($E41,武器奇术!$A:$R,13,FALSE)+IF($I$3="√",10,0)-VLOOKUP($F$7,目标属性!$A:$R,5,FALSE))/100)</f>
        <v>0.2675</v>
      </c>
      <c r="U41" s="120">
        <f>$E$5+IF(VLOOKUP($E41,武器奇术!$A:$R,18,FALSE)="鼠鼠",0.24,0)+IF(期望!$G$5="燕归",6/100,0)</f>
        <v>0.06</v>
      </c>
      <c r="V41" s="91">
        <v>1</v>
      </c>
      <c r="W41" s="92">
        <f>Q41*VLOOKUP($E41,武器奇术!$A:$R,2,FALSE)*(1+T41)*(1+U41)*V41</f>
        <v>10877.1201566742</v>
      </c>
      <c r="X41" s="93">
        <f>(1-IF(VLOOKUP($E41,武器奇术!$A:$R,16,FALSE)="陌刀",1,$N41))*(1-$M41)</f>
        <v>0</v>
      </c>
      <c r="Y41" s="92">
        <f>R41*VLOOKUP($E41,武器奇术!$A:$R,2,FALSE)*(1+T41)*(1+U41)*V41*(1+$E$16+VLOOKUP($E41,武器奇术!$A:$R,8,FALSE))</f>
        <v>23320.5456159095</v>
      </c>
      <c r="Z41" s="93">
        <f t="shared" si="19"/>
        <v>0.887</v>
      </c>
      <c r="AA41" s="92">
        <f>S41*VLOOKUP($E41,武器奇术!$A:$R,2,FALSE)*(1+T41)*(1+U41)*V41*(1+$E$17+VLOOKUP($E41,武器奇术!$A:$R,10,FALSE))</f>
        <v>14684.1122115102</v>
      </c>
      <c r="AB41" s="93">
        <f t="shared" si="20"/>
        <v>0.0986</v>
      </c>
      <c r="AC41" s="92">
        <f>R41*VLOOKUP($E41,武器奇术!$A:$R,2,FALSE)*(1+T41)*(1+U41)*V41</f>
        <v>10877.1201566742</v>
      </c>
      <c r="AD41" s="93">
        <f t="shared" si="21"/>
        <v>0.0144</v>
      </c>
      <c r="AE41" s="101">
        <f t="shared" si="22"/>
        <v>22289.8079556227</v>
      </c>
      <c r="AF41" s="102">
        <f>VLOOKUP($E41,武器奇术!$A:$R,3,FALSE)*(1+IF(VLOOKUP($E41,武器奇术!$A:$R,15,FALSE)="武器",$E$15,0))</f>
        <v>1003.86</v>
      </c>
      <c r="AG41" s="92">
        <f t="shared" si="23"/>
        <v>1003.86</v>
      </c>
      <c r="AH41" s="92">
        <f>VLOOKUP($E41,武器奇术!$A:$R,3,FALSE)*(1+IF(VLOOKUP($E41,武器奇术!$A:$R,15,FALSE)="武器",$E$15,0))</f>
        <v>1003.86</v>
      </c>
      <c r="AI41" s="93">
        <f>IF(($D$5+VLOOKUP($E41,武器奇术!$A:$R,13,FALSE)+IF($I$3="√",10,0)-VLOOKUP($F$7,目标属性!$A:$R,5,FALSE))&gt;0,($D$5+VLOOKUP($E41,武器奇术!$A:$R,13,FALSE)+IF($I$3="√",10,0)-VLOOKUP($F$7,目标属性!$A:$R,5,FALSE))/200,($D$5+VLOOKUP($E41,武器奇术!$A:$R,13,FALSE)+IF($I$3="√",10,0)-VLOOKUP($F$7,目标属性!$A:$R,5,FALSE))/100)</f>
        <v>0.2675</v>
      </c>
      <c r="AJ41" s="120">
        <f>$E$5+IF(VLOOKUP($E41,武器奇术!$A:$R,18,FALSE)="鼠鼠",0.24,0)+IF(期望!$G$5="燕归",6/100,0)</f>
        <v>0.06</v>
      </c>
      <c r="AK41" s="91">
        <v>1</v>
      </c>
      <c r="AL41" s="92">
        <f t="shared" si="24"/>
        <v>1348.736103</v>
      </c>
      <c r="AM41" s="93">
        <f>(1-IF(VLOOKUP($E41,武器奇术!$A:$R,16,FALSE)="陌刀",1,$N41))*(1-$M41)</f>
        <v>0</v>
      </c>
      <c r="AN41" s="92">
        <f>AG41*(1+AI41)*(1+AJ41)*AK41*(1+$E$16+VLOOKUP($E41,武器奇术!$A:$R,8,FALSE))</f>
        <v>2891.690204832</v>
      </c>
      <c r="AO41" s="93">
        <f t="shared" si="1"/>
        <v>0.887</v>
      </c>
      <c r="AP41" s="92">
        <f>AH41*(1+AI41)*(1+AJ41)*AK41*(1+$E$17+VLOOKUP($E41,武器奇术!$A:$R,10,FALSE))</f>
        <v>1820.79373905</v>
      </c>
      <c r="AQ41" s="93">
        <f t="shared" si="2"/>
        <v>0.0986</v>
      </c>
      <c r="AR41" s="92">
        <f t="shared" si="25"/>
        <v>1348.736103</v>
      </c>
      <c r="AS41" s="93">
        <f t="shared" si="26"/>
        <v>0.0144</v>
      </c>
      <c r="AT41" s="101">
        <f t="shared" si="27"/>
        <v>2763.88127423951</v>
      </c>
      <c r="AU41" s="99">
        <f>IF(VLOOKUP($E41,武器奇术!$A:$R,18,FALSE)="极乐",0,$B$7*IF($G$5="撼天",1.05,1)+IF(AND(VLOOKUP($E41,武器奇术!$A:$R,15,FALSE)="武器",VLOOKUP($E41,武器奇术!$A:$R,17,FALSE)="鸣金"),$E$3*(1+$E$15),0))</f>
        <v>0</v>
      </c>
      <c r="AV41" s="91">
        <f t="shared" si="28"/>
        <v>0</v>
      </c>
      <c r="AW41" s="91">
        <f>IF(VLOOKUP($E41,武器奇术!$A:$R,18,FALSE)="极乐",0,MAX($C$7*IF($G$5="撼天",1.05,1)+IF(AND(VLOOKUP($E41,武器奇术!$A:$R,15,FALSE)="武器",VLOOKUP($E41,武器奇术!$A:$R,17,FALSE)="鸣金"),$E$3*(1+$E$15),0),AU41))</f>
        <v>0</v>
      </c>
      <c r="AX41" s="93">
        <f>IF(($D$7+IF(VLOOKUP($E41,武器奇术!$A:$R,17,FALSE)="鸣金",$D$15,0)-VLOOKUP($F$7,目标属性!$A:$R,6,FALSE))&gt;0,($D$7+IF(VLOOKUP($E41,武器奇术!$A:$R,17,FALSE)="鸣金",$D$15,0)-VLOOKUP($F$7,目标属性!$A:$R,6,FALSE))/200,($D$7+IF(VLOOKUP($E41,武器奇术!$A:$R,17,FALSE)="鸣金",$D$15,0)-VLOOKUP($F$7,目标属性!$A:$R,6,FALSE))/100)</f>
        <v>-0.24</v>
      </c>
      <c r="AY41" s="100">
        <f t="shared" ref="AY41:AY50" si="46">$E$7</f>
        <v>0</v>
      </c>
      <c r="AZ41" s="91">
        <v>1</v>
      </c>
      <c r="BA41" s="92">
        <f>AU41*IF(VLOOKUP($E41,武器奇术!$A:$R,17,FALSE)="鸣金",VLOOKUP($E41,武器奇术!$A:$R,4,FALSE),VLOOKUP($E41,武器奇术!$A:$R,2,FALSE))*(1+AX41)*(1+AY41)*AZ41</f>
        <v>0</v>
      </c>
      <c r="BB41" s="93">
        <f>(1-IF(VLOOKUP($E41,武器奇术!$A:$R,16,FALSE)="陌刀",1,$N41))*(1-$M41)</f>
        <v>0</v>
      </c>
      <c r="BC41" s="92">
        <f>AV41*IF(VLOOKUP($E41,武器奇术!$A:$R,17,FALSE)="鸣金",VLOOKUP($E41,武器奇术!$A:$R,4,FALSE),VLOOKUP($E41,武器奇术!$A:$R,2,FALSE))*(1+AX41)*(1+AY41)*AZ41*(1+$E$16+VLOOKUP($E41,武器奇术!$A:$R,8,FALSE))</f>
        <v>0</v>
      </c>
      <c r="BD41" s="93">
        <f t="shared" si="3"/>
        <v>0.887</v>
      </c>
      <c r="BE41" s="92">
        <f>AW41*IF(VLOOKUP($E41,武器奇术!$A:$R,17,FALSE)="鸣金",VLOOKUP($E41,武器奇术!$A:$R,4,FALSE),VLOOKUP($E41,武器奇术!$A:$R,2,FALSE))*(1+AX41)*(1+AY41)*AZ41*(1+$E$17+VLOOKUP($E41,武器奇术!$A:$R,10,FALSE))</f>
        <v>0</v>
      </c>
      <c r="BF41" s="93">
        <f t="shared" si="4"/>
        <v>0.0986</v>
      </c>
      <c r="BG41" s="92">
        <f>AV41*IF(VLOOKUP($E41,武器奇术!$A:$R,17,FALSE)="鸣金",VLOOKUP($E41,武器奇术!$A:$R,4,FALSE),VLOOKUP($E41,武器奇术!$A:$R,2,FALSE))*(1+AX41)*(1+AY41)*AZ41</f>
        <v>0</v>
      </c>
      <c r="BH41" s="93">
        <f t="shared" si="30"/>
        <v>0.0144</v>
      </c>
      <c r="BI41" s="101">
        <f t="shared" si="31"/>
        <v>0</v>
      </c>
      <c r="BJ41" s="99">
        <f>IF(VLOOKUP($E41,武器奇术!$A:$R,18,FALSE)="极乐",0,$B$9*IF($G$5="撼天",1.05,1)+IF(AND(VLOOKUP($E41,武器奇术!$A:$R,15,FALSE)="武器",VLOOKUP($E41,武器奇术!$A:$R,17,FALSE)="裂石"),$E$3*(1+$E$15),0))</f>
        <v>0</v>
      </c>
      <c r="BK41" s="91">
        <f t="shared" si="32"/>
        <v>0</v>
      </c>
      <c r="BL41" s="91">
        <f>IF(VLOOKUP($E41,武器奇术!$A:$R,18,FALSE)="极乐",0,MAX($C$9*IF($G$5="撼天",1.05,1)+IF(AND(VLOOKUP($E41,武器奇术!$A:$R,15,FALSE)="武器",VLOOKUP($E41,武器奇术!$A:$R,17,FALSE)="裂石"),$E$3*(1+$E$15),0),BJ41))</f>
        <v>0</v>
      </c>
      <c r="BM41" s="93">
        <f>IF(($D$9+IF(VLOOKUP($E41,武器奇术!$A:$R,17,FALSE)="裂石",$D$15,0)-VLOOKUP($F$7,目标属性!$A:$R,6,FALSE))&gt;0,($D$9+IF(VLOOKUP($E41,武器奇术!$A:$R,17,FALSE)="裂石",$D$15,0)-VLOOKUP($F$7,目标属性!$A:$R,6,FALSE))/200,($D$9+IF(VLOOKUP($E41,武器奇术!$A:$R,17,FALSE)="裂石",$D$15,0)-VLOOKUP($F$7,目标属性!$A:$R,6,FALSE))/100)</f>
        <v>-0.24</v>
      </c>
      <c r="BN41" s="100">
        <f t="shared" ref="BN41:BN50" si="47">$E$9</f>
        <v>0</v>
      </c>
      <c r="BO41" s="91">
        <v>1</v>
      </c>
      <c r="BP41" s="92">
        <f>BJ41*IF(VLOOKUP($E41,武器奇术!$A:$R,17,FALSE)="裂石",VLOOKUP($E41,武器奇术!$A:$R,4,FALSE),VLOOKUP($E41,武器奇术!$A:$R,2,FALSE))*(1+BM41)*(1+BN41)*BO41</f>
        <v>0</v>
      </c>
      <c r="BQ41" s="93">
        <f>(1-IF(VLOOKUP($E41,武器奇术!$A:$R,16,FALSE)="陌刀",1,$N41))*(1-$M41)</f>
        <v>0</v>
      </c>
      <c r="BR41" s="92">
        <f>BK41*IF(VLOOKUP($E41,武器奇术!$A:$R,17,FALSE)="裂石",VLOOKUP($E41,武器奇术!$A:$R,4,FALSE),VLOOKUP($E41,武器奇术!$A:$R,2,FALSE))*(1+BM41)*(1+BN41)*BO41*(1+$E$16+VLOOKUP($E41,武器奇术!$A:$R,8,FALSE))</f>
        <v>0</v>
      </c>
      <c r="BS41" s="93">
        <f t="shared" si="5"/>
        <v>0.887</v>
      </c>
      <c r="BT41" s="92">
        <f>BL41*IF(VLOOKUP($E41,武器奇术!$A:$R,17,FALSE)="裂石",VLOOKUP($E41,武器奇术!$A:$R,4,FALSE),VLOOKUP($E41,武器奇术!$A:$R,2,FALSE))*(1+BM41)*(1+BN41)*BO41*(1+$E$17+VLOOKUP($E41,武器奇术!$A:$R,10,FALSE))</f>
        <v>0</v>
      </c>
      <c r="BU41" s="93">
        <f t="shared" si="6"/>
        <v>0.0986</v>
      </c>
      <c r="BV41" s="92">
        <f>BK41*IF(VLOOKUP($E41,武器奇术!$A:$R,17,FALSE)="裂石",VLOOKUP($E41,武器奇术!$A:$R,4,FALSE),VLOOKUP($E41,武器奇术!$A:$R,2,FALSE))*(1+BM41)*(1+BN41)*BO41</f>
        <v>0</v>
      </c>
      <c r="BW41" s="93">
        <f t="shared" si="34"/>
        <v>0.0144</v>
      </c>
      <c r="BX41" s="101">
        <f t="shared" si="35"/>
        <v>0</v>
      </c>
      <c r="BY41" s="99">
        <f>IF(VLOOKUP($E41,武器奇术!$A:$R,18,FALSE)="极乐",0,$B$11*IF($G$5="撼天",1.05,1)+IF(AND(VLOOKUP($E41,武器奇术!$A:$R,15,FALSE)="武器",VLOOKUP($E41,武器奇术!$A:$R,17,FALSE)="牵丝"),$E$3*(1+$E$15),0))</f>
        <v>0</v>
      </c>
      <c r="BZ41" s="91">
        <f t="shared" si="36"/>
        <v>0</v>
      </c>
      <c r="CA41" s="91">
        <f>IF(VLOOKUP($E41,武器奇术!$A:$R,18,FALSE)="极乐",0,MAX($C$11*IF($G$5="撼天",1.05,1)+IF(AND(VLOOKUP($E41,武器奇术!$A:$R,15,FALSE)="武器",VLOOKUP($E41,武器奇术!$A:$R,17,FALSE)="牵丝"),$E$3*(1+$E$15),0),BY41))</f>
        <v>0</v>
      </c>
      <c r="CB41" s="93">
        <f>IF(($D$11+IF(VLOOKUP($E41,武器奇术!$A:$R,17,FALSE)="牵丝",$D$15,0)-VLOOKUP($F$7,目标属性!$A:$R,6,FALSE))&gt;0,($D$11+IF(VLOOKUP($E41,武器奇术!$A:$R,17,FALSE)="牵丝",$D$15,0)-VLOOKUP($F$7,目标属性!$A:$R,6,FALSE))/200,($D$11+IF(VLOOKUP($E41,武器奇术!$A:$R,17,FALSE)="牵丝",$D$15,0)-VLOOKUP($F$7,目标属性!$A:$R,6,FALSE))/100)</f>
        <v>-0.24</v>
      </c>
      <c r="CC41" s="100">
        <f t="shared" ref="CC41:CC50" si="48">$E$11</f>
        <v>0</v>
      </c>
      <c r="CD41" s="91">
        <v>1</v>
      </c>
      <c r="CE41" s="92">
        <f>BY41*IF(VLOOKUP($E41,武器奇术!$A:$R,17,FALSE)="牵丝",VLOOKUP($E41,武器奇术!$A:$R,4,FALSE),VLOOKUP($E41,武器奇术!$A:$R,2,FALSE))*(1+CB41)*(1+CC41)*CD41</f>
        <v>0</v>
      </c>
      <c r="CF41" s="93">
        <f>(1-IF(VLOOKUP($E41,武器奇术!$A:$R,16,FALSE)="陌刀",1,$N41))*(1-$M41)</f>
        <v>0</v>
      </c>
      <c r="CG41" s="92">
        <f>BZ41*IF(VLOOKUP($E41,武器奇术!$A:$R,17,FALSE)="牵丝",VLOOKUP($E41,武器奇术!$A:$R,4,FALSE),VLOOKUP($E41,武器奇术!$A:$R,2,FALSE))*(1+CB41)*(1+CC41)*CD41*(1+$E$16+VLOOKUP($E41,武器奇术!$A:$R,8,FALSE))</f>
        <v>0</v>
      </c>
      <c r="CH41" s="93">
        <f t="shared" si="7"/>
        <v>0.887</v>
      </c>
      <c r="CI41" s="92">
        <f>CA41*IF(VLOOKUP($E41,武器奇术!$A:$R,17,FALSE)="牵丝",VLOOKUP($E41,武器奇术!$A:$R,4,FALSE),VLOOKUP($E41,武器奇术!$A:$R,2,FALSE))*(1+CB41)*(1+CC41)*CD41*(1+$E$17+VLOOKUP($E41,武器奇术!$A:$R,10,FALSE))</f>
        <v>0</v>
      </c>
      <c r="CJ41" s="93">
        <f t="shared" si="8"/>
        <v>0.0986</v>
      </c>
      <c r="CK41" s="92">
        <f>BZ41*IF(VLOOKUP($E41,武器奇术!$A:$R,17,FALSE)="牵丝",VLOOKUP($E41,武器奇术!$A:$R,4,FALSE),VLOOKUP($E41,武器奇术!$A:$R,2,FALSE))*(1+CB41)*(1+CC41)*CD41</f>
        <v>0</v>
      </c>
      <c r="CL41" s="93">
        <f t="shared" si="38"/>
        <v>0.0144</v>
      </c>
      <c r="CM41" s="101">
        <f t="shared" si="39"/>
        <v>0</v>
      </c>
      <c r="CN41" s="99">
        <f>IF(VLOOKUP($E41,武器奇术!$A:$R,18,FALSE)="极乐",0,$B$13*IF($G$5="撼天",1.05,1)+IF(AND(VLOOKUP($E41,武器奇术!$A:$R,15,FALSE)="武器",VLOOKUP($E41,武器奇术!$A:$R,17,FALSE)="破竹"),$E$3*(1+$E$15),0))</f>
        <v>686.71</v>
      </c>
      <c r="CO41" s="91">
        <f t="shared" si="40"/>
        <v>1052.21</v>
      </c>
      <c r="CP41" s="91">
        <f>IF(VLOOKUP($E41,武器奇术!$A:$R,18,FALSE)="极乐",0,MAX($C$13*IF($G$5="撼天",1.05,1)+IF(AND(VLOOKUP($E41,武器奇术!$A:$R,15,FALSE)="武器",VLOOKUP($E41,武器奇术!$A:$R,17,FALSE)="破竹"),$E$3*(1+$E$15),0),CN41))</f>
        <v>1417.71</v>
      </c>
      <c r="CQ41" s="93">
        <f>IF(($D$13+IF(VLOOKUP($E41,武器奇术!$A:$R,17,FALSE)="破竹",$D$15,0)-VLOOKUP($F$7,目标属性!$A:$R,6,FALSE)+IF(VLOOKUP($E41,武器奇术!$A:$V,22,FALSE)=1,4,0)+IF(VLOOKUP($E41,武器奇术!$A:$T,20,FALSE)=1,10,0))&gt;0,($D$13+IF(VLOOKUP($E41,武器奇术!$A:$R,17,FALSE)="破竹",$D$15,0)-VLOOKUP($F$7,目标属性!$A:$R,6,FALSE)+IF(VLOOKUP($E41,武器奇术!$A:$V,22,FALSE)=1,4,0)+IF(VLOOKUP($E41,武器奇术!$A:$T,20,FALSE)=1,10,0))/200,($D$13+IF(VLOOKUP($E41,武器奇术!$A:$R,17,FALSE)="破竹",$D$15,0)-VLOOKUP($F$7,目标属性!$A:$R,6,FALSE)+IF(VLOOKUP($E41,武器奇术!$A:$V,22,FALSE)=1,4,0)+IF(VLOOKUP($E41,武器奇术!$A:$T,20,FALSE)=1,10,0))/100)</f>
        <v>0.078</v>
      </c>
      <c r="CR41" s="120">
        <f>$E$13+IF(期望!$G$5="燕归",6/100,0)</f>
        <v>0.208</v>
      </c>
      <c r="CS41" s="91">
        <v>1</v>
      </c>
      <c r="CT41" s="92">
        <f>CN41*IF(VLOOKUP($E41,武器奇术!$A:$R,17,FALSE)="破竹",VLOOKUP($E41,武器奇术!$A:$R,4,FALSE),VLOOKUP($E41,武器奇术!$A:$R,2,FALSE))*(1+CQ41)*(1+CR41)*CS41</f>
        <v>3739.14642622801</v>
      </c>
      <c r="CU41" s="93">
        <f>(1-IF(VLOOKUP($E41,武器奇术!$A:$R,16,FALSE)="陌刀",1,$N41))*(1-$M41)</f>
        <v>0</v>
      </c>
      <c r="CV41" s="92">
        <f>CO41*IF(VLOOKUP($E41,武器奇术!$A:$R,17,FALSE)="破竹",VLOOKUP($E41,武器奇术!$A:$R,4,FALSE),VLOOKUP($E41,武器奇术!$A:$R,2,FALSE))*(1+CQ41)*(1+CR41)*CS41*(1+$E$16+VLOOKUP($E41,武器奇术!$A:$R,8,FALSE))</f>
        <v>12283.6181326719</v>
      </c>
      <c r="CW41" s="93">
        <f t="shared" si="9"/>
        <v>0.887</v>
      </c>
      <c r="CX41" s="92">
        <f>CP41*IF(VLOOKUP($E41,武器奇术!$A:$R,17,FALSE)="破竹",VLOOKUP($E41,武器奇术!$A:$R,4,FALSE),VLOOKUP($E41,武器奇术!$A:$R,2,FALSE))*(1+CQ41)*(1+CR41)*CS41*(1+$E$17+VLOOKUP($E41,武器奇术!$A:$R,10,FALSE))</f>
        <v>10421.2609804756</v>
      </c>
      <c r="CY41" s="93">
        <f t="shared" si="10"/>
        <v>0.0986</v>
      </c>
      <c r="CZ41" s="92">
        <f>CO41*IF(VLOOKUP($E41,武器奇术!$A:$R,17,FALSE)="破竹",VLOOKUP($E41,武器奇术!$A:$R,4,FALSE),VLOOKUP($E41,武器奇术!$A:$R,2,FALSE))*(1+CQ41)*(1+CR41)*CS41</f>
        <v>5729.29950217905</v>
      </c>
      <c r="DA41" s="93">
        <f t="shared" si="42"/>
        <v>0.0144</v>
      </c>
      <c r="DB41" s="101">
        <f t="shared" si="43"/>
        <v>12005.6075291862</v>
      </c>
      <c r="DC41" s="99">
        <f>IF(VLOOKUP($E41,武器奇术!$A:$R,18,FALSE)="极乐",0,$B$15)</f>
        <v>66</v>
      </c>
      <c r="DD41" s="91">
        <f t="shared" si="44"/>
        <v>95.9</v>
      </c>
      <c r="DE41" s="91">
        <f>IF(VLOOKUP($E41,武器奇术!$A:$R,18,FALSE)="极乐",0,$C$15)</f>
        <v>125.8</v>
      </c>
      <c r="DF41" s="93">
        <f>IF((IF(VLOOKUP($E41,武器奇术!$A:$R,17,FALSE)="鸣金",$D$7,0)+IF(VLOOKUP($E41,武器奇术!$A:$R,17,FALSE)="裂石",$D$9,0)+IF(VLOOKUP($E41,武器奇术!$A:$R,17,FALSE)="牵丝",$D$11,0)+IF(VLOOKUP($E41,武器奇术!$A:$R,17,FALSE)="破竹",$D$13,0)+$D$15-VLOOKUP($F$7,目标属性!$A:$R,6,FALSE)+IF(VLOOKUP($E41,武器奇术!$A:$V,22,FALSE)=1,4,0)+IF(VLOOKUP($E41,武器奇术!$A:$T,20,FALSE)=1,10,0))&gt;0,(IF(VLOOKUP($E41,武器奇术!$A:$R,17,FALSE)="鸣金",$D$7,0)+IF(VLOOKUP($E41,武器奇术!$A:$R,17,FALSE)="裂石",$D$9,0)+IF(VLOOKUP($E41,武器奇术!$A:$R,17,FALSE)="牵丝",$D$11,0)+IF(VLOOKUP($E41,武器奇术!$A:$R,17,FALSE)="破竹",$D$13,0)+$D$15-VLOOKUP($F$7,目标属性!$A:$R,6,FALSE)+IF(VLOOKUP($E41,武器奇术!$A:$V,22,FALSE)=1,4,0)+IF(VLOOKUP($E41,武器奇术!$A:$T,20,FALSE)=1,10,0))/200,(IF(VLOOKUP($E41,武器奇术!$A:$R,17,FALSE)="鸣金",$D$7,0)+IF(VLOOKUP($E41,武器奇术!$A:$R,17,FALSE)="裂石",$D$9,0)+IF(VLOOKUP($E41,武器奇术!$A:$R,17,FALSE)="牵丝",$D$11,0)+IF(VLOOKUP($E41,武器奇术!$A:$R,17,FALSE)="破竹",$D$13,0)+$D$15-VLOOKUP($F$7,目标属性!$A:$R,6,FALSE)+IF(VLOOKUP($E41,武器奇术!$A:$V,22,FALSE)=1,4,0)+IF(VLOOKUP($E41,武器奇术!$A:$T,20,FALSE)=1,10,0))/100)</f>
        <v>0.078</v>
      </c>
      <c r="DG41" s="120">
        <f>$E$13+IF(期望!$G$5="燕归",6/100,0)</f>
        <v>0.208</v>
      </c>
      <c r="DH41" s="91">
        <v>1</v>
      </c>
      <c r="DI41" s="92">
        <f>DC41*IF(VLOOKUP($E41,武器奇术!$A:$R,17,FALSE)="破竹",VLOOKUP($E41,武器奇术!$A:$R,4,FALSE),VLOOKUP($E41,武器奇术!$A:$R,2,FALSE))*(1+DF41)*(1+DG41)*DH41</f>
        <v>359.37100687488</v>
      </c>
      <c r="DJ41" s="93">
        <f>(1-IF(VLOOKUP($E41,武器奇术!$A:$R,16,FALSE)="陌刀",1,$N41))*(1-$M41)</f>
        <v>0</v>
      </c>
      <c r="DK41" s="92">
        <f>DD41*IF(VLOOKUP($E41,武器奇术!$A:$R,17,FALSE)="破竹",VLOOKUP($E41,武器奇术!$A:$R,4,FALSE),VLOOKUP($E41,武器奇术!$A:$R,2,FALSE))*(1+DF41)*(1+DG41)*DH41*(1+$E$16+VLOOKUP($E41,武器奇术!$A:$R,8,FALSE))</f>
        <v>1119.54740871426</v>
      </c>
      <c r="DL41" s="93">
        <f t="shared" si="12"/>
        <v>0.887</v>
      </c>
      <c r="DM41" s="92">
        <f>DE41*IF(VLOOKUP($E41,武器奇术!$A:$R,17,FALSE)="破竹",VLOOKUP($E41,武器奇术!$A:$R,4,FALSE),VLOOKUP($E41,武器奇术!$A:$R,2,FALSE))*(1+DF41)*(1+DG41)*DH41*(1+$E$17+VLOOKUP($E41,武器奇术!$A:$R,10,FALSE))</f>
        <v>924.726940872135</v>
      </c>
      <c r="DN41" s="93">
        <f t="shared" si="13"/>
        <v>0.0986</v>
      </c>
      <c r="DO41" s="92">
        <f>DD41*IF(VLOOKUP($E41,武器奇术!$A:$R,17,FALSE)="破竹",VLOOKUP($E41,武器奇术!$A:$R,4,FALSE),VLOOKUP($E41,武器奇术!$A:$R,2,FALSE))*(1+DF41)*(1+DG41)*DH41</f>
        <v>522.176963019712</v>
      </c>
      <c r="DP41" s="93">
        <f t="shared" si="14"/>
        <v>0.0144</v>
      </c>
      <c r="DQ41" s="101">
        <f t="shared" si="15"/>
        <v>1091.73597616702</v>
      </c>
    </row>
    <row r="42" spans="1:121">
      <c r="B42" s="114"/>
      <c r="C42" s="109"/>
      <c r="D42" s="110"/>
      <c r="E42" s="105" t="s">
        <v>119</v>
      </c>
      <c r="F42" s="106">
        <f>11+SUM(F37:F40)+F41*3+2</f>
        <v>31</v>
      </c>
      <c r="G42" s="107">
        <f>$E$23</f>
        <v>0.32</v>
      </c>
      <c r="H42" s="92">
        <f>IF(VLOOKUP($E42,武器奇术!$A:$R,18,FALSE)="天工",AE42,(AE42+AT42+BI42+BX42+CM42+DB42+DQ42))*(1+J42)*F42*K42*(1+G42)</f>
        <v>478135.536425006</v>
      </c>
      <c r="I42" s="93">
        <f t="shared" si="16"/>
        <v>0.0613365264923355</v>
      </c>
      <c r="J42" s="108">
        <f>$F$3+VLOOKUP($E42,武器奇术!$A:$R,12,FALSE)+VLOOKUP($E42,武器奇术!$A:$R,14,FALSE)*$G$3+$P42+IF($F$21="√",5%,0)</f>
        <v>1.563</v>
      </c>
      <c r="K42" s="94">
        <f>VLOOKUP($E42,武器奇术!$A:$R,11,FALSE)</f>
        <v>1</v>
      </c>
      <c r="L42" s="109">
        <f>IF(VLOOKUP($E42,武器奇术!$A:$R,15,FALSE)="天工",0%,IF($C$17+VLOOKUP($E42,武器奇术!$A:$R,7,FALSE)&gt;80%,80%,$C$17+VLOOKUP($E42,武器奇术!$A:$R,7,FALSE))+IF($C$19&gt;20%,20%,$C$19))</f>
        <v>0.887</v>
      </c>
      <c r="M42" s="110">
        <f>IF(VLOOKUP($E42,武器奇术!$A:$R,15,FALSE)="天工",0%,IF($C$18+VLOOKUP($E42,武器奇术!$A:$R,9,FALSE)&gt;40%,40%,$C$18+VLOOKUP($E42,武器奇术!$A:$R,9,FALSE))+IF($C$20&gt;10%,10%,$C$20))</f>
        <v>0.0986</v>
      </c>
      <c r="N42" s="111">
        <f>IF(VLOOKUP($E42,武器奇术!$A:$R,15,FALSE)="天工",100%,MIN($C$16,1))</f>
        <v>1</v>
      </c>
      <c r="O42" s="112" t="str">
        <f>VLOOKUP($E42,武器奇术!$A:$R,16,FALSE)</f>
        <v>绳标</v>
      </c>
      <c r="P42" s="113">
        <f t="shared" si="17"/>
        <v>0.17</v>
      </c>
      <c r="Q42" s="99">
        <f>$B$5*(1+VLOOKUP($E42,武器奇术!$A:$R,5,FALSE)+IF($G$5="飞隼",0.1,0)+IF($G$5="撼天",0.05,0))-$F$9*IF(VLOOKUP($E42,武器奇术!$A:$S,19,FALSE)=1,0.9,1)+IF($I$5="√",160,0)</f>
        <v>2848.3</v>
      </c>
      <c r="R42" s="91">
        <f t="shared" si="18"/>
        <v>2848.3</v>
      </c>
      <c r="S42" s="91">
        <f>MAX($C$5,$B$5)*(1+VLOOKUP($E42,武器奇术!$A:$R,5,FALSE)+IF($G$5="飞隼",0.1,0)+IF($G$5="撼天",0.05,0))-$F$9*IF(VLOOKUP($E42,武器奇术!$A:$S,19,FALSE)=1,0.9,1)+IF($I$5="√",320,0)</f>
        <v>2848.3</v>
      </c>
      <c r="T42" s="93">
        <f>IF(($D$5+VLOOKUP($E42,武器奇术!$A:$R,13,FALSE)+IF($I$3="√",10,0)-VLOOKUP($F$7,目标属性!$A:$R,5,FALSE))&gt;0,($D$5+VLOOKUP($E42,武器奇术!$A:$R,13,FALSE)+IF($I$3="√",10,0)-VLOOKUP($F$7,目标属性!$A:$R,5,FALSE))/200,($D$5+VLOOKUP($E42,武器奇术!$A:$R,13,FALSE)+IF($I$3="√",10,0)-VLOOKUP($F$7,目标属性!$A:$R,5,FALSE))/100)</f>
        <v>0.2675</v>
      </c>
      <c r="U42" s="120">
        <f>$E$5+IF(VLOOKUP($E42,武器奇术!$A:$R,18,FALSE)="鼠鼠",0.24,0)+IF(期望!$G$5="燕归",6/31*15/100,0)</f>
        <v>0.269032258064516</v>
      </c>
      <c r="V42" s="91">
        <v>1</v>
      </c>
      <c r="W42" s="92">
        <f>Q42*VLOOKUP($E42,武器奇术!$A:$R,2,FALSE)*(1+T42)*(1+U42)*V42</f>
        <v>1603.52008458871</v>
      </c>
      <c r="X42" s="93">
        <f>(1-IF(VLOOKUP($E42,武器奇术!$A:$R,16,FALSE)="陌刀",1,$N42))*(1-$M42)</f>
        <v>0</v>
      </c>
      <c r="Y42" s="92">
        <f>R42*VLOOKUP($E42,武器奇术!$A:$R,2,FALSE)*(1+T42)*(1+U42)*V42*(1+$E$16+VLOOKUP($E42,武器奇术!$A:$R,8,FALSE))</f>
        <v>3437.94706135819</v>
      </c>
      <c r="Z42" s="93">
        <f t="shared" si="19"/>
        <v>0.887</v>
      </c>
      <c r="AA42" s="92">
        <f>S42*VLOOKUP($E42,武器奇术!$A:$R,2,FALSE)*(1+T42)*(1+U42)*V42*(1+$E$17+VLOOKUP($E42,武器奇术!$A:$R,10,FALSE))</f>
        <v>2164.75211419476</v>
      </c>
      <c r="AB42" s="93">
        <f t="shared" si="20"/>
        <v>0.0986</v>
      </c>
      <c r="AC42" s="92">
        <f>R42*VLOOKUP($E42,武器奇术!$A:$R,2,FALSE)*(1+T42)*(1+U42)*V42</f>
        <v>1603.52008458871</v>
      </c>
      <c r="AD42" s="93">
        <f t="shared" si="21"/>
        <v>0.0144</v>
      </c>
      <c r="AE42" s="101">
        <f t="shared" si="22"/>
        <v>3285.99429110239</v>
      </c>
      <c r="AF42" s="102">
        <f>VLOOKUP($E42,武器奇术!$A:$R,3,FALSE)*(1+IF(VLOOKUP($E42,武器奇术!$A:$R,15,FALSE)="武器",$E$15,0))</f>
        <v>0</v>
      </c>
      <c r="AG42" s="92">
        <f t="shared" si="23"/>
        <v>0</v>
      </c>
      <c r="AH42" s="92">
        <f>VLOOKUP($E42,武器奇术!$A:$R,3,FALSE)*(1+IF(VLOOKUP($E42,武器奇术!$A:$R,15,FALSE)="武器",$E$15,0))</f>
        <v>0</v>
      </c>
      <c r="AI42" s="93">
        <f>IF(($D$5+VLOOKUP($E42,武器奇术!$A:$R,13,FALSE)+IF($I$3="√",10,0)-VLOOKUP($F$7,目标属性!$A:$R,5,FALSE))&gt;0,($D$5+VLOOKUP($E42,武器奇术!$A:$R,13,FALSE)+IF($I$3="√",10,0)-VLOOKUP($F$7,目标属性!$A:$R,5,FALSE))/200,($D$5+VLOOKUP($E42,武器奇术!$A:$R,13,FALSE)+IF($I$3="√",10,0)-VLOOKUP($F$7,目标属性!$A:$R,5,FALSE))/100)</f>
        <v>0.2675</v>
      </c>
      <c r="AJ42" s="120">
        <f>$E$5+IF(VLOOKUP($E42,武器奇术!$A:$R,18,FALSE)="鼠鼠",0.24,0)+IF(期望!$G$5="燕归",6/31*15/100,0)</f>
        <v>0.269032258064516</v>
      </c>
      <c r="AK42" s="91">
        <v>1</v>
      </c>
      <c r="AL42" s="92">
        <f t="shared" si="24"/>
        <v>0</v>
      </c>
      <c r="AM42" s="93">
        <f>(1-IF(VLOOKUP($E42,武器奇术!$A:$R,16,FALSE)="陌刀",1,$N42))*(1-$M42)</f>
        <v>0</v>
      </c>
      <c r="AN42" s="92">
        <f>AG42*(1+AI42)*(1+AJ42)*AK42*(1+$E$16+VLOOKUP($E42,武器奇术!$A:$R,8,FALSE))</f>
        <v>0</v>
      </c>
      <c r="AO42" s="93">
        <f t="shared" si="1"/>
        <v>0.887</v>
      </c>
      <c r="AP42" s="92">
        <f>AH42*(1+AI42)*(1+AJ42)*AK42*(1+$E$17+VLOOKUP($E42,武器奇术!$A:$R,10,FALSE))</f>
        <v>0</v>
      </c>
      <c r="AQ42" s="93">
        <f t="shared" si="2"/>
        <v>0.0986</v>
      </c>
      <c r="AR42" s="92">
        <f t="shared" si="25"/>
        <v>0</v>
      </c>
      <c r="AS42" s="93">
        <f t="shared" si="26"/>
        <v>0.0144</v>
      </c>
      <c r="AT42" s="101">
        <f t="shared" si="27"/>
        <v>0</v>
      </c>
      <c r="AU42" s="99">
        <f>IF(VLOOKUP($E42,武器奇术!$A:$R,18,FALSE)="极乐",0,$B$7*IF($G$5="撼天",1.05,1)+IF(AND(VLOOKUP($E42,武器奇术!$A:$R,15,FALSE)="武器",VLOOKUP($E42,武器奇术!$A:$R,17,FALSE)="鸣金"),$E$3*(1+$E$15),0))</f>
        <v>0</v>
      </c>
      <c r="AV42" s="91">
        <f t="shared" si="28"/>
        <v>0</v>
      </c>
      <c r="AW42" s="91">
        <f>IF(VLOOKUP($E42,武器奇术!$A:$R,18,FALSE)="极乐",0,MAX($C$7*IF($G$5="撼天",1.05,1)+IF(AND(VLOOKUP($E42,武器奇术!$A:$R,15,FALSE)="武器",VLOOKUP($E42,武器奇术!$A:$R,17,FALSE)="鸣金"),$E$3*(1+$E$15),0),AU42))</f>
        <v>0</v>
      </c>
      <c r="AX42" s="93">
        <f>IF(($D$7+IF(VLOOKUP($E42,武器奇术!$A:$R,17,FALSE)="鸣金",$D$15,0)-VLOOKUP($F$7,目标属性!$A:$R,6,FALSE))&gt;0,($D$7+IF(VLOOKUP($E42,武器奇术!$A:$R,17,FALSE)="鸣金",$D$15,0)-VLOOKUP($F$7,目标属性!$A:$R,6,FALSE))/200,($D$7+IF(VLOOKUP($E42,武器奇术!$A:$R,17,FALSE)="鸣金",$D$15,0)-VLOOKUP($F$7,目标属性!$A:$R,6,FALSE))/100)</f>
        <v>-0.24</v>
      </c>
      <c r="AY42" s="100">
        <f t="shared" si="46"/>
        <v>0</v>
      </c>
      <c r="AZ42" s="91">
        <v>1</v>
      </c>
      <c r="BA42" s="92">
        <f>AU42*IF(VLOOKUP($E42,武器奇术!$A:$R,17,FALSE)="鸣金",VLOOKUP($E42,武器奇术!$A:$R,4,FALSE),VLOOKUP($E42,武器奇术!$A:$R,2,FALSE))*(1+AX42)*(1+AY42)*AZ42</f>
        <v>0</v>
      </c>
      <c r="BB42" s="93">
        <f>(1-IF(VLOOKUP($E42,武器奇术!$A:$R,16,FALSE)="陌刀",1,$N42))*(1-$M42)</f>
        <v>0</v>
      </c>
      <c r="BC42" s="92">
        <f>AV42*IF(VLOOKUP($E42,武器奇术!$A:$R,17,FALSE)="鸣金",VLOOKUP($E42,武器奇术!$A:$R,4,FALSE),VLOOKUP($E42,武器奇术!$A:$R,2,FALSE))*(1+AX42)*(1+AY42)*AZ42*(1+$E$16+VLOOKUP($E42,武器奇术!$A:$R,8,FALSE))</f>
        <v>0</v>
      </c>
      <c r="BD42" s="93">
        <f t="shared" si="3"/>
        <v>0.887</v>
      </c>
      <c r="BE42" s="92">
        <f>AW42*IF(VLOOKUP($E42,武器奇术!$A:$R,17,FALSE)="鸣金",VLOOKUP($E42,武器奇术!$A:$R,4,FALSE),VLOOKUP($E42,武器奇术!$A:$R,2,FALSE))*(1+AX42)*(1+AY42)*AZ42*(1+$E$17+VLOOKUP($E42,武器奇术!$A:$R,10,FALSE))</f>
        <v>0</v>
      </c>
      <c r="BF42" s="93">
        <f t="shared" si="4"/>
        <v>0.0986</v>
      </c>
      <c r="BG42" s="92">
        <f>AV42*IF(VLOOKUP($E42,武器奇术!$A:$R,17,FALSE)="鸣金",VLOOKUP($E42,武器奇术!$A:$R,4,FALSE),VLOOKUP($E42,武器奇术!$A:$R,2,FALSE))*(1+AX42)*(1+AY42)*AZ42</f>
        <v>0</v>
      </c>
      <c r="BH42" s="93">
        <f t="shared" si="30"/>
        <v>0.0144</v>
      </c>
      <c r="BI42" s="101">
        <f t="shared" si="31"/>
        <v>0</v>
      </c>
      <c r="BJ42" s="99">
        <f>IF(VLOOKUP($E42,武器奇术!$A:$R,18,FALSE)="极乐",0,$B$9*IF($G$5="撼天",1.05,1)+IF(AND(VLOOKUP($E42,武器奇术!$A:$R,15,FALSE)="武器",VLOOKUP($E42,武器奇术!$A:$R,17,FALSE)="裂石"),$E$3*(1+$E$15),0))</f>
        <v>0</v>
      </c>
      <c r="BK42" s="91">
        <f t="shared" si="32"/>
        <v>0</v>
      </c>
      <c r="BL42" s="91">
        <f>IF(VLOOKUP($E42,武器奇术!$A:$R,18,FALSE)="极乐",0,MAX($C$9*IF($G$5="撼天",1.05,1)+IF(AND(VLOOKUP($E42,武器奇术!$A:$R,15,FALSE)="武器",VLOOKUP($E42,武器奇术!$A:$R,17,FALSE)="裂石"),$E$3*(1+$E$15),0),BJ42))</f>
        <v>0</v>
      </c>
      <c r="BM42" s="93">
        <f>IF(($D$9+IF(VLOOKUP($E42,武器奇术!$A:$R,17,FALSE)="裂石",$D$15,0)-VLOOKUP($F$7,目标属性!$A:$R,6,FALSE))&gt;0,($D$9+IF(VLOOKUP($E42,武器奇术!$A:$R,17,FALSE)="裂石",$D$15,0)-VLOOKUP($F$7,目标属性!$A:$R,6,FALSE))/200,($D$9+IF(VLOOKUP($E42,武器奇术!$A:$R,17,FALSE)="裂石",$D$15,0)-VLOOKUP($F$7,目标属性!$A:$R,6,FALSE))/100)</f>
        <v>-0.24</v>
      </c>
      <c r="BN42" s="100">
        <f t="shared" si="47"/>
        <v>0</v>
      </c>
      <c r="BO42" s="91">
        <v>1</v>
      </c>
      <c r="BP42" s="92">
        <f>BJ42*IF(VLOOKUP($E42,武器奇术!$A:$R,17,FALSE)="裂石",VLOOKUP($E42,武器奇术!$A:$R,4,FALSE),VLOOKUP($E42,武器奇术!$A:$R,2,FALSE))*(1+BM42)*(1+BN42)*BO42</f>
        <v>0</v>
      </c>
      <c r="BQ42" s="93">
        <f>(1-IF(VLOOKUP($E42,武器奇术!$A:$R,16,FALSE)="陌刀",1,$N42))*(1-$M42)</f>
        <v>0</v>
      </c>
      <c r="BR42" s="92">
        <f>BK42*IF(VLOOKUP($E42,武器奇术!$A:$R,17,FALSE)="裂石",VLOOKUP($E42,武器奇术!$A:$R,4,FALSE),VLOOKUP($E42,武器奇术!$A:$R,2,FALSE))*(1+BM42)*(1+BN42)*BO42*(1+$E$16+VLOOKUP($E42,武器奇术!$A:$R,8,FALSE))</f>
        <v>0</v>
      </c>
      <c r="BS42" s="93">
        <f t="shared" si="5"/>
        <v>0.887</v>
      </c>
      <c r="BT42" s="92">
        <f>BL42*IF(VLOOKUP($E42,武器奇术!$A:$R,17,FALSE)="裂石",VLOOKUP($E42,武器奇术!$A:$R,4,FALSE),VLOOKUP($E42,武器奇术!$A:$R,2,FALSE))*(1+BM42)*(1+BN42)*BO42*(1+$E$17+VLOOKUP($E42,武器奇术!$A:$R,10,FALSE))</f>
        <v>0</v>
      </c>
      <c r="BU42" s="93">
        <f t="shared" si="6"/>
        <v>0.0986</v>
      </c>
      <c r="BV42" s="92">
        <f>BK42*IF(VLOOKUP($E42,武器奇术!$A:$R,17,FALSE)="裂石",VLOOKUP($E42,武器奇术!$A:$R,4,FALSE),VLOOKUP($E42,武器奇术!$A:$R,2,FALSE))*(1+BM42)*(1+BN42)*BO42</f>
        <v>0</v>
      </c>
      <c r="BW42" s="93">
        <f t="shared" si="34"/>
        <v>0.0144</v>
      </c>
      <c r="BX42" s="101">
        <f t="shared" si="35"/>
        <v>0</v>
      </c>
      <c r="BY42" s="99">
        <f>IF(VLOOKUP($E42,武器奇术!$A:$R,18,FALSE)="极乐",0,$B$11*IF($G$5="撼天",1.05,1)+IF(AND(VLOOKUP($E42,武器奇术!$A:$R,15,FALSE)="武器",VLOOKUP($E42,武器奇术!$A:$R,17,FALSE)="牵丝"),$E$3*(1+$E$15),0))</f>
        <v>0</v>
      </c>
      <c r="BZ42" s="91">
        <f t="shared" si="36"/>
        <v>0</v>
      </c>
      <c r="CA42" s="91">
        <f>IF(VLOOKUP($E42,武器奇术!$A:$R,18,FALSE)="极乐",0,MAX($C$11*IF($G$5="撼天",1.05,1)+IF(AND(VLOOKUP($E42,武器奇术!$A:$R,15,FALSE)="武器",VLOOKUP($E42,武器奇术!$A:$R,17,FALSE)="牵丝"),$E$3*(1+$E$15),0),BY42))</f>
        <v>0</v>
      </c>
      <c r="CB42" s="93">
        <f>IF(($D$11+IF(VLOOKUP($E42,武器奇术!$A:$R,17,FALSE)="牵丝",$D$15,0)-VLOOKUP($F$7,目标属性!$A:$R,6,FALSE))&gt;0,($D$11+IF(VLOOKUP($E42,武器奇术!$A:$R,17,FALSE)="牵丝",$D$15,0)-VLOOKUP($F$7,目标属性!$A:$R,6,FALSE))/200,($D$11+IF(VLOOKUP($E42,武器奇术!$A:$R,17,FALSE)="牵丝",$D$15,0)-VLOOKUP($F$7,目标属性!$A:$R,6,FALSE))/100)</f>
        <v>-0.24</v>
      </c>
      <c r="CC42" s="100">
        <f t="shared" si="48"/>
        <v>0</v>
      </c>
      <c r="CD42" s="91">
        <v>1</v>
      </c>
      <c r="CE42" s="92">
        <f>BY42*IF(VLOOKUP($E42,武器奇术!$A:$R,17,FALSE)="牵丝",VLOOKUP($E42,武器奇术!$A:$R,4,FALSE),VLOOKUP($E42,武器奇术!$A:$R,2,FALSE))*(1+CB42)*(1+CC42)*CD42</f>
        <v>0</v>
      </c>
      <c r="CF42" s="93">
        <f>(1-IF(VLOOKUP($E42,武器奇术!$A:$R,16,FALSE)="陌刀",1,$N42))*(1-$M42)</f>
        <v>0</v>
      </c>
      <c r="CG42" s="92">
        <f>BZ42*IF(VLOOKUP($E42,武器奇术!$A:$R,17,FALSE)="牵丝",VLOOKUP($E42,武器奇术!$A:$R,4,FALSE),VLOOKUP($E42,武器奇术!$A:$R,2,FALSE))*(1+CB42)*(1+CC42)*CD42*(1+$E$16+VLOOKUP($E42,武器奇术!$A:$R,8,FALSE))</f>
        <v>0</v>
      </c>
      <c r="CH42" s="93">
        <f t="shared" si="7"/>
        <v>0.887</v>
      </c>
      <c r="CI42" s="92">
        <f>CA42*IF(VLOOKUP($E42,武器奇术!$A:$R,17,FALSE)="牵丝",VLOOKUP($E42,武器奇术!$A:$R,4,FALSE),VLOOKUP($E42,武器奇术!$A:$R,2,FALSE))*(1+CB42)*(1+CC42)*CD42*(1+$E$17+VLOOKUP($E42,武器奇术!$A:$R,10,FALSE))</f>
        <v>0</v>
      </c>
      <c r="CJ42" s="93">
        <f t="shared" si="8"/>
        <v>0.0986</v>
      </c>
      <c r="CK42" s="92">
        <f>BZ42*IF(VLOOKUP($E42,武器奇术!$A:$R,17,FALSE)="牵丝",VLOOKUP($E42,武器奇术!$A:$R,4,FALSE),VLOOKUP($E42,武器奇术!$A:$R,2,FALSE))*(1+CB42)*(1+CC42)*CD42</f>
        <v>0</v>
      </c>
      <c r="CL42" s="93">
        <f t="shared" si="38"/>
        <v>0.0144</v>
      </c>
      <c r="CM42" s="101">
        <f t="shared" si="39"/>
        <v>0</v>
      </c>
      <c r="CN42" s="99">
        <f>IF(VLOOKUP($E42,武器奇术!$A:$R,18,FALSE)="极乐",0,$B$13*IF($G$5="撼天",1.05,1)+IF(AND(VLOOKUP($E42,武器奇术!$A:$R,15,FALSE)="武器",VLOOKUP($E42,武器奇术!$A:$R,17,FALSE)="破竹"),$E$3*(1+$E$15),0))</f>
        <v>490.8</v>
      </c>
      <c r="CO42" s="91">
        <f t="shared" si="40"/>
        <v>856.3</v>
      </c>
      <c r="CP42" s="91">
        <f>IF(VLOOKUP($E42,武器奇术!$A:$R,18,FALSE)="极乐",0,MAX($C$13*IF($G$5="撼天",1.05,1)+IF(AND(VLOOKUP($E42,武器奇术!$A:$R,15,FALSE)="武器",VLOOKUP($E42,武器奇术!$A:$R,17,FALSE)="破竹"),$E$3*(1+$E$15),0),CN42))</f>
        <v>1221.8</v>
      </c>
      <c r="CQ42" s="93">
        <f>IF(($D$13+IF(VLOOKUP($E42,武器奇术!$A:$R,17,FALSE)="破竹",$D$15,0)-VLOOKUP($F$7,目标属性!$A:$R,6,FALSE)+IF(VLOOKUP($E42,武器奇术!$A:$V,22,FALSE)=1,4,0)+IF(VLOOKUP($E42,武器奇术!$A:$T,20,FALSE)=1,10,0))&gt;0,($D$13+IF(VLOOKUP($E42,武器奇术!$A:$R,17,FALSE)="破竹",$D$15,0)-VLOOKUP($F$7,目标属性!$A:$R,6,FALSE)+IF(VLOOKUP($E42,武器奇术!$A:$V,22,FALSE)=1,4,0)+IF(VLOOKUP($E42,武器奇术!$A:$T,20,FALSE)=1,10,0))/200,($D$13+IF(VLOOKUP($E42,武器奇术!$A:$R,17,FALSE)="破竹",$D$15,0)-VLOOKUP($F$7,目标属性!$A:$R,6,FALSE)+IF(VLOOKUP($E42,武器奇术!$A:$V,22,FALSE)=1,4,0)+IF(VLOOKUP($E42,武器奇术!$A:$T,20,FALSE)=1,10,0))/100)</f>
        <v>0.028</v>
      </c>
      <c r="CR42" s="120">
        <f>$E$13+IF(期望!$G$5="燕归",6/31*15/100,0)</f>
        <v>0.177032258064516</v>
      </c>
      <c r="CS42" s="91">
        <v>1</v>
      </c>
      <c r="CT42" s="92">
        <f>CN42*IF(VLOOKUP($E42,武器奇术!$A:$R,17,FALSE)="破竹",VLOOKUP($E42,武器奇术!$A:$R,4,FALSE),VLOOKUP($E42,武器奇术!$A:$R,2,FALSE))*(1+CQ42)*(1+CR42)*CS42</f>
        <v>311.777907189677</v>
      </c>
      <c r="CU42" s="93">
        <f>(1-IF(VLOOKUP($E42,武器奇术!$A:$R,16,FALSE)="陌刀",1,$N42))*(1-$M42)</f>
        <v>0</v>
      </c>
      <c r="CV42" s="92">
        <f>CO42*IF(VLOOKUP($E42,武器奇术!$A:$R,17,FALSE)="破竹",VLOOKUP($E42,武器奇术!$A:$R,4,FALSE),VLOOKUP($E42,武器奇术!$A:$R,2,FALSE))*(1+CQ42)*(1+CR42)*CS42*(1+$E$16+VLOOKUP($E42,武器奇术!$A:$R,8,FALSE))</f>
        <v>1166.2496018958</v>
      </c>
      <c r="CW42" s="93">
        <f t="shared" si="9"/>
        <v>0.887</v>
      </c>
      <c r="CX42" s="92">
        <f>CP42*IF(VLOOKUP($E42,武器奇术!$A:$R,17,FALSE)="破竹",VLOOKUP($E42,武器奇术!$A:$R,4,FALSE),VLOOKUP($E42,武器奇术!$A:$R,2,FALSE))*(1+CQ42)*(1+CR42)*CS42*(1+$E$17+VLOOKUP($E42,武器奇术!$A:$R,10,FALSE))</f>
        <v>1047.79102171123</v>
      </c>
      <c r="CY42" s="93">
        <f t="shared" si="10"/>
        <v>0.0986</v>
      </c>
      <c r="CZ42" s="92">
        <f>CO42*IF(VLOOKUP($E42,武器奇术!$A:$R,17,FALSE)="破竹",VLOOKUP($E42,武器奇术!$A:$R,4,FALSE),VLOOKUP($E42,武器奇术!$A:$R,2,FALSE))*(1+CQ42)*(1+CR42)*CS42</f>
        <v>543.959702376774</v>
      </c>
      <c r="DA42" s="93">
        <f t="shared" si="42"/>
        <v>0.0144</v>
      </c>
      <c r="DB42" s="101">
        <f t="shared" si="43"/>
        <v>1145.60861133653</v>
      </c>
      <c r="DC42" s="99">
        <f>IF(VLOOKUP($E42,武器奇术!$A:$R,18,FALSE)="极乐",0,$B$15)</f>
        <v>66</v>
      </c>
      <c r="DD42" s="91">
        <f t="shared" si="44"/>
        <v>95.9</v>
      </c>
      <c r="DE42" s="91">
        <f>IF(VLOOKUP($E42,武器奇术!$A:$R,18,FALSE)="极乐",0,$C$15)</f>
        <v>125.8</v>
      </c>
      <c r="DF42" s="93">
        <f>IF((IF(VLOOKUP($E42,武器奇术!$A:$R,17,FALSE)="鸣金",$D$7,0)+IF(VLOOKUP($E42,武器奇术!$A:$R,17,FALSE)="裂石",$D$9,0)+IF(VLOOKUP($E42,武器奇术!$A:$R,17,FALSE)="牵丝",$D$11,0)+IF(VLOOKUP($E42,武器奇术!$A:$R,17,FALSE)="破竹",$D$13,0)+$D$15-VLOOKUP($F$7,目标属性!$A:$R,6,FALSE)+IF(VLOOKUP($E42,武器奇术!$A:$V,22,FALSE)=1,4,0)+IF(VLOOKUP($E42,武器奇术!$A:$T,20,FALSE)=1,10,0))&gt;0,(IF(VLOOKUP($E42,武器奇术!$A:$R,17,FALSE)="鸣金",$D$7,0)+IF(VLOOKUP($E42,武器奇术!$A:$R,17,FALSE)="裂石",$D$9,0)+IF(VLOOKUP($E42,武器奇术!$A:$R,17,FALSE)="牵丝",$D$11,0)+IF(VLOOKUP($E42,武器奇术!$A:$R,17,FALSE)="破竹",$D$13,0)+$D$15-VLOOKUP($F$7,目标属性!$A:$R,6,FALSE)+IF(VLOOKUP($E42,武器奇术!$A:$V,22,FALSE)=1,4,0)+IF(VLOOKUP($E42,武器奇术!$A:$T,20,FALSE)=1,10,0))/200,(IF(VLOOKUP($E42,武器奇术!$A:$R,17,FALSE)="鸣金",$D$7,0)+IF(VLOOKUP($E42,武器奇术!$A:$R,17,FALSE)="裂石",$D$9,0)+IF(VLOOKUP($E42,武器奇术!$A:$R,17,FALSE)="牵丝",$D$11,0)+IF(VLOOKUP($E42,武器奇术!$A:$R,17,FALSE)="破竹",$D$13,0)+$D$15-VLOOKUP($F$7,目标属性!$A:$R,6,FALSE)+IF(VLOOKUP($E42,武器奇术!$A:$V,22,FALSE)=1,4,0)+IF(VLOOKUP($E42,武器奇术!$A:$T,20,FALSE)=1,10,0))/100)</f>
        <v>0.028</v>
      </c>
      <c r="DG42" s="120">
        <f>$E$13+IF(期望!$G$5="燕归",6/31*15/100,0)</f>
        <v>0.177032258064516</v>
      </c>
      <c r="DH42" s="91">
        <v>1</v>
      </c>
      <c r="DI42" s="92">
        <f>DC42*IF(VLOOKUP($E42,武器奇术!$A:$R,17,FALSE)="破竹",VLOOKUP($E42,武器奇术!$A:$R,4,FALSE),VLOOKUP($E42,武器奇术!$A:$R,2,FALSE))*(1+DF42)*(1+DG42)*DH42</f>
        <v>41.9261244387097</v>
      </c>
      <c r="DJ42" s="93">
        <f>(1-IF(VLOOKUP($E42,武器奇术!$A:$R,16,FALSE)="陌刀",1,$N42))*(1-$M42)</f>
        <v>0</v>
      </c>
      <c r="DK42" s="92">
        <f>DD42*IF(VLOOKUP($E42,武器奇术!$A:$R,17,FALSE)="破竹",VLOOKUP($E42,武器奇术!$A:$R,4,FALSE),VLOOKUP($E42,武器奇术!$A:$R,2,FALSE))*(1+DF42)*(1+DG42)*DH42*(1+$E$16+VLOOKUP($E42,武器奇术!$A:$R,8,FALSE))</f>
        <v>130.61232841505</v>
      </c>
      <c r="DL42" s="93">
        <f t="shared" si="12"/>
        <v>0.887</v>
      </c>
      <c r="DM42" s="92">
        <f>DE42*IF(VLOOKUP($E42,武器奇术!$A:$R,17,FALSE)="破竹",VLOOKUP($E42,武器奇术!$A:$R,4,FALSE),VLOOKUP($E42,武器奇术!$A:$R,2,FALSE))*(1+DF42)*(1+DG42)*DH42*(1+$E$17+VLOOKUP($E42,武器奇术!$A:$R,10,FALSE))</f>
        <v>107.883541112516</v>
      </c>
      <c r="DN42" s="93">
        <f t="shared" si="13"/>
        <v>0.0986</v>
      </c>
      <c r="DO42" s="92">
        <f>DD42*IF(VLOOKUP($E42,武器奇术!$A:$R,17,FALSE)="破竹",VLOOKUP($E42,武器奇术!$A:$R,4,FALSE),VLOOKUP($E42,武器奇术!$A:$R,2,FALSE))*(1+DF42)*(1+DG42)*DH42</f>
        <v>60.9199292980645</v>
      </c>
      <c r="DP42" s="93">
        <f t="shared" si="14"/>
        <v>0.0144</v>
      </c>
      <c r="DQ42" s="101">
        <f t="shared" si="15"/>
        <v>127.367699439736</v>
      </c>
    </row>
    <row r="43" spans="1:121">
      <c r="B43" s="114"/>
      <c r="C43" s="109"/>
      <c r="D43" s="110"/>
      <c r="E43" s="105" t="s">
        <v>120</v>
      </c>
      <c r="F43" s="106">
        <v>2</v>
      </c>
      <c r="G43" s="107"/>
      <c r="H43" s="92">
        <f>IF(VLOOKUP($E43,武器奇术!$A:$R,18,FALSE)="天工",AE43,(AE43+AT43+BI43+BX43+CM43+DB43+DQ43))*(1+J43)*F43*K43*(1+G43)</f>
        <v>56064.0784516035</v>
      </c>
      <c r="I43" s="93">
        <f t="shared" si="16"/>
        <v>0.00719205240197518</v>
      </c>
      <c r="J43" s="108">
        <f>$F$3+VLOOKUP($E43,武器奇术!$A:$R,12,FALSE)+VLOOKUP($E43,武器奇术!$A:$R,14,FALSE)*$G$3+$P43+IF($F$21="√",5%,0)</f>
        <v>0.643</v>
      </c>
      <c r="K43" s="94">
        <f>VLOOKUP($E43,武器奇术!$A:$R,11,FALSE)</f>
        <v>1</v>
      </c>
      <c r="L43" s="109">
        <f>IF(VLOOKUP($E43,武器奇术!$A:$R,15,FALSE)="天工",0%,IF($C$17+VLOOKUP($E43,武器奇术!$A:$R,7,FALSE)&gt;80%,80%,$C$17+VLOOKUP($E43,武器奇术!$A:$R,7,FALSE))+IF($C$19&gt;20%,20%,$C$19))</f>
        <v>0.887</v>
      </c>
      <c r="M43" s="110">
        <f>IF(VLOOKUP($E43,武器奇术!$A:$R,15,FALSE)="天工",0%,IF($C$18+VLOOKUP($E43,武器奇术!$A:$R,9,FALSE)&gt;40%,40%,$C$18+VLOOKUP($E43,武器奇术!$A:$R,9,FALSE))+IF($C$20&gt;10%,10%,$C$20))</f>
        <v>0.0986</v>
      </c>
      <c r="N43" s="111">
        <f>IF(VLOOKUP($E43,武器奇术!$A:$R,15,FALSE)="天工",100%,MIN($C$16,1))</f>
        <v>1</v>
      </c>
      <c r="O43" s="112" t="str">
        <f>VLOOKUP($E43,武器奇术!$A:$R,16,FALSE)</f>
        <v>双刀</v>
      </c>
      <c r="P43" s="113">
        <f t="shared" si="17"/>
        <v>0.17</v>
      </c>
      <c r="Q43" s="99">
        <f>$B$5*(1+VLOOKUP($E43,武器奇术!$A:$R,5,FALSE)+IF($G$5="飞隼",0.1,0)+IF($G$5="撼天",0.05,0))-$F$9*IF(VLOOKUP($E43,武器奇术!$A:$S,19,FALSE)=1,0.9,1)+IF($I$5="√",160,0)</f>
        <v>2848.3</v>
      </c>
      <c r="R43" s="91">
        <f t="shared" si="18"/>
        <v>2848.3</v>
      </c>
      <c r="S43" s="91">
        <f>MAX($C$5,$B$5)*(1+VLOOKUP($E43,武器奇术!$A:$R,5,FALSE)+IF($G$5="飞隼",0.1,0)+IF($G$5="撼天",0.05,0))-$F$9*IF(VLOOKUP($E43,武器奇术!$A:$S,19,FALSE)=1,0.9,1)+IF($I$5="√",320,0)</f>
        <v>2848.3</v>
      </c>
      <c r="T43" s="93">
        <f>IF(($D$5+VLOOKUP($E43,武器奇术!$A:$R,13,FALSE)+IF($I$3="√",10,0)-VLOOKUP($F$7,目标属性!$A:$R,5,FALSE))&gt;0,($D$5+VLOOKUP($E43,武器奇术!$A:$R,13,FALSE)+IF($I$3="√",10,0)-VLOOKUP($F$7,目标属性!$A:$R,5,FALSE))/200,($D$5+VLOOKUP($E43,武器奇术!$A:$R,13,FALSE)+IF($I$3="√",10,0)-VLOOKUP($F$7,目标属性!$A:$R,5,FALSE))/100)</f>
        <v>0.2675</v>
      </c>
      <c r="U43" s="100">
        <f>$E$5+IF(VLOOKUP($E43,武器奇术!$A:$R,18,FALSE)="鼠鼠",0.24,0)</f>
        <v>0</v>
      </c>
      <c r="V43" s="91">
        <v>1</v>
      </c>
      <c r="W43" s="92">
        <f>Q43*VLOOKUP($E43,武器奇术!$A:$R,2,FALSE)*(1+T43)*(1+U43)*V43</f>
        <v>4891.1263947</v>
      </c>
      <c r="X43" s="93">
        <f>(1-IF(VLOOKUP($E43,武器奇术!$A:$R,16,FALSE)="陌刀",1,$N43))*(1-$M43)</f>
        <v>0</v>
      </c>
      <c r="Y43" s="92">
        <f>R43*VLOOKUP($E43,武器奇术!$A:$R,2,FALSE)*(1+T43)*(1+U43)*V43*(1+$E$16+VLOOKUP($E43,武器奇术!$A:$R,8,FALSE))</f>
        <v>10486.5749902368</v>
      </c>
      <c r="Z43" s="93">
        <f t="shared" si="19"/>
        <v>0.887</v>
      </c>
      <c r="AA43" s="92">
        <f>S43*VLOOKUP($E43,武器奇术!$A:$R,2,FALSE)*(1+T43)*(1+U43)*V43*(1+$E$17+VLOOKUP($E43,武器奇术!$A:$R,10,FALSE))</f>
        <v>6603.020632845</v>
      </c>
      <c r="AB43" s="93">
        <f t="shared" si="20"/>
        <v>0.0986</v>
      </c>
      <c r="AC43" s="92">
        <f>R43*VLOOKUP($E43,武器奇术!$A:$R,2,FALSE)*(1+T43)*(1+U43)*V43</f>
        <v>4891.1263947</v>
      </c>
      <c r="AD43" s="93">
        <f t="shared" si="21"/>
        <v>0.0144</v>
      </c>
      <c r="AE43" s="101">
        <f t="shared" si="22"/>
        <v>10023.0820708222</v>
      </c>
      <c r="AF43" s="102">
        <f>VLOOKUP($E43,武器奇术!$A:$R,3,FALSE)*(1+IF(VLOOKUP($E43,武器奇术!$A:$R,15,FALSE)="武器",$E$15,0))</f>
        <v>488.8</v>
      </c>
      <c r="AG43" s="92">
        <f t="shared" si="23"/>
        <v>488.8</v>
      </c>
      <c r="AH43" s="92">
        <f>VLOOKUP($E43,武器奇术!$A:$R,3,FALSE)*(1+IF(VLOOKUP($E43,武器奇术!$A:$R,15,FALSE)="武器",$E$15,0))</f>
        <v>488.8</v>
      </c>
      <c r="AI43" s="93">
        <f>IF(($D$5+VLOOKUP($E43,武器奇术!$A:$R,13,FALSE)+IF($I$3="√",10,0)-VLOOKUP($F$7,目标属性!$A:$R,5,FALSE))&gt;0,($D$5+VLOOKUP($E43,武器奇术!$A:$R,13,FALSE)+IF($I$3="√",10,0)-VLOOKUP($F$7,目标属性!$A:$R,5,FALSE))/200,($D$5+VLOOKUP($E43,武器奇术!$A:$R,13,FALSE)+IF($I$3="√",10,0)-VLOOKUP($F$7,目标属性!$A:$R,5,FALSE))/100)</f>
        <v>0.2675</v>
      </c>
      <c r="AJ43" s="100">
        <f>$E$5+IF(VLOOKUP($E43,武器奇术!$A:$R,18,FALSE)="鼠鼠",0.24,0)</f>
        <v>0</v>
      </c>
      <c r="AK43" s="91">
        <v>1</v>
      </c>
      <c r="AL43" s="92">
        <f t="shared" si="24"/>
        <v>619.554</v>
      </c>
      <c r="AM43" s="93">
        <f>(1-IF(VLOOKUP($E43,武器奇术!$A:$R,16,FALSE)="陌刀",1,$N43))*(1-$M43)</f>
        <v>0</v>
      </c>
      <c r="AN43" s="92">
        <f>AG43*(1+AI43)*(1+AJ43)*AK43*(1+$E$16+VLOOKUP($E43,武器奇术!$A:$R,8,FALSE))</f>
        <v>1328.323776</v>
      </c>
      <c r="AO43" s="93">
        <f t="shared" si="1"/>
        <v>0.887</v>
      </c>
      <c r="AP43" s="92">
        <f>AH43*(1+AI43)*(1+AJ43)*AK43*(1+$E$17+VLOOKUP($E43,武器奇术!$A:$R,10,FALSE))</f>
        <v>836.3979</v>
      </c>
      <c r="AQ43" s="93">
        <f t="shared" si="2"/>
        <v>0.0986</v>
      </c>
      <c r="AR43" s="92">
        <f t="shared" si="25"/>
        <v>619.554</v>
      </c>
      <c r="AS43" s="93">
        <f t="shared" si="26"/>
        <v>0.0144</v>
      </c>
      <c r="AT43" s="101">
        <f t="shared" si="27"/>
        <v>1269.613599852</v>
      </c>
      <c r="AU43" s="99">
        <f>IF(VLOOKUP($E43,武器奇术!$A:$R,18,FALSE)="极乐",0,$B$7*IF($G$5="撼天",1.05,1)+IF(AND(VLOOKUP($E43,武器奇术!$A:$R,15,FALSE)="武器",VLOOKUP($E43,武器奇术!$A:$R,17,FALSE)="鸣金"),$E$3*(1+$E$15),0))</f>
        <v>0</v>
      </c>
      <c r="AV43" s="91">
        <f t="shared" si="28"/>
        <v>0</v>
      </c>
      <c r="AW43" s="91">
        <f>IF(VLOOKUP($E43,武器奇术!$A:$R,18,FALSE)="极乐",0,MAX($C$7*IF($G$5="撼天",1.05,1)+IF(AND(VLOOKUP($E43,武器奇术!$A:$R,15,FALSE)="武器",VLOOKUP($E43,武器奇术!$A:$R,17,FALSE)="鸣金"),$E$3*(1+$E$15),0),AU43))</f>
        <v>0</v>
      </c>
      <c r="AX43" s="93">
        <f>IF(($D$7+IF(VLOOKUP($E43,武器奇术!$A:$R,17,FALSE)="鸣金",$D$15,0)-VLOOKUP($F$7,目标属性!$A:$R,6,FALSE))&gt;0,($D$7+IF(VLOOKUP($E43,武器奇术!$A:$R,17,FALSE)="鸣金",$D$15,0)-VLOOKUP($F$7,目标属性!$A:$R,6,FALSE))/200,($D$7+IF(VLOOKUP($E43,武器奇术!$A:$R,17,FALSE)="鸣金",$D$15,0)-VLOOKUP($F$7,目标属性!$A:$R,6,FALSE))/100)</f>
        <v>-0.24</v>
      </c>
      <c r="AY43" s="100">
        <f t="shared" si="46"/>
        <v>0</v>
      </c>
      <c r="AZ43" s="91">
        <v>1</v>
      </c>
      <c r="BA43" s="92">
        <f>AU43*IF(VLOOKUP($E43,武器奇术!$A:$R,17,FALSE)="鸣金",VLOOKUP($E43,武器奇术!$A:$R,4,FALSE),VLOOKUP($E43,武器奇术!$A:$R,2,FALSE))*(1+AX43)*(1+AY43)*AZ43</f>
        <v>0</v>
      </c>
      <c r="BB43" s="93">
        <f>(1-IF(VLOOKUP($E43,武器奇术!$A:$R,16,FALSE)="陌刀",1,$N43))*(1-$M43)</f>
        <v>0</v>
      </c>
      <c r="BC43" s="92">
        <f>AV43*IF(VLOOKUP($E43,武器奇术!$A:$R,17,FALSE)="鸣金",VLOOKUP($E43,武器奇术!$A:$R,4,FALSE),VLOOKUP($E43,武器奇术!$A:$R,2,FALSE))*(1+AX43)*(1+AY43)*AZ43*(1+$E$16+VLOOKUP($E43,武器奇术!$A:$R,8,FALSE))</f>
        <v>0</v>
      </c>
      <c r="BD43" s="93">
        <f t="shared" si="3"/>
        <v>0.887</v>
      </c>
      <c r="BE43" s="92">
        <f>AW43*IF(VLOOKUP($E43,武器奇术!$A:$R,17,FALSE)="鸣金",VLOOKUP($E43,武器奇术!$A:$R,4,FALSE),VLOOKUP($E43,武器奇术!$A:$R,2,FALSE))*(1+AX43)*(1+AY43)*AZ43*(1+$E$17+VLOOKUP($E43,武器奇术!$A:$R,10,FALSE))</f>
        <v>0</v>
      </c>
      <c r="BF43" s="93">
        <f t="shared" si="4"/>
        <v>0.0986</v>
      </c>
      <c r="BG43" s="92">
        <f>AV43*IF(VLOOKUP($E43,武器奇术!$A:$R,17,FALSE)="鸣金",VLOOKUP($E43,武器奇术!$A:$R,4,FALSE),VLOOKUP($E43,武器奇术!$A:$R,2,FALSE))*(1+AX43)*(1+AY43)*AZ43</f>
        <v>0</v>
      </c>
      <c r="BH43" s="93">
        <f t="shared" si="30"/>
        <v>0.0144</v>
      </c>
      <c r="BI43" s="101">
        <f t="shared" si="31"/>
        <v>0</v>
      </c>
      <c r="BJ43" s="99">
        <f>IF(VLOOKUP($E43,武器奇术!$A:$R,18,FALSE)="极乐",0,$B$9*IF($G$5="撼天",1.05,1)+IF(AND(VLOOKUP($E43,武器奇术!$A:$R,15,FALSE)="武器",VLOOKUP($E43,武器奇术!$A:$R,17,FALSE)="裂石"),$E$3*(1+$E$15),0))</f>
        <v>0</v>
      </c>
      <c r="BK43" s="91">
        <f t="shared" si="32"/>
        <v>0</v>
      </c>
      <c r="BL43" s="91">
        <f>IF(VLOOKUP($E43,武器奇术!$A:$R,18,FALSE)="极乐",0,MAX($C$9*IF($G$5="撼天",1.05,1)+IF(AND(VLOOKUP($E43,武器奇术!$A:$R,15,FALSE)="武器",VLOOKUP($E43,武器奇术!$A:$R,17,FALSE)="裂石"),$E$3*(1+$E$15),0),BJ43))</f>
        <v>0</v>
      </c>
      <c r="BM43" s="93">
        <f>IF(($D$9+IF(VLOOKUP($E43,武器奇术!$A:$R,17,FALSE)="裂石",$D$15,0)-VLOOKUP($F$7,目标属性!$A:$R,6,FALSE))&gt;0,($D$9+IF(VLOOKUP($E43,武器奇术!$A:$R,17,FALSE)="裂石",$D$15,0)-VLOOKUP($F$7,目标属性!$A:$R,6,FALSE))/200,($D$9+IF(VLOOKUP($E43,武器奇术!$A:$R,17,FALSE)="裂石",$D$15,0)-VLOOKUP($F$7,目标属性!$A:$R,6,FALSE))/100)</f>
        <v>-0.24</v>
      </c>
      <c r="BN43" s="100">
        <f t="shared" si="47"/>
        <v>0</v>
      </c>
      <c r="BO43" s="91">
        <v>1</v>
      </c>
      <c r="BP43" s="92">
        <f>BJ43*IF(VLOOKUP($E43,武器奇术!$A:$R,17,FALSE)="裂石",VLOOKUP($E43,武器奇术!$A:$R,4,FALSE),VLOOKUP($E43,武器奇术!$A:$R,2,FALSE))*(1+BM43)*(1+BN43)*BO43</f>
        <v>0</v>
      </c>
      <c r="BQ43" s="93">
        <f>(1-IF(VLOOKUP($E43,武器奇术!$A:$R,16,FALSE)="陌刀",1,$N43))*(1-$M43)</f>
        <v>0</v>
      </c>
      <c r="BR43" s="92">
        <f>BK43*IF(VLOOKUP($E43,武器奇术!$A:$R,17,FALSE)="裂石",VLOOKUP($E43,武器奇术!$A:$R,4,FALSE),VLOOKUP($E43,武器奇术!$A:$R,2,FALSE))*(1+BM43)*(1+BN43)*BO43*(1+$E$16+VLOOKUP($E43,武器奇术!$A:$R,8,FALSE))</f>
        <v>0</v>
      </c>
      <c r="BS43" s="93">
        <f t="shared" si="5"/>
        <v>0.887</v>
      </c>
      <c r="BT43" s="92">
        <f>BL43*IF(VLOOKUP($E43,武器奇术!$A:$R,17,FALSE)="裂石",VLOOKUP($E43,武器奇术!$A:$R,4,FALSE),VLOOKUP($E43,武器奇术!$A:$R,2,FALSE))*(1+BM43)*(1+BN43)*BO43*(1+$E$17+VLOOKUP($E43,武器奇术!$A:$R,10,FALSE))</f>
        <v>0</v>
      </c>
      <c r="BU43" s="93">
        <f t="shared" si="6"/>
        <v>0.0986</v>
      </c>
      <c r="BV43" s="92">
        <f>BK43*IF(VLOOKUP($E43,武器奇术!$A:$R,17,FALSE)="裂石",VLOOKUP($E43,武器奇术!$A:$R,4,FALSE),VLOOKUP($E43,武器奇术!$A:$R,2,FALSE))*(1+BM43)*(1+BN43)*BO43</f>
        <v>0</v>
      </c>
      <c r="BW43" s="93">
        <f t="shared" si="34"/>
        <v>0.0144</v>
      </c>
      <c r="BX43" s="101">
        <f t="shared" si="35"/>
        <v>0</v>
      </c>
      <c r="BY43" s="99">
        <f>IF(VLOOKUP($E43,武器奇术!$A:$R,18,FALSE)="极乐",0,$B$11*IF($G$5="撼天",1.05,1)+IF(AND(VLOOKUP($E43,武器奇术!$A:$R,15,FALSE)="武器",VLOOKUP($E43,武器奇术!$A:$R,17,FALSE)="牵丝"),$E$3*(1+$E$15),0))</f>
        <v>0</v>
      </c>
      <c r="BZ43" s="91">
        <f t="shared" si="36"/>
        <v>0</v>
      </c>
      <c r="CA43" s="91">
        <f>IF(VLOOKUP($E43,武器奇术!$A:$R,18,FALSE)="极乐",0,MAX($C$11*IF($G$5="撼天",1.05,1)+IF(AND(VLOOKUP($E43,武器奇术!$A:$R,15,FALSE)="武器",VLOOKUP($E43,武器奇术!$A:$R,17,FALSE)="牵丝"),$E$3*(1+$E$15),0),BY43))</f>
        <v>0</v>
      </c>
      <c r="CB43" s="93">
        <f>IF(($D$11+IF(VLOOKUP($E43,武器奇术!$A:$R,17,FALSE)="牵丝",$D$15,0)-VLOOKUP($F$7,目标属性!$A:$R,6,FALSE))&gt;0,($D$11+IF(VLOOKUP($E43,武器奇术!$A:$R,17,FALSE)="牵丝",$D$15,0)-VLOOKUP($F$7,目标属性!$A:$R,6,FALSE))/200,($D$11+IF(VLOOKUP($E43,武器奇术!$A:$R,17,FALSE)="牵丝",$D$15,0)-VLOOKUP($F$7,目标属性!$A:$R,6,FALSE))/100)</f>
        <v>-0.24</v>
      </c>
      <c r="CC43" s="100">
        <f t="shared" si="48"/>
        <v>0</v>
      </c>
      <c r="CD43" s="91">
        <v>1</v>
      </c>
      <c r="CE43" s="92">
        <f>BY43*IF(VLOOKUP($E43,武器奇术!$A:$R,17,FALSE)="牵丝",VLOOKUP($E43,武器奇术!$A:$R,4,FALSE),VLOOKUP($E43,武器奇术!$A:$R,2,FALSE))*(1+CB43)*(1+CC43)*CD43</f>
        <v>0</v>
      </c>
      <c r="CF43" s="93">
        <f>(1-IF(VLOOKUP($E43,武器奇术!$A:$R,16,FALSE)="陌刀",1,$N43))*(1-$M43)</f>
        <v>0</v>
      </c>
      <c r="CG43" s="92">
        <f>BZ43*IF(VLOOKUP($E43,武器奇术!$A:$R,17,FALSE)="牵丝",VLOOKUP($E43,武器奇术!$A:$R,4,FALSE),VLOOKUP($E43,武器奇术!$A:$R,2,FALSE))*(1+CB43)*(1+CC43)*CD43*(1+$E$16+VLOOKUP($E43,武器奇术!$A:$R,8,FALSE))</f>
        <v>0</v>
      </c>
      <c r="CH43" s="93">
        <f t="shared" si="7"/>
        <v>0.887</v>
      </c>
      <c r="CI43" s="92">
        <f>CA43*IF(VLOOKUP($E43,武器奇术!$A:$R,17,FALSE)="牵丝",VLOOKUP($E43,武器奇术!$A:$R,4,FALSE),VLOOKUP($E43,武器奇术!$A:$R,2,FALSE))*(1+CB43)*(1+CC43)*CD43*(1+$E$17+VLOOKUP($E43,武器奇术!$A:$R,10,FALSE))</f>
        <v>0</v>
      </c>
      <c r="CJ43" s="93">
        <f t="shared" si="8"/>
        <v>0.0986</v>
      </c>
      <c r="CK43" s="92">
        <f>BZ43*IF(VLOOKUP($E43,武器奇术!$A:$R,17,FALSE)="牵丝",VLOOKUP($E43,武器奇术!$A:$R,4,FALSE),VLOOKUP($E43,武器奇术!$A:$R,2,FALSE))*(1+CB43)*(1+CC43)*CD43</f>
        <v>0</v>
      </c>
      <c r="CL43" s="93">
        <f t="shared" si="38"/>
        <v>0.0144</v>
      </c>
      <c r="CM43" s="101">
        <f t="shared" si="39"/>
        <v>0</v>
      </c>
      <c r="CN43" s="99">
        <f>IF(VLOOKUP($E43,武器奇术!$A:$R,18,FALSE)="极乐",0,$B$13*IF($G$5="撼天",1.05,1)+IF(AND(VLOOKUP($E43,武器奇术!$A:$R,15,FALSE)="武器",VLOOKUP($E43,武器奇术!$A:$R,17,FALSE)="破竹"),$E$3*(1+$E$15),0))</f>
        <v>686.71</v>
      </c>
      <c r="CO43" s="91">
        <f t="shared" si="40"/>
        <v>1052.21</v>
      </c>
      <c r="CP43" s="91">
        <f>IF(VLOOKUP($E43,武器奇术!$A:$R,18,FALSE)="极乐",0,MAX($C$13*IF($G$5="撼天",1.05,1)+IF(AND(VLOOKUP($E43,武器奇术!$A:$R,15,FALSE)="武器",VLOOKUP($E43,武器奇术!$A:$R,17,FALSE)="破竹"),$E$3*(1+$E$15),0),CN43))</f>
        <v>1417.71</v>
      </c>
      <c r="CQ43" s="93">
        <f>IF(($D$13+IF(VLOOKUP($E43,武器奇术!$A:$R,17,FALSE)="破竹",$D$15,0)-VLOOKUP($F$7,目标属性!$A:$R,6,FALSE)+IF(VLOOKUP($E43,武器奇术!$A:$V,22,FALSE)=1,4,0)+IF(VLOOKUP($E43,武器奇术!$A:$T,20,FALSE)=1,10,0))&gt;0,($D$13+IF(VLOOKUP($E43,武器奇术!$A:$R,17,FALSE)="破竹",$D$15,0)-VLOOKUP($F$7,目标属性!$A:$R,6,FALSE)+IF(VLOOKUP($E43,武器奇术!$A:$V,22,FALSE)=1,4,0)+IF(VLOOKUP($E43,武器奇术!$A:$T,20,FALSE)=1,10,0))/200,($D$13+IF(VLOOKUP($E43,武器奇术!$A:$R,17,FALSE)="破竹",$D$15,0)-VLOOKUP($F$7,目标属性!$A:$R,6,FALSE)+IF(VLOOKUP($E43,武器奇术!$A:$V,22,FALSE)=1,4,0)+IF(VLOOKUP($E43,武器奇术!$A:$T,20,FALSE)=1,10,0))/100)</f>
        <v>0.028</v>
      </c>
      <c r="CR43" s="100">
        <f>$E$13</f>
        <v>0.148</v>
      </c>
      <c r="CS43" s="91">
        <v>1</v>
      </c>
      <c r="CT43" s="92">
        <f>CN43*IF(VLOOKUP($E43,武器奇术!$A:$R,17,FALSE)="破竹",VLOOKUP($E43,武器奇术!$A:$R,4,FALSE),VLOOKUP($E43,武器奇术!$A:$R,2,FALSE))*(1+CQ43)*(1+CR43)*CS43</f>
        <v>1646.92878977693</v>
      </c>
      <c r="CU43" s="93">
        <f>(1-IF(VLOOKUP($E43,武器奇术!$A:$R,16,FALSE)="陌刀",1,$N43))*(1-$M43)</f>
        <v>0</v>
      </c>
      <c r="CV43" s="92">
        <f>CO43*IF(VLOOKUP($E43,武器奇术!$A:$R,17,FALSE)="破竹",VLOOKUP($E43,武器奇术!$A:$R,4,FALSE),VLOOKUP($E43,武器奇术!$A:$R,2,FALSE))*(1+CQ43)*(1+CR43)*CS43*(1+$E$16+VLOOKUP($E43,武器奇术!$A:$R,8,FALSE))</f>
        <v>5410.39104631459</v>
      </c>
      <c r="CW43" s="93">
        <f t="shared" si="9"/>
        <v>0.887</v>
      </c>
      <c r="CX43" s="92">
        <f>CP43*IF(VLOOKUP($E43,武器奇术!$A:$R,17,FALSE)="破竹",VLOOKUP($E43,武器奇术!$A:$R,4,FALSE),VLOOKUP($E43,武器奇术!$A:$R,2,FALSE))*(1+CQ43)*(1+CR43)*CS43*(1+$E$17+VLOOKUP($E43,武器奇术!$A:$R,10,FALSE))</f>
        <v>4590.10500742493</v>
      </c>
      <c r="CY43" s="93">
        <f t="shared" si="10"/>
        <v>0.0986</v>
      </c>
      <c r="CZ43" s="92">
        <f>CO43*IF(VLOOKUP($E43,武器奇术!$A:$R,17,FALSE)="破竹",VLOOKUP($E43,武器奇术!$A:$R,4,FALSE),VLOOKUP($E43,武器奇术!$A:$R,2,FALSE))*(1+CQ43)*(1+CR43)*CS43</f>
        <v>2523.50328652733</v>
      </c>
      <c r="DA43" s="93">
        <f t="shared" si="42"/>
        <v>0.0144</v>
      </c>
      <c r="DB43" s="101">
        <f t="shared" si="43"/>
        <v>5287.93965913913</v>
      </c>
      <c r="DC43" s="99">
        <f>IF(VLOOKUP($E43,武器奇术!$A:$R,18,FALSE)="极乐",0,$B$15)</f>
        <v>66</v>
      </c>
      <c r="DD43" s="91">
        <f t="shared" si="44"/>
        <v>95.9</v>
      </c>
      <c r="DE43" s="91">
        <f>IF(VLOOKUP($E43,武器奇术!$A:$R,18,FALSE)="极乐",0,$C$15)</f>
        <v>125.8</v>
      </c>
      <c r="DF43" s="93">
        <f>IF((IF(VLOOKUP($E43,武器奇术!$A:$R,17,FALSE)="鸣金",$D$7,0)+IF(VLOOKUP($E43,武器奇术!$A:$R,17,FALSE)="裂石",$D$9,0)+IF(VLOOKUP($E43,武器奇术!$A:$R,17,FALSE)="牵丝",$D$11,0)+IF(VLOOKUP($E43,武器奇术!$A:$R,17,FALSE)="破竹",$D$13,0)+$D$15-VLOOKUP($F$7,目标属性!$A:$R,6,FALSE)+IF(VLOOKUP($E43,武器奇术!$A:$V,22,FALSE)=1,4,0)+IF(VLOOKUP($E43,武器奇术!$A:$T,20,FALSE)=1,10,0))&gt;0,(IF(VLOOKUP($E43,武器奇术!$A:$R,17,FALSE)="鸣金",$D$7,0)+IF(VLOOKUP($E43,武器奇术!$A:$R,17,FALSE)="裂石",$D$9,0)+IF(VLOOKUP($E43,武器奇术!$A:$R,17,FALSE)="牵丝",$D$11,0)+IF(VLOOKUP($E43,武器奇术!$A:$R,17,FALSE)="破竹",$D$13,0)+$D$15-VLOOKUP($F$7,目标属性!$A:$R,6,FALSE)+IF(VLOOKUP($E43,武器奇术!$A:$V,22,FALSE)=1,4,0)+IF(VLOOKUP($E43,武器奇术!$A:$T,20,FALSE)=1,10,0))/200,(IF(VLOOKUP($E43,武器奇术!$A:$R,17,FALSE)="鸣金",$D$7,0)+IF(VLOOKUP($E43,武器奇术!$A:$R,17,FALSE)="裂石",$D$9,0)+IF(VLOOKUP($E43,武器奇术!$A:$R,17,FALSE)="牵丝",$D$11,0)+IF(VLOOKUP($E43,武器奇术!$A:$R,17,FALSE)="破竹",$D$13,0)+$D$15-VLOOKUP($F$7,目标属性!$A:$R,6,FALSE)+IF(VLOOKUP($E43,武器奇术!$A:$V,22,FALSE)=1,4,0)+IF(VLOOKUP($E43,武器奇术!$A:$T,20,FALSE)=1,10,0))/100)</f>
        <v>0.028</v>
      </c>
      <c r="DG43" s="100">
        <f t="shared" ref="DG43:DG46" si="49">$E$13</f>
        <v>0.148</v>
      </c>
      <c r="DH43" s="91">
        <v>1</v>
      </c>
      <c r="DI43" s="92">
        <f>DC43*IF(VLOOKUP($E43,武器奇术!$A:$R,17,FALSE)="破竹",VLOOKUP($E43,武器奇术!$A:$R,4,FALSE),VLOOKUP($E43,武器奇术!$A:$R,2,FALSE))*(1+DF43)*(1+DG43)*DH43</f>
        <v>158.2870500288</v>
      </c>
      <c r="DJ43" s="93">
        <f>(1-IF(VLOOKUP($E43,武器奇术!$A:$R,16,FALSE)="陌刀",1,$N43))*(1-$M43)</f>
        <v>0</v>
      </c>
      <c r="DK43" s="92">
        <f>DD43*IF(VLOOKUP($E43,武器奇术!$A:$R,17,FALSE)="破竹",VLOOKUP($E43,武器奇术!$A:$R,4,FALSE),VLOOKUP($E43,武器奇术!$A:$R,2,FALSE))*(1+DF43)*(1+DG43)*DH43*(1+$E$16+VLOOKUP($E43,武器奇术!$A:$R,8,FALSE))</f>
        <v>493.111167296993</v>
      </c>
      <c r="DL43" s="93">
        <f t="shared" si="12"/>
        <v>0.887</v>
      </c>
      <c r="DM43" s="92">
        <f>DE43*IF(VLOOKUP($E43,武器奇术!$A:$R,17,FALSE)="破竹",VLOOKUP($E43,武器奇术!$A:$R,4,FALSE),VLOOKUP($E43,武器奇术!$A:$R,2,FALSE))*(1+DF43)*(1+DG43)*DH43*(1+$E$17+VLOOKUP($E43,武器奇术!$A:$R,10,FALSE))</f>
        <v>407.301359187744</v>
      </c>
      <c r="DN43" s="93">
        <f t="shared" si="13"/>
        <v>0.0986</v>
      </c>
      <c r="DO43" s="92">
        <f>DD43*IF(VLOOKUP($E43,武器奇术!$A:$R,17,FALSE)="破竹",VLOOKUP($E43,武器奇术!$A:$R,4,FALSE),VLOOKUP($E43,武器奇术!$A:$R,2,FALSE))*(1+DF43)*(1+DG43)*DH43</f>
        <v>229.99588026912</v>
      </c>
      <c r="DP43" s="93">
        <f t="shared" si="14"/>
        <v>0.0144</v>
      </c>
      <c r="DQ43" s="101">
        <f t="shared" si="15"/>
        <v>480.86146008422</v>
      </c>
    </row>
    <row r="44" customFormat="1" ht="14.25" spans="1:121">
      <c r="B44" s="87"/>
      <c r="C44" s="124"/>
      <c r="D44" s="125"/>
      <c r="E44" s="105" t="s">
        <v>121</v>
      </c>
      <c r="F44" s="123">
        <f>IF($K$3="×",0,((F37*2+F38+F39*8+F40*5+F41*5+F42+F43*6+5+2)*0.15-5)/3.5+1)</f>
        <v>0</v>
      </c>
      <c r="G44" s="107"/>
      <c r="H44" s="92">
        <f>IF(VLOOKUP($E44,武器奇术!$A:$R,18,FALSE)="天工",AE44,(AE44+AT44+BI44+BX44+CM44+DB44+DQ44))*(1+J44)*F44*K44*(1+G44)</f>
        <v>0</v>
      </c>
      <c r="I44" s="93">
        <f t="shared" si="16"/>
        <v>0</v>
      </c>
      <c r="J44" s="108">
        <f>$F$3+VLOOKUP($E44,武器奇术!$A:$R,12,FALSE)+VLOOKUP($E44,武器奇术!$A:$R,14,FALSE)*$G$3+$P44+IF($F$21="√",5%,0)</f>
        <v>0.473</v>
      </c>
      <c r="K44" s="94">
        <f>VLOOKUP($E44,武器奇术!$A:$R,11,FALSE)</f>
        <v>1</v>
      </c>
      <c r="L44" s="109">
        <f>IF(VLOOKUP($E44,武器奇术!$A:$R,15,FALSE)="天工",0%,IF($C$17+VLOOKUP($E44,武器奇术!$A:$R,7,FALSE)&gt;80%,80%,$C$17+VLOOKUP($E44,武器奇术!$A:$R,7,FALSE))+IF($C$19&gt;20%,20%,$C$19))</f>
        <v>0.887</v>
      </c>
      <c r="M44" s="110">
        <f>IF(VLOOKUP($E44,武器奇术!$A:$R,15,FALSE)="天工",0%,IF($C$18+VLOOKUP($E44,武器奇术!$A:$R,9,FALSE)&gt;40%,40%,$C$18+VLOOKUP($E44,武器奇术!$A:$R,9,FALSE))+IF($C$20&gt;10%,10%,$C$20))</f>
        <v>0.0986</v>
      </c>
      <c r="N44" s="111">
        <f>IF(VLOOKUP($E44,武器奇术!$A:$R,15,FALSE)="天工",100%,MIN($C$16,1))</f>
        <v>1</v>
      </c>
      <c r="O44" s="112" t="str">
        <f>VLOOKUP($E44,武器奇术!$A:$R,16,FALSE)</f>
        <v>N/A</v>
      </c>
      <c r="P44" s="113">
        <f t="shared" si="17"/>
        <v>0</v>
      </c>
      <c r="Q44" s="99">
        <f>$B$5*(1+VLOOKUP($E44,武器奇术!$A:$R,5,FALSE)+IF($G$5="飞隼",0.1,0)+IF($G$5="撼天",0.05,0))-$F$9*IF(VLOOKUP($E44,武器奇术!$A:$S,19,FALSE)=1,0.9,1)+IF($I$5="√",160,0)</f>
        <v>2848.3</v>
      </c>
      <c r="R44" s="91">
        <f t="shared" si="18"/>
        <v>2848.3</v>
      </c>
      <c r="S44" s="91">
        <f>MAX($C$5,$B$5)*(1+VLOOKUP($E44,武器奇术!$A:$R,5,FALSE)+IF($G$5="飞隼",0.1,0)+IF($G$5="撼天",0.05,0))-$F$9*IF(VLOOKUP($E44,武器奇术!$A:$S,19,FALSE)=1,0.9,1)+IF($I$5="√",320,0)</f>
        <v>2848.3</v>
      </c>
      <c r="T44" s="93">
        <f>IF(($D$5+VLOOKUP($E44,武器奇术!$A:$R,13,FALSE)+IF($I$3="√",10,0)-VLOOKUP($F$7,目标属性!$A:$R,5,FALSE))&gt;0,($D$5+VLOOKUP($E44,武器奇术!$A:$R,13,FALSE)+IF($I$3="√",10,0)-VLOOKUP($F$7,目标属性!$A:$R,5,FALSE))/200,($D$5+VLOOKUP($E44,武器奇术!$A:$R,13,FALSE)+IF($I$3="√",10,0)-VLOOKUP($F$7,目标属性!$A:$R,5,FALSE))/100)</f>
        <v>0.2675</v>
      </c>
      <c r="U44" s="100">
        <f>$E$5+IF(VLOOKUP($E44,武器奇术!$A:$R,18,FALSE)="鼠鼠",0.24,0)</f>
        <v>0</v>
      </c>
      <c r="V44" s="91">
        <v>1</v>
      </c>
      <c r="W44" s="92">
        <f>Q44*VLOOKUP($E44,武器奇术!$A:$R,2,FALSE)*(1+T44)*(1+U44)*V44</f>
        <v>7220.4405</v>
      </c>
      <c r="X44" s="93">
        <f>(1-IF(VLOOKUP($E44,武器奇术!$A:$R,16,FALSE)="陌刀",1,$N44))*(1-$M44)</f>
        <v>0</v>
      </c>
      <c r="Y44" s="92">
        <f>R44*VLOOKUP($E44,武器奇术!$A:$R,2,FALSE)*(1+T44)*(1+U44)*V44*(1+$E$16+VLOOKUP($E44,武器奇术!$A:$R,8,FALSE))</f>
        <v>15480.624432</v>
      </c>
      <c r="Z44" s="93">
        <f t="shared" si="19"/>
        <v>0.887</v>
      </c>
      <c r="AA44" s="92">
        <f>S44*VLOOKUP($E44,武器奇术!$A:$R,2,FALSE)*(1+T44)*(1+U44)*V44*(1+$E$17+VLOOKUP($E44,武器奇术!$A:$R,10,FALSE))</f>
        <v>9747.594675</v>
      </c>
      <c r="AB44" s="93">
        <f t="shared" si="20"/>
        <v>0.0986</v>
      </c>
      <c r="AC44" s="92">
        <f>R44*VLOOKUP($E44,武器奇术!$A:$R,2,FALSE)*(1+T44)*(1+U44)*V44</f>
        <v>7220.4405</v>
      </c>
      <c r="AD44" s="93">
        <f t="shared" si="21"/>
        <v>0.0144</v>
      </c>
      <c r="AE44" s="101">
        <f t="shared" si="22"/>
        <v>14796.401049339</v>
      </c>
      <c r="AF44" s="102">
        <f>VLOOKUP($E44,武器奇术!$A:$R,3,FALSE)*(1+IF(VLOOKUP($E44,武器奇术!$A:$R,15,FALSE)="武器",$E$15,0))</f>
        <v>0</v>
      </c>
      <c r="AG44" s="92">
        <f t="shared" si="23"/>
        <v>0</v>
      </c>
      <c r="AH44" s="92">
        <f>VLOOKUP($E44,武器奇术!$A:$R,3,FALSE)*(1+IF(VLOOKUP($E44,武器奇术!$A:$R,15,FALSE)="武器",$E$15,0))</f>
        <v>0</v>
      </c>
      <c r="AI44" s="93">
        <f>IF(($D$5+VLOOKUP($E44,武器奇术!$A:$R,13,FALSE)+IF($I$3="√",10,0)-VLOOKUP($F$7,目标属性!$A:$R,5,FALSE))&gt;0,($D$5+VLOOKUP($E44,武器奇术!$A:$R,13,FALSE)+IF($I$3="√",10,0)-VLOOKUP($F$7,目标属性!$A:$R,5,FALSE))/200,($D$5+VLOOKUP($E44,武器奇术!$A:$R,13,FALSE)+IF($I$3="√",10,0)-VLOOKUP($F$7,目标属性!$A:$R,5,FALSE))/100)</f>
        <v>0.2675</v>
      </c>
      <c r="AJ44" s="100">
        <f>$E$5+IF(VLOOKUP($E44,武器奇术!$A:$R,18,FALSE)="鼠鼠",0.24,0)</f>
        <v>0</v>
      </c>
      <c r="AK44" s="91">
        <v>1</v>
      </c>
      <c r="AL44" s="92">
        <f t="shared" si="24"/>
        <v>0</v>
      </c>
      <c r="AM44" s="93">
        <f>(1-IF(VLOOKUP($E44,武器奇术!$A:$R,16,FALSE)="陌刀",1,$N44))*(1-$M44)</f>
        <v>0</v>
      </c>
      <c r="AN44" s="92">
        <f>AG44*(1+AI44)*(1+AJ44)*AK44*(1+$E$16+VLOOKUP($E44,武器奇术!$A:$R,8,FALSE))</f>
        <v>0</v>
      </c>
      <c r="AO44" s="93">
        <f t="shared" si="1"/>
        <v>0.887</v>
      </c>
      <c r="AP44" s="92">
        <f>AH44*(1+AI44)*(1+AJ44)*AK44*(1+$E$17+VLOOKUP($E44,武器奇术!$A:$R,10,FALSE))</f>
        <v>0</v>
      </c>
      <c r="AQ44" s="93">
        <f t="shared" si="2"/>
        <v>0.0986</v>
      </c>
      <c r="AR44" s="92">
        <f t="shared" si="25"/>
        <v>0</v>
      </c>
      <c r="AS44" s="93">
        <f t="shared" si="26"/>
        <v>0.0144</v>
      </c>
      <c r="AT44" s="101">
        <f t="shared" si="27"/>
        <v>0</v>
      </c>
      <c r="AU44" s="99">
        <f>IF(VLOOKUP($E44,武器奇术!$A:$R,18,FALSE)="极乐",0,$B$7*IF($G$5="撼天",1.05,1)+IF(AND(VLOOKUP($E44,武器奇术!$A:$R,15,FALSE)="武器",VLOOKUP($E44,武器奇术!$A:$R,17,FALSE)="鸣金"),$E$3*(1+$E$15),0))</f>
        <v>0</v>
      </c>
      <c r="AV44" s="91">
        <f t="shared" si="28"/>
        <v>0</v>
      </c>
      <c r="AW44" s="91">
        <f>IF(VLOOKUP($E44,武器奇术!$A:$R,18,FALSE)="极乐",0,MAX($C$7*IF($G$5="撼天",1.05,1)+IF(AND(VLOOKUP($E44,武器奇术!$A:$R,15,FALSE)="武器",VLOOKUP($E44,武器奇术!$A:$R,17,FALSE)="鸣金"),$E$3*(1+$E$15),0),AU44))</f>
        <v>0</v>
      </c>
      <c r="AX44" s="93">
        <f>IF(($D$7+IF(VLOOKUP($E44,武器奇术!$A:$R,17,FALSE)="鸣金",$D$15,0)-VLOOKUP($F$7,目标属性!$A:$R,6,FALSE))&gt;0,($D$7+IF(VLOOKUP($E44,武器奇术!$A:$R,17,FALSE)="鸣金",$D$15,0)-VLOOKUP($F$7,目标属性!$A:$R,6,FALSE))/200,($D$7+IF(VLOOKUP($E44,武器奇术!$A:$R,17,FALSE)="鸣金",$D$15,0)-VLOOKUP($F$7,目标属性!$A:$R,6,FALSE))/100)</f>
        <v>-0.24</v>
      </c>
      <c r="AY44" s="100">
        <f t="shared" si="46"/>
        <v>0</v>
      </c>
      <c r="AZ44" s="91">
        <v>1</v>
      </c>
      <c r="BA44" s="92">
        <f>AU44*IF(VLOOKUP($E44,武器奇术!$A:$R,17,FALSE)="鸣金",VLOOKUP($E44,武器奇术!$A:$R,4,FALSE),VLOOKUP($E44,武器奇术!$A:$R,2,FALSE))*(1+AX44)*(1+AY44)*AZ44</f>
        <v>0</v>
      </c>
      <c r="BB44" s="93">
        <f>(1-IF(VLOOKUP($E44,武器奇术!$A:$R,16,FALSE)="陌刀",1,$N44))*(1-$M44)</f>
        <v>0</v>
      </c>
      <c r="BC44" s="92">
        <f>AV44*IF(VLOOKUP($E44,武器奇术!$A:$R,17,FALSE)="鸣金",VLOOKUP($E44,武器奇术!$A:$R,4,FALSE),VLOOKUP($E44,武器奇术!$A:$R,2,FALSE))*(1+AX44)*(1+AY44)*AZ44*(1+$E$16+VLOOKUP($E44,武器奇术!$A:$R,8,FALSE))</f>
        <v>0</v>
      </c>
      <c r="BD44" s="93">
        <f t="shared" si="3"/>
        <v>0.887</v>
      </c>
      <c r="BE44" s="92">
        <f>AW44*IF(VLOOKUP($E44,武器奇术!$A:$R,17,FALSE)="鸣金",VLOOKUP($E44,武器奇术!$A:$R,4,FALSE),VLOOKUP($E44,武器奇术!$A:$R,2,FALSE))*(1+AX44)*(1+AY44)*AZ44*(1+$E$17+VLOOKUP($E44,武器奇术!$A:$R,10,FALSE))</f>
        <v>0</v>
      </c>
      <c r="BF44" s="93">
        <f t="shared" si="4"/>
        <v>0.0986</v>
      </c>
      <c r="BG44" s="92">
        <f>AV44*IF(VLOOKUP($E44,武器奇术!$A:$R,17,FALSE)="鸣金",VLOOKUP($E44,武器奇术!$A:$R,4,FALSE),VLOOKUP($E44,武器奇术!$A:$R,2,FALSE))*(1+AX44)*(1+AY44)*AZ44</f>
        <v>0</v>
      </c>
      <c r="BH44" s="93">
        <f t="shared" si="30"/>
        <v>0.0144</v>
      </c>
      <c r="BI44" s="101">
        <f t="shared" si="31"/>
        <v>0</v>
      </c>
      <c r="BJ44" s="99">
        <f>IF(VLOOKUP($E44,武器奇术!$A:$R,18,FALSE)="极乐",0,$B$9*IF($G$5="撼天",1.05,1)+IF(AND(VLOOKUP($E44,武器奇术!$A:$R,15,FALSE)="武器",VLOOKUP($E44,武器奇术!$A:$R,17,FALSE)="裂石"),$E$3*(1+$E$15),0))</f>
        <v>0</v>
      </c>
      <c r="BK44" s="91">
        <f t="shared" si="32"/>
        <v>0</v>
      </c>
      <c r="BL44" s="91">
        <f>IF(VLOOKUP($E44,武器奇术!$A:$R,18,FALSE)="极乐",0,MAX($C$9*IF($G$5="撼天",1.05,1)+IF(AND(VLOOKUP($E44,武器奇术!$A:$R,15,FALSE)="武器",VLOOKUP($E44,武器奇术!$A:$R,17,FALSE)="裂石"),$E$3*(1+$E$15),0),BJ44))</f>
        <v>0</v>
      </c>
      <c r="BM44" s="93">
        <f>IF(($D$9+IF(VLOOKUP($E44,武器奇术!$A:$R,17,FALSE)="裂石",$D$15,0)-VLOOKUP($F$7,目标属性!$A:$R,6,FALSE))&gt;0,($D$9+IF(VLOOKUP($E44,武器奇术!$A:$R,17,FALSE)="裂石",$D$15,0)-VLOOKUP($F$7,目标属性!$A:$R,6,FALSE))/200,($D$9+IF(VLOOKUP($E44,武器奇术!$A:$R,17,FALSE)="裂石",$D$15,0)-VLOOKUP($F$7,目标属性!$A:$R,6,FALSE))/100)</f>
        <v>-0.24</v>
      </c>
      <c r="BN44" s="100">
        <f t="shared" si="47"/>
        <v>0</v>
      </c>
      <c r="BO44" s="91">
        <v>1</v>
      </c>
      <c r="BP44" s="92">
        <f>BJ44*IF(VLOOKUP($E44,武器奇术!$A:$R,17,FALSE)="裂石",VLOOKUP($E44,武器奇术!$A:$R,4,FALSE),VLOOKUP($E44,武器奇术!$A:$R,2,FALSE))*(1+BM44)*(1+BN44)*BO44</f>
        <v>0</v>
      </c>
      <c r="BQ44" s="93">
        <f>(1-IF(VLOOKUP($E44,武器奇术!$A:$R,16,FALSE)="陌刀",1,$N44))*(1-$M44)</f>
        <v>0</v>
      </c>
      <c r="BR44" s="92">
        <f>BK44*IF(VLOOKUP($E44,武器奇术!$A:$R,17,FALSE)="裂石",VLOOKUP($E44,武器奇术!$A:$R,4,FALSE),VLOOKUP($E44,武器奇术!$A:$R,2,FALSE))*(1+BM44)*(1+BN44)*BO44*(1+$E$16+VLOOKUP($E44,武器奇术!$A:$R,8,FALSE))</f>
        <v>0</v>
      </c>
      <c r="BS44" s="93">
        <f t="shared" si="5"/>
        <v>0.887</v>
      </c>
      <c r="BT44" s="92">
        <f>BL44*IF(VLOOKUP($E44,武器奇术!$A:$R,17,FALSE)="裂石",VLOOKUP($E44,武器奇术!$A:$R,4,FALSE),VLOOKUP($E44,武器奇术!$A:$R,2,FALSE))*(1+BM44)*(1+BN44)*BO44*(1+$E$17+VLOOKUP($E44,武器奇术!$A:$R,10,FALSE))</f>
        <v>0</v>
      </c>
      <c r="BU44" s="93">
        <f t="shared" si="6"/>
        <v>0.0986</v>
      </c>
      <c r="BV44" s="92">
        <f>BK44*IF(VLOOKUP($E44,武器奇术!$A:$R,17,FALSE)="裂石",VLOOKUP($E44,武器奇术!$A:$R,4,FALSE),VLOOKUP($E44,武器奇术!$A:$R,2,FALSE))*(1+BM44)*(1+BN44)*BO44</f>
        <v>0</v>
      </c>
      <c r="BW44" s="93">
        <f t="shared" si="34"/>
        <v>0.0144</v>
      </c>
      <c r="BX44" s="101">
        <f t="shared" si="35"/>
        <v>0</v>
      </c>
      <c r="BY44" s="99">
        <f>IF(VLOOKUP($E44,武器奇术!$A:$R,18,FALSE)="极乐",0,$B$11*IF($G$5="撼天",1.05,1)+IF(AND(VLOOKUP($E44,武器奇术!$A:$R,15,FALSE)="武器",VLOOKUP($E44,武器奇术!$A:$R,17,FALSE)="牵丝"),$E$3*(1+$E$15),0))</f>
        <v>0</v>
      </c>
      <c r="BZ44" s="91">
        <f t="shared" si="36"/>
        <v>0</v>
      </c>
      <c r="CA44" s="91">
        <f>IF(VLOOKUP($E44,武器奇术!$A:$R,18,FALSE)="极乐",0,MAX($C$11*IF($G$5="撼天",1.05,1)+IF(AND(VLOOKUP($E44,武器奇术!$A:$R,15,FALSE)="武器",VLOOKUP($E44,武器奇术!$A:$R,17,FALSE)="牵丝"),$E$3*(1+$E$15),0),BY44))</f>
        <v>0</v>
      </c>
      <c r="CB44" s="93">
        <f>IF(($D$11+IF(VLOOKUP($E44,武器奇术!$A:$R,17,FALSE)="牵丝",$D$15,0)-VLOOKUP($F$7,目标属性!$A:$R,6,FALSE))&gt;0,($D$11+IF(VLOOKUP($E44,武器奇术!$A:$R,17,FALSE)="牵丝",$D$15,0)-VLOOKUP($F$7,目标属性!$A:$R,6,FALSE))/200,($D$11+IF(VLOOKUP($E44,武器奇术!$A:$R,17,FALSE)="牵丝",$D$15,0)-VLOOKUP($F$7,目标属性!$A:$R,6,FALSE))/100)</f>
        <v>-0.24</v>
      </c>
      <c r="CC44" s="100">
        <f t="shared" si="48"/>
        <v>0</v>
      </c>
      <c r="CD44" s="91">
        <v>1</v>
      </c>
      <c r="CE44" s="92">
        <f>BY44*IF(VLOOKUP($E44,武器奇术!$A:$R,17,FALSE)="牵丝",VLOOKUP($E44,武器奇术!$A:$R,4,FALSE),VLOOKUP($E44,武器奇术!$A:$R,2,FALSE))*(1+CB44)*(1+CC44)*CD44</f>
        <v>0</v>
      </c>
      <c r="CF44" s="93">
        <f>(1-IF(VLOOKUP($E44,武器奇术!$A:$R,16,FALSE)="陌刀",1,$N44))*(1-$M44)</f>
        <v>0</v>
      </c>
      <c r="CG44" s="92">
        <f>BZ44*IF(VLOOKUP($E44,武器奇术!$A:$R,17,FALSE)="牵丝",VLOOKUP($E44,武器奇术!$A:$R,4,FALSE),VLOOKUP($E44,武器奇术!$A:$R,2,FALSE))*(1+CB44)*(1+CC44)*CD44*(1+$E$16+VLOOKUP($E44,武器奇术!$A:$R,8,FALSE))</f>
        <v>0</v>
      </c>
      <c r="CH44" s="93">
        <f t="shared" si="7"/>
        <v>0.887</v>
      </c>
      <c r="CI44" s="92">
        <f>CA44*IF(VLOOKUP($E44,武器奇术!$A:$R,17,FALSE)="牵丝",VLOOKUP($E44,武器奇术!$A:$R,4,FALSE),VLOOKUP($E44,武器奇术!$A:$R,2,FALSE))*(1+CB44)*(1+CC44)*CD44*(1+$E$17+VLOOKUP($E44,武器奇术!$A:$R,10,FALSE))</f>
        <v>0</v>
      </c>
      <c r="CJ44" s="93">
        <f t="shared" si="8"/>
        <v>0.0986</v>
      </c>
      <c r="CK44" s="92">
        <f>BZ44*IF(VLOOKUP($E44,武器奇术!$A:$R,17,FALSE)="牵丝",VLOOKUP($E44,武器奇术!$A:$R,4,FALSE),VLOOKUP($E44,武器奇术!$A:$R,2,FALSE))*(1+CB44)*(1+CC44)*CD44</f>
        <v>0</v>
      </c>
      <c r="CL44" s="93">
        <f t="shared" si="38"/>
        <v>0.0144</v>
      </c>
      <c r="CM44" s="101">
        <f t="shared" si="39"/>
        <v>0</v>
      </c>
      <c r="CN44" s="99">
        <f>IF(VLOOKUP($E44,武器奇术!$A:$R,18,FALSE)="极乐",0,$B$13*IF($G$5="撼天",1.05,1)+IF(AND(VLOOKUP($E44,武器奇术!$A:$R,15,FALSE)="武器",VLOOKUP($E44,武器奇术!$A:$R,17,FALSE)="破竹"),$E$3*(1+$E$15),0))</f>
        <v>0</v>
      </c>
      <c r="CO44" s="91">
        <f t="shared" si="40"/>
        <v>0</v>
      </c>
      <c r="CP44" s="91">
        <f>IF(VLOOKUP($E44,武器奇术!$A:$R,18,FALSE)="极乐",0,MAX($C$13*IF($G$5="撼天",1.05,1)+IF(AND(VLOOKUP($E44,武器奇术!$A:$R,15,FALSE)="武器",VLOOKUP($E44,武器奇术!$A:$R,17,FALSE)="破竹"),$E$3*(1+$E$15),0),CN44))</f>
        <v>0</v>
      </c>
      <c r="CQ44" s="93">
        <f>IF(($D$13+IF(VLOOKUP($E44,武器奇术!$A:$R,17,FALSE)="破竹",$D$15,0)-VLOOKUP($F$7,目标属性!$A:$R,6,FALSE)+IF(VLOOKUP($E44,武器奇术!$A:$V,22,FALSE)=1,4,0)+IF(VLOOKUP($E44,武器奇术!$A:$T,20,FALSE)=1,10,0))&gt;0,($D$13+IF(VLOOKUP($E44,武器奇术!$A:$R,17,FALSE)="破竹",$D$15,0)-VLOOKUP($F$7,目标属性!$A:$R,6,FALSE)+IF(VLOOKUP($E44,武器奇术!$A:$V,22,FALSE)=1,4,0)+IF(VLOOKUP($E44,武器奇术!$A:$T,20,FALSE)=1,10,0))/200,($D$13+IF(VLOOKUP($E44,武器奇术!$A:$R,17,FALSE)="破竹",$D$15,0)-VLOOKUP($F$7,目标属性!$A:$R,6,FALSE)+IF(VLOOKUP($E44,武器奇术!$A:$V,22,FALSE)=1,4,0)+IF(VLOOKUP($E44,武器奇术!$A:$T,20,FALSE)=1,10,0))/100)</f>
        <v>0.028</v>
      </c>
      <c r="CR44" s="100">
        <f>$E$13</f>
        <v>0.148</v>
      </c>
      <c r="CS44" s="91">
        <v>1</v>
      </c>
      <c r="CT44" s="92">
        <f>CN44*IF(VLOOKUP($E44,武器奇术!$A:$R,17,FALSE)="破竹",VLOOKUP($E44,武器奇术!$A:$R,4,FALSE),VLOOKUP($E44,武器奇术!$A:$R,2,FALSE))*(1+CQ44)*(1+CR44)*CS44</f>
        <v>0</v>
      </c>
      <c r="CU44" s="93">
        <f>(1-IF(VLOOKUP($E44,武器奇术!$A:$R,16,FALSE)="陌刀",1,$N44))*(1-$M44)</f>
        <v>0</v>
      </c>
      <c r="CV44" s="92">
        <f>CO44*IF(VLOOKUP($E44,武器奇术!$A:$R,17,FALSE)="破竹",VLOOKUP($E44,武器奇术!$A:$R,4,FALSE),VLOOKUP($E44,武器奇术!$A:$R,2,FALSE))*(1+CQ44)*(1+CR44)*CS44*(1+$E$16+VLOOKUP($E44,武器奇术!$A:$R,8,FALSE))</f>
        <v>0</v>
      </c>
      <c r="CW44" s="93">
        <f t="shared" si="9"/>
        <v>0.887</v>
      </c>
      <c r="CX44" s="92">
        <f>CP44*IF(VLOOKUP($E44,武器奇术!$A:$R,17,FALSE)="破竹",VLOOKUP($E44,武器奇术!$A:$R,4,FALSE),VLOOKUP($E44,武器奇术!$A:$R,2,FALSE))*(1+CQ44)*(1+CR44)*CS44*(1+$E$17+VLOOKUP($E44,武器奇术!$A:$R,10,FALSE))</f>
        <v>0</v>
      </c>
      <c r="CY44" s="93">
        <f t="shared" si="10"/>
        <v>0.0986</v>
      </c>
      <c r="CZ44" s="92">
        <f>CO44*IF(VLOOKUP($E44,武器奇术!$A:$R,17,FALSE)="破竹",VLOOKUP($E44,武器奇术!$A:$R,4,FALSE),VLOOKUP($E44,武器奇术!$A:$R,2,FALSE))*(1+CQ44)*(1+CR44)*CS44</f>
        <v>0</v>
      </c>
      <c r="DA44" s="93">
        <f t="shared" si="42"/>
        <v>0.0144</v>
      </c>
      <c r="DB44" s="101">
        <f t="shared" si="43"/>
        <v>0</v>
      </c>
      <c r="DC44" s="99">
        <f>IF(VLOOKUP($E44,武器奇术!$A:$R,18,FALSE)="极乐",0,$B$15)</f>
        <v>0</v>
      </c>
      <c r="DD44" s="91">
        <f t="shared" si="44"/>
        <v>0</v>
      </c>
      <c r="DE44" s="91">
        <f>IF(VLOOKUP($E44,武器奇术!$A:$R,18,FALSE)="极乐",0,$C$15)</f>
        <v>0</v>
      </c>
      <c r="DF44" s="93">
        <f>IF((IF(VLOOKUP($E44,武器奇术!$A:$R,17,FALSE)="鸣金",$D$7,0)+IF(VLOOKUP($E44,武器奇术!$A:$R,17,FALSE)="裂石",$D$9,0)+IF(VLOOKUP($E44,武器奇术!$A:$R,17,FALSE)="牵丝",$D$11,0)+IF(VLOOKUP($E44,武器奇术!$A:$R,17,FALSE)="破竹",$D$13,0)+$D$15-VLOOKUP($F$7,目标属性!$A:$R,6,FALSE)+IF(VLOOKUP($E44,武器奇术!$A:$V,22,FALSE)=1,4,0)+IF(VLOOKUP($E44,武器奇术!$A:$T,20,FALSE)=1,10,0))&gt;0,(IF(VLOOKUP($E44,武器奇术!$A:$R,17,FALSE)="鸣金",$D$7,0)+IF(VLOOKUP($E44,武器奇术!$A:$R,17,FALSE)="裂石",$D$9,0)+IF(VLOOKUP($E44,武器奇术!$A:$R,17,FALSE)="牵丝",$D$11,0)+IF(VLOOKUP($E44,武器奇术!$A:$R,17,FALSE)="破竹",$D$13,0)+$D$15-VLOOKUP($F$7,目标属性!$A:$R,6,FALSE)+IF(VLOOKUP($E44,武器奇术!$A:$V,22,FALSE)=1,4,0)+IF(VLOOKUP($E44,武器奇术!$A:$T,20,FALSE)=1,10,0))/200,(IF(VLOOKUP($E44,武器奇术!$A:$R,17,FALSE)="鸣金",$D$7,0)+IF(VLOOKUP($E44,武器奇术!$A:$R,17,FALSE)="裂石",$D$9,0)+IF(VLOOKUP($E44,武器奇术!$A:$R,17,FALSE)="牵丝",$D$11,0)+IF(VLOOKUP($E44,武器奇术!$A:$R,17,FALSE)="破竹",$D$13,0)+$D$15-VLOOKUP($F$7,目标属性!$A:$R,6,FALSE)+IF(VLOOKUP($E44,武器奇术!$A:$V,22,FALSE)=1,4,0)+IF(VLOOKUP($E44,武器奇术!$A:$T,20,FALSE)=1,10,0))/100)</f>
        <v>0.028</v>
      </c>
      <c r="DG44" s="100">
        <f t="shared" si="49"/>
        <v>0.148</v>
      </c>
      <c r="DH44" s="91">
        <v>1</v>
      </c>
      <c r="DI44" s="92">
        <f>DC44*IF(VLOOKUP($E44,武器奇术!$A:$R,17,FALSE)="破竹",VLOOKUP($E44,武器奇术!$A:$R,4,FALSE),VLOOKUP($E44,武器奇术!$A:$R,2,FALSE))*(1+DF44)*(1+DG44)*DH44</f>
        <v>0</v>
      </c>
      <c r="DJ44" s="93">
        <f>(1-IF(VLOOKUP($E44,武器奇术!$A:$R,16,FALSE)="陌刀",1,$N44))*(1-$M44)</f>
        <v>0</v>
      </c>
      <c r="DK44" s="92">
        <f>DD44*IF(VLOOKUP($E44,武器奇术!$A:$R,17,FALSE)="破竹",VLOOKUP($E44,武器奇术!$A:$R,4,FALSE),VLOOKUP($E44,武器奇术!$A:$R,2,FALSE))*(1+DF44)*(1+DG44)*DH44*(1+$E$16+VLOOKUP($E44,武器奇术!$A:$R,8,FALSE))</f>
        <v>0</v>
      </c>
      <c r="DL44" s="93">
        <f t="shared" si="12"/>
        <v>0.887</v>
      </c>
      <c r="DM44" s="92">
        <f>DE44*IF(VLOOKUP($E44,武器奇术!$A:$R,17,FALSE)="破竹",VLOOKUP($E44,武器奇术!$A:$R,4,FALSE),VLOOKUP($E44,武器奇术!$A:$R,2,FALSE))*(1+DF44)*(1+DG44)*DH44*(1+$E$17+VLOOKUP($E44,武器奇术!$A:$R,10,FALSE))</f>
        <v>0</v>
      </c>
      <c r="DN44" s="93">
        <f t="shared" si="13"/>
        <v>0.0986</v>
      </c>
      <c r="DO44" s="92">
        <f>DD44*IF(VLOOKUP($E44,武器奇术!$A:$R,17,FALSE)="破竹",VLOOKUP($E44,武器奇术!$A:$R,4,FALSE),VLOOKUP($E44,武器奇术!$A:$R,2,FALSE))*(1+DF44)*(1+DG44)*DH44</f>
        <v>0</v>
      </c>
      <c r="DP44" s="93">
        <f t="shared" si="14"/>
        <v>0.0144</v>
      </c>
      <c r="DQ44" s="101">
        <f t="shared" si="15"/>
        <v>0</v>
      </c>
    </row>
    <row r="45" customFormat="1" spans="1:121">
      <c r="A45" s="126"/>
      <c r="B45" s="12"/>
      <c r="C45" s="12"/>
      <c r="D45" s="12"/>
      <c r="E45" s="105" t="s">
        <v>122</v>
      </c>
      <c r="F45" s="106">
        <f>IF($E$26&gt;=12,0,1)</f>
        <v>1</v>
      </c>
      <c r="G45" s="107">
        <f>$E$24</f>
        <v>0</v>
      </c>
      <c r="H45" s="92">
        <f>IF(VLOOKUP($E45,武器奇术!$A:$R,18,FALSE)="天工",AE45,(AE45+AT45+BI45+BX45+CM45+DB45+DQ45))*(1+J45)*F45*K45*(1+G45)</f>
        <v>47116.3106835898</v>
      </c>
      <c r="I45" s="93">
        <f t="shared" si="16"/>
        <v>0.00604420842690992</v>
      </c>
      <c r="J45" s="93">
        <f>$F$3+VLOOKUP($E45,武器奇术!$A:$R,12,FALSE)+VLOOKUP($E45,武器奇术!$A:$R,14,FALSE)*$G$3+$P45</f>
        <v>0.713</v>
      </c>
      <c r="K45" s="94">
        <f>VLOOKUP($E45,武器奇术!$A:$R,11,FALSE)</f>
        <v>1</v>
      </c>
      <c r="L45" s="109">
        <f>IF(VLOOKUP($E45,武器奇术!$A:$R,15,FALSE)="天工",0%,IF($C$17+VLOOKUP($E45,武器奇术!$A:$R,7,FALSE)&gt;80%,80%,$C$17+VLOOKUP($E45,武器奇术!$A:$R,7,FALSE))+IF($C$19&gt;20%,20%,$C$19))</f>
        <v>0.8135</v>
      </c>
      <c r="M45" s="110">
        <f>IF(VLOOKUP($E45,武器奇术!$A:$R,15,FALSE)="天工",0%,IF($C$18+VLOOKUP($E45,武器奇术!$A:$R,9,FALSE)&gt;40%,40%,$C$18+VLOOKUP($E45,武器奇术!$A:$R,9,FALSE))+IF($C$20&gt;10%,10%,$C$20))</f>
        <v>0.0986</v>
      </c>
      <c r="N45" s="111">
        <f>IF(VLOOKUP($E45,武器奇术!$A:$R,15,FALSE)="天工",100%,MIN($C$16,1))</f>
        <v>1</v>
      </c>
      <c r="O45" s="112" t="str">
        <f>VLOOKUP($E45,武器奇术!$A:$R,16,FALSE)</f>
        <v>双刀</v>
      </c>
      <c r="P45" s="113">
        <f t="shared" si="17"/>
        <v>0.17</v>
      </c>
      <c r="Q45" s="99">
        <f>$B$5*(1+VLOOKUP($E45,武器奇术!$A:$R,5,FALSE)+IF($G$5="飞隼",0.1,0)+IF($G$5="撼天",0.05,0))-$F$9*IF(VLOOKUP($E45,武器奇术!$A:$S,19,FALSE)=1,0.9,1)+IF($I$5="√",160,0)</f>
        <v>2904.2</v>
      </c>
      <c r="R45" s="91">
        <f t="shared" si="18"/>
        <v>2904.2</v>
      </c>
      <c r="S45" s="91">
        <f>MAX($C$5,$B$5)*(1+VLOOKUP($E45,武器奇术!$A:$R,5,FALSE)+IF($G$5="飞隼",0.1,0)+IF($G$5="撼天",0.05,0))-$F$9*IF(VLOOKUP($E45,武器奇术!$A:$S,19,FALSE)=1,0.9,1)+IF($I$5="√",320,0)</f>
        <v>2904.2</v>
      </c>
      <c r="T45" s="93">
        <f>IF(($D$5+VLOOKUP($E45,武器奇术!$A:$R,13,FALSE)+IF($I$3="√",10,0)-VLOOKUP($F$7,目标属性!$A:$R,5,FALSE))&gt;0,($D$5+VLOOKUP($E45,武器奇术!$A:$R,13,FALSE)+IF($I$3="√",10,0)-VLOOKUP($F$7,目标属性!$A:$R,5,FALSE))/200,($D$5+VLOOKUP($E45,武器奇术!$A:$R,13,FALSE)+IF($I$3="√",10,0)-VLOOKUP($F$7,目标属性!$A:$R,5,FALSE))/100)</f>
        <v>0.2675</v>
      </c>
      <c r="U45" s="100">
        <f>$E$5+IF(VLOOKUP($E45,武器奇术!$A:$R,18,FALSE)="鼠鼠",0.24,0)</f>
        <v>0</v>
      </c>
      <c r="V45" s="91">
        <v>1</v>
      </c>
      <c r="W45" s="92">
        <f>Q45*VLOOKUP($E45,武器奇术!$A:$R,2,FALSE)*(1+T45)*(1+U45)*V45</f>
        <v>10261.43411007</v>
      </c>
      <c r="X45" s="93">
        <f>(1-IF(VLOOKUP($E45,武器奇术!$A:$R,16,FALSE)="陌刀",1,$N45))*(1-$M45)</f>
        <v>0</v>
      </c>
      <c r="Y45" s="92">
        <f>R45*VLOOKUP($E45,武器奇术!$A:$R,2,FALSE)*(1+T45)*(1+U45)*V45*(1+$E$16+VLOOKUP($E45,武器奇术!$A:$R,8,FALSE))</f>
        <v>16869.7976769551</v>
      </c>
      <c r="Z45" s="93">
        <f t="shared" si="19"/>
        <v>0.8135</v>
      </c>
      <c r="AA45" s="92">
        <f>S45*VLOOKUP($E45,武器奇术!$A:$R,2,FALSE)*(1+T45)*(1+U45)*V45*(1+$E$17+VLOOKUP($E45,武器奇术!$A:$R,10,FALSE))</f>
        <v>13852.9360485945</v>
      </c>
      <c r="AB45" s="93">
        <f t="shared" si="20"/>
        <v>0.0986</v>
      </c>
      <c r="AC45" s="92">
        <f>R45*VLOOKUP($E45,武器奇术!$A:$R,2,FALSE)*(1+T45)*(1+U45)*V45</f>
        <v>10261.43411007</v>
      </c>
      <c r="AD45" s="93">
        <f t="shared" si="21"/>
        <v>0.0879</v>
      </c>
      <c r="AE45" s="101">
        <f t="shared" si="22"/>
        <v>15991.4599628695</v>
      </c>
      <c r="AF45" s="102">
        <f>VLOOKUP($E45,武器奇术!$A:$R,3,FALSE)*(1+IF(VLOOKUP($E45,武器奇术!$A:$R,15,FALSE)="武器",$E$15,0))</f>
        <v>1003.86</v>
      </c>
      <c r="AG45" s="92">
        <f t="shared" si="23"/>
        <v>1003.86</v>
      </c>
      <c r="AH45" s="92">
        <f>VLOOKUP($E45,武器奇术!$A:$R,3,FALSE)*(1+IF(VLOOKUP($E45,武器奇术!$A:$R,15,FALSE)="武器",$E$15,0))</f>
        <v>1003.86</v>
      </c>
      <c r="AI45" s="93">
        <f>IF(($D$5+VLOOKUP($E45,武器奇术!$A:$R,13,FALSE)+IF($I$3="√",10,0)-VLOOKUP($F$7,目标属性!$A:$R,5,FALSE))&gt;0,($D$5+VLOOKUP($E45,武器奇术!$A:$R,13,FALSE)+IF($I$3="√",10,0)-VLOOKUP($F$7,目标属性!$A:$R,5,FALSE))/200,($D$5+VLOOKUP($E45,武器奇术!$A:$R,13,FALSE)+IF($I$3="√",10,0)-VLOOKUP($F$7,目标属性!$A:$R,5,FALSE))/100)</f>
        <v>0.2675</v>
      </c>
      <c r="AJ45" s="100">
        <f>$E$5+IF(VLOOKUP($E45,武器奇术!$A:$R,18,FALSE)="鼠鼠",0.24,0)</f>
        <v>0</v>
      </c>
      <c r="AK45" s="91">
        <v>1</v>
      </c>
      <c r="AL45" s="92">
        <f t="shared" si="24"/>
        <v>1272.39255</v>
      </c>
      <c r="AM45" s="93">
        <f>(1-IF(VLOOKUP($E45,武器奇术!$A:$R,16,FALSE)="陌刀",1,$N45))*(1-$M45)</f>
        <v>0</v>
      </c>
      <c r="AN45" s="92">
        <f>AG45*(1+AI45)*(1+AJ45)*AK45*(1+$E$16+VLOOKUP($E45,武器奇术!$A:$R,8,FALSE))</f>
        <v>2091.8133522</v>
      </c>
      <c r="AO45" s="93">
        <f t="shared" si="1"/>
        <v>0.8135</v>
      </c>
      <c r="AP45" s="92">
        <f>AH45*(1+AI45)*(1+AJ45)*AK45*(1+$E$17+VLOOKUP($E45,武器奇术!$A:$R,10,FALSE))</f>
        <v>1717.7299425</v>
      </c>
      <c r="AQ45" s="93">
        <f t="shared" si="2"/>
        <v>0.0986</v>
      </c>
      <c r="AR45" s="92">
        <f t="shared" si="25"/>
        <v>1272.39255</v>
      </c>
      <c r="AS45" s="93">
        <f t="shared" si="26"/>
        <v>0.0879</v>
      </c>
      <c r="AT45" s="101">
        <f t="shared" si="27"/>
        <v>1982.9016394902</v>
      </c>
      <c r="AU45" s="99">
        <f>IF(VLOOKUP($E45,武器奇术!$A:$R,18,FALSE)="极乐",0,$B$7*IF($G$5="撼天",1.05,1)+IF(AND(VLOOKUP($E45,武器奇术!$A:$R,15,FALSE)="武器",VLOOKUP($E45,武器奇术!$A:$R,17,FALSE)="鸣金"),$E$3*(1+$E$15),0))</f>
        <v>0</v>
      </c>
      <c r="AV45" s="91">
        <f t="shared" si="28"/>
        <v>0</v>
      </c>
      <c r="AW45" s="91">
        <f>IF(VLOOKUP($E45,武器奇术!$A:$R,18,FALSE)="极乐",0,MAX($C$7*IF($G$5="撼天",1.05,1)+IF(AND(VLOOKUP($E45,武器奇术!$A:$R,15,FALSE)="武器",VLOOKUP($E45,武器奇术!$A:$R,17,FALSE)="鸣金"),$E$3*(1+$E$15),0),AU45))</f>
        <v>0</v>
      </c>
      <c r="AX45" s="93">
        <f>IF(($D$7+IF(VLOOKUP($E45,武器奇术!$A:$R,17,FALSE)="鸣金",$D$15,0)-VLOOKUP($F$7,目标属性!$A:$R,6,FALSE))&gt;0,($D$7+IF(VLOOKUP($E45,武器奇术!$A:$R,17,FALSE)="鸣金",$D$15,0)-VLOOKUP($F$7,目标属性!$A:$R,6,FALSE))/200,($D$7+IF(VLOOKUP($E45,武器奇术!$A:$R,17,FALSE)="鸣金",$D$15,0)-VLOOKUP($F$7,目标属性!$A:$R,6,FALSE))/100)</f>
        <v>-0.24</v>
      </c>
      <c r="AY45" s="100">
        <f t="shared" si="46"/>
        <v>0</v>
      </c>
      <c r="AZ45" s="91">
        <v>1</v>
      </c>
      <c r="BA45" s="92">
        <f>AU45*IF(VLOOKUP($E45,武器奇术!$A:$R,17,FALSE)="鸣金",VLOOKUP($E45,武器奇术!$A:$R,4,FALSE),VLOOKUP($E45,武器奇术!$A:$R,2,FALSE))*(1+AX45)*(1+AY45)*AZ45</f>
        <v>0</v>
      </c>
      <c r="BB45" s="93">
        <f>(1-IF(VLOOKUP($E45,武器奇术!$A:$R,16,FALSE)="陌刀",1,$N45))*(1-$M45)</f>
        <v>0</v>
      </c>
      <c r="BC45" s="92">
        <f>AV45*IF(VLOOKUP($E45,武器奇术!$A:$R,17,FALSE)="鸣金",VLOOKUP($E45,武器奇术!$A:$R,4,FALSE),VLOOKUP($E45,武器奇术!$A:$R,2,FALSE))*(1+AX45)*(1+AY45)*AZ45*(1+$E$16+VLOOKUP($E45,武器奇术!$A:$R,8,FALSE))</f>
        <v>0</v>
      </c>
      <c r="BD45" s="93">
        <f t="shared" si="3"/>
        <v>0.8135</v>
      </c>
      <c r="BE45" s="92">
        <f>AW45*IF(VLOOKUP($E45,武器奇术!$A:$R,17,FALSE)="鸣金",VLOOKUP($E45,武器奇术!$A:$R,4,FALSE),VLOOKUP($E45,武器奇术!$A:$R,2,FALSE))*(1+AX45)*(1+AY45)*AZ45*(1+$E$17+VLOOKUP($E45,武器奇术!$A:$R,10,FALSE))</f>
        <v>0</v>
      </c>
      <c r="BF45" s="93">
        <f t="shared" si="4"/>
        <v>0.0986</v>
      </c>
      <c r="BG45" s="92">
        <f>AV45*IF(VLOOKUP($E45,武器奇术!$A:$R,17,FALSE)="鸣金",VLOOKUP($E45,武器奇术!$A:$R,4,FALSE),VLOOKUP($E45,武器奇术!$A:$R,2,FALSE))*(1+AX45)*(1+AY45)*AZ45</f>
        <v>0</v>
      </c>
      <c r="BH45" s="93">
        <f t="shared" si="30"/>
        <v>0.0879</v>
      </c>
      <c r="BI45" s="101">
        <f t="shared" si="31"/>
        <v>0</v>
      </c>
      <c r="BJ45" s="99">
        <f>IF(VLOOKUP($E45,武器奇术!$A:$R,18,FALSE)="极乐",0,$B$9*IF($G$5="撼天",1.05,1)+IF(AND(VLOOKUP($E45,武器奇术!$A:$R,15,FALSE)="武器",VLOOKUP($E45,武器奇术!$A:$R,17,FALSE)="裂石"),$E$3*(1+$E$15),0))</f>
        <v>0</v>
      </c>
      <c r="BK45" s="91">
        <f t="shared" si="32"/>
        <v>0</v>
      </c>
      <c r="BL45" s="91">
        <f>IF(VLOOKUP($E45,武器奇术!$A:$R,18,FALSE)="极乐",0,MAX($C$9*IF($G$5="撼天",1.05,1)+IF(AND(VLOOKUP($E45,武器奇术!$A:$R,15,FALSE)="武器",VLOOKUP($E45,武器奇术!$A:$R,17,FALSE)="裂石"),$E$3*(1+$E$15),0),BJ45))</f>
        <v>0</v>
      </c>
      <c r="BM45" s="93">
        <f>IF(($D$9+IF(VLOOKUP($E45,武器奇术!$A:$R,17,FALSE)="裂石",$D$15,0)-VLOOKUP($F$7,目标属性!$A:$R,6,FALSE))&gt;0,($D$9+IF(VLOOKUP($E45,武器奇术!$A:$R,17,FALSE)="裂石",$D$15,0)-VLOOKUP($F$7,目标属性!$A:$R,6,FALSE))/200,($D$9+IF(VLOOKUP($E45,武器奇术!$A:$R,17,FALSE)="裂石",$D$15,0)-VLOOKUP($F$7,目标属性!$A:$R,6,FALSE))/100)</f>
        <v>-0.24</v>
      </c>
      <c r="BN45" s="100">
        <f t="shared" si="47"/>
        <v>0</v>
      </c>
      <c r="BO45" s="91">
        <v>1</v>
      </c>
      <c r="BP45" s="92">
        <f>BJ45*IF(VLOOKUP($E45,武器奇术!$A:$R,17,FALSE)="裂石",VLOOKUP($E45,武器奇术!$A:$R,4,FALSE),VLOOKUP($E45,武器奇术!$A:$R,2,FALSE))*(1+BM45)*(1+BN45)*BO45</f>
        <v>0</v>
      </c>
      <c r="BQ45" s="93">
        <f>(1-IF(VLOOKUP($E45,武器奇术!$A:$R,16,FALSE)="陌刀",1,$N45))*(1-$M45)</f>
        <v>0</v>
      </c>
      <c r="BR45" s="92">
        <f>BK45*IF(VLOOKUP($E45,武器奇术!$A:$R,17,FALSE)="裂石",VLOOKUP($E45,武器奇术!$A:$R,4,FALSE),VLOOKUP($E45,武器奇术!$A:$R,2,FALSE))*(1+BM45)*(1+BN45)*BO45*(1+$E$16+VLOOKUP($E45,武器奇术!$A:$R,8,FALSE))</f>
        <v>0</v>
      </c>
      <c r="BS45" s="93">
        <f t="shared" si="5"/>
        <v>0.8135</v>
      </c>
      <c r="BT45" s="92">
        <f>BL45*IF(VLOOKUP($E45,武器奇术!$A:$R,17,FALSE)="裂石",VLOOKUP($E45,武器奇术!$A:$R,4,FALSE),VLOOKUP($E45,武器奇术!$A:$R,2,FALSE))*(1+BM45)*(1+BN45)*BO45*(1+$E$17+VLOOKUP($E45,武器奇术!$A:$R,10,FALSE))</f>
        <v>0</v>
      </c>
      <c r="BU45" s="93">
        <f t="shared" si="6"/>
        <v>0.0986</v>
      </c>
      <c r="BV45" s="92">
        <f>BK45*IF(VLOOKUP($E45,武器奇术!$A:$R,17,FALSE)="裂石",VLOOKUP($E45,武器奇术!$A:$R,4,FALSE),VLOOKUP($E45,武器奇术!$A:$R,2,FALSE))*(1+BM45)*(1+BN45)*BO45</f>
        <v>0</v>
      </c>
      <c r="BW45" s="93">
        <f t="shared" si="34"/>
        <v>0.0879</v>
      </c>
      <c r="BX45" s="101">
        <f t="shared" si="35"/>
        <v>0</v>
      </c>
      <c r="BY45" s="99">
        <f>IF(VLOOKUP($E45,武器奇术!$A:$R,18,FALSE)="极乐",0,$B$11*IF($G$5="撼天",1.05,1)+IF(AND(VLOOKUP($E45,武器奇术!$A:$R,15,FALSE)="武器",VLOOKUP($E45,武器奇术!$A:$R,17,FALSE)="牵丝"),$E$3*(1+$E$15),0))</f>
        <v>0</v>
      </c>
      <c r="BZ45" s="91">
        <f t="shared" si="36"/>
        <v>0</v>
      </c>
      <c r="CA45" s="91">
        <f>IF(VLOOKUP($E45,武器奇术!$A:$R,18,FALSE)="极乐",0,MAX($C$11*IF($G$5="撼天",1.05,1)+IF(AND(VLOOKUP($E45,武器奇术!$A:$R,15,FALSE)="武器",VLOOKUP($E45,武器奇术!$A:$R,17,FALSE)="牵丝"),$E$3*(1+$E$15),0),BY45))</f>
        <v>0</v>
      </c>
      <c r="CB45" s="93">
        <f>IF(($D$11+IF(VLOOKUP($E45,武器奇术!$A:$R,17,FALSE)="牵丝",$D$15,0)-VLOOKUP($F$7,目标属性!$A:$R,6,FALSE))&gt;0,($D$11+IF(VLOOKUP($E45,武器奇术!$A:$R,17,FALSE)="牵丝",$D$15,0)-VLOOKUP($F$7,目标属性!$A:$R,6,FALSE))/200,($D$11+IF(VLOOKUP($E45,武器奇术!$A:$R,17,FALSE)="牵丝",$D$15,0)-VLOOKUP($F$7,目标属性!$A:$R,6,FALSE))/100)</f>
        <v>-0.24</v>
      </c>
      <c r="CC45" s="100">
        <f t="shared" si="48"/>
        <v>0</v>
      </c>
      <c r="CD45" s="91">
        <v>1</v>
      </c>
      <c r="CE45" s="92">
        <f>BY45*IF(VLOOKUP($E45,武器奇术!$A:$R,17,FALSE)="牵丝",VLOOKUP($E45,武器奇术!$A:$R,4,FALSE),VLOOKUP($E45,武器奇术!$A:$R,2,FALSE))*(1+CB45)*(1+CC45)*CD45</f>
        <v>0</v>
      </c>
      <c r="CF45" s="93">
        <f>(1-IF(VLOOKUP($E45,武器奇术!$A:$R,16,FALSE)="陌刀",1,$N45))*(1-$M45)</f>
        <v>0</v>
      </c>
      <c r="CG45" s="92">
        <f>BZ45*IF(VLOOKUP($E45,武器奇术!$A:$R,17,FALSE)="牵丝",VLOOKUP($E45,武器奇术!$A:$R,4,FALSE),VLOOKUP($E45,武器奇术!$A:$R,2,FALSE))*(1+CB45)*(1+CC45)*CD45*(1+$E$16+VLOOKUP($E45,武器奇术!$A:$R,8,FALSE))</f>
        <v>0</v>
      </c>
      <c r="CH45" s="93">
        <f t="shared" si="7"/>
        <v>0.8135</v>
      </c>
      <c r="CI45" s="92">
        <f>CA45*IF(VLOOKUP($E45,武器奇术!$A:$R,17,FALSE)="牵丝",VLOOKUP($E45,武器奇术!$A:$R,4,FALSE),VLOOKUP($E45,武器奇术!$A:$R,2,FALSE))*(1+CB45)*(1+CC45)*CD45*(1+$E$17+VLOOKUP($E45,武器奇术!$A:$R,10,FALSE))</f>
        <v>0</v>
      </c>
      <c r="CJ45" s="93">
        <f t="shared" si="8"/>
        <v>0.0986</v>
      </c>
      <c r="CK45" s="92">
        <f>BZ45*IF(VLOOKUP($E45,武器奇术!$A:$R,17,FALSE)="牵丝",VLOOKUP($E45,武器奇术!$A:$R,4,FALSE),VLOOKUP($E45,武器奇术!$A:$R,2,FALSE))*(1+CB45)*(1+CC45)*CD45</f>
        <v>0</v>
      </c>
      <c r="CL45" s="93">
        <f t="shared" si="38"/>
        <v>0.0879</v>
      </c>
      <c r="CM45" s="101">
        <f t="shared" si="39"/>
        <v>0</v>
      </c>
      <c r="CN45" s="99">
        <f>IF(VLOOKUP($E45,武器奇术!$A:$R,18,FALSE)="极乐",0,$B$13*IF($G$5="撼天",1.05,1)+IF(AND(VLOOKUP($E45,武器奇术!$A:$R,15,FALSE)="武器",VLOOKUP($E45,武器奇术!$A:$R,17,FALSE)="破竹"),$E$3*(1+$E$15),0))</f>
        <v>686.71</v>
      </c>
      <c r="CO45" s="91">
        <f t="shared" si="40"/>
        <v>1052.21</v>
      </c>
      <c r="CP45" s="91">
        <f>IF(VLOOKUP($E45,武器奇术!$A:$R,18,FALSE)="极乐",0,MAX($C$13*IF($G$5="撼天",1.05,1)+IF(AND(VLOOKUP($E45,武器奇术!$A:$R,15,FALSE)="武器",VLOOKUP($E45,武器奇术!$A:$R,17,FALSE)="破竹"),$E$3*(1+$E$15),0),CN45))</f>
        <v>1417.71</v>
      </c>
      <c r="CQ45" s="93">
        <f>IF(($D$13+IF(VLOOKUP($E45,武器奇术!$A:$R,17,FALSE)="破竹",$D$15,0)-VLOOKUP($F$7,目标属性!$A:$R,6,FALSE)+IF(VLOOKUP($E45,武器奇术!$A:$V,22,FALSE)=1,4,0)+IF(VLOOKUP($E45,武器奇术!$A:$T,20,FALSE)=1,10,0))&gt;0,($D$13+IF(VLOOKUP($E45,武器奇术!$A:$R,17,FALSE)="破竹",$D$15,0)-VLOOKUP($F$7,目标属性!$A:$R,6,FALSE)+IF(VLOOKUP($E45,武器奇术!$A:$V,22,FALSE)=1,4,0)+IF(VLOOKUP($E45,武器奇术!$A:$T,20,FALSE)=1,10,0))/200,($D$13+IF(VLOOKUP($E45,武器奇术!$A:$R,17,FALSE)="破竹",$D$15,0)-VLOOKUP($F$7,目标属性!$A:$R,6,FALSE)+IF(VLOOKUP($E45,武器奇术!$A:$V,22,FALSE)=1,4,0)+IF(VLOOKUP($E45,武器奇术!$A:$T,20,FALSE)=1,10,0))/100)</f>
        <v>0.078</v>
      </c>
      <c r="CR45" s="100">
        <f>$E$13</f>
        <v>0.148</v>
      </c>
      <c r="CS45" s="91">
        <v>1</v>
      </c>
      <c r="CT45" s="92">
        <f>CN45*IF(VLOOKUP($E45,武器奇术!$A:$R,17,FALSE)="破竹",VLOOKUP($E45,武器奇术!$A:$R,4,FALSE),VLOOKUP($E45,武器奇术!$A:$R,2,FALSE))*(1+CQ45)*(1+CR45)*CS45</f>
        <v>3553.42723287232</v>
      </c>
      <c r="CU45" s="93">
        <f>(1-IF(VLOOKUP($E45,武器奇术!$A:$R,16,FALSE)="陌刀",1,$N45))*(1-$M45)</f>
        <v>0</v>
      </c>
      <c r="CV45" s="92">
        <f>CO45*IF(VLOOKUP($E45,武器奇术!$A:$R,17,FALSE)="破竹",VLOOKUP($E45,武器奇术!$A:$R,4,FALSE),VLOOKUP($E45,武器奇术!$A:$R,2,FALSE))*(1+CQ45)*(1+CR45)*CS45*(1+$E$16+VLOOKUP($E45,武器奇术!$A:$R,8,FALSE))</f>
        <v>8951.13882620576</v>
      </c>
      <c r="CW45" s="93">
        <f t="shared" si="9"/>
        <v>0.8135</v>
      </c>
      <c r="CX45" s="92">
        <f>CP45*IF(VLOOKUP($E45,武器奇术!$A:$R,17,FALSE)="破竹",VLOOKUP($E45,武器奇术!$A:$R,4,FALSE),VLOOKUP($E45,武器奇术!$A:$R,2,FALSE))*(1+CQ45)*(1+CR45)*CS45*(1+$E$17+VLOOKUP($E45,武器奇术!$A:$R,10,FALSE))</f>
        <v>9903.64868012088</v>
      </c>
      <c r="CY45" s="93">
        <f t="shared" si="10"/>
        <v>0.0986</v>
      </c>
      <c r="CZ45" s="92">
        <f>CO45*IF(VLOOKUP($E45,武器奇术!$A:$R,17,FALSE)="破竹",VLOOKUP($E45,武器奇术!$A:$R,4,FALSE),VLOOKUP($E45,武器奇术!$A:$R,2,FALSE))*(1+CQ45)*(1+CR45)*CS45</f>
        <v>5444.73164611056</v>
      </c>
      <c r="DA45" s="93">
        <f t="shared" si="42"/>
        <v>0.0879</v>
      </c>
      <c r="DB45" s="101">
        <f t="shared" si="43"/>
        <v>8736.84310667142</v>
      </c>
      <c r="DC45" s="99">
        <f>IF(VLOOKUP($E45,武器奇术!$A:$R,18,FALSE)="极乐",0,$B$15)</f>
        <v>66</v>
      </c>
      <c r="DD45" s="91">
        <f t="shared" si="44"/>
        <v>95.9</v>
      </c>
      <c r="DE45" s="91">
        <f>IF(VLOOKUP($E45,武器奇术!$A:$R,18,FALSE)="极乐",0,$C$15)</f>
        <v>125.8</v>
      </c>
      <c r="DF45" s="93">
        <f>IF((IF(VLOOKUP($E45,武器奇术!$A:$R,17,FALSE)="鸣金",$D$7,0)+IF(VLOOKUP($E45,武器奇术!$A:$R,17,FALSE)="裂石",$D$9,0)+IF(VLOOKUP($E45,武器奇术!$A:$R,17,FALSE)="牵丝",$D$11,0)+IF(VLOOKUP($E45,武器奇术!$A:$R,17,FALSE)="破竹",$D$13,0)+$D$15-VLOOKUP($F$7,目标属性!$A:$R,6,FALSE)+IF(VLOOKUP($E45,武器奇术!$A:$V,22,FALSE)=1,4,0)+IF(VLOOKUP($E45,武器奇术!$A:$T,20,FALSE)=1,10,0))&gt;0,(IF(VLOOKUP($E45,武器奇术!$A:$R,17,FALSE)="鸣金",$D$7,0)+IF(VLOOKUP($E45,武器奇术!$A:$R,17,FALSE)="裂石",$D$9,0)+IF(VLOOKUP($E45,武器奇术!$A:$R,17,FALSE)="牵丝",$D$11,0)+IF(VLOOKUP($E45,武器奇术!$A:$R,17,FALSE)="破竹",$D$13,0)+$D$15-VLOOKUP($F$7,目标属性!$A:$R,6,FALSE)+IF(VLOOKUP($E45,武器奇术!$A:$V,22,FALSE)=1,4,0)+IF(VLOOKUP($E45,武器奇术!$A:$T,20,FALSE)=1,10,0))/200,(IF(VLOOKUP($E45,武器奇术!$A:$R,17,FALSE)="鸣金",$D$7,0)+IF(VLOOKUP($E45,武器奇术!$A:$R,17,FALSE)="裂石",$D$9,0)+IF(VLOOKUP($E45,武器奇术!$A:$R,17,FALSE)="牵丝",$D$11,0)+IF(VLOOKUP($E45,武器奇术!$A:$R,17,FALSE)="破竹",$D$13,0)+$D$15-VLOOKUP($F$7,目标属性!$A:$R,6,FALSE)+IF(VLOOKUP($E45,武器奇术!$A:$V,22,FALSE)=1,4,0)+IF(VLOOKUP($E45,武器奇术!$A:$T,20,FALSE)=1,10,0))/100)</f>
        <v>0.078</v>
      </c>
      <c r="DG45" s="100">
        <f t="shared" si="49"/>
        <v>0.148</v>
      </c>
      <c r="DH45" s="91">
        <v>1</v>
      </c>
      <c r="DI45" s="92">
        <f>DC45*IF(VLOOKUP($E45,武器奇术!$A:$R,17,FALSE)="破竹",VLOOKUP($E45,武器奇术!$A:$R,4,FALSE),VLOOKUP($E45,武器奇术!$A:$R,2,FALSE))*(1+DF45)*(1+DG45)*DH45</f>
        <v>341.52145355328</v>
      </c>
      <c r="DJ45" s="93">
        <f>(1-IF(VLOOKUP($E45,武器奇术!$A:$R,16,FALSE)="陌刀",1,$N45))*(1-$M45)</f>
        <v>0</v>
      </c>
      <c r="DK45" s="92">
        <f>DD45*IF(VLOOKUP($E45,武器奇术!$A:$R,17,FALSE)="破竹",VLOOKUP($E45,武器奇术!$A:$R,4,FALSE),VLOOKUP($E45,武器奇术!$A:$R,2,FALSE))*(1+DF45)*(1+DG45)*DH45*(1+$E$16+VLOOKUP($E45,武器奇术!$A:$R,8,FALSE))</f>
        <v>815.820238767102</v>
      </c>
      <c r="DL45" s="93">
        <f t="shared" si="12"/>
        <v>0.8135</v>
      </c>
      <c r="DM45" s="92">
        <f>DE45*IF(VLOOKUP($E45,武器奇术!$A:$R,17,FALSE)="破竹",VLOOKUP($E45,武器奇术!$A:$R,4,FALSE),VLOOKUP($E45,武器奇术!$A:$R,2,FALSE))*(1+DF45)*(1+DG45)*DH45*(1+$E$17+VLOOKUP($E45,武器奇术!$A:$R,10,FALSE))</f>
        <v>878.796794802327</v>
      </c>
      <c r="DN45" s="93">
        <f t="shared" si="13"/>
        <v>0.0986</v>
      </c>
      <c r="DO45" s="92">
        <f>DD45*IF(VLOOKUP($E45,武器奇术!$A:$R,17,FALSE)="破竹",VLOOKUP($E45,武器奇术!$A:$R,4,FALSE),VLOOKUP($E45,武器奇术!$A:$R,2,FALSE))*(1+DF45)*(1+DG45)*DH45</f>
        <v>496.241021147872</v>
      </c>
      <c r="DP45" s="93">
        <f t="shared" si="14"/>
        <v>0.0879</v>
      </c>
      <c r="DQ45" s="101">
        <f t="shared" si="15"/>
        <v>793.938713963445</v>
      </c>
    </row>
    <row r="46" customFormat="1" spans="1:121">
      <c r="A46" s="126"/>
      <c r="B46" s="12"/>
      <c r="C46" s="12"/>
      <c r="D46" s="12"/>
      <c r="E46" s="105" t="s">
        <v>123</v>
      </c>
      <c r="F46" s="106">
        <f>F45*3</f>
        <v>3</v>
      </c>
      <c r="G46" s="107">
        <f>$E$23</f>
        <v>0.32</v>
      </c>
      <c r="H46" s="92">
        <f>IF(VLOOKUP($E46,武器奇术!$A:$R,18,FALSE)="天工",AE46,(AE46+AT46+BI46+BX46+CM46+DB46+DQ46))*(1+J46)*F46*K46*(1+G46)</f>
        <v>33773.0144615306</v>
      </c>
      <c r="I46" s="93">
        <f t="shared" si="16"/>
        <v>0.00433249411188791</v>
      </c>
      <c r="J46" s="93">
        <f>$F$3+VLOOKUP($E46,武器奇术!$A:$R,12,FALSE)+VLOOKUP($E46,武器奇术!$A:$R,14,FALSE)*$G$3+$P46</f>
        <v>1.513</v>
      </c>
      <c r="K46" s="94">
        <f>VLOOKUP($E46,武器奇术!$A:$R,11,FALSE)</f>
        <v>1</v>
      </c>
      <c r="L46" s="109">
        <f>IF(VLOOKUP($E46,武器奇术!$A:$R,15,FALSE)="天工",0%,IF($C$17+VLOOKUP($E46,武器奇术!$A:$R,7,FALSE)&gt;80%,80%,$C$17+VLOOKUP($E46,武器奇术!$A:$R,7,FALSE))+IF($C$19&gt;20%,20%,$C$19))</f>
        <v>0.8135</v>
      </c>
      <c r="M46" s="110">
        <f>IF(VLOOKUP($E46,武器奇术!$A:$R,15,FALSE)="天工",0%,IF($C$18+VLOOKUP($E46,武器奇术!$A:$R,9,FALSE)&gt;40%,40%,$C$18+VLOOKUP($E46,武器奇术!$A:$R,9,FALSE))+IF($C$20&gt;10%,10%,$C$20))</f>
        <v>0.0986</v>
      </c>
      <c r="N46" s="111">
        <f>IF(VLOOKUP($E46,武器奇术!$A:$R,15,FALSE)="天工",100%,MIN($C$16,1))</f>
        <v>1</v>
      </c>
      <c r="O46" s="112" t="str">
        <f>VLOOKUP($E46,武器奇术!$A:$R,16,FALSE)</f>
        <v>绳标</v>
      </c>
      <c r="P46" s="113">
        <f t="shared" si="17"/>
        <v>0.17</v>
      </c>
      <c r="Q46" s="99">
        <f>$B$5*(1+VLOOKUP($E46,武器奇术!$A:$R,5,FALSE)+IF($G$5="飞隼",0.1,0)+IF($G$5="撼天",0.05,0))-$F$9*IF(VLOOKUP($E46,武器奇术!$A:$S,19,FALSE)=1,0.9,1)+IF($I$5="√",160,0)</f>
        <v>2848.3</v>
      </c>
      <c r="R46" s="91">
        <f t="shared" si="18"/>
        <v>2848.3</v>
      </c>
      <c r="S46" s="91">
        <f>MAX($C$5,$B$5)*(1+VLOOKUP($E46,武器奇术!$A:$R,5,FALSE)+IF($G$5="飞隼",0.1,0)+IF($G$5="撼天",0.05,0))-$F$9*IF(VLOOKUP($E46,武器奇术!$A:$S,19,FALSE)=1,0.9,1)+IF($I$5="√",320,0)</f>
        <v>2848.3</v>
      </c>
      <c r="T46" s="93">
        <f>IF(($D$5+VLOOKUP($E46,武器奇术!$A:$R,13,FALSE)+IF($I$3="√",10,0)-VLOOKUP($F$7,目标属性!$A:$R,5,FALSE))&gt;0,($D$5+VLOOKUP($E46,武器奇术!$A:$R,13,FALSE)+IF($I$3="√",10,0)-VLOOKUP($F$7,目标属性!$A:$R,5,FALSE))/200,($D$5+VLOOKUP($E46,武器奇术!$A:$R,13,FALSE)+IF($I$3="√",10,0)-VLOOKUP($F$7,目标属性!$A:$R,5,FALSE))/100)</f>
        <v>0.2675</v>
      </c>
      <c r="U46" s="100">
        <f>$E$5+IF(VLOOKUP($E46,武器奇术!$A:$R,18,FALSE)="鼠鼠",0.24,0)</f>
        <v>0.24</v>
      </c>
      <c r="V46" s="91">
        <v>1</v>
      </c>
      <c r="W46" s="92">
        <f>Q46*VLOOKUP($E46,武器奇术!$A:$R,2,FALSE)*(1+T46)*(1+U46)*V46</f>
        <v>1566.8355885</v>
      </c>
      <c r="X46" s="93">
        <f>(1-IF(VLOOKUP($E46,武器奇术!$A:$R,16,FALSE)="陌刀",1,$N46))*(1-$M46)</f>
        <v>0</v>
      </c>
      <c r="Y46" s="92">
        <f>R46*VLOOKUP($E46,武器奇术!$A:$R,2,FALSE)*(1+T46)*(1+U46)*V46*(1+$E$16+VLOOKUP($E46,武器奇术!$A:$R,8,FALSE))</f>
        <v>2575.877707494</v>
      </c>
      <c r="Z46" s="93">
        <f t="shared" si="19"/>
        <v>0.8135</v>
      </c>
      <c r="AA46" s="92">
        <f>S46*VLOOKUP($E46,武器奇术!$A:$R,2,FALSE)*(1+T46)*(1+U46)*V46*(1+$E$17+VLOOKUP($E46,武器奇术!$A:$R,10,FALSE))</f>
        <v>2115.228044475</v>
      </c>
      <c r="AB46" s="93">
        <f t="shared" si="20"/>
        <v>0.0986</v>
      </c>
      <c r="AC46" s="92">
        <f>R46*VLOOKUP($E46,武器奇术!$A:$R,2,FALSE)*(1+T46)*(1+U46)*V46</f>
        <v>1566.8355885</v>
      </c>
      <c r="AD46" s="93">
        <f t="shared" si="21"/>
        <v>0.0879</v>
      </c>
      <c r="AE46" s="101">
        <f t="shared" si="22"/>
        <v>2441.76284846075</v>
      </c>
      <c r="AF46" s="102">
        <f>VLOOKUP($E46,武器奇术!$A:$R,3,FALSE)*(1+IF(VLOOKUP($E46,武器奇术!$A:$R,15,FALSE)="武器",$E$15,0))</f>
        <v>0</v>
      </c>
      <c r="AG46" s="92">
        <f t="shared" si="23"/>
        <v>0</v>
      </c>
      <c r="AH46" s="92">
        <f>VLOOKUP($E46,武器奇术!$A:$R,3,FALSE)*(1+IF(VLOOKUP($E46,武器奇术!$A:$R,15,FALSE)="武器",$E$15,0))</f>
        <v>0</v>
      </c>
      <c r="AI46" s="93">
        <f>IF(($D$5+VLOOKUP($E46,武器奇术!$A:$R,13,FALSE)+IF($I$3="√",10,0)-VLOOKUP($F$7,目标属性!$A:$R,5,FALSE))&gt;0,($D$5+VLOOKUP($E46,武器奇术!$A:$R,13,FALSE)+IF($I$3="√",10,0)-VLOOKUP($F$7,目标属性!$A:$R,5,FALSE))/200,($D$5+VLOOKUP($E46,武器奇术!$A:$R,13,FALSE)+IF($I$3="√",10,0)-VLOOKUP($F$7,目标属性!$A:$R,5,FALSE))/100)</f>
        <v>0.2675</v>
      </c>
      <c r="AJ46" s="100">
        <f>$E$5+IF(VLOOKUP($E46,武器奇术!$A:$R,18,FALSE)="鼠鼠",0.24,0)</f>
        <v>0.24</v>
      </c>
      <c r="AK46" s="91">
        <v>1</v>
      </c>
      <c r="AL46" s="92">
        <f t="shared" si="24"/>
        <v>0</v>
      </c>
      <c r="AM46" s="93">
        <f>(1-IF(VLOOKUP($E46,武器奇术!$A:$R,16,FALSE)="陌刀",1,$N46))*(1-$M46)</f>
        <v>0</v>
      </c>
      <c r="AN46" s="92">
        <f>AG46*(1+AI46)*(1+AJ46)*AK46*(1+$E$16+VLOOKUP($E46,武器奇术!$A:$R,8,FALSE))</f>
        <v>0</v>
      </c>
      <c r="AO46" s="93">
        <f t="shared" si="1"/>
        <v>0.8135</v>
      </c>
      <c r="AP46" s="92">
        <f>AH46*(1+AI46)*(1+AJ46)*AK46*(1+$E$17+VLOOKUP($E46,武器奇术!$A:$R,10,FALSE))</f>
        <v>0</v>
      </c>
      <c r="AQ46" s="93">
        <f t="shared" si="2"/>
        <v>0.0986</v>
      </c>
      <c r="AR46" s="92">
        <f t="shared" si="25"/>
        <v>0</v>
      </c>
      <c r="AS46" s="93">
        <f t="shared" si="26"/>
        <v>0.0879</v>
      </c>
      <c r="AT46" s="101">
        <f t="shared" si="27"/>
        <v>0</v>
      </c>
      <c r="AU46" s="99">
        <f>IF(VLOOKUP($E46,武器奇术!$A:$R,18,FALSE)="极乐",0,$B$7*IF($G$5="撼天",1.05,1)+IF(AND(VLOOKUP($E46,武器奇术!$A:$R,15,FALSE)="武器",VLOOKUP($E46,武器奇术!$A:$R,17,FALSE)="鸣金"),$E$3*(1+$E$15),0))</f>
        <v>0</v>
      </c>
      <c r="AV46" s="91">
        <f t="shared" si="28"/>
        <v>0</v>
      </c>
      <c r="AW46" s="91">
        <f>IF(VLOOKUP($E46,武器奇术!$A:$R,18,FALSE)="极乐",0,MAX($C$7*IF($G$5="撼天",1.05,1)+IF(AND(VLOOKUP($E46,武器奇术!$A:$R,15,FALSE)="武器",VLOOKUP($E46,武器奇术!$A:$R,17,FALSE)="鸣金"),$E$3*(1+$E$15),0),AU46))</f>
        <v>0</v>
      </c>
      <c r="AX46" s="93">
        <f>IF(($D$7+IF(VLOOKUP($E46,武器奇术!$A:$R,17,FALSE)="鸣金",$D$15,0)-VLOOKUP($F$7,目标属性!$A:$R,6,FALSE))&gt;0,($D$7+IF(VLOOKUP($E46,武器奇术!$A:$R,17,FALSE)="鸣金",$D$15,0)-VLOOKUP($F$7,目标属性!$A:$R,6,FALSE))/200,($D$7+IF(VLOOKUP($E46,武器奇术!$A:$R,17,FALSE)="鸣金",$D$15,0)-VLOOKUP($F$7,目标属性!$A:$R,6,FALSE))/100)</f>
        <v>-0.24</v>
      </c>
      <c r="AY46" s="100">
        <f t="shared" si="46"/>
        <v>0</v>
      </c>
      <c r="AZ46" s="91">
        <v>1</v>
      </c>
      <c r="BA46" s="92">
        <f>AU46*IF(VLOOKUP($E46,武器奇术!$A:$R,17,FALSE)="鸣金",VLOOKUP($E46,武器奇术!$A:$R,4,FALSE),VLOOKUP($E46,武器奇术!$A:$R,2,FALSE))*(1+AX46)*(1+AY46)*AZ46</f>
        <v>0</v>
      </c>
      <c r="BB46" s="93">
        <f>(1-IF(VLOOKUP($E46,武器奇术!$A:$R,16,FALSE)="陌刀",1,$N46))*(1-$M46)</f>
        <v>0</v>
      </c>
      <c r="BC46" s="92">
        <f>AV46*IF(VLOOKUP($E46,武器奇术!$A:$R,17,FALSE)="鸣金",VLOOKUP($E46,武器奇术!$A:$R,4,FALSE),VLOOKUP($E46,武器奇术!$A:$R,2,FALSE))*(1+AX46)*(1+AY46)*AZ46*(1+$E$16+VLOOKUP($E46,武器奇术!$A:$R,8,FALSE))</f>
        <v>0</v>
      </c>
      <c r="BD46" s="93">
        <f t="shared" si="3"/>
        <v>0.8135</v>
      </c>
      <c r="BE46" s="92">
        <f>AW46*IF(VLOOKUP($E46,武器奇术!$A:$R,17,FALSE)="鸣金",VLOOKUP($E46,武器奇术!$A:$R,4,FALSE),VLOOKUP($E46,武器奇术!$A:$R,2,FALSE))*(1+AX46)*(1+AY46)*AZ46*(1+$E$17+VLOOKUP($E46,武器奇术!$A:$R,10,FALSE))</f>
        <v>0</v>
      </c>
      <c r="BF46" s="93">
        <f t="shared" si="4"/>
        <v>0.0986</v>
      </c>
      <c r="BG46" s="92">
        <f>AV46*IF(VLOOKUP($E46,武器奇术!$A:$R,17,FALSE)="鸣金",VLOOKUP($E46,武器奇术!$A:$R,4,FALSE),VLOOKUP($E46,武器奇术!$A:$R,2,FALSE))*(1+AX46)*(1+AY46)*AZ46</f>
        <v>0</v>
      </c>
      <c r="BH46" s="93">
        <f t="shared" si="30"/>
        <v>0.0879</v>
      </c>
      <c r="BI46" s="101">
        <f t="shared" si="31"/>
        <v>0</v>
      </c>
      <c r="BJ46" s="99">
        <f>IF(VLOOKUP($E46,武器奇术!$A:$R,18,FALSE)="极乐",0,$B$9*IF($G$5="撼天",1.05,1)+IF(AND(VLOOKUP($E46,武器奇术!$A:$R,15,FALSE)="武器",VLOOKUP($E46,武器奇术!$A:$R,17,FALSE)="裂石"),$E$3*(1+$E$15),0))</f>
        <v>0</v>
      </c>
      <c r="BK46" s="91">
        <f t="shared" si="32"/>
        <v>0</v>
      </c>
      <c r="BL46" s="91">
        <f>IF(VLOOKUP($E46,武器奇术!$A:$R,18,FALSE)="极乐",0,MAX($C$9*IF($G$5="撼天",1.05,1)+IF(AND(VLOOKUP($E46,武器奇术!$A:$R,15,FALSE)="武器",VLOOKUP($E46,武器奇术!$A:$R,17,FALSE)="裂石"),$E$3*(1+$E$15),0),BJ46))</f>
        <v>0</v>
      </c>
      <c r="BM46" s="93">
        <f>IF(($D$9+IF(VLOOKUP($E46,武器奇术!$A:$R,17,FALSE)="裂石",$D$15,0)-VLOOKUP($F$7,目标属性!$A:$R,6,FALSE))&gt;0,($D$9+IF(VLOOKUP($E46,武器奇术!$A:$R,17,FALSE)="裂石",$D$15,0)-VLOOKUP($F$7,目标属性!$A:$R,6,FALSE))/200,($D$9+IF(VLOOKUP($E46,武器奇术!$A:$R,17,FALSE)="裂石",$D$15,0)-VLOOKUP($F$7,目标属性!$A:$R,6,FALSE))/100)</f>
        <v>-0.24</v>
      </c>
      <c r="BN46" s="100">
        <f t="shared" si="47"/>
        <v>0</v>
      </c>
      <c r="BO46" s="91">
        <v>1</v>
      </c>
      <c r="BP46" s="92">
        <f>BJ46*IF(VLOOKUP($E46,武器奇术!$A:$R,17,FALSE)="裂石",VLOOKUP($E46,武器奇术!$A:$R,4,FALSE),VLOOKUP($E46,武器奇术!$A:$R,2,FALSE))*(1+BM46)*(1+BN46)*BO46</f>
        <v>0</v>
      </c>
      <c r="BQ46" s="93">
        <f>(1-IF(VLOOKUP($E46,武器奇术!$A:$R,16,FALSE)="陌刀",1,$N46))*(1-$M46)</f>
        <v>0</v>
      </c>
      <c r="BR46" s="92">
        <f>BK46*IF(VLOOKUP($E46,武器奇术!$A:$R,17,FALSE)="裂石",VLOOKUP($E46,武器奇术!$A:$R,4,FALSE),VLOOKUP($E46,武器奇术!$A:$R,2,FALSE))*(1+BM46)*(1+BN46)*BO46*(1+$E$16+VLOOKUP($E46,武器奇术!$A:$R,8,FALSE))</f>
        <v>0</v>
      </c>
      <c r="BS46" s="93">
        <f t="shared" si="5"/>
        <v>0.8135</v>
      </c>
      <c r="BT46" s="92">
        <f>BL46*IF(VLOOKUP($E46,武器奇术!$A:$R,17,FALSE)="裂石",VLOOKUP($E46,武器奇术!$A:$R,4,FALSE),VLOOKUP($E46,武器奇术!$A:$R,2,FALSE))*(1+BM46)*(1+BN46)*BO46*(1+$E$17+VLOOKUP($E46,武器奇术!$A:$R,10,FALSE))</f>
        <v>0</v>
      </c>
      <c r="BU46" s="93">
        <f t="shared" si="6"/>
        <v>0.0986</v>
      </c>
      <c r="BV46" s="92">
        <f>BK46*IF(VLOOKUP($E46,武器奇术!$A:$R,17,FALSE)="裂石",VLOOKUP($E46,武器奇术!$A:$R,4,FALSE),VLOOKUP($E46,武器奇术!$A:$R,2,FALSE))*(1+BM46)*(1+BN46)*BO46</f>
        <v>0</v>
      </c>
      <c r="BW46" s="93">
        <f t="shared" si="34"/>
        <v>0.0879</v>
      </c>
      <c r="BX46" s="101">
        <f t="shared" si="35"/>
        <v>0</v>
      </c>
      <c r="BY46" s="99">
        <f>IF(VLOOKUP($E46,武器奇术!$A:$R,18,FALSE)="极乐",0,$B$11*IF($G$5="撼天",1.05,1)+IF(AND(VLOOKUP($E46,武器奇术!$A:$R,15,FALSE)="武器",VLOOKUP($E46,武器奇术!$A:$R,17,FALSE)="牵丝"),$E$3*(1+$E$15),0))</f>
        <v>0</v>
      </c>
      <c r="BZ46" s="91">
        <f t="shared" si="36"/>
        <v>0</v>
      </c>
      <c r="CA46" s="91">
        <f>IF(VLOOKUP($E46,武器奇术!$A:$R,18,FALSE)="极乐",0,MAX($C$11*IF($G$5="撼天",1.05,1)+IF(AND(VLOOKUP($E46,武器奇术!$A:$R,15,FALSE)="武器",VLOOKUP($E46,武器奇术!$A:$R,17,FALSE)="牵丝"),$E$3*(1+$E$15),0),BY46))</f>
        <v>0</v>
      </c>
      <c r="CB46" s="93">
        <f>IF(($D$11+IF(VLOOKUP($E46,武器奇术!$A:$R,17,FALSE)="牵丝",$D$15,0)-VLOOKUP($F$7,目标属性!$A:$R,6,FALSE))&gt;0,($D$11+IF(VLOOKUP($E46,武器奇术!$A:$R,17,FALSE)="牵丝",$D$15,0)-VLOOKUP($F$7,目标属性!$A:$R,6,FALSE))/200,($D$11+IF(VLOOKUP($E46,武器奇术!$A:$R,17,FALSE)="牵丝",$D$15,0)-VLOOKUP($F$7,目标属性!$A:$R,6,FALSE))/100)</f>
        <v>-0.24</v>
      </c>
      <c r="CC46" s="100">
        <f t="shared" si="48"/>
        <v>0</v>
      </c>
      <c r="CD46" s="91">
        <v>1</v>
      </c>
      <c r="CE46" s="92">
        <f>BY46*IF(VLOOKUP($E46,武器奇术!$A:$R,17,FALSE)="牵丝",VLOOKUP($E46,武器奇术!$A:$R,4,FALSE),VLOOKUP($E46,武器奇术!$A:$R,2,FALSE))*(1+CB46)*(1+CC46)*CD46</f>
        <v>0</v>
      </c>
      <c r="CF46" s="93">
        <f>(1-IF(VLOOKUP($E46,武器奇术!$A:$R,16,FALSE)="陌刀",1,$N46))*(1-$M46)</f>
        <v>0</v>
      </c>
      <c r="CG46" s="92">
        <f>BZ46*IF(VLOOKUP($E46,武器奇术!$A:$R,17,FALSE)="牵丝",VLOOKUP($E46,武器奇术!$A:$R,4,FALSE),VLOOKUP($E46,武器奇术!$A:$R,2,FALSE))*(1+CB46)*(1+CC46)*CD46*(1+$E$16+VLOOKUP($E46,武器奇术!$A:$R,8,FALSE))</f>
        <v>0</v>
      </c>
      <c r="CH46" s="93">
        <f t="shared" si="7"/>
        <v>0.8135</v>
      </c>
      <c r="CI46" s="92">
        <f>CA46*IF(VLOOKUP($E46,武器奇术!$A:$R,17,FALSE)="牵丝",VLOOKUP($E46,武器奇术!$A:$R,4,FALSE),VLOOKUP($E46,武器奇术!$A:$R,2,FALSE))*(1+CB46)*(1+CC46)*CD46*(1+$E$17+VLOOKUP($E46,武器奇术!$A:$R,10,FALSE))</f>
        <v>0</v>
      </c>
      <c r="CJ46" s="93">
        <f t="shared" si="8"/>
        <v>0.0986</v>
      </c>
      <c r="CK46" s="92">
        <f>BZ46*IF(VLOOKUP($E46,武器奇术!$A:$R,17,FALSE)="牵丝",VLOOKUP($E46,武器奇术!$A:$R,4,FALSE),VLOOKUP($E46,武器奇术!$A:$R,2,FALSE))*(1+CB46)*(1+CC46)*CD46</f>
        <v>0</v>
      </c>
      <c r="CL46" s="93">
        <f t="shared" si="38"/>
        <v>0.0879</v>
      </c>
      <c r="CM46" s="101">
        <f t="shared" si="39"/>
        <v>0</v>
      </c>
      <c r="CN46" s="99">
        <f>IF(VLOOKUP($E46,武器奇术!$A:$R,18,FALSE)="极乐",0,$B$13*IF($G$5="撼天",1.05,1)+IF(AND(VLOOKUP($E46,武器奇术!$A:$R,15,FALSE)="武器",VLOOKUP($E46,武器奇术!$A:$R,17,FALSE)="破竹"),$E$3*(1+$E$15),0))</f>
        <v>490.8</v>
      </c>
      <c r="CO46" s="91">
        <f t="shared" si="40"/>
        <v>856.3</v>
      </c>
      <c r="CP46" s="91">
        <f>IF(VLOOKUP($E46,武器奇术!$A:$R,18,FALSE)="极乐",0,MAX($C$13*IF($G$5="撼天",1.05,1)+IF(AND(VLOOKUP($E46,武器奇术!$A:$R,15,FALSE)="武器",VLOOKUP($E46,武器奇术!$A:$R,17,FALSE)="破竹"),$E$3*(1+$E$15),0),CN46))</f>
        <v>1221.8</v>
      </c>
      <c r="CQ46" s="93">
        <f>IF(($D$13+IF(VLOOKUP($E46,武器奇术!$A:$R,17,FALSE)="破竹",$D$15,0)-VLOOKUP($F$7,目标属性!$A:$R,6,FALSE)+IF(VLOOKUP($E46,武器奇术!$A:$V,22,FALSE)=1,4,0)+IF(VLOOKUP($E46,武器奇术!$A:$T,20,FALSE)=1,10,0))&gt;0,($D$13+IF(VLOOKUP($E46,武器奇术!$A:$R,17,FALSE)="破竹",$D$15,0)-VLOOKUP($F$7,目标属性!$A:$R,6,FALSE)+IF(VLOOKUP($E46,武器奇术!$A:$V,22,FALSE)=1,4,0)+IF(VLOOKUP($E46,武器奇术!$A:$T,20,FALSE)=1,10,0))/200,($D$13+IF(VLOOKUP($E46,武器奇术!$A:$R,17,FALSE)="破竹",$D$15,0)-VLOOKUP($F$7,目标属性!$A:$R,6,FALSE)+IF(VLOOKUP($E46,武器奇术!$A:$V,22,FALSE)=1,4,0)+IF(VLOOKUP($E46,武器奇术!$A:$T,20,FALSE)=1,10,0))/100)</f>
        <v>0.028</v>
      </c>
      <c r="CR46" s="100">
        <f>$E$13</f>
        <v>0.148</v>
      </c>
      <c r="CS46" s="91">
        <v>1</v>
      </c>
      <c r="CT46" s="92">
        <f>CN46*IF(VLOOKUP($E46,武器奇术!$A:$R,17,FALSE)="破竹",VLOOKUP($E46,武器奇术!$A:$R,4,FALSE),VLOOKUP($E46,武器奇术!$A:$R,2,FALSE))*(1+CQ46)*(1+CR46)*CS46</f>
        <v>304.08770448</v>
      </c>
      <c r="CU46" s="93">
        <f>(1-IF(VLOOKUP($E46,武器奇术!$A:$R,16,FALSE)="陌刀",1,$N46))*(1-$M46)</f>
        <v>0</v>
      </c>
      <c r="CV46" s="92">
        <f>CO46*IF(VLOOKUP($E46,武器奇术!$A:$R,17,FALSE)="破竹",VLOOKUP($E46,武器奇术!$A:$R,4,FALSE),VLOOKUP($E46,武器奇术!$A:$R,2,FALSE))*(1+CQ46)*(1+CR46)*CS46*(1+$E$16+VLOOKUP($E46,武器奇术!$A:$R,8,FALSE))</f>
        <v>872.21201184432</v>
      </c>
      <c r="CW46" s="93">
        <f t="shared" si="9"/>
        <v>0.8135</v>
      </c>
      <c r="CX46" s="92">
        <f>CP46*IF(VLOOKUP($E46,武器奇术!$A:$R,17,FALSE)="破竹",VLOOKUP($E46,武器奇术!$A:$R,4,FALSE),VLOOKUP($E46,武器奇术!$A:$R,2,FALSE))*(1+CQ46)*(1+CR46)*CS46*(1+$E$17+VLOOKUP($E46,武器奇术!$A:$R,10,FALSE))</f>
        <v>1021.946581908</v>
      </c>
      <c r="CY46" s="93">
        <f t="shared" si="10"/>
        <v>0.0986</v>
      </c>
      <c r="CZ46" s="92">
        <f>CO46*IF(VLOOKUP($E46,武器奇术!$A:$R,17,FALSE)="破竹",VLOOKUP($E46,武器奇术!$A:$R,4,FALSE),VLOOKUP($E46,武器奇术!$A:$R,2,FALSE))*(1+CQ46)*(1+CR46)*CS46</f>
        <v>530.54258628</v>
      </c>
      <c r="DA46" s="93">
        <f t="shared" si="42"/>
        <v>0.0879</v>
      </c>
      <c r="DB46" s="101">
        <f t="shared" si="43"/>
        <v>856.943097945495</v>
      </c>
      <c r="DC46" s="99">
        <f>IF(VLOOKUP($E46,武器奇术!$A:$R,18,FALSE)="极乐",0,$B$15)</f>
        <v>66</v>
      </c>
      <c r="DD46" s="91">
        <f t="shared" si="44"/>
        <v>95.9</v>
      </c>
      <c r="DE46" s="91">
        <f>IF(VLOOKUP($E46,武器奇术!$A:$R,18,FALSE)="极乐",0,$C$15)</f>
        <v>125.8</v>
      </c>
      <c r="DF46" s="93">
        <f>IF((IF(VLOOKUP($E46,武器奇术!$A:$R,17,FALSE)="鸣金",$D$7,0)+IF(VLOOKUP($E46,武器奇术!$A:$R,17,FALSE)="裂石",$D$9,0)+IF(VLOOKUP($E46,武器奇术!$A:$R,17,FALSE)="牵丝",$D$11,0)+IF(VLOOKUP($E46,武器奇术!$A:$R,17,FALSE)="破竹",$D$13,0)+$D$15-VLOOKUP($F$7,目标属性!$A:$R,6,FALSE)+IF(VLOOKUP($E46,武器奇术!$A:$V,22,FALSE)=1,4,0)+IF(VLOOKUP($E46,武器奇术!$A:$T,20,FALSE)=1,10,0))&gt;0,(IF(VLOOKUP($E46,武器奇术!$A:$R,17,FALSE)="鸣金",$D$7,0)+IF(VLOOKUP($E46,武器奇术!$A:$R,17,FALSE)="裂石",$D$9,0)+IF(VLOOKUP($E46,武器奇术!$A:$R,17,FALSE)="牵丝",$D$11,0)+IF(VLOOKUP($E46,武器奇术!$A:$R,17,FALSE)="破竹",$D$13,0)+$D$15-VLOOKUP($F$7,目标属性!$A:$R,6,FALSE)+IF(VLOOKUP($E46,武器奇术!$A:$V,22,FALSE)=1,4,0)+IF(VLOOKUP($E46,武器奇术!$A:$T,20,FALSE)=1,10,0))/200,(IF(VLOOKUP($E46,武器奇术!$A:$R,17,FALSE)="鸣金",$D$7,0)+IF(VLOOKUP($E46,武器奇术!$A:$R,17,FALSE)="裂石",$D$9,0)+IF(VLOOKUP($E46,武器奇术!$A:$R,17,FALSE)="牵丝",$D$11,0)+IF(VLOOKUP($E46,武器奇术!$A:$R,17,FALSE)="破竹",$D$13,0)+$D$15-VLOOKUP($F$7,目标属性!$A:$R,6,FALSE)+IF(VLOOKUP($E46,武器奇术!$A:$V,22,FALSE)=1,4,0)+IF(VLOOKUP($E46,武器奇术!$A:$T,20,FALSE)=1,10,0))/100)</f>
        <v>0.028</v>
      </c>
      <c r="DG46" s="100">
        <f t="shared" si="49"/>
        <v>0.148</v>
      </c>
      <c r="DH46" s="91">
        <v>1</v>
      </c>
      <c r="DI46" s="92">
        <f>DC46*IF(VLOOKUP($E46,武器奇术!$A:$R,17,FALSE)="破竹",VLOOKUP($E46,武器奇术!$A:$R,4,FALSE),VLOOKUP($E46,武器奇术!$A:$R,2,FALSE))*(1+DF46)*(1+DG46)*DH46</f>
        <v>40.8919896</v>
      </c>
      <c r="DJ46" s="93">
        <f>(1-IF(VLOOKUP($E46,武器奇术!$A:$R,16,FALSE)="陌刀",1,$N46))*(1-$M46)</f>
        <v>0</v>
      </c>
      <c r="DK46" s="92">
        <f>DD46*IF(VLOOKUP($E46,武器奇术!$A:$R,17,FALSE)="破竹",VLOOKUP($E46,武器奇术!$A:$R,4,FALSE),VLOOKUP($E46,武器奇术!$A:$R,2,FALSE))*(1+DF46)*(1+DG46)*DH46*(1+$E$16+VLOOKUP($E46,武器奇术!$A:$R,8,FALSE))</f>
        <v>97.68204126576</v>
      </c>
      <c r="DL46" s="93">
        <f t="shared" si="12"/>
        <v>0.8135</v>
      </c>
      <c r="DM46" s="92">
        <f>DE46*IF(VLOOKUP($E46,武器奇术!$A:$R,17,FALSE)="破竹",VLOOKUP($E46,武器奇术!$A:$R,4,FALSE),VLOOKUP($E46,武器奇术!$A:$R,2,FALSE))*(1+DF46)*(1+DG46)*DH46*(1+$E$17+VLOOKUP($E46,武器奇术!$A:$R,10,FALSE))</f>
        <v>105.222524148</v>
      </c>
      <c r="DN46" s="93">
        <f t="shared" si="13"/>
        <v>0.0986</v>
      </c>
      <c r="DO46" s="92">
        <f>DD46*IF(VLOOKUP($E46,武器奇术!$A:$R,17,FALSE)="破竹",VLOOKUP($E46,武器奇术!$A:$R,4,FALSE),VLOOKUP($E46,武器奇术!$A:$R,2,FALSE))*(1+DF46)*(1+DG46)*DH46</f>
        <v>59.41730004</v>
      </c>
      <c r="DP46" s="93">
        <f t="shared" si="14"/>
        <v>0.0879</v>
      </c>
      <c r="DQ46" s="101">
        <f t="shared" si="15"/>
        <v>95.0620621242046</v>
      </c>
    </row>
    <row r="47" customFormat="1" spans="1:121">
      <c r="A47" s="126"/>
      <c r="B47" s="12"/>
      <c r="C47" s="12"/>
      <c r="D47" s="12"/>
      <c r="E47" s="105" t="s">
        <v>124</v>
      </c>
      <c r="F47" s="106">
        <v>2</v>
      </c>
      <c r="G47" s="107"/>
      <c r="H47" s="92">
        <f>IF(VLOOKUP($E47,武器奇术!$A:$R,18,FALSE)="天工",AE47,(AE47+AT47+BI47+BX47+CM47+DB47+DQ47))*(1+J47)*F47*K47*(1+G47)</f>
        <v>16082.8678957538</v>
      </c>
      <c r="I47" s="93">
        <f t="shared" si="16"/>
        <v>0.00206315401724038</v>
      </c>
      <c r="J47" s="93">
        <f>$F$3+VLOOKUP($E47,武器奇术!$A:$R,12,FALSE)+VLOOKUP($E47,武器奇术!$A:$R,14,FALSE)*$G$3+$P47</f>
        <v>0.693</v>
      </c>
      <c r="K47" s="94">
        <f>VLOOKUP($E47,武器奇术!$A:$R,11,FALSE)</f>
        <v>1</v>
      </c>
      <c r="L47" s="109">
        <f>IF(VLOOKUP($E47,武器奇术!$A:$R,15,FALSE)="天工",0%,IF($C$17+VLOOKUP($E47,武器奇术!$A:$R,7,FALSE)&gt;80%,80%,$C$17+VLOOKUP($E47,武器奇术!$A:$R,7,FALSE))+IF($C$19&gt;20%,20%,$C$19))</f>
        <v>0.8135</v>
      </c>
      <c r="M47" s="110">
        <f>IF(VLOOKUP($E47,武器奇术!$A:$R,15,FALSE)="天工",0%,IF($C$18+VLOOKUP($E47,武器奇术!$A:$R,9,FALSE)&gt;40%,40%,$C$18+VLOOKUP($E47,武器奇术!$A:$R,9,FALSE))+IF($C$20&gt;10%,10%,$C$20))</f>
        <v>0.0986</v>
      </c>
      <c r="N47" s="111">
        <f>IF(VLOOKUP($E47,武器奇术!$A:$R,15,FALSE)="天工",100%,MIN($C$16,1))</f>
        <v>1</v>
      </c>
      <c r="O47" s="112" t="str">
        <f>VLOOKUP($E47,武器奇术!$A:$R,16,FALSE)</f>
        <v>双刀</v>
      </c>
      <c r="P47" s="113">
        <f t="shared" si="17"/>
        <v>0.17</v>
      </c>
      <c r="Q47" s="99">
        <f>$B$5*(1+VLOOKUP($E47,武器奇术!$A:$R,5,FALSE)+IF($G$5="飞隼",0.1,0)+IF($G$5="撼天",0.05,0))-$F$9*IF(VLOOKUP($E47,武器奇术!$A:$S,19,FALSE)=1,0.9,1)+IF($I$5="√",160,0)</f>
        <v>2904.2</v>
      </c>
      <c r="R47" s="91">
        <f t="shared" si="18"/>
        <v>2904.2</v>
      </c>
      <c r="S47" s="91">
        <f>MAX($C$5,$B$5)*(1+VLOOKUP($E47,武器奇术!$A:$R,5,FALSE)+IF($G$5="飞隼",0.1,0)+IF($G$5="撼天",0.05,0))-$F$9*IF(VLOOKUP($E47,武器奇术!$A:$S,19,FALSE)=1,0.9,1)+IF($I$5="√",320,0)</f>
        <v>2904.2</v>
      </c>
      <c r="T47" s="93">
        <f>IF(($D$5+VLOOKUP($E47,武器奇术!$A:$R,13,FALSE)+IF($I$3="√",10,0)-VLOOKUP($F$7,目标属性!$A:$R,5,FALSE))&gt;0,($D$5+VLOOKUP($E47,武器奇术!$A:$R,13,FALSE)+IF($I$3="√",10,0)-VLOOKUP($F$7,目标属性!$A:$R,5,FALSE))/200,($D$5+VLOOKUP($E47,武器奇术!$A:$R,13,FALSE)+IF($I$3="√",10,0)-VLOOKUP($F$7,目标属性!$A:$R,5,FALSE))/100)</f>
        <v>0.2675</v>
      </c>
      <c r="U47" s="120">
        <f>$E$5+IF(VLOOKUP($E47,武器奇术!$A:$R,18,FALSE)="鼠鼠",0.24,0)+IF(期望!$G$5="燕归",6/100,0)</f>
        <v>0.06</v>
      </c>
      <c r="V47" s="91">
        <v>1</v>
      </c>
      <c r="W47" s="92">
        <f>Q47*VLOOKUP($E47,武器奇术!$A:$R,2,FALSE)*(1+T47)*(1+U47)*V47</f>
        <v>1804.8413802705</v>
      </c>
      <c r="X47" s="93">
        <f>(1-IF(VLOOKUP($E47,武器奇术!$A:$R,16,FALSE)="陌刀",1,$N47))*(1-$M47)</f>
        <v>0</v>
      </c>
      <c r="Y47" s="92">
        <f>R47*VLOOKUP($E47,武器奇术!$A:$R,2,FALSE)*(1+T47)*(1+U47)*V47*(1+$E$16+VLOOKUP($E47,武器奇术!$A:$R,8,FALSE))</f>
        <v>2967.1592291647</v>
      </c>
      <c r="Z47" s="93">
        <f t="shared" si="19"/>
        <v>0.8135</v>
      </c>
      <c r="AA47" s="92">
        <f>S47*VLOOKUP($E47,武器奇术!$A:$R,2,FALSE)*(1+T47)*(1+U47)*V47*(1+$E$17+VLOOKUP($E47,武器奇术!$A:$R,10,FALSE))</f>
        <v>2436.53586336518</v>
      </c>
      <c r="AB47" s="93">
        <f t="shared" si="20"/>
        <v>0.0986</v>
      </c>
      <c r="AC47" s="92">
        <f>R47*VLOOKUP($E47,武器奇术!$A:$R,2,FALSE)*(1+T47)*(1+U47)*V47</f>
        <v>1804.8413802705</v>
      </c>
      <c r="AD47" s="93">
        <f t="shared" si="21"/>
        <v>0.0879</v>
      </c>
      <c r="AE47" s="101">
        <f t="shared" si="22"/>
        <v>2812.67202637907</v>
      </c>
      <c r="AF47" s="102">
        <f>VLOOKUP($E47,武器奇术!$A:$R,3,FALSE)*(1+IF(VLOOKUP($E47,武器奇术!$A:$R,15,FALSE)="武器",$E$15,0))</f>
        <v>167.31</v>
      </c>
      <c r="AG47" s="92">
        <f t="shared" si="23"/>
        <v>167.31</v>
      </c>
      <c r="AH47" s="92">
        <f>VLOOKUP($E47,武器奇术!$A:$R,3,FALSE)*(1+IF(VLOOKUP($E47,武器奇术!$A:$R,15,FALSE)="武器",$E$15,0))</f>
        <v>167.31</v>
      </c>
      <c r="AI47" s="93">
        <f>IF(($D$5+VLOOKUP($E47,武器奇术!$A:$R,13,FALSE)+IF($I$3="√",10,0)-VLOOKUP($F$7,目标属性!$A:$R,5,FALSE))&gt;0,($D$5+VLOOKUP($E47,武器奇术!$A:$R,13,FALSE)+IF($I$3="√",10,0)-VLOOKUP($F$7,目标属性!$A:$R,5,FALSE))/200,($D$5+VLOOKUP($E47,武器奇术!$A:$R,13,FALSE)+IF($I$3="√",10,0)-VLOOKUP($F$7,目标属性!$A:$R,5,FALSE))/100)</f>
        <v>0.2675</v>
      </c>
      <c r="AJ47" s="120">
        <f>$E$5+IF(VLOOKUP($E47,武器奇术!$A:$R,18,FALSE)="鼠鼠",0.24,0)+IF(期望!$G$5="燕归",6/100,0)</f>
        <v>0.06</v>
      </c>
      <c r="AK47" s="91">
        <v>1</v>
      </c>
      <c r="AL47" s="92">
        <f t="shared" si="24"/>
        <v>224.7893505</v>
      </c>
      <c r="AM47" s="93">
        <f>(1-IF(VLOOKUP($E47,武器奇术!$A:$R,16,FALSE)="陌刀",1,$N47))*(1-$M47)</f>
        <v>0</v>
      </c>
      <c r="AN47" s="92">
        <f>AG47*(1+AI47)*(1+AJ47)*AK47*(1+$E$16+VLOOKUP($E47,武器奇术!$A:$R,8,FALSE))</f>
        <v>369.553692222</v>
      </c>
      <c r="AO47" s="93">
        <f t="shared" si="1"/>
        <v>0.8135</v>
      </c>
      <c r="AP47" s="92">
        <f>AH47*(1+AI47)*(1+AJ47)*AK47*(1+$E$17+VLOOKUP($E47,武器奇术!$A:$R,10,FALSE))</f>
        <v>303.465623175</v>
      </c>
      <c r="AQ47" s="93">
        <f t="shared" si="2"/>
        <v>0.0986</v>
      </c>
      <c r="AR47" s="92">
        <f t="shared" si="25"/>
        <v>224.7893505</v>
      </c>
      <c r="AS47" s="93">
        <f t="shared" si="26"/>
        <v>0.0879</v>
      </c>
      <c r="AT47" s="101">
        <f t="shared" si="27"/>
        <v>350.312622976602</v>
      </c>
      <c r="AU47" s="99">
        <f>IF(VLOOKUP($E47,武器奇术!$A:$R,18,FALSE)="极乐",0,$B$7*IF($G$5="撼天",1.05,1)+IF(AND(VLOOKUP($E47,武器奇术!$A:$R,15,FALSE)="武器",VLOOKUP($E47,武器奇术!$A:$R,17,FALSE)="鸣金"),$E$3*(1+$E$15),0))</f>
        <v>0</v>
      </c>
      <c r="AV47" s="91">
        <f t="shared" si="28"/>
        <v>0</v>
      </c>
      <c r="AW47" s="91">
        <f>IF(VLOOKUP($E47,武器奇术!$A:$R,18,FALSE)="极乐",0,MAX($C$7*IF($G$5="撼天",1.05,1)+IF(AND(VLOOKUP($E47,武器奇术!$A:$R,15,FALSE)="武器",VLOOKUP($E47,武器奇术!$A:$R,17,FALSE)="鸣金"),$E$3*(1+$E$15),0),AU47))</f>
        <v>0</v>
      </c>
      <c r="AX47" s="93">
        <f>IF(($D$7+IF(VLOOKUP($E47,武器奇术!$A:$R,17,FALSE)="鸣金",$D$15,0)-VLOOKUP($F$7,目标属性!$A:$R,6,FALSE))&gt;0,($D$7+IF(VLOOKUP($E47,武器奇术!$A:$R,17,FALSE)="鸣金",$D$15,0)-VLOOKUP($F$7,目标属性!$A:$R,6,FALSE))/200,($D$7+IF(VLOOKUP($E47,武器奇术!$A:$R,17,FALSE)="鸣金",$D$15,0)-VLOOKUP($F$7,目标属性!$A:$R,6,FALSE))/100)</f>
        <v>-0.24</v>
      </c>
      <c r="AY47" s="100">
        <f t="shared" si="46"/>
        <v>0</v>
      </c>
      <c r="AZ47" s="91">
        <v>1</v>
      </c>
      <c r="BA47" s="92">
        <f>AU47*IF(VLOOKUP($E47,武器奇术!$A:$R,17,FALSE)="鸣金",VLOOKUP($E47,武器奇术!$A:$R,4,FALSE),VLOOKUP($E47,武器奇术!$A:$R,2,FALSE))*(1+AX47)*(1+AY47)*AZ47</f>
        <v>0</v>
      </c>
      <c r="BB47" s="93">
        <f>(1-IF(VLOOKUP($E47,武器奇术!$A:$R,16,FALSE)="陌刀",1,$N47))*(1-$M47)</f>
        <v>0</v>
      </c>
      <c r="BC47" s="92">
        <f>AV47*IF(VLOOKUP($E47,武器奇术!$A:$R,17,FALSE)="鸣金",VLOOKUP($E47,武器奇术!$A:$R,4,FALSE),VLOOKUP($E47,武器奇术!$A:$R,2,FALSE))*(1+AX47)*(1+AY47)*AZ47*(1+$E$16+VLOOKUP($E47,武器奇术!$A:$R,8,FALSE))</f>
        <v>0</v>
      </c>
      <c r="BD47" s="93">
        <f t="shared" si="3"/>
        <v>0.8135</v>
      </c>
      <c r="BE47" s="92">
        <f>AW47*IF(VLOOKUP($E47,武器奇术!$A:$R,17,FALSE)="鸣金",VLOOKUP($E47,武器奇术!$A:$R,4,FALSE),VLOOKUP($E47,武器奇术!$A:$R,2,FALSE))*(1+AX47)*(1+AY47)*AZ47*(1+$E$17+VLOOKUP($E47,武器奇术!$A:$R,10,FALSE))</f>
        <v>0</v>
      </c>
      <c r="BF47" s="93">
        <f t="shared" si="4"/>
        <v>0.0986</v>
      </c>
      <c r="BG47" s="92">
        <f>AV47*IF(VLOOKUP($E47,武器奇术!$A:$R,17,FALSE)="鸣金",VLOOKUP($E47,武器奇术!$A:$R,4,FALSE),VLOOKUP($E47,武器奇术!$A:$R,2,FALSE))*(1+AX47)*(1+AY47)*AZ47</f>
        <v>0</v>
      </c>
      <c r="BH47" s="93">
        <f t="shared" si="30"/>
        <v>0.0879</v>
      </c>
      <c r="BI47" s="101">
        <f t="shared" si="31"/>
        <v>0</v>
      </c>
      <c r="BJ47" s="99">
        <f>IF(VLOOKUP($E47,武器奇术!$A:$R,18,FALSE)="极乐",0,$B$9*IF($G$5="撼天",1.05,1)+IF(AND(VLOOKUP($E47,武器奇术!$A:$R,15,FALSE)="武器",VLOOKUP($E47,武器奇术!$A:$R,17,FALSE)="裂石"),$E$3*(1+$E$15),0))</f>
        <v>0</v>
      </c>
      <c r="BK47" s="91">
        <f t="shared" si="32"/>
        <v>0</v>
      </c>
      <c r="BL47" s="91">
        <f>IF(VLOOKUP($E47,武器奇术!$A:$R,18,FALSE)="极乐",0,MAX($C$9*IF($G$5="撼天",1.05,1)+IF(AND(VLOOKUP($E47,武器奇术!$A:$R,15,FALSE)="武器",VLOOKUP($E47,武器奇术!$A:$R,17,FALSE)="裂石"),$E$3*(1+$E$15),0),BJ47))</f>
        <v>0</v>
      </c>
      <c r="BM47" s="93">
        <f>IF(($D$9+IF(VLOOKUP($E47,武器奇术!$A:$R,17,FALSE)="裂石",$D$15,0)-VLOOKUP($F$7,目标属性!$A:$R,6,FALSE))&gt;0,($D$9+IF(VLOOKUP($E47,武器奇术!$A:$R,17,FALSE)="裂石",$D$15,0)-VLOOKUP($F$7,目标属性!$A:$R,6,FALSE))/200,($D$9+IF(VLOOKUP($E47,武器奇术!$A:$R,17,FALSE)="裂石",$D$15,0)-VLOOKUP($F$7,目标属性!$A:$R,6,FALSE))/100)</f>
        <v>-0.24</v>
      </c>
      <c r="BN47" s="100">
        <f t="shared" si="47"/>
        <v>0</v>
      </c>
      <c r="BO47" s="91">
        <v>1</v>
      </c>
      <c r="BP47" s="92">
        <f>BJ47*IF(VLOOKUP($E47,武器奇术!$A:$R,17,FALSE)="裂石",VLOOKUP($E47,武器奇术!$A:$R,4,FALSE),VLOOKUP($E47,武器奇术!$A:$R,2,FALSE))*(1+BM47)*(1+BN47)*BO47</f>
        <v>0</v>
      </c>
      <c r="BQ47" s="93">
        <f>(1-IF(VLOOKUP($E47,武器奇术!$A:$R,16,FALSE)="陌刀",1,$N47))*(1-$M47)</f>
        <v>0</v>
      </c>
      <c r="BR47" s="92">
        <f>BK47*IF(VLOOKUP($E47,武器奇术!$A:$R,17,FALSE)="裂石",VLOOKUP($E47,武器奇术!$A:$R,4,FALSE),VLOOKUP($E47,武器奇术!$A:$R,2,FALSE))*(1+BM47)*(1+BN47)*BO47*(1+$E$16+VLOOKUP($E47,武器奇术!$A:$R,8,FALSE))</f>
        <v>0</v>
      </c>
      <c r="BS47" s="93">
        <f t="shared" si="5"/>
        <v>0.8135</v>
      </c>
      <c r="BT47" s="92">
        <f>BL47*IF(VLOOKUP($E47,武器奇术!$A:$R,17,FALSE)="裂石",VLOOKUP($E47,武器奇术!$A:$R,4,FALSE),VLOOKUP($E47,武器奇术!$A:$R,2,FALSE))*(1+BM47)*(1+BN47)*BO47*(1+$E$17+VLOOKUP($E47,武器奇术!$A:$R,10,FALSE))</f>
        <v>0</v>
      </c>
      <c r="BU47" s="93">
        <f t="shared" si="6"/>
        <v>0.0986</v>
      </c>
      <c r="BV47" s="92">
        <f>BK47*IF(VLOOKUP($E47,武器奇术!$A:$R,17,FALSE)="裂石",VLOOKUP($E47,武器奇术!$A:$R,4,FALSE),VLOOKUP($E47,武器奇术!$A:$R,2,FALSE))*(1+BM47)*(1+BN47)*BO47</f>
        <v>0</v>
      </c>
      <c r="BW47" s="93">
        <f t="shared" si="34"/>
        <v>0.0879</v>
      </c>
      <c r="BX47" s="101">
        <f t="shared" si="35"/>
        <v>0</v>
      </c>
      <c r="BY47" s="99">
        <f>IF(VLOOKUP($E47,武器奇术!$A:$R,18,FALSE)="极乐",0,$B$11*IF($G$5="撼天",1.05,1)+IF(AND(VLOOKUP($E47,武器奇术!$A:$R,15,FALSE)="武器",VLOOKUP($E47,武器奇术!$A:$R,17,FALSE)="牵丝"),$E$3*(1+$E$15),0))</f>
        <v>0</v>
      </c>
      <c r="BZ47" s="91">
        <f t="shared" si="36"/>
        <v>0</v>
      </c>
      <c r="CA47" s="91">
        <f>IF(VLOOKUP($E47,武器奇术!$A:$R,18,FALSE)="极乐",0,MAX($C$11*IF($G$5="撼天",1.05,1)+IF(AND(VLOOKUP($E47,武器奇术!$A:$R,15,FALSE)="武器",VLOOKUP($E47,武器奇术!$A:$R,17,FALSE)="牵丝"),$E$3*(1+$E$15),0),BY47))</f>
        <v>0</v>
      </c>
      <c r="CB47" s="93">
        <f>IF(($D$11+IF(VLOOKUP($E47,武器奇术!$A:$R,17,FALSE)="牵丝",$D$15,0)-VLOOKUP($F$7,目标属性!$A:$R,6,FALSE))&gt;0,($D$11+IF(VLOOKUP($E47,武器奇术!$A:$R,17,FALSE)="牵丝",$D$15,0)-VLOOKUP($F$7,目标属性!$A:$R,6,FALSE))/200,($D$11+IF(VLOOKUP($E47,武器奇术!$A:$R,17,FALSE)="牵丝",$D$15,0)-VLOOKUP($F$7,目标属性!$A:$R,6,FALSE))/100)</f>
        <v>-0.24</v>
      </c>
      <c r="CC47" s="100">
        <f t="shared" si="48"/>
        <v>0</v>
      </c>
      <c r="CD47" s="91">
        <v>1</v>
      </c>
      <c r="CE47" s="92">
        <f>BY47*IF(VLOOKUP($E47,武器奇术!$A:$R,17,FALSE)="牵丝",VLOOKUP($E47,武器奇术!$A:$R,4,FALSE),VLOOKUP($E47,武器奇术!$A:$R,2,FALSE))*(1+CB47)*(1+CC47)*CD47</f>
        <v>0</v>
      </c>
      <c r="CF47" s="93">
        <f>(1-IF(VLOOKUP($E47,武器奇术!$A:$R,16,FALSE)="陌刀",1,$N47))*(1-$M47)</f>
        <v>0</v>
      </c>
      <c r="CG47" s="92">
        <f>BZ47*IF(VLOOKUP($E47,武器奇术!$A:$R,17,FALSE)="牵丝",VLOOKUP($E47,武器奇术!$A:$R,4,FALSE),VLOOKUP($E47,武器奇术!$A:$R,2,FALSE))*(1+CB47)*(1+CC47)*CD47*(1+$E$16+VLOOKUP($E47,武器奇术!$A:$R,8,FALSE))</f>
        <v>0</v>
      </c>
      <c r="CH47" s="93">
        <f t="shared" si="7"/>
        <v>0.8135</v>
      </c>
      <c r="CI47" s="92">
        <f>CA47*IF(VLOOKUP($E47,武器奇术!$A:$R,17,FALSE)="牵丝",VLOOKUP($E47,武器奇术!$A:$R,4,FALSE),VLOOKUP($E47,武器奇术!$A:$R,2,FALSE))*(1+CB47)*(1+CC47)*CD47*(1+$E$17+VLOOKUP($E47,武器奇术!$A:$R,10,FALSE))</f>
        <v>0</v>
      </c>
      <c r="CJ47" s="93">
        <f t="shared" si="8"/>
        <v>0.0986</v>
      </c>
      <c r="CK47" s="92">
        <f>BZ47*IF(VLOOKUP($E47,武器奇术!$A:$R,17,FALSE)="牵丝",VLOOKUP($E47,武器奇术!$A:$R,4,FALSE),VLOOKUP($E47,武器奇术!$A:$R,2,FALSE))*(1+CB47)*(1+CC47)*CD47</f>
        <v>0</v>
      </c>
      <c r="CL47" s="93">
        <f t="shared" si="38"/>
        <v>0.0879</v>
      </c>
      <c r="CM47" s="101">
        <f t="shared" si="39"/>
        <v>0</v>
      </c>
      <c r="CN47" s="99">
        <f>IF(VLOOKUP($E47,武器奇术!$A:$R,18,FALSE)="极乐",0,$B$13*IF($G$5="撼天",1.05,1)+IF(AND(VLOOKUP($E47,武器奇术!$A:$R,15,FALSE)="武器",VLOOKUP($E47,武器奇术!$A:$R,17,FALSE)="破竹"),$E$3*(1+$E$15),0))</f>
        <v>686.71</v>
      </c>
      <c r="CO47" s="91">
        <f t="shared" si="40"/>
        <v>1052.21</v>
      </c>
      <c r="CP47" s="91">
        <f>IF(VLOOKUP($E47,武器奇术!$A:$R,18,FALSE)="极乐",0,MAX($C$13*IF($G$5="撼天",1.05,1)+IF(AND(VLOOKUP($E47,武器奇术!$A:$R,15,FALSE)="武器",VLOOKUP($E47,武器奇术!$A:$R,17,FALSE)="破竹"),$E$3*(1+$E$15),0),CN47))</f>
        <v>1417.71</v>
      </c>
      <c r="CQ47" s="93">
        <f>IF(($D$13+IF(VLOOKUP($E47,武器奇术!$A:$R,17,FALSE)="破竹",$D$15,0)-VLOOKUP($F$7,目标属性!$A:$R,6,FALSE)+IF(VLOOKUP($E47,武器奇术!$A:$V,22,FALSE)=1,4,0)+IF(VLOOKUP($E47,武器奇术!$A:$T,20,FALSE)=1,10,0))&gt;0,($D$13+IF(VLOOKUP($E47,武器奇术!$A:$R,17,FALSE)="破竹",$D$15,0)-VLOOKUP($F$7,目标属性!$A:$R,6,FALSE)+IF(VLOOKUP($E47,武器奇术!$A:$V,22,FALSE)=1,4,0)+IF(VLOOKUP($E47,武器奇术!$A:$T,20,FALSE)=1,10,0))/200,($D$13+IF(VLOOKUP($E47,武器奇术!$A:$R,17,FALSE)="破竹",$D$15,0)-VLOOKUP($F$7,目标属性!$A:$R,6,FALSE)+IF(VLOOKUP($E47,武器奇术!$A:$V,22,FALSE)=1,4,0)+IF(VLOOKUP($E47,武器奇术!$A:$T,20,FALSE)=1,10,0))/100)</f>
        <v>0.028</v>
      </c>
      <c r="CR47" s="120">
        <f>$E$13+IF(期望!$G$5="燕归",6%,0)</f>
        <v>0.208</v>
      </c>
      <c r="CS47" s="91">
        <v>1</v>
      </c>
      <c r="CT47" s="92">
        <f>CN47*IF(VLOOKUP($E47,武器奇术!$A:$R,17,FALSE)="破竹",VLOOKUP($E47,武器奇术!$A:$R,4,FALSE),VLOOKUP($E47,武器奇术!$A:$R,2,FALSE))*(1+CQ47)*(1+CR47)*CS47</f>
        <v>591.628295793181</v>
      </c>
      <c r="CU47" s="93">
        <f>(1-IF(VLOOKUP($E47,武器奇术!$A:$R,16,FALSE)="陌刀",1,$N47))*(1-$M47)</f>
        <v>0</v>
      </c>
      <c r="CV47" s="92">
        <f>CO47*IF(VLOOKUP($E47,武器奇术!$A:$R,17,FALSE)="破竹",VLOOKUP($E47,武器奇术!$A:$R,4,FALSE),VLOOKUP($E47,武器奇术!$A:$R,2,FALSE))*(1+CQ47)*(1+CR47)*CS47*(1+$E$16+VLOOKUP($E47,武器奇术!$A:$R,8,FALSE))</f>
        <v>1490.32093866056</v>
      </c>
      <c r="CW47" s="93">
        <f t="shared" si="9"/>
        <v>0.8135</v>
      </c>
      <c r="CX47" s="92">
        <f>CP47*IF(VLOOKUP($E47,武器奇术!$A:$R,17,FALSE)="破竹",VLOOKUP($E47,武器奇术!$A:$R,4,FALSE),VLOOKUP($E47,武器奇术!$A:$R,2,FALSE))*(1+CQ47)*(1+CR47)*CS47*(1+$E$17+VLOOKUP($E47,武器奇术!$A:$R,10,FALSE))</f>
        <v>1648.90918169108</v>
      </c>
      <c r="CY47" s="93">
        <f t="shared" si="10"/>
        <v>0.0986</v>
      </c>
      <c r="CZ47" s="92">
        <f>CO47*IF(VLOOKUP($E47,武器奇术!$A:$R,17,FALSE)="破竹",VLOOKUP($E47,武器奇术!$A:$R,4,FALSE),VLOOKUP($E47,武器奇术!$A:$R,2,FALSE))*(1+CQ47)*(1+CR47)*CS47</f>
        <v>906.521252226621</v>
      </c>
      <c r="DA47" s="93">
        <f t="shared" si="42"/>
        <v>0.0879</v>
      </c>
      <c r="DB47" s="101">
        <f t="shared" si="43"/>
        <v>1454.64174698583</v>
      </c>
      <c r="DC47" s="99">
        <f>IF(VLOOKUP($E47,武器奇术!$A:$R,18,FALSE)="极乐",0,$B$15)</f>
        <v>66</v>
      </c>
      <c r="DD47" s="91">
        <f t="shared" si="44"/>
        <v>95.9</v>
      </c>
      <c r="DE47" s="91">
        <f>IF(VLOOKUP($E47,武器奇术!$A:$R,18,FALSE)="极乐",0,$C$15)</f>
        <v>125.8</v>
      </c>
      <c r="DF47" s="93">
        <f>IF((IF(VLOOKUP($E47,武器奇术!$A:$R,17,FALSE)="鸣金",$D$7,0)+IF(VLOOKUP($E47,武器奇术!$A:$R,17,FALSE)="裂石",$D$9,0)+IF(VLOOKUP($E47,武器奇术!$A:$R,17,FALSE)="牵丝",$D$11,0)+IF(VLOOKUP($E47,武器奇术!$A:$R,17,FALSE)="破竹",$D$13,0)+$D$15-VLOOKUP($F$7,目标属性!$A:$R,6,FALSE)+IF(VLOOKUP($E47,武器奇术!$A:$V,22,FALSE)=1,4,0)+IF(VLOOKUP($E47,武器奇术!$A:$T,20,FALSE)=1,10,0))&gt;0,(IF(VLOOKUP($E47,武器奇术!$A:$R,17,FALSE)="鸣金",$D$7,0)+IF(VLOOKUP($E47,武器奇术!$A:$R,17,FALSE)="裂石",$D$9,0)+IF(VLOOKUP($E47,武器奇术!$A:$R,17,FALSE)="牵丝",$D$11,0)+IF(VLOOKUP($E47,武器奇术!$A:$R,17,FALSE)="破竹",$D$13,0)+$D$15-VLOOKUP($F$7,目标属性!$A:$R,6,FALSE)+IF(VLOOKUP($E47,武器奇术!$A:$V,22,FALSE)=1,4,0)+IF(VLOOKUP($E47,武器奇术!$A:$T,20,FALSE)=1,10,0))/200,(IF(VLOOKUP($E47,武器奇术!$A:$R,17,FALSE)="鸣金",$D$7,0)+IF(VLOOKUP($E47,武器奇术!$A:$R,17,FALSE)="裂石",$D$9,0)+IF(VLOOKUP($E47,武器奇术!$A:$R,17,FALSE)="牵丝",$D$11,0)+IF(VLOOKUP($E47,武器奇术!$A:$R,17,FALSE)="破竹",$D$13,0)+$D$15-VLOOKUP($F$7,目标属性!$A:$R,6,FALSE)+IF(VLOOKUP($E47,武器奇术!$A:$V,22,FALSE)=1,4,0)+IF(VLOOKUP($E47,武器奇术!$A:$T,20,FALSE)=1,10,0))/100)</f>
        <v>0.028</v>
      </c>
      <c r="DG47" s="120">
        <f>$E$13+IF(期望!$G$5="燕归",6%,0)</f>
        <v>0.208</v>
      </c>
      <c r="DH47" s="91">
        <v>1</v>
      </c>
      <c r="DI47" s="92">
        <f>DC47*IF(VLOOKUP($E47,武器奇术!$A:$R,17,FALSE)="破竹",VLOOKUP($E47,武器奇术!$A:$R,4,FALSE),VLOOKUP($E47,武器奇术!$A:$R,2,FALSE))*(1+DF47)*(1+DG47)*DH47</f>
        <v>56.86165560768</v>
      </c>
      <c r="DJ47" s="93">
        <f>(1-IF(VLOOKUP($E47,武器奇术!$A:$R,16,FALSE)="陌刀",1,$N47))*(1-$M47)</f>
        <v>0</v>
      </c>
      <c r="DK47" s="92">
        <f>DD47*IF(VLOOKUP($E47,武器奇术!$A:$R,17,FALSE)="破竹",VLOOKUP($E47,武器奇术!$A:$R,4,FALSE),VLOOKUP($E47,武器奇术!$A:$R,2,FALSE))*(1+DF47)*(1+DG47)*DH47*(1+$E$16+VLOOKUP($E47,武器奇术!$A:$R,8,FALSE))</f>
        <v>135.830089067342</v>
      </c>
      <c r="DL47" s="93">
        <f t="shared" si="12"/>
        <v>0.8135</v>
      </c>
      <c r="DM47" s="92">
        <f>DE47*IF(VLOOKUP($E47,武器奇术!$A:$R,17,FALSE)="破竹",VLOOKUP($E47,武器奇术!$A:$R,4,FALSE),VLOOKUP($E47,武器奇术!$A:$R,2,FALSE))*(1+DF47)*(1+DG47)*DH47*(1+$E$17+VLOOKUP($E47,武器奇术!$A:$R,10,FALSE))</f>
        <v>146.315378361398</v>
      </c>
      <c r="DN47" s="93">
        <f t="shared" si="13"/>
        <v>0.0986</v>
      </c>
      <c r="DO47" s="92">
        <f>DD47*IF(VLOOKUP($E47,武器奇术!$A:$R,17,FALSE)="破竹",VLOOKUP($E47,武器奇术!$A:$R,4,FALSE),VLOOKUP($E47,武器奇术!$A:$R,2,FALSE))*(1+DF47)*(1+DG47)*DH47</f>
        <v>82.621708678432</v>
      </c>
      <c r="DP47" s="93">
        <f t="shared" si="14"/>
        <v>0.0879</v>
      </c>
      <c r="DQ47" s="101">
        <f t="shared" si="15"/>
        <v>132.186921955551</v>
      </c>
    </row>
    <row r="48" customFormat="1" spans="1:121">
      <c r="A48" s="126"/>
      <c r="B48" s="12"/>
      <c r="C48" s="12"/>
      <c r="D48" s="12"/>
      <c r="E48" s="105" t="s">
        <v>125</v>
      </c>
      <c r="F48" s="106">
        <v>1</v>
      </c>
      <c r="G48" s="107"/>
      <c r="H48" s="92">
        <f>IF(VLOOKUP($E48,武器奇术!$A:$R,18,FALSE)="天工",AE48,(AE48+AT48+BI48+BX48+CM48+DB48+DQ48))*(1+J48)*F48*K48*(1+G48)</f>
        <v>8624.41636087993</v>
      </c>
      <c r="I48" s="93">
        <f t="shared" si="16"/>
        <v>0.00110636357748116</v>
      </c>
      <c r="J48" s="93">
        <f>$F$3+VLOOKUP($E48,武器奇术!$A:$R,12,FALSE)+VLOOKUP($E48,武器奇术!$A:$R,14,FALSE)*$G$3+$P48</f>
        <v>0.693</v>
      </c>
      <c r="K48" s="94">
        <f>VLOOKUP($E48,武器奇术!$A:$R,11,FALSE)</f>
        <v>1</v>
      </c>
      <c r="L48" s="109">
        <f>IF(VLOOKUP($E48,武器奇术!$A:$R,15,FALSE)="天工",0%,IF($C$17+VLOOKUP($E48,武器奇术!$A:$R,7,FALSE)&gt;80%,80%,$C$17+VLOOKUP($E48,武器奇术!$A:$R,7,FALSE))+IF($C$19&gt;20%,20%,$C$19))</f>
        <v>0.8135</v>
      </c>
      <c r="M48" s="110">
        <f>IF(VLOOKUP($E48,武器奇术!$A:$R,15,FALSE)="天工",0%,IF($C$18+VLOOKUP($E48,武器奇术!$A:$R,9,FALSE)&gt;40%,40%,$C$18+VLOOKUP($E48,武器奇术!$A:$R,9,FALSE))+IF($C$20&gt;10%,10%,$C$20))</f>
        <v>0.0986</v>
      </c>
      <c r="N48" s="111">
        <f>IF(VLOOKUP($E48,武器奇术!$A:$R,15,FALSE)="天工",100%,MIN($C$16,1))</f>
        <v>1</v>
      </c>
      <c r="O48" s="112" t="str">
        <f>VLOOKUP($E48,武器奇术!$A:$R,16,FALSE)</f>
        <v>双刀</v>
      </c>
      <c r="P48" s="113">
        <f t="shared" si="17"/>
        <v>0.17</v>
      </c>
      <c r="Q48" s="99">
        <f>$B$5*(1+VLOOKUP($E48,武器奇术!$A:$R,5,FALSE)+IF($G$5="飞隼",0.1,0)+IF($G$5="撼天",0.05,0))-$F$9*IF(VLOOKUP($E48,武器奇术!$A:$S,19,FALSE)=1,0.9,1)+IF($I$5="√",160,0)</f>
        <v>2904.2</v>
      </c>
      <c r="R48" s="91">
        <f t="shared" si="18"/>
        <v>2904.2</v>
      </c>
      <c r="S48" s="91">
        <f>MAX($C$5,$B$5)*(1+VLOOKUP($E48,武器奇术!$A:$R,5,FALSE)+IF($G$5="飞隼",0.1,0)+IF($G$5="撼天",0.05,0))-$F$9*IF(VLOOKUP($E48,武器奇术!$A:$S,19,FALSE)=1,0.9,1)+IF($I$5="√",320,0)</f>
        <v>2904.2</v>
      </c>
      <c r="T48" s="93">
        <f>IF(($D$5+VLOOKUP($E48,武器奇术!$A:$R,13,FALSE)+IF($I$3="√",10,0)-VLOOKUP($F$7,目标属性!$A:$R,5,FALSE))&gt;0,($D$5+VLOOKUP($E48,武器奇术!$A:$R,13,FALSE)+IF($I$3="√",10,0)-VLOOKUP($F$7,目标属性!$A:$R,5,FALSE))/200,($D$5+VLOOKUP($E48,武器奇术!$A:$R,13,FALSE)+IF($I$3="√",10,0)-VLOOKUP($F$7,目标属性!$A:$R,5,FALSE))/100)</f>
        <v>0.2675</v>
      </c>
      <c r="U48" s="120">
        <f>$E$5+IF(VLOOKUP($E48,武器奇术!$A:$R,18,FALSE)="鼠鼠",0.24,0)+IF(期望!$G$5="燕归",6/100,0)</f>
        <v>0.06</v>
      </c>
      <c r="V48" s="91">
        <v>1</v>
      </c>
      <c r="W48" s="92">
        <f>Q48*VLOOKUP($E48,武器奇术!$A:$R,2,FALSE)*(1+T48)*(1+U48)*V48</f>
        <v>1934.8929708108</v>
      </c>
      <c r="X48" s="93">
        <f>(1-IF(VLOOKUP($E48,武器奇术!$A:$R,16,FALSE)="陌刀",1,$N48))*(1-$M48)</f>
        <v>0</v>
      </c>
      <c r="Y48" s="92">
        <f>R48*VLOOKUP($E48,武器奇术!$A:$R,2,FALSE)*(1+T48)*(1+U48)*V48*(1+$E$16+VLOOKUP($E48,武器奇术!$A:$R,8,FALSE))</f>
        <v>3180.96404401296</v>
      </c>
      <c r="Z48" s="93">
        <f t="shared" si="19"/>
        <v>0.8135</v>
      </c>
      <c r="AA48" s="92">
        <f>S48*VLOOKUP($E48,武器奇术!$A:$R,2,FALSE)*(1+T48)*(1+U48)*V48*(1+$E$17+VLOOKUP($E48,武器奇术!$A:$R,10,FALSE))</f>
        <v>2612.10551059458</v>
      </c>
      <c r="AB48" s="93">
        <f t="shared" si="20"/>
        <v>0.0986</v>
      </c>
      <c r="AC48" s="92">
        <f>R48*VLOOKUP($E48,武器奇术!$A:$R,2,FALSE)*(1+T48)*(1+U48)*V48</f>
        <v>1934.8929708108</v>
      </c>
      <c r="AD48" s="93">
        <f t="shared" si="21"/>
        <v>0.0879</v>
      </c>
      <c r="AE48" s="101">
        <f t="shared" si="22"/>
        <v>3015.34494528344</v>
      </c>
      <c r="AF48" s="102">
        <f>VLOOKUP($E48,武器奇术!$A:$R,3,FALSE)*(1+IF(VLOOKUP($E48,武器奇术!$A:$R,15,FALSE)="武器",$E$15,0))</f>
        <v>180.18</v>
      </c>
      <c r="AG48" s="92">
        <f t="shared" si="23"/>
        <v>180.18</v>
      </c>
      <c r="AH48" s="92">
        <f>VLOOKUP($E48,武器奇术!$A:$R,3,FALSE)*(1+IF(VLOOKUP($E48,武器奇术!$A:$R,15,FALSE)="武器",$E$15,0))</f>
        <v>180.18</v>
      </c>
      <c r="AI48" s="93">
        <f>IF(($D$5+VLOOKUP($E48,武器奇术!$A:$R,13,FALSE)+IF($I$3="√",10,0)-VLOOKUP($F$7,目标属性!$A:$R,5,FALSE))&gt;0,($D$5+VLOOKUP($E48,武器奇术!$A:$R,13,FALSE)+IF($I$3="√",10,0)-VLOOKUP($F$7,目标属性!$A:$R,5,FALSE))/200,($D$5+VLOOKUP($E48,武器奇术!$A:$R,13,FALSE)+IF($I$3="√",10,0)-VLOOKUP($F$7,目标属性!$A:$R,5,FALSE))/100)</f>
        <v>0.2675</v>
      </c>
      <c r="AJ48" s="120">
        <f>$E$5+IF(VLOOKUP($E48,武器奇术!$A:$R,18,FALSE)="鼠鼠",0.24,0)+IF(期望!$G$5="燕归",6/100,0)</f>
        <v>0.06</v>
      </c>
      <c r="AK48" s="91">
        <v>1</v>
      </c>
      <c r="AL48" s="92">
        <f t="shared" si="24"/>
        <v>242.080839</v>
      </c>
      <c r="AM48" s="93">
        <f>(1-IF(VLOOKUP($E48,武器奇术!$A:$R,16,FALSE)="陌刀",1,$N48))*(1-$M48)</f>
        <v>0</v>
      </c>
      <c r="AN48" s="92">
        <f>AG48*(1+AI48)*(1+AJ48)*AK48*(1+$E$16+VLOOKUP($E48,武器奇术!$A:$R,8,FALSE))</f>
        <v>397.980899316</v>
      </c>
      <c r="AO48" s="93">
        <f t="shared" si="1"/>
        <v>0.8135</v>
      </c>
      <c r="AP48" s="92">
        <f>AH48*(1+AI48)*(1+AJ48)*AK48*(1+$E$17+VLOOKUP($E48,武器奇术!$A:$R,10,FALSE))</f>
        <v>326.80913265</v>
      </c>
      <c r="AQ48" s="93">
        <f t="shared" si="2"/>
        <v>0.0986</v>
      </c>
      <c r="AR48" s="92">
        <f t="shared" si="25"/>
        <v>242.080839</v>
      </c>
      <c r="AS48" s="93">
        <f t="shared" si="26"/>
        <v>0.0879</v>
      </c>
      <c r="AT48" s="101">
        <f t="shared" si="27"/>
        <v>377.259747820956</v>
      </c>
      <c r="AU48" s="99">
        <f>IF(VLOOKUP($E48,武器奇术!$A:$R,18,FALSE)="极乐",0,$B$7*IF($G$5="撼天",1.05,1)+IF(AND(VLOOKUP($E48,武器奇术!$A:$R,15,FALSE)="武器",VLOOKUP($E48,武器奇术!$A:$R,17,FALSE)="鸣金"),$E$3*(1+$E$15),0))</f>
        <v>0</v>
      </c>
      <c r="AV48" s="91">
        <f t="shared" si="28"/>
        <v>0</v>
      </c>
      <c r="AW48" s="91">
        <f>IF(VLOOKUP($E48,武器奇术!$A:$R,18,FALSE)="极乐",0,MAX($C$7*IF($G$5="撼天",1.05,1)+IF(AND(VLOOKUP($E48,武器奇术!$A:$R,15,FALSE)="武器",VLOOKUP($E48,武器奇术!$A:$R,17,FALSE)="鸣金"),$E$3*(1+$E$15),0),AU48))</f>
        <v>0</v>
      </c>
      <c r="AX48" s="93">
        <f>IF(($D$7+IF(VLOOKUP($E48,武器奇术!$A:$R,17,FALSE)="鸣金",$D$15,0)-VLOOKUP($F$7,目标属性!$A:$R,6,FALSE))&gt;0,($D$7+IF(VLOOKUP($E48,武器奇术!$A:$R,17,FALSE)="鸣金",$D$15,0)-VLOOKUP($F$7,目标属性!$A:$R,6,FALSE))/200,($D$7+IF(VLOOKUP($E48,武器奇术!$A:$R,17,FALSE)="鸣金",$D$15,0)-VLOOKUP($F$7,目标属性!$A:$R,6,FALSE))/100)</f>
        <v>-0.24</v>
      </c>
      <c r="AY48" s="100">
        <f t="shared" si="46"/>
        <v>0</v>
      </c>
      <c r="AZ48" s="91">
        <v>1</v>
      </c>
      <c r="BA48" s="92">
        <f>AU48*IF(VLOOKUP($E48,武器奇术!$A:$R,17,FALSE)="鸣金",VLOOKUP($E48,武器奇术!$A:$R,4,FALSE),VLOOKUP($E48,武器奇术!$A:$R,2,FALSE))*(1+AX48)*(1+AY48)*AZ48</f>
        <v>0</v>
      </c>
      <c r="BB48" s="93">
        <f>(1-IF(VLOOKUP($E48,武器奇术!$A:$R,16,FALSE)="陌刀",1,$N48))*(1-$M48)</f>
        <v>0</v>
      </c>
      <c r="BC48" s="92">
        <f>AV48*IF(VLOOKUP($E48,武器奇术!$A:$R,17,FALSE)="鸣金",VLOOKUP($E48,武器奇术!$A:$R,4,FALSE),VLOOKUP($E48,武器奇术!$A:$R,2,FALSE))*(1+AX48)*(1+AY48)*AZ48*(1+$E$16+VLOOKUP($E48,武器奇术!$A:$R,8,FALSE))</f>
        <v>0</v>
      </c>
      <c r="BD48" s="93">
        <f t="shared" si="3"/>
        <v>0.8135</v>
      </c>
      <c r="BE48" s="92">
        <f>AW48*IF(VLOOKUP($E48,武器奇术!$A:$R,17,FALSE)="鸣金",VLOOKUP($E48,武器奇术!$A:$R,4,FALSE),VLOOKUP($E48,武器奇术!$A:$R,2,FALSE))*(1+AX48)*(1+AY48)*AZ48*(1+$E$17+VLOOKUP($E48,武器奇术!$A:$R,10,FALSE))</f>
        <v>0</v>
      </c>
      <c r="BF48" s="93">
        <f t="shared" si="4"/>
        <v>0.0986</v>
      </c>
      <c r="BG48" s="92">
        <f>AV48*IF(VLOOKUP($E48,武器奇术!$A:$R,17,FALSE)="鸣金",VLOOKUP($E48,武器奇术!$A:$R,4,FALSE),VLOOKUP($E48,武器奇术!$A:$R,2,FALSE))*(1+AX48)*(1+AY48)*AZ48</f>
        <v>0</v>
      </c>
      <c r="BH48" s="93">
        <f t="shared" si="30"/>
        <v>0.0879</v>
      </c>
      <c r="BI48" s="101">
        <f t="shared" si="31"/>
        <v>0</v>
      </c>
      <c r="BJ48" s="99">
        <f>IF(VLOOKUP($E48,武器奇术!$A:$R,18,FALSE)="极乐",0,$B$9*IF($G$5="撼天",1.05,1)+IF(AND(VLOOKUP($E48,武器奇术!$A:$R,15,FALSE)="武器",VLOOKUP($E48,武器奇术!$A:$R,17,FALSE)="裂石"),$E$3*(1+$E$15),0))</f>
        <v>0</v>
      </c>
      <c r="BK48" s="91">
        <f t="shared" si="32"/>
        <v>0</v>
      </c>
      <c r="BL48" s="91">
        <f>IF(VLOOKUP($E48,武器奇术!$A:$R,18,FALSE)="极乐",0,MAX($C$9*IF($G$5="撼天",1.05,1)+IF(AND(VLOOKUP($E48,武器奇术!$A:$R,15,FALSE)="武器",VLOOKUP($E48,武器奇术!$A:$R,17,FALSE)="裂石"),$E$3*(1+$E$15),0),BJ48))</f>
        <v>0</v>
      </c>
      <c r="BM48" s="93">
        <f>IF(($D$9+IF(VLOOKUP($E48,武器奇术!$A:$R,17,FALSE)="裂石",$D$15,0)-VLOOKUP($F$7,目标属性!$A:$R,6,FALSE))&gt;0,($D$9+IF(VLOOKUP($E48,武器奇术!$A:$R,17,FALSE)="裂石",$D$15,0)-VLOOKUP($F$7,目标属性!$A:$R,6,FALSE))/200,($D$9+IF(VLOOKUP($E48,武器奇术!$A:$R,17,FALSE)="裂石",$D$15,0)-VLOOKUP($F$7,目标属性!$A:$R,6,FALSE))/100)</f>
        <v>-0.24</v>
      </c>
      <c r="BN48" s="100">
        <f t="shared" si="47"/>
        <v>0</v>
      </c>
      <c r="BO48" s="91">
        <v>1</v>
      </c>
      <c r="BP48" s="92">
        <f>BJ48*IF(VLOOKUP($E48,武器奇术!$A:$R,17,FALSE)="裂石",VLOOKUP($E48,武器奇术!$A:$R,4,FALSE),VLOOKUP($E48,武器奇术!$A:$R,2,FALSE))*(1+BM48)*(1+BN48)*BO48</f>
        <v>0</v>
      </c>
      <c r="BQ48" s="93">
        <f>(1-IF(VLOOKUP($E48,武器奇术!$A:$R,16,FALSE)="陌刀",1,$N48))*(1-$M48)</f>
        <v>0</v>
      </c>
      <c r="BR48" s="92">
        <f>BK48*IF(VLOOKUP($E48,武器奇术!$A:$R,17,FALSE)="裂石",VLOOKUP($E48,武器奇术!$A:$R,4,FALSE),VLOOKUP($E48,武器奇术!$A:$R,2,FALSE))*(1+BM48)*(1+BN48)*BO48*(1+$E$16+VLOOKUP($E48,武器奇术!$A:$R,8,FALSE))</f>
        <v>0</v>
      </c>
      <c r="BS48" s="93">
        <f t="shared" si="5"/>
        <v>0.8135</v>
      </c>
      <c r="BT48" s="92">
        <f>BL48*IF(VLOOKUP($E48,武器奇术!$A:$R,17,FALSE)="裂石",VLOOKUP($E48,武器奇术!$A:$R,4,FALSE),VLOOKUP($E48,武器奇术!$A:$R,2,FALSE))*(1+BM48)*(1+BN48)*BO48*(1+$E$17+VLOOKUP($E48,武器奇术!$A:$R,10,FALSE))</f>
        <v>0</v>
      </c>
      <c r="BU48" s="93">
        <f t="shared" si="6"/>
        <v>0.0986</v>
      </c>
      <c r="BV48" s="92">
        <f>BK48*IF(VLOOKUP($E48,武器奇术!$A:$R,17,FALSE)="裂石",VLOOKUP($E48,武器奇术!$A:$R,4,FALSE),VLOOKUP($E48,武器奇术!$A:$R,2,FALSE))*(1+BM48)*(1+BN48)*BO48</f>
        <v>0</v>
      </c>
      <c r="BW48" s="93">
        <f t="shared" si="34"/>
        <v>0.0879</v>
      </c>
      <c r="BX48" s="101">
        <f t="shared" si="35"/>
        <v>0</v>
      </c>
      <c r="BY48" s="99">
        <f>IF(VLOOKUP($E48,武器奇术!$A:$R,18,FALSE)="极乐",0,$B$11*IF($G$5="撼天",1.05,1)+IF(AND(VLOOKUP($E48,武器奇术!$A:$R,15,FALSE)="武器",VLOOKUP($E48,武器奇术!$A:$R,17,FALSE)="牵丝"),$E$3*(1+$E$15),0))</f>
        <v>0</v>
      </c>
      <c r="BZ48" s="91">
        <f t="shared" si="36"/>
        <v>0</v>
      </c>
      <c r="CA48" s="91">
        <f>IF(VLOOKUP($E48,武器奇术!$A:$R,18,FALSE)="极乐",0,MAX($C$11*IF($G$5="撼天",1.05,1)+IF(AND(VLOOKUP($E48,武器奇术!$A:$R,15,FALSE)="武器",VLOOKUP($E48,武器奇术!$A:$R,17,FALSE)="牵丝"),$E$3*(1+$E$15),0),BY48))</f>
        <v>0</v>
      </c>
      <c r="CB48" s="93">
        <f>IF(($D$11+IF(VLOOKUP($E48,武器奇术!$A:$R,17,FALSE)="牵丝",$D$15,0)-VLOOKUP($F$7,目标属性!$A:$R,6,FALSE))&gt;0,($D$11+IF(VLOOKUP($E48,武器奇术!$A:$R,17,FALSE)="牵丝",$D$15,0)-VLOOKUP($F$7,目标属性!$A:$R,6,FALSE))/200,($D$11+IF(VLOOKUP($E48,武器奇术!$A:$R,17,FALSE)="牵丝",$D$15,0)-VLOOKUP($F$7,目标属性!$A:$R,6,FALSE))/100)</f>
        <v>-0.24</v>
      </c>
      <c r="CC48" s="100">
        <f t="shared" si="48"/>
        <v>0</v>
      </c>
      <c r="CD48" s="91">
        <v>1</v>
      </c>
      <c r="CE48" s="92">
        <f>BY48*IF(VLOOKUP($E48,武器奇术!$A:$R,17,FALSE)="牵丝",VLOOKUP($E48,武器奇术!$A:$R,4,FALSE),VLOOKUP($E48,武器奇术!$A:$R,2,FALSE))*(1+CB48)*(1+CC48)*CD48</f>
        <v>0</v>
      </c>
      <c r="CF48" s="93">
        <f>(1-IF(VLOOKUP($E48,武器奇术!$A:$R,16,FALSE)="陌刀",1,$N48))*(1-$M48)</f>
        <v>0</v>
      </c>
      <c r="CG48" s="92">
        <f>BZ48*IF(VLOOKUP($E48,武器奇术!$A:$R,17,FALSE)="牵丝",VLOOKUP($E48,武器奇术!$A:$R,4,FALSE),VLOOKUP($E48,武器奇术!$A:$R,2,FALSE))*(1+CB48)*(1+CC48)*CD48*(1+$E$16+VLOOKUP($E48,武器奇术!$A:$R,8,FALSE))</f>
        <v>0</v>
      </c>
      <c r="CH48" s="93">
        <f t="shared" si="7"/>
        <v>0.8135</v>
      </c>
      <c r="CI48" s="92">
        <f>CA48*IF(VLOOKUP($E48,武器奇术!$A:$R,17,FALSE)="牵丝",VLOOKUP($E48,武器奇术!$A:$R,4,FALSE),VLOOKUP($E48,武器奇术!$A:$R,2,FALSE))*(1+CB48)*(1+CC48)*CD48*(1+$E$17+VLOOKUP($E48,武器奇术!$A:$R,10,FALSE))</f>
        <v>0</v>
      </c>
      <c r="CJ48" s="93">
        <f t="shared" si="8"/>
        <v>0.0986</v>
      </c>
      <c r="CK48" s="92">
        <f>BZ48*IF(VLOOKUP($E48,武器奇术!$A:$R,17,FALSE)="牵丝",VLOOKUP($E48,武器奇术!$A:$R,4,FALSE),VLOOKUP($E48,武器奇术!$A:$R,2,FALSE))*(1+CB48)*(1+CC48)*CD48</f>
        <v>0</v>
      </c>
      <c r="CL48" s="93">
        <f t="shared" si="38"/>
        <v>0.0879</v>
      </c>
      <c r="CM48" s="101">
        <f t="shared" si="39"/>
        <v>0</v>
      </c>
      <c r="CN48" s="99">
        <f>IF(VLOOKUP($E48,武器奇术!$A:$R,18,FALSE)="极乐",0,$B$13*IF($G$5="撼天",1.05,1)+IF(AND(VLOOKUP($E48,武器奇术!$A:$R,15,FALSE)="武器",VLOOKUP($E48,武器奇术!$A:$R,17,FALSE)="破竹"),$E$3*(1+$E$15),0))</f>
        <v>686.71</v>
      </c>
      <c r="CO48" s="91">
        <f t="shared" si="40"/>
        <v>1052.21</v>
      </c>
      <c r="CP48" s="91">
        <f>IF(VLOOKUP($E48,武器奇术!$A:$R,18,FALSE)="极乐",0,MAX($C$13*IF($G$5="撼天",1.05,1)+IF(AND(VLOOKUP($E48,武器奇术!$A:$R,15,FALSE)="武器",VLOOKUP($E48,武器奇术!$A:$R,17,FALSE)="破竹"),$E$3*(1+$E$15),0),CN48))</f>
        <v>1417.71</v>
      </c>
      <c r="CQ48" s="93">
        <f>IF(($D$13+IF(VLOOKUP($E48,武器奇术!$A:$R,17,FALSE)="破竹",$D$15,0)-VLOOKUP($F$7,目标属性!$A:$R,6,FALSE)+IF(VLOOKUP($E48,武器奇术!$A:$V,22,FALSE)=1,4,0)+IF(VLOOKUP($E48,武器奇术!$A:$T,20,FALSE)=1,10,0))&gt;0,($D$13+IF(VLOOKUP($E48,武器奇术!$A:$R,17,FALSE)="破竹",$D$15,0)-VLOOKUP($F$7,目标属性!$A:$R,6,FALSE)+IF(VLOOKUP($E48,武器奇术!$A:$V,22,FALSE)=1,4,0)+IF(VLOOKUP($E48,武器奇术!$A:$T,20,FALSE)=1,10,0))/200,($D$13+IF(VLOOKUP($E48,武器奇术!$A:$R,17,FALSE)="破竹",$D$15,0)-VLOOKUP($F$7,目标属性!$A:$R,6,FALSE)+IF(VLOOKUP($E48,武器奇术!$A:$V,22,FALSE)=1,4,0)+IF(VLOOKUP($E48,武器奇术!$A:$T,20,FALSE)=1,10,0))/100)</f>
        <v>0.028</v>
      </c>
      <c r="CR48" s="120">
        <f>$E$13+IF(期望!$G$5="燕归",6%,0)</f>
        <v>0.208</v>
      </c>
      <c r="CS48" s="91">
        <v>1</v>
      </c>
      <c r="CT48" s="92">
        <f>CN48*IF(VLOOKUP($E48,武器奇术!$A:$R,17,FALSE)="破竹",VLOOKUP($E48,武器奇术!$A:$R,4,FALSE),VLOOKUP($E48,武器奇术!$A:$R,2,FALSE))*(1+CQ48)*(1+CR48)*CS48</f>
        <v>634.403387418627</v>
      </c>
      <c r="CU48" s="93">
        <f>(1-IF(VLOOKUP($E48,武器奇术!$A:$R,16,FALSE)="陌刀",1,$N48))*(1-$M48)</f>
        <v>0</v>
      </c>
      <c r="CV48" s="92">
        <f>CO48*IF(VLOOKUP($E48,武器奇术!$A:$R,17,FALSE)="破竹",VLOOKUP($E48,武器奇术!$A:$R,4,FALSE),VLOOKUP($E48,武器奇术!$A:$R,2,FALSE))*(1+CQ48)*(1+CR48)*CS48*(1+$E$16+VLOOKUP($E48,武器奇术!$A:$R,8,FALSE))</f>
        <v>1598.0720640814</v>
      </c>
      <c r="CW48" s="93">
        <f t="shared" si="9"/>
        <v>0.8135</v>
      </c>
      <c r="CX48" s="92">
        <f>CP48*IF(VLOOKUP($E48,武器奇术!$A:$R,17,FALSE)="破竹",VLOOKUP($E48,武器奇术!$A:$R,4,FALSE),VLOOKUP($E48,武器奇术!$A:$R,2,FALSE))*(1+CQ48)*(1+CR48)*CS48*(1+$E$17+VLOOKUP($E48,武器奇术!$A:$R,10,FALSE))</f>
        <v>1768.12633514774</v>
      </c>
      <c r="CY48" s="93">
        <f t="shared" si="10"/>
        <v>0.0986</v>
      </c>
      <c r="CZ48" s="92">
        <f>CO48*IF(VLOOKUP($E48,武器奇术!$A:$R,17,FALSE)="破竹",VLOOKUP($E48,武器奇术!$A:$R,4,FALSE),VLOOKUP($E48,武器奇术!$A:$R,2,FALSE))*(1+CQ48)*(1+CR48)*CS48</f>
        <v>972.063299319587</v>
      </c>
      <c r="DA48" s="93">
        <f t="shared" si="42"/>
        <v>0.0879</v>
      </c>
      <c r="DB48" s="101">
        <f t="shared" si="43"/>
        <v>1559.81324478598</v>
      </c>
      <c r="DC48" s="99">
        <f>IF(VLOOKUP($E48,武器奇术!$A:$R,18,FALSE)="极乐",0,$B$15)</f>
        <v>66</v>
      </c>
      <c r="DD48" s="91">
        <f t="shared" si="44"/>
        <v>95.9</v>
      </c>
      <c r="DE48" s="91">
        <f>IF(VLOOKUP($E48,武器奇术!$A:$R,18,FALSE)="极乐",0,$C$15)</f>
        <v>125.8</v>
      </c>
      <c r="DF48" s="93">
        <f>IF((IF(VLOOKUP($E48,武器奇术!$A:$R,17,FALSE)="鸣金",$D$7,0)+IF(VLOOKUP($E48,武器奇术!$A:$R,17,FALSE)="裂石",$D$9,0)+IF(VLOOKUP($E48,武器奇术!$A:$R,17,FALSE)="牵丝",$D$11,0)+IF(VLOOKUP($E48,武器奇术!$A:$R,17,FALSE)="破竹",$D$13,0)+$D$15-VLOOKUP($F$7,目标属性!$A:$R,6,FALSE)+IF(VLOOKUP($E48,武器奇术!$A:$V,22,FALSE)=1,4,0)+IF(VLOOKUP($E48,武器奇术!$A:$T,20,FALSE)=1,10,0))&gt;0,(IF(VLOOKUP($E48,武器奇术!$A:$R,17,FALSE)="鸣金",$D$7,0)+IF(VLOOKUP($E48,武器奇术!$A:$R,17,FALSE)="裂石",$D$9,0)+IF(VLOOKUP($E48,武器奇术!$A:$R,17,FALSE)="牵丝",$D$11,0)+IF(VLOOKUP($E48,武器奇术!$A:$R,17,FALSE)="破竹",$D$13,0)+$D$15-VLOOKUP($F$7,目标属性!$A:$R,6,FALSE)+IF(VLOOKUP($E48,武器奇术!$A:$V,22,FALSE)=1,4,0)+IF(VLOOKUP($E48,武器奇术!$A:$T,20,FALSE)=1,10,0))/200,(IF(VLOOKUP($E48,武器奇术!$A:$R,17,FALSE)="鸣金",$D$7,0)+IF(VLOOKUP($E48,武器奇术!$A:$R,17,FALSE)="裂石",$D$9,0)+IF(VLOOKUP($E48,武器奇术!$A:$R,17,FALSE)="牵丝",$D$11,0)+IF(VLOOKUP($E48,武器奇术!$A:$R,17,FALSE)="破竹",$D$13,0)+$D$15-VLOOKUP($F$7,目标属性!$A:$R,6,FALSE)+IF(VLOOKUP($E48,武器奇术!$A:$V,22,FALSE)=1,4,0)+IF(VLOOKUP($E48,武器奇术!$A:$T,20,FALSE)=1,10,0))/100)</f>
        <v>0.028</v>
      </c>
      <c r="DG48" s="120">
        <f>$E$13+IF(期望!$G$5="燕归",6%,0)</f>
        <v>0.208</v>
      </c>
      <c r="DH48" s="91">
        <v>1</v>
      </c>
      <c r="DI48" s="92">
        <f>DC48*IF(VLOOKUP($E48,武器奇术!$A:$R,17,FALSE)="破竹",VLOOKUP($E48,武器奇术!$A:$R,4,FALSE),VLOOKUP($E48,武器奇术!$A:$R,2,FALSE))*(1+DF48)*(1+DG48)*DH48</f>
        <v>60.97278846912</v>
      </c>
      <c r="DJ48" s="93">
        <f>(1-IF(VLOOKUP($E48,武器奇术!$A:$R,16,FALSE)="陌刀",1,$N48))*(1-$M48)</f>
        <v>0</v>
      </c>
      <c r="DK48" s="92">
        <f>DD48*IF(VLOOKUP($E48,武器奇术!$A:$R,17,FALSE)="破竹",VLOOKUP($E48,武器奇术!$A:$R,4,FALSE),VLOOKUP($E48,武器奇术!$A:$R,2,FALSE))*(1+DF48)*(1+DG48)*DH48*(1+$E$16+VLOOKUP($E48,武器奇术!$A:$R,8,FALSE))</f>
        <v>145.65068849888</v>
      </c>
      <c r="DL48" s="93">
        <f t="shared" si="12"/>
        <v>0.8135</v>
      </c>
      <c r="DM48" s="92">
        <f>DE48*IF(VLOOKUP($E48,武器奇术!$A:$R,17,FALSE)="破竹",VLOOKUP($E48,武器奇术!$A:$R,4,FALSE),VLOOKUP($E48,武器奇术!$A:$R,2,FALSE))*(1+DF48)*(1+DG48)*DH48*(1+$E$17+VLOOKUP($E48,武器奇术!$A:$R,10,FALSE))</f>
        <v>156.894070692586</v>
      </c>
      <c r="DN48" s="93">
        <f t="shared" si="13"/>
        <v>0.0986</v>
      </c>
      <c r="DO48" s="92">
        <f>DD48*IF(VLOOKUP($E48,武器奇术!$A:$R,17,FALSE)="破竹",VLOOKUP($E48,武器奇术!$A:$R,4,FALSE),VLOOKUP($E48,武器奇术!$A:$R,2,FALSE))*(1+DF48)*(1+DG48)*DH48</f>
        <v>88.595309305888</v>
      </c>
      <c r="DP48" s="93">
        <f t="shared" si="14"/>
        <v>0.0879</v>
      </c>
      <c r="DQ48" s="101">
        <f t="shared" si="15"/>
        <v>141.744118152115</v>
      </c>
    </row>
    <row r="49" customFormat="1" spans="1:121">
      <c r="A49" s="126"/>
      <c r="B49" s="12"/>
      <c r="C49" s="12"/>
      <c r="D49" s="12"/>
      <c r="E49" s="105" t="s">
        <v>126</v>
      </c>
      <c r="F49" s="106">
        <v>1</v>
      </c>
      <c r="G49" s="107"/>
      <c r="H49" s="92">
        <f>IF(VLOOKUP($E49,武器奇术!$A:$R,18,FALSE)="天工",AE49,(AE49+AT49+BI49+BX49+CM49+DB49+DQ49))*(1+J49)*F49*K49*(1+G49)</f>
        <v>11040.4059770818</v>
      </c>
      <c r="I49" s="93">
        <f t="shared" si="16"/>
        <v>0.00141629329366032</v>
      </c>
      <c r="J49" s="93">
        <f>$F$3+VLOOKUP($E49,武器奇术!$A:$R,12,FALSE)+VLOOKUP($E49,武器奇术!$A:$R,14,FALSE)*$G$3+$P49</f>
        <v>0.693</v>
      </c>
      <c r="K49" s="94">
        <f>VLOOKUP($E49,武器奇术!$A:$R,11,FALSE)</f>
        <v>1</v>
      </c>
      <c r="L49" s="109">
        <f>IF(VLOOKUP($E49,武器奇术!$A:$R,15,FALSE)="天工",0%,IF($C$17+VLOOKUP($E49,武器奇术!$A:$R,7,FALSE)&gt;80%,80%,$C$17+VLOOKUP($E49,武器奇术!$A:$R,7,FALSE))+IF($C$19&gt;20%,20%,$C$19))</f>
        <v>0.8135</v>
      </c>
      <c r="M49" s="110">
        <f>IF(VLOOKUP($E49,武器奇术!$A:$R,15,FALSE)="天工",0%,IF($C$18+VLOOKUP($E49,武器奇术!$A:$R,9,FALSE)&gt;40%,40%,$C$18+VLOOKUP($E49,武器奇术!$A:$R,9,FALSE))+IF($C$20&gt;10%,10%,$C$20))</f>
        <v>0.0986</v>
      </c>
      <c r="N49" s="111">
        <f>IF(VLOOKUP($E49,武器奇术!$A:$R,15,FALSE)="天工",100%,MIN($C$16,1))</f>
        <v>1</v>
      </c>
      <c r="O49" s="112" t="str">
        <f>VLOOKUP($E49,武器奇术!$A:$R,16,FALSE)</f>
        <v>双刀</v>
      </c>
      <c r="P49" s="113">
        <f t="shared" si="17"/>
        <v>0.17</v>
      </c>
      <c r="Q49" s="99">
        <f>$B$5*(1+VLOOKUP($E49,武器奇术!$A:$R,5,FALSE)+IF($G$5="飞隼",0.1,0)+IF($G$5="撼天",0.05,0))-$F$9*IF(VLOOKUP($E49,武器奇术!$A:$S,19,FALSE)=1,0.9,1)+IF($I$5="√",160,0)</f>
        <v>2904.2</v>
      </c>
      <c r="R49" s="91">
        <f t="shared" si="18"/>
        <v>2904.2</v>
      </c>
      <c r="S49" s="91">
        <f>MAX($C$5,$B$5)*(1+VLOOKUP($E49,武器奇术!$A:$R,5,FALSE)+IF($G$5="飞隼",0.1,0)+IF($G$5="撼天",0.05,0))-$F$9*IF(VLOOKUP($E49,武器奇术!$A:$S,19,FALSE)=1,0.9,1)+IF($I$5="√",320,0)</f>
        <v>2904.2</v>
      </c>
      <c r="T49" s="93">
        <f>IF(($D$5+VLOOKUP($E49,武器奇术!$A:$R,13,FALSE)+IF($I$3="√",10,0)-VLOOKUP($F$7,目标属性!$A:$R,5,FALSE))&gt;0,($D$5+VLOOKUP($E49,武器奇术!$A:$R,13,FALSE)+IF($I$3="√",10,0)-VLOOKUP($F$7,目标属性!$A:$R,5,FALSE))/200,($D$5+VLOOKUP($E49,武器奇术!$A:$R,13,FALSE)+IF($I$3="√",10,0)-VLOOKUP($F$7,目标属性!$A:$R,5,FALSE))/100)</f>
        <v>0.2675</v>
      </c>
      <c r="U49" s="120">
        <f>$E$5+IF(VLOOKUP($E49,武器奇术!$A:$R,18,FALSE)="鼠鼠",0.24,0)+IF(期望!$G$5="燕归",6/100,0)</f>
        <v>0.06</v>
      </c>
      <c r="V49" s="91">
        <v>1</v>
      </c>
      <c r="W49" s="92">
        <f>Q49*VLOOKUP($E49,武器奇术!$A:$R,2,FALSE)*(1+T49)*(1+U49)*V49</f>
        <v>2477.4184178172</v>
      </c>
      <c r="X49" s="93">
        <f>(1-IF(VLOOKUP($E49,武器奇术!$A:$R,16,FALSE)="陌刀",1,$N49))*(1-$M49)</f>
        <v>0</v>
      </c>
      <c r="Y49" s="92">
        <f>R49*VLOOKUP($E49,武器奇术!$A:$R,2,FALSE)*(1+T49)*(1+U49)*V49*(1+$E$16+VLOOKUP($E49,武器奇术!$A:$R,8,FALSE))</f>
        <v>4072.87587889148</v>
      </c>
      <c r="Z49" s="93">
        <f t="shared" si="19"/>
        <v>0.8135</v>
      </c>
      <c r="AA49" s="92">
        <f>S49*VLOOKUP($E49,武器奇术!$A:$R,2,FALSE)*(1+T49)*(1+U49)*V49*(1+$E$17+VLOOKUP($E49,武器奇术!$A:$R,10,FALSE))</f>
        <v>3344.51486405322</v>
      </c>
      <c r="AB49" s="93">
        <f t="shared" si="20"/>
        <v>0.0986</v>
      </c>
      <c r="AC49" s="92">
        <f>R49*VLOOKUP($E49,武器奇术!$A:$R,2,FALSE)*(1+T49)*(1+U49)*V49</f>
        <v>2477.4184178172</v>
      </c>
      <c r="AD49" s="93">
        <f t="shared" si="21"/>
        <v>0.0879</v>
      </c>
      <c r="AE49" s="101">
        <f t="shared" si="22"/>
        <v>3860.818772</v>
      </c>
      <c r="AF49" s="102">
        <f>VLOOKUP($E49,武器奇术!$A:$R,3,FALSE)*(1+IF(VLOOKUP($E49,武器奇术!$A:$R,15,FALSE)="武器",$E$15,0))</f>
        <v>230.23</v>
      </c>
      <c r="AG49" s="92">
        <f t="shared" si="23"/>
        <v>230.23</v>
      </c>
      <c r="AH49" s="92">
        <f>VLOOKUP($E49,武器奇术!$A:$R,3,FALSE)*(1+IF(VLOOKUP($E49,武器奇术!$A:$R,15,FALSE)="武器",$E$15,0))</f>
        <v>230.23</v>
      </c>
      <c r="AI49" s="93">
        <f>IF(($D$5+VLOOKUP($E49,武器奇术!$A:$R,13,FALSE)+IF($I$3="√",10,0)-VLOOKUP($F$7,目标属性!$A:$R,5,FALSE))&gt;0,($D$5+VLOOKUP($E49,武器奇术!$A:$R,13,FALSE)+IF($I$3="√",10,0)-VLOOKUP($F$7,目标属性!$A:$R,5,FALSE))/200,($D$5+VLOOKUP($E49,武器奇术!$A:$R,13,FALSE)+IF($I$3="√",10,0)-VLOOKUP($F$7,目标属性!$A:$R,5,FALSE))/100)</f>
        <v>0.2675</v>
      </c>
      <c r="AJ49" s="120">
        <f>$E$5+IF(VLOOKUP($E49,武器奇术!$A:$R,18,FALSE)="鼠鼠",0.24,0)+IF(期望!$G$5="燕归",6/100,0)</f>
        <v>0.06</v>
      </c>
      <c r="AK49" s="91">
        <v>1</v>
      </c>
      <c r="AL49" s="92">
        <f t="shared" si="24"/>
        <v>309.3255165</v>
      </c>
      <c r="AM49" s="93">
        <f>(1-IF(VLOOKUP($E49,武器奇术!$A:$R,16,FALSE)="陌刀",1,$N49))*(1-$M49)</f>
        <v>0</v>
      </c>
      <c r="AN49" s="92">
        <f>AG49*(1+AI49)*(1+AJ49)*AK49*(1+$E$16+VLOOKUP($E49,武器奇术!$A:$R,8,FALSE))</f>
        <v>508.531149126</v>
      </c>
      <c r="AO49" s="93">
        <f t="shared" si="1"/>
        <v>0.8135</v>
      </c>
      <c r="AP49" s="92">
        <f>AH49*(1+AI49)*(1+AJ49)*AK49*(1+$E$17+VLOOKUP($E49,武器奇术!$A:$R,10,FALSE))</f>
        <v>417.589447275</v>
      </c>
      <c r="AQ49" s="93">
        <f t="shared" si="2"/>
        <v>0.0986</v>
      </c>
      <c r="AR49" s="92">
        <f t="shared" si="25"/>
        <v>309.3255165</v>
      </c>
      <c r="AS49" s="93">
        <f t="shared" si="26"/>
        <v>0.0879</v>
      </c>
      <c r="AT49" s="101">
        <f t="shared" si="27"/>
        <v>482.054122215666</v>
      </c>
      <c r="AU49" s="99">
        <f>IF(VLOOKUP($E49,武器奇术!$A:$R,18,FALSE)="极乐",0,$B$7*IF($G$5="撼天",1.05,1)+IF(AND(VLOOKUP($E49,武器奇术!$A:$R,15,FALSE)="武器",VLOOKUP($E49,武器奇术!$A:$R,17,FALSE)="鸣金"),$E$3*(1+$E$15),0))</f>
        <v>0</v>
      </c>
      <c r="AV49" s="91">
        <f t="shared" si="28"/>
        <v>0</v>
      </c>
      <c r="AW49" s="91">
        <f>IF(VLOOKUP($E49,武器奇术!$A:$R,18,FALSE)="极乐",0,MAX($C$7*IF($G$5="撼天",1.05,1)+IF(AND(VLOOKUP($E49,武器奇术!$A:$R,15,FALSE)="武器",VLOOKUP($E49,武器奇术!$A:$R,17,FALSE)="鸣金"),$E$3*(1+$E$15),0),AU49))</f>
        <v>0</v>
      </c>
      <c r="AX49" s="93">
        <f>IF(($D$7+IF(VLOOKUP($E49,武器奇术!$A:$R,17,FALSE)="鸣金",$D$15,0)-VLOOKUP($F$7,目标属性!$A:$R,6,FALSE))&gt;0,($D$7+IF(VLOOKUP($E49,武器奇术!$A:$R,17,FALSE)="鸣金",$D$15,0)-VLOOKUP($F$7,目标属性!$A:$R,6,FALSE))/200,($D$7+IF(VLOOKUP($E49,武器奇术!$A:$R,17,FALSE)="鸣金",$D$15,0)-VLOOKUP($F$7,目标属性!$A:$R,6,FALSE))/100)</f>
        <v>-0.24</v>
      </c>
      <c r="AY49" s="100">
        <f t="shared" si="46"/>
        <v>0</v>
      </c>
      <c r="AZ49" s="91">
        <v>1</v>
      </c>
      <c r="BA49" s="92">
        <f>AU49*IF(VLOOKUP($E49,武器奇术!$A:$R,17,FALSE)="鸣金",VLOOKUP($E49,武器奇术!$A:$R,4,FALSE),VLOOKUP($E49,武器奇术!$A:$R,2,FALSE))*(1+AX49)*(1+AY49)*AZ49</f>
        <v>0</v>
      </c>
      <c r="BB49" s="93">
        <f>(1-IF(VLOOKUP($E49,武器奇术!$A:$R,16,FALSE)="陌刀",1,$N49))*(1-$M49)</f>
        <v>0</v>
      </c>
      <c r="BC49" s="92">
        <f>AV49*IF(VLOOKUP($E49,武器奇术!$A:$R,17,FALSE)="鸣金",VLOOKUP($E49,武器奇术!$A:$R,4,FALSE),VLOOKUP($E49,武器奇术!$A:$R,2,FALSE))*(1+AX49)*(1+AY49)*AZ49*(1+$E$16+VLOOKUP($E49,武器奇术!$A:$R,8,FALSE))</f>
        <v>0</v>
      </c>
      <c r="BD49" s="93">
        <f t="shared" si="3"/>
        <v>0.8135</v>
      </c>
      <c r="BE49" s="92">
        <f>AW49*IF(VLOOKUP($E49,武器奇术!$A:$R,17,FALSE)="鸣金",VLOOKUP($E49,武器奇术!$A:$R,4,FALSE),VLOOKUP($E49,武器奇术!$A:$R,2,FALSE))*(1+AX49)*(1+AY49)*AZ49*(1+$E$17+VLOOKUP($E49,武器奇术!$A:$R,10,FALSE))</f>
        <v>0</v>
      </c>
      <c r="BF49" s="93">
        <f t="shared" si="4"/>
        <v>0.0986</v>
      </c>
      <c r="BG49" s="92">
        <f>AV49*IF(VLOOKUP($E49,武器奇术!$A:$R,17,FALSE)="鸣金",VLOOKUP($E49,武器奇术!$A:$R,4,FALSE),VLOOKUP($E49,武器奇术!$A:$R,2,FALSE))*(1+AX49)*(1+AY49)*AZ49</f>
        <v>0</v>
      </c>
      <c r="BH49" s="93">
        <f t="shared" si="30"/>
        <v>0.0879</v>
      </c>
      <c r="BI49" s="101">
        <f t="shared" si="31"/>
        <v>0</v>
      </c>
      <c r="BJ49" s="99">
        <f>IF(VLOOKUP($E49,武器奇术!$A:$R,18,FALSE)="极乐",0,$B$9*IF($G$5="撼天",1.05,1)+IF(AND(VLOOKUP($E49,武器奇术!$A:$R,15,FALSE)="武器",VLOOKUP($E49,武器奇术!$A:$R,17,FALSE)="裂石"),$E$3*(1+$E$15),0))</f>
        <v>0</v>
      </c>
      <c r="BK49" s="91">
        <f t="shared" si="32"/>
        <v>0</v>
      </c>
      <c r="BL49" s="91">
        <f>IF(VLOOKUP($E49,武器奇术!$A:$R,18,FALSE)="极乐",0,MAX($C$9*IF($G$5="撼天",1.05,1)+IF(AND(VLOOKUP($E49,武器奇术!$A:$R,15,FALSE)="武器",VLOOKUP($E49,武器奇术!$A:$R,17,FALSE)="裂石"),$E$3*(1+$E$15),0),BJ49))</f>
        <v>0</v>
      </c>
      <c r="BM49" s="93">
        <f>IF(($D$9+IF(VLOOKUP($E49,武器奇术!$A:$R,17,FALSE)="裂石",$D$15,0)-VLOOKUP($F$7,目标属性!$A:$R,6,FALSE))&gt;0,($D$9+IF(VLOOKUP($E49,武器奇术!$A:$R,17,FALSE)="裂石",$D$15,0)-VLOOKUP($F$7,目标属性!$A:$R,6,FALSE))/200,($D$9+IF(VLOOKUP($E49,武器奇术!$A:$R,17,FALSE)="裂石",$D$15,0)-VLOOKUP($F$7,目标属性!$A:$R,6,FALSE))/100)</f>
        <v>-0.24</v>
      </c>
      <c r="BN49" s="100">
        <f t="shared" si="47"/>
        <v>0</v>
      </c>
      <c r="BO49" s="91">
        <v>1</v>
      </c>
      <c r="BP49" s="92">
        <f>BJ49*IF(VLOOKUP($E49,武器奇术!$A:$R,17,FALSE)="裂石",VLOOKUP($E49,武器奇术!$A:$R,4,FALSE),VLOOKUP($E49,武器奇术!$A:$R,2,FALSE))*(1+BM49)*(1+BN49)*BO49</f>
        <v>0</v>
      </c>
      <c r="BQ49" s="93">
        <f>(1-IF(VLOOKUP($E49,武器奇术!$A:$R,16,FALSE)="陌刀",1,$N49))*(1-$M49)</f>
        <v>0</v>
      </c>
      <c r="BR49" s="92">
        <f>BK49*IF(VLOOKUP($E49,武器奇术!$A:$R,17,FALSE)="裂石",VLOOKUP($E49,武器奇术!$A:$R,4,FALSE),VLOOKUP($E49,武器奇术!$A:$R,2,FALSE))*(1+BM49)*(1+BN49)*BO49*(1+$E$16+VLOOKUP($E49,武器奇术!$A:$R,8,FALSE))</f>
        <v>0</v>
      </c>
      <c r="BS49" s="93">
        <f t="shared" si="5"/>
        <v>0.8135</v>
      </c>
      <c r="BT49" s="92">
        <f>BL49*IF(VLOOKUP($E49,武器奇术!$A:$R,17,FALSE)="裂石",VLOOKUP($E49,武器奇术!$A:$R,4,FALSE),VLOOKUP($E49,武器奇术!$A:$R,2,FALSE))*(1+BM49)*(1+BN49)*BO49*(1+$E$17+VLOOKUP($E49,武器奇术!$A:$R,10,FALSE))</f>
        <v>0</v>
      </c>
      <c r="BU49" s="93">
        <f t="shared" si="6"/>
        <v>0.0986</v>
      </c>
      <c r="BV49" s="92">
        <f>BK49*IF(VLOOKUP($E49,武器奇术!$A:$R,17,FALSE)="裂石",VLOOKUP($E49,武器奇术!$A:$R,4,FALSE),VLOOKUP($E49,武器奇术!$A:$R,2,FALSE))*(1+BM49)*(1+BN49)*BO49</f>
        <v>0</v>
      </c>
      <c r="BW49" s="93">
        <f t="shared" si="34"/>
        <v>0.0879</v>
      </c>
      <c r="BX49" s="101">
        <f t="shared" si="35"/>
        <v>0</v>
      </c>
      <c r="BY49" s="99">
        <f>IF(VLOOKUP($E49,武器奇术!$A:$R,18,FALSE)="极乐",0,$B$11*IF($G$5="撼天",1.05,1)+IF(AND(VLOOKUP($E49,武器奇术!$A:$R,15,FALSE)="武器",VLOOKUP($E49,武器奇术!$A:$R,17,FALSE)="牵丝"),$E$3*(1+$E$15),0))</f>
        <v>0</v>
      </c>
      <c r="BZ49" s="91">
        <f t="shared" si="36"/>
        <v>0</v>
      </c>
      <c r="CA49" s="91">
        <f>IF(VLOOKUP($E49,武器奇术!$A:$R,18,FALSE)="极乐",0,MAX($C$11*IF($G$5="撼天",1.05,1)+IF(AND(VLOOKUP($E49,武器奇术!$A:$R,15,FALSE)="武器",VLOOKUP($E49,武器奇术!$A:$R,17,FALSE)="牵丝"),$E$3*(1+$E$15),0),BY49))</f>
        <v>0</v>
      </c>
      <c r="CB49" s="93">
        <f>IF(($D$11+IF(VLOOKUP($E49,武器奇术!$A:$R,17,FALSE)="牵丝",$D$15,0)-VLOOKUP($F$7,目标属性!$A:$R,6,FALSE))&gt;0,($D$11+IF(VLOOKUP($E49,武器奇术!$A:$R,17,FALSE)="牵丝",$D$15,0)-VLOOKUP($F$7,目标属性!$A:$R,6,FALSE))/200,($D$11+IF(VLOOKUP($E49,武器奇术!$A:$R,17,FALSE)="牵丝",$D$15,0)-VLOOKUP($F$7,目标属性!$A:$R,6,FALSE))/100)</f>
        <v>-0.24</v>
      </c>
      <c r="CC49" s="100">
        <f t="shared" si="48"/>
        <v>0</v>
      </c>
      <c r="CD49" s="91">
        <v>1</v>
      </c>
      <c r="CE49" s="92">
        <f>BY49*IF(VLOOKUP($E49,武器奇术!$A:$R,17,FALSE)="牵丝",VLOOKUP($E49,武器奇术!$A:$R,4,FALSE),VLOOKUP($E49,武器奇术!$A:$R,2,FALSE))*(1+CB49)*(1+CC49)*CD49</f>
        <v>0</v>
      </c>
      <c r="CF49" s="93">
        <f>(1-IF(VLOOKUP($E49,武器奇术!$A:$R,16,FALSE)="陌刀",1,$N49))*(1-$M49)</f>
        <v>0</v>
      </c>
      <c r="CG49" s="92">
        <f>BZ49*IF(VLOOKUP($E49,武器奇术!$A:$R,17,FALSE)="牵丝",VLOOKUP($E49,武器奇术!$A:$R,4,FALSE),VLOOKUP($E49,武器奇术!$A:$R,2,FALSE))*(1+CB49)*(1+CC49)*CD49*(1+$E$16+VLOOKUP($E49,武器奇术!$A:$R,8,FALSE))</f>
        <v>0</v>
      </c>
      <c r="CH49" s="93">
        <f t="shared" si="7"/>
        <v>0.8135</v>
      </c>
      <c r="CI49" s="92">
        <f>CA49*IF(VLOOKUP($E49,武器奇术!$A:$R,17,FALSE)="牵丝",VLOOKUP($E49,武器奇术!$A:$R,4,FALSE),VLOOKUP($E49,武器奇术!$A:$R,2,FALSE))*(1+CB49)*(1+CC49)*CD49*(1+$E$17+VLOOKUP($E49,武器奇术!$A:$R,10,FALSE))</f>
        <v>0</v>
      </c>
      <c r="CJ49" s="93">
        <f t="shared" si="8"/>
        <v>0.0986</v>
      </c>
      <c r="CK49" s="92">
        <f>BZ49*IF(VLOOKUP($E49,武器奇术!$A:$R,17,FALSE)="牵丝",VLOOKUP($E49,武器奇术!$A:$R,4,FALSE),VLOOKUP($E49,武器奇术!$A:$R,2,FALSE))*(1+CB49)*(1+CC49)*CD49</f>
        <v>0</v>
      </c>
      <c r="CL49" s="93">
        <f t="shared" si="38"/>
        <v>0.0879</v>
      </c>
      <c r="CM49" s="101">
        <f t="shared" si="39"/>
        <v>0</v>
      </c>
      <c r="CN49" s="99">
        <f>IF(VLOOKUP($E49,武器奇术!$A:$R,18,FALSE)="极乐",0,$B$13*IF($G$5="撼天",1.05,1)+IF(AND(VLOOKUP($E49,武器奇术!$A:$R,15,FALSE)="武器",VLOOKUP($E49,武器奇术!$A:$R,17,FALSE)="破竹"),$E$3*(1+$E$15),0))</f>
        <v>686.71</v>
      </c>
      <c r="CO49" s="91">
        <f t="shared" si="40"/>
        <v>1052.21</v>
      </c>
      <c r="CP49" s="91">
        <f>IF(VLOOKUP($E49,武器奇术!$A:$R,18,FALSE)="极乐",0,MAX($C$13*IF($G$5="撼天",1.05,1)+IF(AND(VLOOKUP($E49,武器奇术!$A:$R,15,FALSE)="武器",VLOOKUP($E49,武器奇术!$A:$R,17,FALSE)="破竹"),$E$3*(1+$E$15),0),CN49))</f>
        <v>1417.71</v>
      </c>
      <c r="CQ49" s="93">
        <f>IF(($D$13+IF(VLOOKUP($E49,武器奇术!$A:$R,17,FALSE)="破竹",$D$15,0)-VLOOKUP($F$7,目标属性!$A:$R,6,FALSE)+IF(VLOOKUP($E49,武器奇术!$A:$V,22,FALSE)=1,4,0)+IF(VLOOKUP($E49,武器奇术!$A:$T,20,FALSE)=1,10,0))&gt;0,($D$13+IF(VLOOKUP($E49,武器奇术!$A:$R,17,FALSE)="破竹",$D$15,0)-VLOOKUP($F$7,目标属性!$A:$R,6,FALSE)+IF(VLOOKUP($E49,武器奇术!$A:$V,22,FALSE)=1,4,0)+IF(VLOOKUP($E49,武器奇术!$A:$T,20,FALSE)=1,10,0))/200,($D$13+IF(VLOOKUP($E49,武器奇术!$A:$R,17,FALSE)="破竹",$D$15,0)-VLOOKUP($F$7,目标属性!$A:$R,6,FALSE)+IF(VLOOKUP($E49,武器奇术!$A:$V,22,FALSE)=1,4,0)+IF(VLOOKUP($E49,武器奇术!$A:$T,20,FALSE)=1,10,0))/100)</f>
        <v>0.028</v>
      </c>
      <c r="CR49" s="120">
        <f>$E$13+IF(期望!$G$5="燕归",6%,0)</f>
        <v>0.208</v>
      </c>
      <c r="CS49" s="91">
        <v>1</v>
      </c>
      <c r="CT49" s="92">
        <f>CN49*IF(VLOOKUP($E49,武器奇术!$A:$R,17,FALSE)="破竹",VLOOKUP($E49,武器奇术!$A:$R,4,FALSE),VLOOKUP($E49,武器奇术!$A:$R,2,FALSE))*(1+CQ49)*(1+CR49)*CS49</f>
        <v>812.163910730515</v>
      </c>
      <c r="CU49" s="93">
        <f>(1-IF(VLOOKUP($E49,武器奇术!$A:$R,16,FALSE)="陌刀",1,$N49))*(1-$M49)</f>
        <v>0</v>
      </c>
      <c r="CV49" s="92">
        <f>CO49*IF(VLOOKUP($E49,武器奇术!$A:$R,17,FALSE)="破竹",VLOOKUP($E49,武器奇术!$A:$R,4,FALSE),VLOOKUP($E49,武器奇术!$A:$R,2,FALSE))*(1+CQ49)*(1+CR49)*CS49*(1+$E$16+VLOOKUP($E49,武器奇术!$A:$R,8,FALSE))</f>
        <v>2045.85360502984</v>
      </c>
      <c r="CW49" s="93">
        <f t="shared" si="9"/>
        <v>0.8135</v>
      </c>
      <c r="CX49" s="92">
        <f>CP49*IF(VLOOKUP($E49,武器奇术!$A:$R,17,FALSE)="破竹",VLOOKUP($E49,武器奇术!$A:$R,4,FALSE),VLOOKUP($E49,武器奇术!$A:$R,2,FALSE))*(1+CQ49)*(1+CR49)*CS49*(1+$E$17+VLOOKUP($E49,武器奇术!$A:$R,10,FALSE))</f>
        <v>2263.55726892047</v>
      </c>
      <c r="CY49" s="93">
        <f t="shared" si="10"/>
        <v>0.0986</v>
      </c>
      <c r="CZ49" s="92">
        <f>CO49*IF(VLOOKUP($E49,武器奇术!$A:$R,17,FALSE)="破竹",VLOOKUP($E49,武器奇术!$A:$R,4,FALSE),VLOOKUP($E49,武器奇术!$A:$R,2,FALSE))*(1+CQ49)*(1+CR49)*CS49</f>
        <v>1244.43649940988</v>
      </c>
      <c r="DA49" s="93">
        <f t="shared" si="42"/>
        <v>0.0879</v>
      </c>
      <c r="DB49" s="101">
        <f t="shared" si="43"/>
        <v>1996.87462270546</v>
      </c>
      <c r="DC49" s="99">
        <f>IF(VLOOKUP($E49,武器奇术!$A:$R,18,FALSE)="极乐",0,$B$15)</f>
        <v>66</v>
      </c>
      <c r="DD49" s="91">
        <f t="shared" si="44"/>
        <v>95.9</v>
      </c>
      <c r="DE49" s="91">
        <f>IF(VLOOKUP($E49,武器奇术!$A:$R,18,FALSE)="极乐",0,$C$15)</f>
        <v>125.8</v>
      </c>
      <c r="DF49" s="93">
        <f>IF((IF(VLOOKUP($E49,武器奇术!$A:$R,17,FALSE)="鸣金",$D$7,0)+IF(VLOOKUP($E49,武器奇术!$A:$R,17,FALSE)="裂石",$D$9,0)+IF(VLOOKUP($E49,武器奇术!$A:$R,17,FALSE)="牵丝",$D$11,0)+IF(VLOOKUP($E49,武器奇术!$A:$R,17,FALSE)="破竹",$D$13,0)+$D$15-VLOOKUP($F$7,目标属性!$A:$R,6,FALSE)+IF(VLOOKUP($E49,武器奇术!$A:$V,22,FALSE)=1,4,0)+IF(VLOOKUP($E49,武器奇术!$A:$T,20,FALSE)=1,10,0))&gt;0,(IF(VLOOKUP($E49,武器奇术!$A:$R,17,FALSE)="鸣金",$D$7,0)+IF(VLOOKUP($E49,武器奇术!$A:$R,17,FALSE)="裂石",$D$9,0)+IF(VLOOKUP($E49,武器奇术!$A:$R,17,FALSE)="牵丝",$D$11,0)+IF(VLOOKUP($E49,武器奇术!$A:$R,17,FALSE)="破竹",$D$13,0)+$D$15-VLOOKUP($F$7,目标属性!$A:$R,6,FALSE)+IF(VLOOKUP($E49,武器奇术!$A:$V,22,FALSE)=1,4,0)+IF(VLOOKUP($E49,武器奇术!$A:$T,20,FALSE)=1,10,0))/200,(IF(VLOOKUP($E49,武器奇术!$A:$R,17,FALSE)="鸣金",$D$7,0)+IF(VLOOKUP($E49,武器奇术!$A:$R,17,FALSE)="裂石",$D$9,0)+IF(VLOOKUP($E49,武器奇术!$A:$R,17,FALSE)="牵丝",$D$11,0)+IF(VLOOKUP($E49,武器奇术!$A:$R,17,FALSE)="破竹",$D$13,0)+$D$15-VLOOKUP($F$7,目标属性!$A:$R,6,FALSE)+IF(VLOOKUP($E49,武器奇术!$A:$V,22,FALSE)=1,4,0)+IF(VLOOKUP($E49,武器奇术!$A:$T,20,FALSE)=1,10,0))/100)</f>
        <v>0.028</v>
      </c>
      <c r="DG49" s="120">
        <f>$E$13+IF(期望!$G$5="燕归",6%,0)</f>
        <v>0.208</v>
      </c>
      <c r="DH49" s="91">
        <v>1</v>
      </c>
      <c r="DI49" s="92">
        <f>DC49*IF(VLOOKUP($E49,武器奇术!$A:$R,17,FALSE)="破竹",VLOOKUP($E49,武器奇术!$A:$R,4,FALSE),VLOOKUP($E49,武器奇术!$A:$R,2,FALSE))*(1+DF49)*(1+DG49)*DH49</f>
        <v>78.05743051392</v>
      </c>
      <c r="DJ49" s="93">
        <f>(1-IF(VLOOKUP($E49,武器奇术!$A:$R,16,FALSE)="陌刀",1,$N49))*(1-$M49)</f>
        <v>0</v>
      </c>
      <c r="DK49" s="92">
        <f>DD49*IF(VLOOKUP($E49,武器奇术!$A:$R,17,FALSE)="破竹",VLOOKUP($E49,武器奇术!$A:$R,4,FALSE),VLOOKUP($E49,武器奇术!$A:$R,2,FALSE))*(1+DF49)*(1+DG49)*DH49*(1+$E$16+VLOOKUP($E49,武器奇术!$A:$R,8,FALSE))</f>
        <v>186.462170785643</v>
      </c>
      <c r="DL49" s="93">
        <f t="shared" si="12"/>
        <v>0.8135</v>
      </c>
      <c r="DM49" s="92">
        <f>DE49*IF(VLOOKUP($E49,武器奇术!$A:$R,17,FALSE)="破竹",VLOOKUP($E49,武器奇术!$A:$R,4,FALSE),VLOOKUP($E49,武器奇术!$A:$R,2,FALSE))*(1+DF49)*(1+DG49)*DH49*(1+$E$17+VLOOKUP($E49,武器奇术!$A:$R,10,FALSE))</f>
        <v>200.85596097241</v>
      </c>
      <c r="DN49" s="93">
        <f t="shared" si="13"/>
        <v>0.0986</v>
      </c>
      <c r="DO49" s="92">
        <f>DD49*IF(VLOOKUP($E49,武器奇术!$A:$R,17,FALSE)="破竹",VLOOKUP($E49,武器奇术!$A:$R,4,FALSE),VLOOKUP($E49,武器奇术!$A:$R,2,FALSE))*(1+DF49)*(1+DG49)*DH49</f>
        <v>113.419811913408</v>
      </c>
      <c r="DP49" s="93">
        <f t="shared" si="14"/>
        <v>0.0879</v>
      </c>
      <c r="DQ49" s="101">
        <f t="shared" si="15"/>
        <v>181.460975153189</v>
      </c>
    </row>
    <row r="50" customFormat="1" spans="1:121">
      <c r="A50" s="126"/>
      <c r="B50" s="12"/>
      <c r="C50" s="12"/>
      <c r="D50" s="12"/>
      <c r="E50" s="105" t="s">
        <v>127</v>
      </c>
      <c r="F50" s="106">
        <v>1</v>
      </c>
      <c r="G50" s="107"/>
      <c r="H50" s="92">
        <f>IF(VLOOKUP($E50,武器奇术!$A:$R,18,FALSE)="天工",AE50,(AE50+AT50+BI50+BX50+CM50+DB50+DQ50))*(1+J50)*F50*K50*(1+G50)</f>
        <v>9721.85574666369</v>
      </c>
      <c r="I50" s="93">
        <f t="shared" si="16"/>
        <v>0.00124714608543519</v>
      </c>
      <c r="J50" s="93">
        <f>$F$3+VLOOKUP($E50,武器奇术!$A:$R,12,FALSE)+VLOOKUP($E50,武器奇术!$A:$R,14,FALSE)*$G$3+$P50</f>
        <v>0.693</v>
      </c>
      <c r="K50" s="94">
        <f>VLOOKUP($E50,武器奇术!$A:$R,11,FALSE)</f>
        <v>1</v>
      </c>
      <c r="L50" s="109">
        <f>IF(VLOOKUP($E50,武器奇术!$A:$R,15,FALSE)="天工",0%,IF($C$17+VLOOKUP($E50,武器奇术!$A:$R,7,FALSE)&gt;80%,80%,$C$17+VLOOKUP($E50,武器奇术!$A:$R,7,FALSE))+IF($C$19&gt;20%,20%,$C$19))</f>
        <v>0.8135</v>
      </c>
      <c r="M50" s="110">
        <f>IF(VLOOKUP($E50,武器奇术!$A:$R,15,FALSE)="天工",0%,IF($C$18+VLOOKUP($E50,武器奇术!$A:$R,9,FALSE)&gt;40%,40%,$C$18+VLOOKUP($E50,武器奇术!$A:$R,9,FALSE))+IF($C$20&gt;10%,10%,$C$20))</f>
        <v>0.0986</v>
      </c>
      <c r="N50" s="111">
        <f>IF(VLOOKUP($E50,武器奇术!$A:$R,15,FALSE)="天工",100%,MIN($C$16,1))</f>
        <v>1</v>
      </c>
      <c r="O50" s="112" t="str">
        <f>VLOOKUP($E50,武器奇术!$A:$R,16,FALSE)</f>
        <v>双刀</v>
      </c>
      <c r="P50" s="113">
        <f t="shared" si="17"/>
        <v>0.17</v>
      </c>
      <c r="Q50" s="99">
        <f>$B$5*(1+VLOOKUP($E50,武器奇术!$A:$R,5,FALSE)+IF($G$5="飞隼",0.1,0)+IF($G$5="撼天",0.05,0))-$F$9*IF(VLOOKUP($E50,武器奇术!$A:$S,19,FALSE)=1,0.9,1)+IF($I$5="√",160,0)</f>
        <v>2904.2</v>
      </c>
      <c r="R50" s="91">
        <f t="shared" si="18"/>
        <v>2904.2</v>
      </c>
      <c r="S50" s="91">
        <f>MAX($C$5,$B$5)*(1+VLOOKUP($E50,武器奇术!$A:$R,5,FALSE)+IF($G$5="飞隼",0.1,0)+IF($G$5="撼天",0.05,0))-$F$9*IF(VLOOKUP($E50,武器奇术!$A:$S,19,FALSE)=1,0.9,1)+IF($I$5="√",320,0)</f>
        <v>2904.2</v>
      </c>
      <c r="T50" s="93">
        <f>IF(($D$5+VLOOKUP($E50,武器奇术!$A:$R,13,FALSE)+IF($I$3="√",10,0)-VLOOKUP($F$7,目标属性!$A:$R,5,FALSE))&gt;0,($D$5+VLOOKUP($E50,武器奇术!$A:$R,13,FALSE)+IF($I$3="√",10,0)-VLOOKUP($F$7,目标属性!$A:$R,5,FALSE))/200,($D$5+VLOOKUP($E50,武器奇术!$A:$R,13,FALSE)+IF($I$3="√",10,0)-VLOOKUP($F$7,目标属性!$A:$R,5,FALSE))/100)</f>
        <v>0.2675</v>
      </c>
      <c r="U50" s="120">
        <f>$E$5+IF(VLOOKUP($E50,武器奇术!$A:$R,18,FALSE)="鼠鼠",0.24,0)+IF(期望!$G$5="燕归",6/100,0)</f>
        <v>0.06</v>
      </c>
      <c r="V50" s="91">
        <v>1</v>
      </c>
      <c r="W50" s="92">
        <f>Q50*VLOOKUP($E50,武器奇术!$A:$R,2,FALSE)*(1+T50)*(1+U50)*V50</f>
        <v>2181.2613304482</v>
      </c>
      <c r="X50" s="93">
        <f>(1-IF(VLOOKUP($E50,武器奇术!$A:$R,16,FALSE)="陌刀",1,$N50))*(1-$M50)</f>
        <v>0</v>
      </c>
      <c r="Y50" s="92">
        <f>R50*VLOOKUP($E50,武器奇术!$A:$R,2,FALSE)*(1+T50)*(1+U50)*V50*(1+$E$16+VLOOKUP($E50,武器奇术!$A:$R,8,FALSE))</f>
        <v>3585.99362725684</v>
      </c>
      <c r="Z50" s="93">
        <f t="shared" si="19"/>
        <v>0.8135</v>
      </c>
      <c r="AA50" s="92">
        <f>S50*VLOOKUP($E50,武器奇术!$A:$R,2,FALSE)*(1+T50)*(1+U50)*V50*(1+$E$17+VLOOKUP($E50,武器奇术!$A:$R,10,FALSE))</f>
        <v>2944.70279610507</v>
      </c>
      <c r="AB50" s="93">
        <f t="shared" si="20"/>
        <v>0.0986</v>
      </c>
      <c r="AC50" s="92">
        <f>R50*VLOOKUP($E50,武器奇术!$A:$R,2,FALSE)*(1+T50)*(1+U50)*V50</f>
        <v>2181.2613304482</v>
      </c>
      <c r="AD50" s="93">
        <f t="shared" si="21"/>
        <v>0.0879</v>
      </c>
      <c r="AE50" s="101">
        <f t="shared" si="22"/>
        <v>3399.2863824158</v>
      </c>
      <c r="AF50" s="102">
        <f>VLOOKUP($E50,武器奇术!$A:$R,3,FALSE)*(1+IF(VLOOKUP($E50,武器奇术!$A:$R,15,FALSE)="武器",$E$15,0))</f>
        <v>203.06</v>
      </c>
      <c r="AG50" s="92">
        <f t="shared" si="23"/>
        <v>203.06</v>
      </c>
      <c r="AH50" s="92">
        <f>VLOOKUP($E50,武器奇术!$A:$R,3,FALSE)*(1+IF(VLOOKUP($E50,武器奇术!$A:$R,15,FALSE)="武器",$E$15,0))</f>
        <v>203.06</v>
      </c>
      <c r="AI50" s="93">
        <f>IF(($D$5+VLOOKUP($E50,武器奇术!$A:$R,13,FALSE)+IF($I$3="√",10,0)-VLOOKUP($F$7,目标属性!$A:$R,5,FALSE))&gt;0,($D$5+VLOOKUP($E50,武器奇术!$A:$R,13,FALSE)+IF($I$3="√",10,0)-VLOOKUP($F$7,目标属性!$A:$R,5,FALSE))/200,($D$5+VLOOKUP($E50,武器奇术!$A:$R,13,FALSE)+IF($I$3="√",10,0)-VLOOKUP($F$7,目标属性!$A:$R,5,FALSE))/100)</f>
        <v>0.2675</v>
      </c>
      <c r="AJ50" s="120">
        <f>$E$5+IF(VLOOKUP($E50,武器奇术!$A:$R,18,FALSE)="鼠鼠",0.24,0)+IF(期望!$G$5="燕归",6/100,0)</f>
        <v>0.06</v>
      </c>
      <c r="AK50" s="91">
        <v>1</v>
      </c>
      <c r="AL50" s="92">
        <f t="shared" si="24"/>
        <v>272.821263</v>
      </c>
      <c r="AM50" s="93">
        <f>(1-IF(VLOOKUP($E50,武器奇术!$A:$R,16,FALSE)="陌刀",1,$N50))*(1-$M50)</f>
        <v>0</v>
      </c>
      <c r="AN50" s="92">
        <f>AG50*(1+AI50)*(1+AJ50)*AK50*(1+$E$16+VLOOKUP($E50,武器奇术!$A:$R,8,FALSE))</f>
        <v>448.518156372</v>
      </c>
      <c r="AO50" s="93">
        <f t="shared" si="1"/>
        <v>0.8135</v>
      </c>
      <c r="AP50" s="92">
        <f>AH50*(1+AI50)*(1+AJ50)*AK50*(1+$E$17+VLOOKUP($E50,武器奇术!$A:$R,10,FALSE))</f>
        <v>368.30870505</v>
      </c>
      <c r="AQ50" s="93">
        <f t="shared" si="2"/>
        <v>0.0986</v>
      </c>
      <c r="AR50" s="92">
        <f t="shared" si="25"/>
        <v>272.821263</v>
      </c>
      <c r="AS50" s="93">
        <f t="shared" si="26"/>
        <v>0.0879</v>
      </c>
      <c r="AT50" s="101">
        <f t="shared" si="27"/>
        <v>425.165747544252</v>
      </c>
      <c r="AU50" s="99">
        <f>IF(VLOOKUP($E50,武器奇术!$A:$R,18,FALSE)="极乐",0,$B$7*IF($G$5="撼天",1.05,1)+IF(AND(VLOOKUP($E50,武器奇术!$A:$R,15,FALSE)="武器",VLOOKUP($E50,武器奇术!$A:$R,17,FALSE)="鸣金"),$E$3*(1+$E$15),0))</f>
        <v>0</v>
      </c>
      <c r="AV50" s="91">
        <f t="shared" si="28"/>
        <v>0</v>
      </c>
      <c r="AW50" s="91">
        <f>IF(VLOOKUP($E50,武器奇术!$A:$R,18,FALSE)="极乐",0,MAX($C$7*IF($G$5="撼天",1.05,1)+IF(AND(VLOOKUP($E50,武器奇术!$A:$R,15,FALSE)="武器",VLOOKUP($E50,武器奇术!$A:$R,17,FALSE)="鸣金"),$E$3*(1+$E$15),0),AU50))</f>
        <v>0</v>
      </c>
      <c r="AX50" s="93">
        <f>IF(($D$7+IF(VLOOKUP($E50,武器奇术!$A:$R,17,FALSE)="鸣金",$D$15,0)-VLOOKUP($F$7,目标属性!$A:$R,6,FALSE))&gt;0,($D$7+IF(VLOOKUP($E50,武器奇术!$A:$R,17,FALSE)="鸣金",$D$15,0)-VLOOKUP($F$7,目标属性!$A:$R,6,FALSE))/200,($D$7+IF(VLOOKUP($E50,武器奇术!$A:$R,17,FALSE)="鸣金",$D$15,0)-VLOOKUP($F$7,目标属性!$A:$R,6,FALSE))/100)</f>
        <v>-0.24</v>
      </c>
      <c r="AY50" s="100">
        <f t="shared" si="46"/>
        <v>0</v>
      </c>
      <c r="AZ50" s="91">
        <v>1</v>
      </c>
      <c r="BA50" s="92">
        <f>AU50*IF(VLOOKUP($E50,武器奇术!$A:$R,17,FALSE)="鸣金",VLOOKUP($E50,武器奇术!$A:$R,4,FALSE),VLOOKUP($E50,武器奇术!$A:$R,2,FALSE))*(1+AX50)*(1+AY50)*AZ50</f>
        <v>0</v>
      </c>
      <c r="BB50" s="93">
        <f>(1-IF(VLOOKUP($E50,武器奇术!$A:$R,16,FALSE)="陌刀",1,$N50))*(1-$M50)</f>
        <v>0</v>
      </c>
      <c r="BC50" s="92">
        <f>AV50*IF(VLOOKUP($E50,武器奇术!$A:$R,17,FALSE)="鸣金",VLOOKUP($E50,武器奇术!$A:$R,4,FALSE),VLOOKUP($E50,武器奇术!$A:$R,2,FALSE))*(1+AX50)*(1+AY50)*AZ50*(1+$E$16+VLOOKUP($E50,武器奇术!$A:$R,8,FALSE))</f>
        <v>0</v>
      </c>
      <c r="BD50" s="93">
        <f t="shared" si="3"/>
        <v>0.8135</v>
      </c>
      <c r="BE50" s="92">
        <f>AW50*IF(VLOOKUP($E50,武器奇术!$A:$R,17,FALSE)="鸣金",VLOOKUP($E50,武器奇术!$A:$R,4,FALSE),VLOOKUP($E50,武器奇术!$A:$R,2,FALSE))*(1+AX50)*(1+AY50)*AZ50*(1+$E$17+VLOOKUP($E50,武器奇术!$A:$R,10,FALSE))</f>
        <v>0</v>
      </c>
      <c r="BF50" s="93">
        <f t="shared" si="4"/>
        <v>0.0986</v>
      </c>
      <c r="BG50" s="92">
        <f>AV50*IF(VLOOKUP($E50,武器奇术!$A:$R,17,FALSE)="鸣金",VLOOKUP($E50,武器奇术!$A:$R,4,FALSE),VLOOKUP($E50,武器奇术!$A:$R,2,FALSE))*(1+AX50)*(1+AY50)*AZ50</f>
        <v>0</v>
      </c>
      <c r="BH50" s="93">
        <f t="shared" si="30"/>
        <v>0.0879</v>
      </c>
      <c r="BI50" s="101">
        <f t="shared" si="31"/>
        <v>0</v>
      </c>
      <c r="BJ50" s="99">
        <f>IF(VLOOKUP($E50,武器奇术!$A:$R,18,FALSE)="极乐",0,$B$9*IF($G$5="撼天",1.05,1)+IF(AND(VLOOKUP($E50,武器奇术!$A:$R,15,FALSE)="武器",VLOOKUP($E50,武器奇术!$A:$R,17,FALSE)="裂石"),$E$3*(1+$E$15),0))</f>
        <v>0</v>
      </c>
      <c r="BK50" s="91">
        <f t="shared" si="32"/>
        <v>0</v>
      </c>
      <c r="BL50" s="91">
        <f>IF(VLOOKUP($E50,武器奇术!$A:$R,18,FALSE)="极乐",0,MAX($C$9*IF($G$5="撼天",1.05,1)+IF(AND(VLOOKUP($E50,武器奇术!$A:$R,15,FALSE)="武器",VLOOKUP($E50,武器奇术!$A:$R,17,FALSE)="裂石"),$E$3*(1+$E$15),0),BJ50))</f>
        <v>0</v>
      </c>
      <c r="BM50" s="93">
        <f>IF(($D$9+IF(VLOOKUP($E50,武器奇术!$A:$R,17,FALSE)="裂石",$D$15,0)-VLOOKUP($F$7,目标属性!$A:$R,6,FALSE))&gt;0,($D$9+IF(VLOOKUP($E50,武器奇术!$A:$R,17,FALSE)="裂石",$D$15,0)-VLOOKUP($F$7,目标属性!$A:$R,6,FALSE))/200,($D$9+IF(VLOOKUP($E50,武器奇术!$A:$R,17,FALSE)="裂石",$D$15,0)-VLOOKUP($F$7,目标属性!$A:$R,6,FALSE))/100)</f>
        <v>-0.24</v>
      </c>
      <c r="BN50" s="100">
        <f t="shared" si="47"/>
        <v>0</v>
      </c>
      <c r="BO50" s="91">
        <v>1</v>
      </c>
      <c r="BP50" s="92">
        <f>BJ50*IF(VLOOKUP($E50,武器奇术!$A:$R,17,FALSE)="裂石",VLOOKUP($E50,武器奇术!$A:$R,4,FALSE),VLOOKUP($E50,武器奇术!$A:$R,2,FALSE))*(1+BM50)*(1+BN50)*BO50</f>
        <v>0</v>
      </c>
      <c r="BQ50" s="93">
        <f>(1-IF(VLOOKUP($E50,武器奇术!$A:$R,16,FALSE)="陌刀",1,$N50))*(1-$M50)</f>
        <v>0</v>
      </c>
      <c r="BR50" s="92">
        <f>BK50*IF(VLOOKUP($E50,武器奇术!$A:$R,17,FALSE)="裂石",VLOOKUP($E50,武器奇术!$A:$R,4,FALSE),VLOOKUP($E50,武器奇术!$A:$R,2,FALSE))*(1+BM50)*(1+BN50)*BO50*(1+$E$16+VLOOKUP($E50,武器奇术!$A:$R,8,FALSE))</f>
        <v>0</v>
      </c>
      <c r="BS50" s="93">
        <f t="shared" si="5"/>
        <v>0.8135</v>
      </c>
      <c r="BT50" s="92">
        <f>BL50*IF(VLOOKUP($E50,武器奇术!$A:$R,17,FALSE)="裂石",VLOOKUP($E50,武器奇术!$A:$R,4,FALSE),VLOOKUP($E50,武器奇术!$A:$R,2,FALSE))*(1+BM50)*(1+BN50)*BO50*(1+$E$17+VLOOKUP($E50,武器奇术!$A:$R,10,FALSE))</f>
        <v>0</v>
      </c>
      <c r="BU50" s="93">
        <f t="shared" si="6"/>
        <v>0.0986</v>
      </c>
      <c r="BV50" s="92">
        <f>BK50*IF(VLOOKUP($E50,武器奇术!$A:$R,17,FALSE)="裂石",VLOOKUP($E50,武器奇术!$A:$R,4,FALSE),VLOOKUP($E50,武器奇术!$A:$R,2,FALSE))*(1+BM50)*(1+BN50)*BO50</f>
        <v>0</v>
      </c>
      <c r="BW50" s="93">
        <f t="shared" si="34"/>
        <v>0.0879</v>
      </c>
      <c r="BX50" s="101">
        <f t="shared" si="35"/>
        <v>0</v>
      </c>
      <c r="BY50" s="99">
        <f>IF(VLOOKUP($E50,武器奇术!$A:$R,18,FALSE)="极乐",0,$B$11*IF($G$5="撼天",1.05,1)+IF(AND(VLOOKUP($E50,武器奇术!$A:$R,15,FALSE)="武器",VLOOKUP($E50,武器奇术!$A:$R,17,FALSE)="牵丝"),$E$3*(1+$E$15),0))</f>
        <v>0</v>
      </c>
      <c r="BZ50" s="91">
        <f t="shared" si="36"/>
        <v>0</v>
      </c>
      <c r="CA50" s="91">
        <f>IF(VLOOKUP($E50,武器奇术!$A:$R,18,FALSE)="极乐",0,MAX($C$11*IF($G$5="撼天",1.05,1)+IF(AND(VLOOKUP($E50,武器奇术!$A:$R,15,FALSE)="武器",VLOOKUP($E50,武器奇术!$A:$R,17,FALSE)="牵丝"),$E$3*(1+$E$15),0),BY50))</f>
        <v>0</v>
      </c>
      <c r="CB50" s="93">
        <f>IF(($D$11+IF(VLOOKUP($E50,武器奇术!$A:$R,17,FALSE)="牵丝",$D$15,0)-VLOOKUP($F$7,目标属性!$A:$R,6,FALSE))&gt;0,($D$11+IF(VLOOKUP($E50,武器奇术!$A:$R,17,FALSE)="牵丝",$D$15,0)-VLOOKUP($F$7,目标属性!$A:$R,6,FALSE))/200,($D$11+IF(VLOOKUP($E50,武器奇术!$A:$R,17,FALSE)="牵丝",$D$15,0)-VLOOKUP($F$7,目标属性!$A:$R,6,FALSE))/100)</f>
        <v>-0.24</v>
      </c>
      <c r="CC50" s="100">
        <f t="shared" si="48"/>
        <v>0</v>
      </c>
      <c r="CD50" s="91">
        <v>1</v>
      </c>
      <c r="CE50" s="92">
        <f>BY50*IF(VLOOKUP($E50,武器奇术!$A:$R,17,FALSE)="牵丝",VLOOKUP($E50,武器奇术!$A:$R,4,FALSE),VLOOKUP($E50,武器奇术!$A:$R,2,FALSE))*(1+CB50)*(1+CC50)*CD50</f>
        <v>0</v>
      </c>
      <c r="CF50" s="93">
        <f>(1-IF(VLOOKUP($E50,武器奇术!$A:$R,16,FALSE)="陌刀",1,$N50))*(1-$M50)</f>
        <v>0</v>
      </c>
      <c r="CG50" s="92">
        <f>BZ50*IF(VLOOKUP($E50,武器奇术!$A:$R,17,FALSE)="牵丝",VLOOKUP($E50,武器奇术!$A:$R,4,FALSE),VLOOKUP($E50,武器奇术!$A:$R,2,FALSE))*(1+CB50)*(1+CC50)*CD50*(1+$E$16+VLOOKUP($E50,武器奇术!$A:$R,8,FALSE))</f>
        <v>0</v>
      </c>
      <c r="CH50" s="93">
        <f t="shared" si="7"/>
        <v>0.8135</v>
      </c>
      <c r="CI50" s="92">
        <f>CA50*IF(VLOOKUP($E50,武器奇术!$A:$R,17,FALSE)="牵丝",VLOOKUP($E50,武器奇术!$A:$R,4,FALSE),VLOOKUP($E50,武器奇术!$A:$R,2,FALSE))*(1+CB50)*(1+CC50)*CD50*(1+$E$17+VLOOKUP($E50,武器奇术!$A:$R,10,FALSE))</f>
        <v>0</v>
      </c>
      <c r="CJ50" s="93">
        <f t="shared" si="8"/>
        <v>0.0986</v>
      </c>
      <c r="CK50" s="92">
        <f>BZ50*IF(VLOOKUP($E50,武器奇术!$A:$R,17,FALSE)="牵丝",VLOOKUP($E50,武器奇术!$A:$R,4,FALSE),VLOOKUP($E50,武器奇术!$A:$R,2,FALSE))*(1+CB50)*(1+CC50)*CD50</f>
        <v>0</v>
      </c>
      <c r="CL50" s="93">
        <f t="shared" si="38"/>
        <v>0.0879</v>
      </c>
      <c r="CM50" s="101">
        <f t="shared" si="39"/>
        <v>0</v>
      </c>
      <c r="CN50" s="99">
        <f>IF(VLOOKUP($E50,武器奇术!$A:$R,18,FALSE)="极乐",0,$B$13*IF($G$5="撼天",1.05,1)+IF(AND(VLOOKUP($E50,武器奇术!$A:$R,15,FALSE)="武器",VLOOKUP($E50,武器奇术!$A:$R,17,FALSE)="破竹"),$E$3*(1+$E$15),0))</f>
        <v>686.71</v>
      </c>
      <c r="CO50" s="91">
        <f t="shared" si="40"/>
        <v>1052.21</v>
      </c>
      <c r="CP50" s="91">
        <f>IF(VLOOKUP($E50,武器奇术!$A:$R,18,FALSE)="极乐",0,MAX($C$13*IF($G$5="撼天",1.05,1)+IF(AND(VLOOKUP($E50,武器奇术!$A:$R,15,FALSE)="武器",VLOOKUP($E50,武器奇术!$A:$R,17,FALSE)="破竹"),$E$3*(1+$E$15),0),CN50))</f>
        <v>1417.71</v>
      </c>
      <c r="CQ50" s="93">
        <f>IF(($D$13+IF(VLOOKUP($E50,武器奇术!$A:$R,17,FALSE)="破竹",$D$15,0)-VLOOKUP($F$7,目标属性!$A:$R,6,FALSE)+IF(VLOOKUP($E50,武器奇术!$A:$V,22,FALSE)=1,4,0)+IF(VLOOKUP($E50,武器奇术!$A:$T,20,FALSE)=1,10,0))&gt;0,($D$13+IF(VLOOKUP($E50,武器奇术!$A:$R,17,FALSE)="破竹",$D$15,0)-VLOOKUP($F$7,目标属性!$A:$R,6,FALSE)+IF(VLOOKUP($E50,武器奇术!$A:$V,22,FALSE)=1,4,0)+IF(VLOOKUP($E50,武器奇术!$A:$T,20,FALSE)=1,10,0))/200,($D$13+IF(VLOOKUP($E50,武器奇术!$A:$R,17,FALSE)="破竹",$D$15,0)-VLOOKUP($F$7,目标属性!$A:$R,6,FALSE)+IF(VLOOKUP($E50,武器奇术!$A:$V,22,FALSE)=1,4,0)+IF(VLOOKUP($E50,武器奇术!$A:$T,20,FALSE)=1,10,0))/100)</f>
        <v>0.028</v>
      </c>
      <c r="CR50" s="120">
        <f>$E$13+IF(期望!$G$5="燕归",6%,0)</f>
        <v>0.208</v>
      </c>
      <c r="CS50" s="91">
        <v>1</v>
      </c>
      <c r="CT50" s="92">
        <f>CN50*IF(VLOOKUP($E50,武器奇术!$A:$R,17,FALSE)="破竹",VLOOKUP($E50,武器奇术!$A:$R,4,FALSE),VLOOKUP($E50,武器奇术!$A:$R,2,FALSE))*(1+CQ50)*(1+CR50)*CS50</f>
        <v>715.075709343811</v>
      </c>
      <c r="CU50" s="93">
        <f>(1-IF(VLOOKUP($E50,武器奇术!$A:$R,16,FALSE)="陌刀",1,$N50))*(1-$M50)</f>
        <v>0</v>
      </c>
      <c r="CV50" s="92">
        <f>CO50*IF(VLOOKUP($E50,武器奇术!$A:$R,17,FALSE)="破竹",VLOOKUP($E50,武器奇术!$A:$R,4,FALSE),VLOOKUP($E50,武器奇术!$A:$R,2,FALSE))*(1+CQ50)*(1+CR50)*CS50*(1+$E$16+VLOOKUP($E50,武器奇术!$A:$R,8,FALSE))</f>
        <v>1801.28690588386</v>
      </c>
      <c r="CW50" s="93">
        <f t="shared" si="9"/>
        <v>0.8135</v>
      </c>
      <c r="CX50" s="92">
        <f>CP50*IF(VLOOKUP($E50,武器奇术!$A:$R,17,FALSE)="破竹",VLOOKUP($E50,武器奇术!$A:$R,4,FALSE),VLOOKUP($E50,武器奇术!$A:$R,2,FALSE))*(1+CQ50)*(1+CR50)*CS50*(1+$E$17+VLOOKUP($E50,武器奇术!$A:$R,10,FALSE))</f>
        <v>1992.96570350898</v>
      </c>
      <c r="CY50" s="93">
        <f t="shared" si="10"/>
        <v>0.0986</v>
      </c>
      <c r="CZ50" s="92">
        <f>CO50*IF(VLOOKUP($E50,武器奇术!$A:$R,17,FALSE)="破竹",VLOOKUP($E50,武器奇术!$A:$R,4,FALSE),VLOOKUP($E50,武器奇术!$A:$R,2,FALSE))*(1+CQ50)*(1+CR50)*CS50</f>
        <v>1095.67330041597</v>
      </c>
      <c r="DA50" s="93">
        <f t="shared" si="42"/>
        <v>0.0879</v>
      </c>
      <c r="DB50" s="101">
        <f t="shared" si="43"/>
        <v>1758.16299940907</v>
      </c>
      <c r="DC50" s="99">
        <f>IF(VLOOKUP($E50,武器奇术!$A:$R,18,FALSE)="极乐",0,$B$15)</f>
        <v>66</v>
      </c>
      <c r="DD50" s="91">
        <f t="shared" si="44"/>
        <v>95.9</v>
      </c>
      <c r="DE50" s="91">
        <f>IF(VLOOKUP($E50,武器奇术!$A:$R,18,FALSE)="极乐",0,$C$15)</f>
        <v>125.8</v>
      </c>
      <c r="DF50" s="93">
        <f>IF((IF(VLOOKUP($E50,武器奇术!$A:$R,17,FALSE)="鸣金",$D$7,0)+IF(VLOOKUP($E50,武器奇术!$A:$R,17,FALSE)="裂石",$D$9,0)+IF(VLOOKUP($E50,武器奇术!$A:$R,17,FALSE)="牵丝",$D$11,0)+IF(VLOOKUP($E50,武器奇术!$A:$R,17,FALSE)="破竹",$D$13,0)+$D$15-VLOOKUP($F$7,目标属性!$A:$R,6,FALSE)+IF(VLOOKUP($E50,武器奇术!$A:$V,22,FALSE)=1,4,0)+IF(VLOOKUP($E50,武器奇术!$A:$T,20,FALSE)=1,10,0))&gt;0,(IF(VLOOKUP($E50,武器奇术!$A:$R,17,FALSE)="鸣金",$D$7,0)+IF(VLOOKUP($E50,武器奇术!$A:$R,17,FALSE)="裂石",$D$9,0)+IF(VLOOKUP($E50,武器奇术!$A:$R,17,FALSE)="牵丝",$D$11,0)+IF(VLOOKUP($E50,武器奇术!$A:$R,17,FALSE)="破竹",$D$13,0)+$D$15-VLOOKUP($F$7,目标属性!$A:$R,6,FALSE)+IF(VLOOKUP($E50,武器奇术!$A:$V,22,FALSE)=1,4,0)+IF(VLOOKUP($E50,武器奇术!$A:$T,20,FALSE)=1,10,0))/200,(IF(VLOOKUP($E50,武器奇术!$A:$R,17,FALSE)="鸣金",$D$7,0)+IF(VLOOKUP($E50,武器奇术!$A:$R,17,FALSE)="裂石",$D$9,0)+IF(VLOOKUP($E50,武器奇术!$A:$R,17,FALSE)="牵丝",$D$11,0)+IF(VLOOKUP($E50,武器奇术!$A:$R,17,FALSE)="破竹",$D$13,0)+$D$15-VLOOKUP($F$7,目标属性!$A:$R,6,FALSE)+IF(VLOOKUP($E50,武器奇术!$A:$V,22,FALSE)=1,4,0)+IF(VLOOKUP($E50,武器奇术!$A:$T,20,FALSE)=1,10,0))/100)</f>
        <v>0.028</v>
      </c>
      <c r="DG50" s="120">
        <f>$E$13+IF(期望!$G$5="燕归",6%,0)</f>
        <v>0.208</v>
      </c>
      <c r="DH50" s="91">
        <v>1</v>
      </c>
      <c r="DI50" s="92">
        <f>DC50*IF(VLOOKUP($E50,武器奇术!$A:$R,17,FALSE)="破竹",VLOOKUP($E50,武器奇术!$A:$R,4,FALSE),VLOOKUP($E50,武器奇术!$A:$R,2,FALSE))*(1+DF50)*(1+DG50)*DH50</f>
        <v>68.72624079552</v>
      </c>
      <c r="DJ50" s="93">
        <f>(1-IF(VLOOKUP($E50,武器奇术!$A:$R,16,FALSE)="陌刀",1,$N50))*(1-$M50)</f>
        <v>0</v>
      </c>
      <c r="DK50" s="92">
        <f>DD50*IF(VLOOKUP($E50,武器奇术!$A:$R,17,FALSE)="破竹",VLOOKUP($E50,武器奇术!$A:$R,4,FALSE),VLOOKUP($E50,武器奇术!$A:$R,2,FALSE))*(1+DF50)*(1+DG50)*DH50*(1+$E$16+VLOOKUP($E50,武器奇术!$A:$R,8,FALSE))</f>
        <v>164.171994444324</v>
      </c>
      <c r="DL50" s="93">
        <f t="shared" si="12"/>
        <v>0.8135</v>
      </c>
      <c r="DM50" s="92">
        <f>DE50*IF(VLOOKUP($E50,武器奇术!$A:$R,17,FALSE)="破竹",VLOOKUP($E50,武器奇术!$A:$R,4,FALSE),VLOOKUP($E50,武器奇术!$A:$R,2,FALSE))*(1+DF50)*(1+DG50)*DH50*(1+$E$17+VLOOKUP($E50,武器奇术!$A:$R,10,FALSE))</f>
        <v>176.845113247018</v>
      </c>
      <c r="DN50" s="93">
        <f t="shared" si="13"/>
        <v>0.0986</v>
      </c>
      <c r="DO50" s="92">
        <f>DD50*IF(VLOOKUP($E50,武器奇术!$A:$R,17,FALSE)="破竹",VLOOKUP($E50,武器奇术!$A:$R,4,FALSE),VLOOKUP($E50,武器奇术!$A:$R,2,FALSE))*(1+DF50)*(1+DG50)*DH50</f>
        <v>99.861310489248</v>
      </c>
      <c r="DP50" s="93">
        <f t="shared" si="14"/>
        <v>0.0879</v>
      </c>
      <c r="DQ50" s="101">
        <f t="shared" si="15"/>
        <v>159.768654838618</v>
      </c>
    </row>
    <row r="51" customFormat="1" spans="1:121">
      <c r="A51" s="126"/>
      <c r="B51" s="12"/>
      <c r="C51" s="12"/>
      <c r="D51" s="12"/>
      <c r="E51" s="105" t="s">
        <v>112</v>
      </c>
      <c r="F51" s="106">
        <f>SUM(F47:F50)+3</f>
        <v>8</v>
      </c>
      <c r="G51" s="107">
        <f>$E$23</f>
        <v>0.32</v>
      </c>
      <c r="H51" s="92">
        <f>IF(VLOOKUP($E51,武器奇术!$A:$R,18,FALSE)="天工",AE51,(AE51+AT51+BI51+BX51+CM51+DB51+DQ51))*(1+J51)*F51*K51*(1+G51)</f>
        <v>93764.9196869801</v>
      </c>
      <c r="I51" s="93">
        <f t="shared" si="16"/>
        <v>0.01202841881077</v>
      </c>
      <c r="J51" s="93">
        <f>$F$3+VLOOKUP($E51,武器奇术!$A:$R,12,FALSE)+VLOOKUP($E51,武器奇术!$A:$R,14,FALSE)*$G$3+$P51</f>
        <v>1.493</v>
      </c>
      <c r="K51" s="94">
        <f>VLOOKUP($E51,武器奇术!$A:$R,11,FALSE)</f>
        <v>1</v>
      </c>
      <c r="L51" s="109">
        <f>IF(VLOOKUP($E51,武器奇术!$A:$R,15,FALSE)="天工",0%,IF($C$17+VLOOKUP($E51,武器奇术!$A:$R,7,FALSE)&gt;80%,80%,$C$17+VLOOKUP($E51,武器奇术!$A:$R,7,FALSE))+IF($C$19&gt;20%,20%,$C$19))</f>
        <v>0.8135</v>
      </c>
      <c r="M51" s="110">
        <f>IF(VLOOKUP($E51,武器奇术!$A:$R,15,FALSE)="天工",0%,IF($C$18+VLOOKUP($E51,武器奇术!$A:$R,9,FALSE)&gt;40%,40%,$C$18+VLOOKUP($E51,武器奇术!$A:$R,9,FALSE))+IF($C$20&gt;10%,10%,$C$20))</f>
        <v>0.0986</v>
      </c>
      <c r="N51" s="111">
        <f>IF(VLOOKUP($E51,武器奇术!$A:$R,15,FALSE)="天工",100%,MIN($C$16,1))</f>
        <v>1</v>
      </c>
      <c r="O51" s="112" t="str">
        <f>VLOOKUP($E51,武器奇术!$A:$R,16,FALSE)</f>
        <v>绳标</v>
      </c>
      <c r="P51" s="113">
        <f t="shared" si="17"/>
        <v>0.17</v>
      </c>
      <c r="Q51" s="99">
        <f>$B$5*(1+VLOOKUP($E51,武器奇术!$A:$R,5,FALSE)+IF($G$5="飞隼",0.1,0)+IF($G$5="撼天",0.05,0))-$F$9*IF(VLOOKUP($E51,武器奇术!$A:$S,19,FALSE)=1,0.9,1)+IF($I$5="√",160,0)</f>
        <v>2848.3</v>
      </c>
      <c r="R51" s="91">
        <f t="shared" si="18"/>
        <v>2848.3</v>
      </c>
      <c r="S51" s="91">
        <f>MAX($C$5,$B$5)*(1+VLOOKUP($E51,武器奇术!$A:$R,5,FALSE)+IF($G$5="飞隼",0.1,0)+IF($G$5="撼天",0.05,0))-$F$9*IF(VLOOKUP($E51,武器奇术!$A:$S,19,FALSE)=1,0.9,1)+IF($I$5="√",320,0)</f>
        <v>2848.3</v>
      </c>
      <c r="T51" s="93">
        <f>IF(($D$5+VLOOKUP($E51,武器奇术!$A:$R,13,FALSE)+IF($I$3="√",10,0)-VLOOKUP($F$7,目标属性!$A:$R,5,FALSE))&gt;0,($D$5+VLOOKUP($E51,武器奇术!$A:$R,13,FALSE)+IF($I$3="√",10,0)-VLOOKUP($F$7,目标属性!$A:$R,5,FALSE))/200,($D$5+VLOOKUP($E51,武器奇术!$A:$R,13,FALSE)+IF($I$3="√",10,0)-VLOOKUP($F$7,目标属性!$A:$R,5,FALSE))/100)</f>
        <v>0.2675</v>
      </c>
      <c r="U51" s="120">
        <f>$E$5+IF(VLOOKUP($E51,武器奇术!$A:$R,18,FALSE)="鼠鼠",0.24,0)+IF(期望!$G$5="燕归",6/100,0)</f>
        <v>0.3</v>
      </c>
      <c r="V51" s="91">
        <v>1</v>
      </c>
      <c r="W51" s="92">
        <f>Q51*VLOOKUP($E51,武器奇术!$A:$R,2,FALSE)*(1+T51)*(1+U51)*V51</f>
        <v>1642.65021375</v>
      </c>
      <c r="X51" s="93">
        <f>(1-IF(VLOOKUP($E51,武器奇术!$A:$R,16,FALSE)="陌刀",1,$N51))*(1-$M51)</f>
        <v>0</v>
      </c>
      <c r="Y51" s="92">
        <f>R51*VLOOKUP($E51,武器奇术!$A:$R,2,FALSE)*(1+T51)*(1+U51)*V51*(1+$E$16+VLOOKUP($E51,武器奇术!$A:$R,8,FALSE))</f>
        <v>2700.516951405</v>
      </c>
      <c r="Z51" s="93">
        <f t="shared" si="19"/>
        <v>0.8135</v>
      </c>
      <c r="AA51" s="92">
        <f>S51*VLOOKUP($E51,武器奇术!$A:$R,2,FALSE)*(1+T51)*(1+U51)*V51*(1+$E$17+VLOOKUP($E51,武器奇术!$A:$R,10,FALSE))</f>
        <v>2217.5777885625</v>
      </c>
      <c r="AB51" s="93">
        <f t="shared" si="20"/>
        <v>0.0986</v>
      </c>
      <c r="AC51" s="92">
        <f>R51*VLOOKUP($E51,武器奇术!$A:$R,2,FALSE)*(1+T51)*(1+U51)*V51</f>
        <v>1642.65021375</v>
      </c>
      <c r="AD51" s="93">
        <f t="shared" si="21"/>
        <v>0.0879</v>
      </c>
      <c r="AE51" s="101">
        <f t="shared" si="22"/>
        <v>2559.91266370885</v>
      </c>
      <c r="AF51" s="102">
        <f>VLOOKUP($E51,武器奇术!$A:$R,3,FALSE)*(1+IF(VLOOKUP($E51,武器奇术!$A:$R,15,FALSE)="武器",$E$15,0))</f>
        <v>0</v>
      </c>
      <c r="AG51" s="92">
        <f t="shared" si="23"/>
        <v>0</v>
      </c>
      <c r="AH51" s="92">
        <f>VLOOKUP($E51,武器奇术!$A:$R,3,FALSE)*(1+IF(VLOOKUP($E51,武器奇术!$A:$R,15,FALSE)="武器",$E$15,0))</f>
        <v>0</v>
      </c>
      <c r="AI51" s="93">
        <f>IF(($D$5+VLOOKUP($E51,武器奇术!$A:$R,13,FALSE)+IF($I$3="√",10,0)-VLOOKUP($F$7,目标属性!$A:$R,5,FALSE))&gt;0,($D$5+VLOOKUP($E51,武器奇术!$A:$R,13,FALSE)+IF($I$3="√",10,0)-VLOOKUP($F$7,目标属性!$A:$R,5,FALSE))/200,($D$5+VLOOKUP($E51,武器奇术!$A:$R,13,FALSE)+IF($I$3="√",10,0)-VLOOKUP($F$7,目标属性!$A:$R,5,FALSE))/100)</f>
        <v>0.2675</v>
      </c>
      <c r="AJ51" s="120">
        <f>$E$5+IF(VLOOKUP($E51,武器奇术!$A:$R,18,FALSE)="鼠鼠",0.24,0)+IF(期望!$G$5="燕归",6/100,0)</f>
        <v>0.3</v>
      </c>
      <c r="AK51" s="91">
        <v>1</v>
      </c>
      <c r="AL51" s="92">
        <f t="shared" si="24"/>
        <v>0</v>
      </c>
      <c r="AM51" s="93">
        <f>(1-IF(VLOOKUP($E51,武器奇术!$A:$R,16,FALSE)="陌刀",1,$N51))*(1-$M51)</f>
        <v>0</v>
      </c>
      <c r="AN51" s="92">
        <f>AG51*(1+AI51)*(1+AJ51)*AK51*(1+$E$16+VLOOKUP($E51,武器奇术!$A:$R,8,FALSE))</f>
        <v>0</v>
      </c>
      <c r="AO51" s="93">
        <f t="shared" si="1"/>
        <v>0.8135</v>
      </c>
      <c r="AP51" s="92">
        <f>AH51*(1+AI51)*(1+AJ51)*AK51*(1+$E$17+VLOOKUP($E51,武器奇术!$A:$R,10,FALSE))</f>
        <v>0</v>
      </c>
      <c r="AQ51" s="93">
        <f t="shared" si="2"/>
        <v>0.0986</v>
      </c>
      <c r="AR51" s="92">
        <f t="shared" si="25"/>
        <v>0</v>
      </c>
      <c r="AS51" s="93">
        <f t="shared" si="26"/>
        <v>0.0879</v>
      </c>
      <c r="AT51" s="101">
        <f t="shared" si="27"/>
        <v>0</v>
      </c>
      <c r="AU51" s="99">
        <f>IF(VLOOKUP($E51,武器奇术!$A:$R,18,FALSE)="极乐",0,$B$7*IF($G$5="撼天",1.05,1)+IF(AND(VLOOKUP($E51,武器奇术!$A:$R,15,FALSE)="武器",VLOOKUP($E51,武器奇术!$A:$R,17,FALSE)="鸣金"),$E$3*(1+$E$15),0))</f>
        <v>0</v>
      </c>
      <c r="AV51" s="91">
        <f t="shared" si="28"/>
        <v>0</v>
      </c>
      <c r="AW51" s="91">
        <f>IF(VLOOKUP($E51,武器奇术!$A:$R,18,FALSE)="极乐",0,MAX($C$7*IF($G$5="撼天",1.05,1)+IF(AND(VLOOKUP($E51,武器奇术!$A:$R,15,FALSE)="武器",VLOOKUP($E51,武器奇术!$A:$R,17,FALSE)="鸣金"),$E$3*(1+$E$15),0),AU51))</f>
        <v>0</v>
      </c>
      <c r="AX51" s="93">
        <f>IF(($D$7+IF(VLOOKUP($E51,武器奇术!$A:$R,17,FALSE)="鸣金",$D$15,0)-VLOOKUP($F$7,目标属性!$A:$R,6,FALSE))&gt;0,($D$7+IF(VLOOKUP($E51,武器奇术!$A:$R,17,FALSE)="鸣金",$D$15,0)-VLOOKUP($F$7,目标属性!$A:$R,6,FALSE))/200,($D$7+IF(VLOOKUP($E51,武器奇术!$A:$R,17,FALSE)="鸣金",$D$15,0)-VLOOKUP($F$7,目标属性!$A:$R,6,FALSE))/100)</f>
        <v>-0.24</v>
      </c>
      <c r="AY51" s="100">
        <f t="shared" ref="AY51:AY60" si="50">$E$7</f>
        <v>0</v>
      </c>
      <c r="AZ51" s="91">
        <v>1</v>
      </c>
      <c r="BA51" s="92">
        <f>AU51*IF(VLOOKUP($E51,武器奇术!$A:$R,17,FALSE)="鸣金",VLOOKUP($E51,武器奇术!$A:$R,4,FALSE),VLOOKUP($E51,武器奇术!$A:$R,2,FALSE))*(1+AX51)*(1+AY51)*AZ51</f>
        <v>0</v>
      </c>
      <c r="BB51" s="93">
        <f>(1-IF(VLOOKUP($E51,武器奇术!$A:$R,16,FALSE)="陌刀",1,$N51))*(1-$M51)</f>
        <v>0</v>
      </c>
      <c r="BC51" s="92">
        <f>AV51*IF(VLOOKUP($E51,武器奇术!$A:$R,17,FALSE)="鸣金",VLOOKUP($E51,武器奇术!$A:$R,4,FALSE),VLOOKUP($E51,武器奇术!$A:$R,2,FALSE))*(1+AX51)*(1+AY51)*AZ51*(1+$E$16+VLOOKUP($E51,武器奇术!$A:$R,8,FALSE))</f>
        <v>0</v>
      </c>
      <c r="BD51" s="93">
        <f t="shared" si="3"/>
        <v>0.8135</v>
      </c>
      <c r="BE51" s="92">
        <f>AW51*IF(VLOOKUP($E51,武器奇术!$A:$R,17,FALSE)="鸣金",VLOOKUP($E51,武器奇术!$A:$R,4,FALSE),VLOOKUP($E51,武器奇术!$A:$R,2,FALSE))*(1+AX51)*(1+AY51)*AZ51*(1+$E$17+VLOOKUP($E51,武器奇术!$A:$R,10,FALSE))</f>
        <v>0</v>
      </c>
      <c r="BF51" s="93">
        <f t="shared" si="4"/>
        <v>0.0986</v>
      </c>
      <c r="BG51" s="92">
        <f>AV51*IF(VLOOKUP($E51,武器奇术!$A:$R,17,FALSE)="鸣金",VLOOKUP($E51,武器奇术!$A:$R,4,FALSE),VLOOKUP($E51,武器奇术!$A:$R,2,FALSE))*(1+AX51)*(1+AY51)*AZ51</f>
        <v>0</v>
      </c>
      <c r="BH51" s="93">
        <f t="shared" si="30"/>
        <v>0.0879</v>
      </c>
      <c r="BI51" s="101">
        <f t="shared" si="31"/>
        <v>0</v>
      </c>
      <c r="BJ51" s="99">
        <f>IF(VLOOKUP($E51,武器奇术!$A:$R,18,FALSE)="极乐",0,$B$9*IF($G$5="撼天",1.05,1)+IF(AND(VLOOKUP($E51,武器奇术!$A:$R,15,FALSE)="武器",VLOOKUP($E51,武器奇术!$A:$R,17,FALSE)="裂石"),$E$3*(1+$E$15),0))</f>
        <v>0</v>
      </c>
      <c r="BK51" s="91">
        <f t="shared" si="32"/>
        <v>0</v>
      </c>
      <c r="BL51" s="91">
        <f>IF(VLOOKUP($E51,武器奇术!$A:$R,18,FALSE)="极乐",0,MAX($C$9*IF($G$5="撼天",1.05,1)+IF(AND(VLOOKUP($E51,武器奇术!$A:$R,15,FALSE)="武器",VLOOKUP($E51,武器奇术!$A:$R,17,FALSE)="裂石"),$E$3*(1+$E$15),0),BJ51))</f>
        <v>0</v>
      </c>
      <c r="BM51" s="93">
        <f>IF(($D$9+IF(VLOOKUP($E51,武器奇术!$A:$R,17,FALSE)="裂石",$D$15,0)-VLOOKUP($F$7,目标属性!$A:$R,6,FALSE))&gt;0,($D$9+IF(VLOOKUP($E51,武器奇术!$A:$R,17,FALSE)="裂石",$D$15,0)-VLOOKUP($F$7,目标属性!$A:$R,6,FALSE))/200,($D$9+IF(VLOOKUP($E51,武器奇术!$A:$R,17,FALSE)="裂石",$D$15,0)-VLOOKUP($F$7,目标属性!$A:$R,6,FALSE))/100)</f>
        <v>-0.24</v>
      </c>
      <c r="BN51" s="100">
        <f t="shared" ref="BN51:BN60" si="51">$E$9</f>
        <v>0</v>
      </c>
      <c r="BO51" s="91">
        <v>1</v>
      </c>
      <c r="BP51" s="92">
        <f>BJ51*IF(VLOOKUP($E51,武器奇术!$A:$R,17,FALSE)="裂石",VLOOKUP($E51,武器奇术!$A:$R,4,FALSE),VLOOKUP($E51,武器奇术!$A:$R,2,FALSE))*(1+BM51)*(1+BN51)*BO51</f>
        <v>0</v>
      </c>
      <c r="BQ51" s="93">
        <f>(1-IF(VLOOKUP($E51,武器奇术!$A:$R,16,FALSE)="陌刀",1,$N51))*(1-$M51)</f>
        <v>0</v>
      </c>
      <c r="BR51" s="92">
        <f>BK51*IF(VLOOKUP($E51,武器奇术!$A:$R,17,FALSE)="裂石",VLOOKUP($E51,武器奇术!$A:$R,4,FALSE),VLOOKUP($E51,武器奇术!$A:$R,2,FALSE))*(1+BM51)*(1+BN51)*BO51*(1+$E$16+VLOOKUP($E51,武器奇术!$A:$R,8,FALSE))</f>
        <v>0</v>
      </c>
      <c r="BS51" s="93">
        <f t="shared" si="5"/>
        <v>0.8135</v>
      </c>
      <c r="BT51" s="92">
        <f>BL51*IF(VLOOKUP($E51,武器奇术!$A:$R,17,FALSE)="裂石",VLOOKUP($E51,武器奇术!$A:$R,4,FALSE),VLOOKUP($E51,武器奇术!$A:$R,2,FALSE))*(1+BM51)*(1+BN51)*BO51*(1+$E$17+VLOOKUP($E51,武器奇术!$A:$R,10,FALSE))</f>
        <v>0</v>
      </c>
      <c r="BU51" s="93">
        <f t="shared" si="6"/>
        <v>0.0986</v>
      </c>
      <c r="BV51" s="92">
        <f>BK51*IF(VLOOKUP($E51,武器奇术!$A:$R,17,FALSE)="裂石",VLOOKUP($E51,武器奇术!$A:$R,4,FALSE),VLOOKUP($E51,武器奇术!$A:$R,2,FALSE))*(1+BM51)*(1+BN51)*BO51</f>
        <v>0</v>
      </c>
      <c r="BW51" s="93">
        <f t="shared" si="34"/>
        <v>0.0879</v>
      </c>
      <c r="BX51" s="101">
        <f t="shared" si="35"/>
        <v>0</v>
      </c>
      <c r="BY51" s="99">
        <f>IF(VLOOKUP($E51,武器奇术!$A:$R,18,FALSE)="极乐",0,$B$11*IF($G$5="撼天",1.05,1)+IF(AND(VLOOKUP($E51,武器奇术!$A:$R,15,FALSE)="武器",VLOOKUP($E51,武器奇术!$A:$R,17,FALSE)="牵丝"),$E$3*(1+$E$15),0))</f>
        <v>0</v>
      </c>
      <c r="BZ51" s="91">
        <f t="shared" si="36"/>
        <v>0</v>
      </c>
      <c r="CA51" s="91">
        <f>IF(VLOOKUP($E51,武器奇术!$A:$R,18,FALSE)="极乐",0,MAX($C$11*IF($G$5="撼天",1.05,1)+IF(AND(VLOOKUP($E51,武器奇术!$A:$R,15,FALSE)="武器",VLOOKUP($E51,武器奇术!$A:$R,17,FALSE)="牵丝"),$E$3*(1+$E$15),0),BY51))</f>
        <v>0</v>
      </c>
      <c r="CB51" s="93">
        <f>IF(($D$11+IF(VLOOKUP($E51,武器奇术!$A:$R,17,FALSE)="牵丝",$D$15,0)-VLOOKUP($F$7,目标属性!$A:$R,6,FALSE))&gt;0,($D$11+IF(VLOOKUP($E51,武器奇术!$A:$R,17,FALSE)="牵丝",$D$15,0)-VLOOKUP($F$7,目标属性!$A:$R,6,FALSE))/200,($D$11+IF(VLOOKUP($E51,武器奇术!$A:$R,17,FALSE)="牵丝",$D$15,0)-VLOOKUP($F$7,目标属性!$A:$R,6,FALSE))/100)</f>
        <v>-0.24</v>
      </c>
      <c r="CC51" s="100">
        <f t="shared" ref="CC51:CC60" si="52">$E$11</f>
        <v>0</v>
      </c>
      <c r="CD51" s="91">
        <v>1</v>
      </c>
      <c r="CE51" s="92">
        <f>BY51*IF(VLOOKUP($E51,武器奇术!$A:$R,17,FALSE)="牵丝",VLOOKUP($E51,武器奇术!$A:$R,4,FALSE),VLOOKUP($E51,武器奇术!$A:$R,2,FALSE))*(1+CB51)*(1+CC51)*CD51</f>
        <v>0</v>
      </c>
      <c r="CF51" s="93">
        <f>(1-IF(VLOOKUP($E51,武器奇术!$A:$R,16,FALSE)="陌刀",1,$N51))*(1-$M51)</f>
        <v>0</v>
      </c>
      <c r="CG51" s="92">
        <f>BZ51*IF(VLOOKUP($E51,武器奇术!$A:$R,17,FALSE)="牵丝",VLOOKUP($E51,武器奇术!$A:$R,4,FALSE),VLOOKUP($E51,武器奇术!$A:$R,2,FALSE))*(1+CB51)*(1+CC51)*CD51*(1+$E$16+VLOOKUP($E51,武器奇术!$A:$R,8,FALSE))</f>
        <v>0</v>
      </c>
      <c r="CH51" s="93">
        <f t="shared" si="7"/>
        <v>0.8135</v>
      </c>
      <c r="CI51" s="92">
        <f>CA51*IF(VLOOKUP($E51,武器奇术!$A:$R,17,FALSE)="牵丝",VLOOKUP($E51,武器奇术!$A:$R,4,FALSE),VLOOKUP($E51,武器奇术!$A:$R,2,FALSE))*(1+CB51)*(1+CC51)*CD51*(1+$E$17+VLOOKUP($E51,武器奇术!$A:$R,10,FALSE))</f>
        <v>0</v>
      </c>
      <c r="CJ51" s="93">
        <f t="shared" si="8"/>
        <v>0.0986</v>
      </c>
      <c r="CK51" s="92">
        <f>BZ51*IF(VLOOKUP($E51,武器奇术!$A:$R,17,FALSE)="牵丝",VLOOKUP($E51,武器奇术!$A:$R,4,FALSE),VLOOKUP($E51,武器奇术!$A:$R,2,FALSE))*(1+CB51)*(1+CC51)*CD51</f>
        <v>0</v>
      </c>
      <c r="CL51" s="93">
        <f t="shared" si="38"/>
        <v>0.0879</v>
      </c>
      <c r="CM51" s="101">
        <f t="shared" si="39"/>
        <v>0</v>
      </c>
      <c r="CN51" s="99">
        <f>IF(VLOOKUP($E51,武器奇术!$A:$R,18,FALSE)="极乐",0,$B$13*IF($G$5="撼天",1.05,1)+IF(AND(VLOOKUP($E51,武器奇术!$A:$R,15,FALSE)="武器",VLOOKUP($E51,武器奇术!$A:$R,17,FALSE)="破竹"),$E$3*(1+$E$15),0))</f>
        <v>490.8</v>
      </c>
      <c r="CO51" s="91">
        <f t="shared" si="40"/>
        <v>856.3</v>
      </c>
      <c r="CP51" s="91">
        <f>IF(VLOOKUP($E51,武器奇术!$A:$R,18,FALSE)="极乐",0,MAX($C$13*IF($G$5="撼天",1.05,1)+IF(AND(VLOOKUP($E51,武器奇术!$A:$R,15,FALSE)="武器",VLOOKUP($E51,武器奇术!$A:$R,17,FALSE)="破竹"),$E$3*(1+$E$15),0),CN51))</f>
        <v>1221.8</v>
      </c>
      <c r="CQ51" s="93">
        <f>IF(($D$13+IF(VLOOKUP($E51,武器奇术!$A:$R,17,FALSE)="破竹",$D$15,0)-VLOOKUP($F$7,目标属性!$A:$R,6,FALSE)+IF(VLOOKUP($E51,武器奇术!$A:$V,22,FALSE)=1,4,0)+IF(VLOOKUP($E51,武器奇术!$A:$T,20,FALSE)=1,10,0))&gt;0,($D$13+IF(VLOOKUP($E51,武器奇术!$A:$R,17,FALSE)="破竹",$D$15,0)-VLOOKUP($F$7,目标属性!$A:$R,6,FALSE)+IF(VLOOKUP($E51,武器奇术!$A:$V,22,FALSE)=1,4,0)+IF(VLOOKUP($E51,武器奇术!$A:$T,20,FALSE)=1,10,0))/200,($D$13+IF(VLOOKUP($E51,武器奇术!$A:$R,17,FALSE)="破竹",$D$15,0)-VLOOKUP($F$7,目标属性!$A:$R,6,FALSE)+IF(VLOOKUP($E51,武器奇术!$A:$V,22,FALSE)=1,4,0)+IF(VLOOKUP($E51,武器奇术!$A:$T,20,FALSE)=1,10,0))/100)</f>
        <v>0.028</v>
      </c>
      <c r="CR51" s="120">
        <f>$E$13+IF(期望!$G$5="燕归",6%,0)</f>
        <v>0.208</v>
      </c>
      <c r="CS51" s="91">
        <v>1</v>
      </c>
      <c r="CT51" s="92">
        <f>CN51*IF(VLOOKUP($E51,武器奇术!$A:$R,17,FALSE)="破竹",VLOOKUP($E51,武器奇术!$A:$R,4,FALSE),VLOOKUP($E51,武器奇术!$A:$R,2,FALSE))*(1+CQ51)*(1+CR51)*CS51</f>
        <v>319.98079008</v>
      </c>
      <c r="CU51" s="93">
        <f>(1-IF(VLOOKUP($E51,武器奇术!$A:$R,16,FALSE)="陌刀",1,$N51))*(1-$M51)</f>
        <v>0</v>
      </c>
      <c r="CV51" s="92">
        <f>CO51*IF(VLOOKUP($E51,武器奇术!$A:$R,17,FALSE)="破竹",VLOOKUP($E51,武器奇术!$A:$R,4,FALSE),VLOOKUP($E51,武器奇术!$A:$R,2,FALSE))*(1+CQ51)*(1+CR51)*CS51*(1+$E$16+VLOOKUP($E51,武器奇术!$A:$R,8,FALSE))</f>
        <v>917.79800549472</v>
      </c>
      <c r="CW51" s="93">
        <f t="shared" si="9"/>
        <v>0.8135</v>
      </c>
      <c r="CX51" s="92">
        <f>CP51*IF(VLOOKUP($E51,武器奇术!$A:$R,17,FALSE)="破竹",VLOOKUP($E51,武器奇术!$A:$R,4,FALSE),VLOOKUP($E51,武器奇术!$A:$R,2,FALSE))*(1+CQ51)*(1+CR51)*CS51*(1+$E$17+VLOOKUP($E51,武器奇术!$A:$R,10,FALSE))</f>
        <v>1075.358424168</v>
      </c>
      <c r="CY51" s="93">
        <f t="shared" si="10"/>
        <v>0.0986</v>
      </c>
      <c r="CZ51" s="92">
        <f>CO51*IF(VLOOKUP($E51,武器奇术!$A:$R,17,FALSE)="破竹",VLOOKUP($E51,武器奇术!$A:$R,4,FALSE),VLOOKUP($E51,武器奇术!$A:$R,2,FALSE))*(1+CQ51)*(1+CR51)*CS51</f>
        <v>558.27129288</v>
      </c>
      <c r="DA51" s="93">
        <f t="shared" si="42"/>
        <v>0.0879</v>
      </c>
      <c r="DB51" s="101">
        <f t="shared" si="43"/>
        <v>901.731064737072</v>
      </c>
      <c r="DC51" s="99">
        <f>IF(VLOOKUP($E51,武器奇术!$A:$R,18,FALSE)="极乐",0,$B$15)</f>
        <v>66</v>
      </c>
      <c r="DD51" s="91">
        <f t="shared" si="44"/>
        <v>95.9</v>
      </c>
      <c r="DE51" s="91">
        <f>IF(VLOOKUP($E51,武器奇术!$A:$R,18,FALSE)="极乐",0,$C$15)</f>
        <v>125.8</v>
      </c>
      <c r="DF51" s="93">
        <f>IF((IF(VLOOKUP($E51,武器奇术!$A:$R,17,FALSE)="鸣金",$D$7,0)+IF(VLOOKUP($E51,武器奇术!$A:$R,17,FALSE)="裂石",$D$9,0)+IF(VLOOKUP($E51,武器奇术!$A:$R,17,FALSE)="牵丝",$D$11,0)+IF(VLOOKUP($E51,武器奇术!$A:$R,17,FALSE)="破竹",$D$13,0)+$D$15-VLOOKUP($F$7,目标属性!$A:$R,6,FALSE)+IF(VLOOKUP($E51,武器奇术!$A:$V,22,FALSE)=1,4,0)+IF(VLOOKUP($E51,武器奇术!$A:$T,20,FALSE)=1,10,0))&gt;0,(IF(VLOOKUP($E51,武器奇术!$A:$R,17,FALSE)="鸣金",$D$7,0)+IF(VLOOKUP($E51,武器奇术!$A:$R,17,FALSE)="裂石",$D$9,0)+IF(VLOOKUP($E51,武器奇术!$A:$R,17,FALSE)="牵丝",$D$11,0)+IF(VLOOKUP($E51,武器奇术!$A:$R,17,FALSE)="破竹",$D$13,0)+$D$15-VLOOKUP($F$7,目标属性!$A:$R,6,FALSE)+IF(VLOOKUP($E51,武器奇术!$A:$V,22,FALSE)=1,4,0)+IF(VLOOKUP($E51,武器奇术!$A:$T,20,FALSE)=1,10,0))/200,(IF(VLOOKUP($E51,武器奇术!$A:$R,17,FALSE)="鸣金",$D$7,0)+IF(VLOOKUP($E51,武器奇术!$A:$R,17,FALSE)="裂石",$D$9,0)+IF(VLOOKUP($E51,武器奇术!$A:$R,17,FALSE)="牵丝",$D$11,0)+IF(VLOOKUP($E51,武器奇术!$A:$R,17,FALSE)="破竹",$D$13,0)+$D$15-VLOOKUP($F$7,目标属性!$A:$R,6,FALSE)+IF(VLOOKUP($E51,武器奇术!$A:$V,22,FALSE)=1,4,0)+IF(VLOOKUP($E51,武器奇术!$A:$T,20,FALSE)=1,10,0))/100)</f>
        <v>0.028</v>
      </c>
      <c r="DG51" s="120">
        <f>$E$13+IF(期望!$G$5="燕归",6%,0)</f>
        <v>0.208</v>
      </c>
      <c r="DH51" s="91">
        <v>1</v>
      </c>
      <c r="DI51" s="92">
        <f>DC51*IF(VLOOKUP($E51,武器奇术!$A:$R,17,FALSE)="破竹",VLOOKUP($E51,武器奇术!$A:$R,4,FALSE),VLOOKUP($E51,武器奇术!$A:$R,2,FALSE))*(1+DF51)*(1+DG51)*DH51</f>
        <v>43.0292016</v>
      </c>
      <c r="DJ51" s="93">
        <f>(1-IF(VLOOKUP($E51,武器奇术!$A:$R,16,FALSE)="陌刀",1,$N51))*(1-$M51)</f>
        <v>0</v>
      </c>
      <c r="DK51" s="92">
        <f>DD51*IF(VLOOKUP($E51,武器奇术!$A:$R,17,FALSE)="破竹",VLOOKUP($E51,武器奇术!$A:$R,4,FALSE),VLOOKUP($E51,武器奇术!$A:$R,2,FALSE))*(1+DF51)*(1+DG51)*DH51*(1+$E$16+VLOOKUP($E51,武器奇术!$A:$R,8,FALSE))</f>
        <v>102.78737443296</v>
      </c>
      <c r="DL51" s="93">
        <f t="shared" si="12"/>
        <v>0.8135</v>
      </c>
      <c r="DM51" s="92">
        <f>DE51*IF(VLOOKUP($E51,武器奇术!$A:$R,17,FALSE)="破竹",VLOOKUP($E51,武器奇术!$A:$R,4,FALSE),VLOOKUP($E51,武器奇术!$A:$R,2,FALSE))*(1+DF51)*(1+DG51)*DH51*(1+$E$17+VLOOKUP($E51,武器奇术!$A:$R,10,FALSE))</f>
        <v>110.721959208</v>
      </c>
      <c r="DN51" s="93">
        <f t="shared" si="13"/>
        <v>0.0986</v>
      </c>
      <c r="DO51" s="92">
        <f>DD51*IF(VLOOKUP($E51,武器奇术!$A:$R,17,FALSE)="破竹",VLOOKUP($E51,武器奇术!$A:$R,4,FALSE),VLOOKUP($E51,武器奇术!$A:$R,2,FALSE))*(1+DF51)*(1+DG51)*DH51</f>
        <v>62.52273384</v>
      </c>
      <c r="DP51" s="93">
        <f t="shared" si="14"/>
        <v>0.0879</v>
      </c>
      <c r="DQ51" s="101">
        <f t="shared" si="15"/>
        <v>100.030462583658</v>
      </c>
    </row>
    <row r="52" customFormat="1" spans="1:121">
      <c r="A52" s="126"/>
      <c r="B52" s="12"/>
      <c r="C52" s="12"/>
      <c r="D52" s="12"/>
      <c r="E52" s="105" t="s">
        <v>128</v>
      </c>
      <c r="F52" s="106">
        <v>1</v>
      </c>
      <c r="G52" s="107"/>
      <c r="H52" s="127">
        <f>(H36+H42+H46+H51)*0.3</f>
        <v>185119.660582149</v>
      </c>
      <c r="I52" s="93">
        <f t="shared" si="16"/>
        <v>0.0237476533337114</v>
      </c>
      <c r="J52" s="93">
        <f>$F$3+VLOOKUP($E52,武器奇术!$A:$R,12,FALSE)+VLOOKUP($E52,武器奇术!$A:$R,14,FALSE)*$G$3+$P52</f>
        <v>0</v>
      </c>
      <c r="K52" s="94">
        <f>VLOOKUP($E52,武器奇术!$A:$R,11,FALSE)</f>
        <v>1</v>
      </c>
      <c r="L52" s="109">
        <f>IF(VLOOKUP($E52,武器奇术!$A:$R,15,FALSE)="天工",0%,IF($C$17+VLOOKUP($E52,武器奇术!$A:$R,7,FALSE)&gt;80%,80%,$C$17+VLOOKUP($E52,武器奇术!$A:$R,7,FALSE))+IF($C$19&gt;20%,20%,$C$19))</f>
        <v>0.8135</v>
      </c>
      <c r="M52" s="110">
        <f>IF(VLOOKUP($E52,武器奇术!$A:$R,15,FALSE)="天工",0%,IF($C$18+VLOOKUP($E52,武器奇术!$A:$R,9,FALSE)&gt;40%,40%,$C$18+VLOOKUP($E52,武器奇术!$A:$R,9,FALSE))+IF($C$20&gt;10%,10%,$C$20))</f>
        <v>0.0986</v>
      </c>
      <c r="N52" s="111">
        <f>IF(VLOOKUP($E52,武器奇术!$A:$R,15,FALSE)="天工",100%,MIN($C$16,1))</f>
        <v>1</v>
      </c>
      <c r="O52" s="112" t="str">
        <f>VLOOKUP($E52,武器奇术!$A:$R,16,FALSE)</f>
        <v>N/A</v>
      </c>
      <c r="P52" s="113">
        <f t="shared" si="17"/>
        <v>0</v>
      </c>
      <c r="Q52" s="99">
        <f>$B$5*(1+VLOOKUP($E52,武器奇术!$A:$R,5,FALSE)+IF($G$5="飞隼",0.1,0)+IF($G$5="撼天",0.05,0))-$F$9*IF(VLOOKUP($E52,武器奇术!$A:$S,19,FALSE)=1,0.9,1)+IF($I$5="√",160,0)</f>
        <v>2848.3</v>
      </c>
      <c r="R52" s="91">
        <f t="shared" si="18"/>
        <v>2848.3</v>
      </c>
      <c r="S52" s="91">
        <f>MAX($C$5,$B$5)*(1+VLOOKUP($E52,武器奇术!$A:$R,5,FALSE)+IF($G$5="飞隼",0.1,0)+IF($G$5="撼天",0.05,0))-$F$9*IF(VLOOKUP($E52,武器奇术!$A:$S,19,FALSE)=1,0.9,1)+IF($I$5="√",320,0)</f>
        <v>2848.3</v>
      </c>
      <c r="T52" s="93">
        <f>IF(($D$5+VLOOKUP($E52,武器奇术!$A:$R,13,FALSE)+IF($I$3="√",10,0)-VLOOKUP($F$7,目标属性!$A:$R,5,FALSE))&gt;0,($D$5+VLOOKUP($E52,武器奇术!$A:$R,13,FALSE)+IF($I$3="√",10,0)-VLOOKUP($F$7,目标属性!$A:$R,5,FALSE))/200,($D$5+VLOOKUP($E52,武器奇术!$A:$R,13,FALSE)+IF($I$3="√",10,0)-VLOOKUP($F$7,目标属性!$A:$R,5,FALSE))/100)</f>
        <v>0.2675</v>
      </c>
      <c r="U52" s="100">
        <f>$E$5+IF(VLOOKUP($E52,武器奇术!$A:$R,18,FALSE)="鼠鼠",0.24,0)</f>
        <v>0</v>
      </c>
      <c r="V52" s="91">
        <v>1</v>
      </c>
      <c r="W52" s="92">
        <f>Q52*VLOOKUP($E52,武器奇术!$A:$R,2,FALSE)*(1+T52)*(1+U52)*V52</f>
        <v>0</v>
      </c>
      <c r="X52" s="93">
        <f>(1-IF(VLOOKUP($E52,武器奇术!$A:$R,16,FALSE)="陌刀",1,$N52))*(1-$M52)</f>
        <v>0</v>
      </c>
      <c r="Y52" s="92">
        <f>R52*VLOOKUP($E52,武器奇术!$A:$R,2,FALSE)*(1+T52)*(1+U52)*V52*(1+$E$16+VLOOKUP($E52,武器奇术!$A:$R,8,FALSE))</f>
        <v>0</v>
      </c>
      <c r="Z52" s="93">
        <f t="shared" si="19"/>
        <v>0.8135</v>
      </c>
      <c r="AA52" s="92">
        <f>S52*VLOOKUP($E52,武器奇术!$A:$R,2,FALSE)*(1+T52)*(1+U52)*V52*(1+$E$17+VLOOKUP($E52,武器奇术!$A:$R,10,FALSE))</f>
        <v>0</v>
      </c>
      <c r="AB52" s="93">
        <f t="shared" si="20"/>
        <v>0.0986</v>
      </c>
      <c r="AC52" s="92">
        <f>R52*VLOOKUP($E52,武器奇术!$A:$R,2,FALSE)*(1+T52)*(1+U52)*V52</f>
        <v>0</v>
      </c>
      <c r="AD52" s="93">
        <f t="shared" si="21"/>
        <v>0.0879</v>
      </c>
      <c r="AE52" s="101">
        <f t="shared" si="22"/>
        <v>0</v>
      </c>
      <c r="AF52" s="102">
        <f>VLOOKUP($E52,武器奇术!$A:$R,3,FALSE)*(1+IF(VLOOKUP($E52,武器奇术!$A:$R,15,FALSE)="武器",$E$15,0))</f>
        <v>0</v>
      </c>
      <c r="AG52" s="92">
        <f t="shared" si="23"/>
        <v>0</v>
      </c>
      <c r="AH52" s="92">
        <f>VLOOKUP($E52,武器奇术!$A:$R,3,FALSE)*(1+IF(VLOOKUP($E52,武器奇术!$A:$R,15,FALSE)="武器",$E$15,0))</f>
        <v>0</v>
      </c>
      <c r="AI52" s="93">
        <f>IF(($D$5+VLOOKUP($E52,武器奇术!$A:$R,13,FALSE)+IF($I$3="√",10,0)-VLOOKUP($F$7,目标属性!$A:$R,5,FALSE))&gt;0,($D$5+VLOOKUP($E52,武器奇术!$A:$R,13,FALSE)+IF($I$3="√",10,0)-VLOOKUP($F$7,目标属性!$A:$R,5,FALSE))/200,($D$5+VLOOKUP($E52,武器奇术!$A:$R,13,FALSE)+IF($I$3="√",10,0)-VLOOKUP($F$7,目标属性!$A:$R,5,FALSE))/100)</f>
        <v>0.2675</v>
      </c>
      <c r="AJ52" s="100">
        <f>$E$5+IF(VLOOKUP($E52,武器奇术!$A:$R,18,FALSE)="鼠鼠",0.24,0)</f>
        <v>0</v>
      </c>
      <c r="AK52" s="91">
        <v>1</v>
      </c>
      <c r="AL52" s="92">
        <f t="shared" si="24"/>
        <v>0</v>
      </c>
      <c r="AM52" s="93">
        <f>(1-IF(VLOOKUP($E52,武器奇术!$A:$R,16,FALSE)="陌刀",1,$N52))*(1-$M52)</f>
        <v>0</v>
      </c>
      <c r="AN52" s="92">
        <f>AG52*(1+AI52)*(1+AJ52)*AK52*(1+$E$16+VLOOKUP($E52,武器奇术!$A:$R,8,FALSE))</f>
        <v>0</v>
      </c>
      <c r="AO52" s="93">
        <f t="shared" si="1"/>
        <v>0.8135</v>
      </c>
      <c r="AP52" s="92">
        <f>AH52*(1+AI52)*(1+AJ52)*AK52*(1+$E$17+VLOOKUP($E52,武器奇术!$A:$R,10,FALSE))</f>
        <v>0</v>
      </c>
      <c r="AQ52" s="93">
        <f t="shared" si="2"/>
        <v>0.0986</v>
      </c>
      <c r="AR52" s="92">
        <f t="shared" si="25"/>
        <v>0</v>
      </c>
      <c r="AS52" s="93">
        <f t="shared" si="26"/>
        <v>0.0879</v>
      </c>
      <c r="AT52" s="101">
        <f t="shared" si="27"/>
        <v>0</v>
      </c>
      <c r="AU52" s="99">
        <f>IF(VLOOKUP($E52,武器奇术!$A:$R,18,FALSE)="极乐",0,$B$7*IF($G$5="撼天",1.05,1)+IF(AND(VLOOKUP($E52,武器奇术!$A:$R,15,FALSE)="武器",VLOOKUP($E52,武器奇术!$A:$R,17,FALSE)="鸣金"),$E$3*(1+$E$15),0))</f>
        <v>0</v>
      </c>
      <c r="AV52" s="91">
        <f t="shared" si="28"/>
        <v>0</v>
      </c>
      <c r="AW52" s="91">
        <f>IF(VLOOKUP($E52,武器奇术!$A:$R,18,FALSE)="极乐",0,MAX($C$7*IF($G$5="撼天",1.05,1)+IF(AND(VLOOKUP($E52,武器奇术!$A:$R,15,FALSE)="武器",VLOOKUP($E52,武器奇术!$A:$R,17,FALSE)="鸣金"),$E$3*(1+$E$15),0),AU52))</f>
        <v>0</v>
      </c>
      <c r="AX52" s="93">
        <f>IF(($D$7+IF(VLOOKUP($E52,武器奇术!$A:$R,17,FALSE)="鸣金",$D$15,0)-VLOOKUP($F$7,目标属性!$A:$R,6,FALSE))&gt;0,($D$7+IF(VLOOKUP($E52,武器奇术!$A:$R,17,FALSE)="鸣金",$D$15,0)-VLOOKUP($F$7,目标属性!$A:$R,6,FALSE))/200,($D$7+IF(VLOOKUP($E52,武器奇术!$A:$R,17,FALSE)="鸣金",$D$15,0)-VLOOKUP($F$7,目标属性!$A:$R,6,FALSE))/100)</f>
        <v>-0.24</v>
      </c>
      <c r="AY52" s="100">
        <f t="shared" si="50"/>
        <v>0</v>
      </c>
      <c r="AZ52" s="91">
        <v>1</v>
      </c>
      <c r="BA52" s="92">
        <f>AU52*IF(VLOOKUP($E52,武器奇术!$A:$R,17,FALSE)="鸣金",VLOOKUP($E52,武器奇术!$A:$R,4,FALSE),VLOOKUP($E52,武器奇术!$A:$R,2,FALSE))*(1+AX52)*(1+AY52)*AZ52</f>
        <v>0</v>
      </c>
      <c r="BB52" s="93">
        <f>(1-IF(VLOOKUP($E52,武器奇术!$A:$R,16,FALSE)="陌刀",1,$N52))*(1-$M52)</f>
        <v>0</v>
      </c>
      <c r="BC52" s="92">
        <f>AV52*IF(VLOOKUP($E52,武器奇术!$A:$R,17,FALSE)="鸣金",VLOOKUP($E52,武器奇术!$A:$R,4,FALSE),VLOOKUP($E52,武器奇术!$A:$R,2,FALSE))*(1+AX52)*(1+AY52)*AZ52*(1+$E$16+VLOOKUP($E52,武器奇术!$A:$R,8,FALSE))</f>
        <v>0</v>
      </c>
      <c r="BD52" s="93">
        <f t="shared" si="3"/>
        <v>0.8135</v>
      </c>
      <c r="BE52" s="92">
        <f>AW52*IF(VLOOKUP($E52,武器奇术!$A:$R,17,FALSE)="鸣金",VLOOKUP($E52,武器奇术!$A:$R,4,FALSE),VLOOKUP($E52,武器奇术!$A:$R,2,FALSE))*(1+AX52)*(1+AY52)*AZ52*(1+$E$17+VLOOKUP($E52,武器奇术!$A:$R,10,FALSE))</f>
        <v>0</v>
      </c>
      <c r="BF52" s="93">
        <f t="shared" si="4"/>
        <v>0.0986</v>
      </c>
      <c r="BG52" s="92">
        <f>AV52*IF(VLOOKUP($E52,武器奇术!$A:$R,17,FALSE)="鸣金",VLOOKUP($E52,武器奇术!$A:$R,4,FALSE),VLOOKUP($E52,武器奇术!$A:$R,2,FALSE))*(1+AX52)*(1+AY52)*AZ52</f>
        <v>0</v>
      </c>
      <c r="BH52" s="93">
        <f t="shared" si="30"/>
        <v>0.0879</v>
      </c>
      <c r="BI52" s="101">
        <f t="shared" si="31"/>
        <v>0</v>
      </c>
      <c r="BJ52" s="99">
        <f>IF(VLOOKUP($E52,武器奇术!$A:$R,18,FALSE)="极乐",0,$B$9*IF($G$5="撼天",1.05,1)+IF(AND(VLOOKUP($E52,武器奇术!$A:$R,15,FALSE)="武器",VLOOKUP($E52,武器奇术!$A:$R,17,FALSE)="裂石"),$E$3*(1+$E$15),0))</f>
        <v>0</v>
      </c>
      <c r="BK52" s="91">
        <f t="shared" si="32"/>
        <v>0</v>
      </c>
      <c r="BL52" s="91">
        <f>IF(VLOOKUP($E52,武器奇术!$A:$R,18,FALSE)="极乐",0,MAX($C$9*IF($G$5="撼天",1.05,1)+IF(AND(VLOOKUP($E52,武器奇术!$A:$R,15,FALSE)="武器",VLOOKUP($E52,武器奇术!$A:$R,17,FALSE)="裂石"),$E$3*(1+$E$15),0),BJ52))</f>
        <v>0</v>
      </c>
      <c r="BM52" s="93">
        <f>IF(($D$9+IF(VLOOKUP($E52,武器奇术!$A:$R,17,FALSE)="裂石",$D$15,0)-VLOOKUP($F$7,目标属性!$A:$R,6,FALSE))&gt;0,($D$9+IF(VLOOKUP($E52,武器奇术!$A:$R,17,FALSE)="裂石",$D$15,0)-VLOOKUP($F$7,目标属性!$A:$R,6,FALSE))/200,($D$9+IF(VLOOKUP($E52,武器奇术!$A:$R,17,FALSE)="裂石",$D$15,0)-VLOOKUP($F$7,目标属性!$A:$R,6,FALSE))/100)</f>
        <v>-0.24</v>
      </c>
      <c r="BN52" s="100">
        <f t="shared" si="51"/>
        <v>0</v>
      </c>
      <c r="BO52" s="91">
        <v>1</v>
      </c>
      <c r="BP52" s="92">
        <f>BJ52*IF(VLOOKUP($E52,武器奇术!$A:$R,17,FALSE)="裂石",VLOOKUP($E52,武器奇术!$A:$R,4,FALSE),VLOOKUP($E52,武器奇术!$A:$R,2,FALSE))*(1+BM52)*(1+BN52)*BO52</f>
        <v>0</v>
      </c>
      <c r="BQ52" s="93">
        <f>(1-IF(VLOOKUP($E52,武器奇术!$A:$R,16,FALSE)="陌刀",1,$N52))*(1-$M52)</f>
        <v>0</v>
      </c>
      <c r="BR52" s="92">
        <f>BK52*IF(VLOOKUP($E52,武器奇术!$A:$R,17,FALSE)="裂石",VLOOKUP($E52,武器奇术!$A:$R,4,FALSE),VLOOKUP($E52,武器奇术!$A:$R,2,FALSE))*(1+BM52)*(1+BN52)*BO52*(1+$E$16+VLOOKUP($E52,武器奇术!$A:$R,8,FALSE))</f>
        <v>0</v>
      </c>
      <c r="BS52" s="93">
        <f t="shared" si="5"/>
        <v>0.8135</v>
      </c>
      <c r="BT52" s="92">
        <f>BL52*IF(VLOOKUP($E52,武器奇术!$A:$R,17,FALSE)="裂石",VLOOKUP($E52,武器奇术!$A:$R,4,FALSE),VLOOKUP($E52,武器奇术!$A:$R,2,FALSE))*(1+BM52)*(1+BN52)*BO52*(1+$E$17+VLOOKUP($E52,武器奇术!$A:$R,10,FALSE))</f>
        <v>0</v>
      </c>
      <c r="BU52" s="93">
        <f t="shared" si="6"/>
        <v>0.0986</v>
      </c>
      <c r="BV52" s="92">
        <f>BK52*IF(VLOOKUP($E52,武器奇术!$A:$R,17,FALSE)="裂石",VLOOKUP($E52,武器奇术!$A:$R,4,FALSE),VLOOKUP($E52,武器奇术!$A:$R,2,FALSE))*(1+BM52)*(1+BN52)*BO52</f>
        <v>0</v>
      </c>
      <c r="BW52" s="93">
        <f t="shared" si="34"/>
        <v>0.0879</v>
      </c>
      <c r="BX52" s="101">
        <f t="shared" si="35"/>
        <v>0</v>
      </c>
      <c r="BY52" s="99">
        <f>IF(VLOOKUP($E52,武器奇术!$A:$R,18,FALSE)="极乐",0,$B$11*IF($G$5="撼天",1.05,1)+IF(AND(VLOOKUP($E52,武器奇术!$A:$R,15,FALSE)="武器",VLOOKUP($E52,武器奇术!$A:$R,17,FALSE)="牵丝"),$E$3*(1+$E$15),0))</f>
        <v>0</v>
      </c>
      <c r="BZ52" s="91">
        <f t="shared" si="36"/>
        <v>0</v>
      </c>
      <c r="CA52" s="91">
        <f>IF(VLOOKUP($E52,武器奇术!$A:$R,18,FALSE)="极乐",0,MAX($C$11*IF($G$5="撼天",1.05,1)+IF(AND(VLOOKUP($E52,武器奇术!$A:$R,15,FALSE)="武器",VLOOKUP($E52,武器奇术!$A:$R,17,FALSE)="牵丝"),$E$3*(1+$E$15),0),BY52))</f>
        <v>0</v>
      </c>
      <c r="CB52" s="93">
        <f>IF(($D$11+IF(VLOOKUP($E52,武器奇术!$A:$R,17,FALSE)="牵丝",$D$15,0)-VLOOKUP($F$7,目标属性!$A:$R,6,FALSE))&gt;0,($D$11+IF(VLOOKUP($E52,武器奇术!$A:$R,17,FALSE)="牵丝",$D$15,0)-VLOOKUP($F$7,目标属性!$A:$R,6,FALSE))/200,($D$11+IF(VLOOKUP($E52,武器奇术!$A:$R,17,FALSE)="牵丝",$D$15,0)-VLOOKUP($F$7,目标属性!$A:$R,6,FALSE))/100)</f>
        <v>-0.24</v>
      </c>
      <c r="CC52" s="100">
        <f t="shared" si="52"/>
        <v>0</v>
      </c>
      <c r="CD52" s="91">
        <v>1</v>
      </c>
      <c r="CE52" s="92">
        <f>BY52*IF(VLOOKUP($E52,武器奇术!$A:$R,17,FALSE)="牵丝",VLOOKUP($E52,武器奇术!$A:$R,4,FALSE),VLOOKUP($E52,武器奇术!$A:$R,2,FALSE))*(1+CB52)*(1+CC52)*CD52</f>
        <v>0</v>
      </c>
      <c r="CF52" s="93">
        <f>(1-IF(VLOOKUP($E52,武器奇术!$A:$R,16,FALSE)="陌刀",1,$N52))*(1-$M52)</f>
        <v>0</v>
      </c>
      <c r="CG52" s="92">
        <f>BZ52*IF(VLOOKUP($E52,武器奇术!$A:$R,17,FALSE)="牵丝",VLOOKUP($E52,武器奇术!$A:$R,4,FALSE),VLOOKUP($E52,武器奇术!$A:$R,2,FALSE))*(1+CB52)*(1+CC52)*CD52*(1+$E$16+VLOOKUP($E52,武器奇术!$A:$R,8,FALSE))</f>
        <v>0</v>
      </c>
      <c r="CH52" s="93">
        <f t="shared" si="7"/>
        <v>0.8135</v>
      </c>
      <c r="CI52" s="92">
        <f>CA52*IF(VLOOKUP($E52,武器奇术!$A:$R,17,FALSE)="牵丝",VLOOKUP($E52,武器奇术!$A:$R,4,FALSE),VLOOKUP($E52,武器奇术!$A:$R,2,FALSE))*(1+CB52)*(1+CC52)*CD52*(1+$E$17+VLOOKUP($E52,武器奇术!$A:$R,10,FALSE))</f>
        <v>0</v>
      </c>
      <c r="CJ52" s="93">
        <f t="shared" si="8"/>
        <v>0.0986</v>
      </c>
      <c r="CK52" s="92">
        <f>BZ52*IF(VLOOKUP($E52,武器奇术!$A:$R,17,FALSE)="牵丝",VLOOKUP($E52,武器奇术!$A:$R,4,FALSE),VLOOKUP($E52,武器奇术!$A:$R,2,FALSE))*(1+CB52)*(1+CC52)*CD52</f>
        <v>0</v>
      </c>
      <c r="CL52" s="93">
        <f t="shared" si="38"/>
        <v>0.0879</v>
      </c>
      <c r="CM52" s="101">
        <f t="shared" si="39"/>
        <v>0</v>
      </c>
      <c r="CN52" s="99">
        <f>IF(VLOOKUP($E52,武器奇术!$A:$R,18,FALSE)="极乐",0,$B$13*IF($G$5="撼天",1.05,1)+IF(AND(VLOOKUP($E52,武器奇术!$A:$R,15,FALSE)="武器",VLOOKUP($E52,武器奇术!$A:$R,17,FALSE)="破竹"),$E$3*(1+$E$15),0))</f>
        <v>490.8</v>
      </c>
      <c r="CO52" s="91">
        <f t="shared" si="40"/>
        <v>856.3</v>
      </c>
      <c r="CP52" s="91">
        <f>IF(VLOOKUP($E52,武器奇术!$A:$R,18,FALSE)="极乐",0,MAX($C$13*IF($G$5="撼天",1.05,1)+IF(AND(VLOOKUP($E52,武器奇术!$A:$R,15,FALSE)="武器",VLOOKUP($E52,武器奇术!$A:$R,17,FALSE)="破竹"),$E$3*(1+$E$15),0),CN52))</f>
        <v>1221.8</v>
      </c>
      <c r="CQ52" s="93">
        <f>IF(($D$13+IF(VLOOKUP($E52,武器奇术!$A:$R,17,FALSE)="破竹",$D$15,0)-VLOOKUP($F$7,目标属性!$A:$R,6,FALSE)+IF(VLOOKUP($E52,武器奇术!$A:$V,22,FALSE)=1,4,0)+IF(VLOOKUP($E52,武器奇术!$A:$T,20,FALSE)=1,10,0))&gt;0,($D$13+IF(VLOOKUP($E52,武器奇术!$A:$R,17,FALSE)="破竹",$D$15,0)-VLOOKUP($F$7,目标属性!$A:$R,6,FALSE)+IF(VLOOKUP($E52,武器奇术!$A:$V,22,FALSE)=1,4,0)+IF(VLOOKUP($E52,武器奇术!$A:$T,20,FALSE)=1,10,0))/200,($D$13+IF(VLOOKUP($E52,武器奇术!$A:$R,17,FALSE)="破竹",$D$15,0)-VLOOKUP($F$7,目标属性!$A:$R,6,FALSE)+IF(VLOOKUP($E52,武器奇术!$A:$V,22,FALSE)=1,4,0)+IF(VLOOKUP($E52,武器奇术!$A:$T,20,FALSE)=1,10,0))/100)</f>
        <v>0.028</v>
      </c>
      <c r="CR52" s="100">
        <f>$E$13</f>
        <v>0.148</v>
      </c>
      <c r="CS52" s="91">
        <v>1</v>
      </c>
      <c r="CT52" s="92">
        <f>CN52*IF(VLOOKUP($E52,武器奇术!$A:$R,17,FALSE)="破竹",VLOOKUP($E52,武器奇术!$A:$R,4,FALSE),VLOOKUP($E52,武器奇术!$A:$R,2,FALSE))*(1+CQ52)*(1+CR52)*CS52</f>
        <v>0</v>
      </c>
      <c r="CU52" s="93">
        <f>(1-IF(VLOOKUP($E52,武器奇术!$A:$R,16,FALSE)="陌刀",1,$N52))*(1-$M52)</f>
        <v>0</v>
      </c>
      <c r="CV52" s="92">
        <f>CO52*IF(VLOOKUP($E52,武器奇术!$A:$R,17,FALSE)="破竹",VLOOKUP($E52,武器奇术!$A:$R,4,FALSE),VLOOKUP($E52,武器奇术!$A:$R,2,FALSE))*(1+CQ52)*(1+CR52)*CS52*(1+$E$16+VLOOKUP($E52,武器奇术!$A:$R,8,FALSE))</f>
        <v>0</v>
      </c>
      <c r="CW52" s="93">
        <f t="shared" si="9"/>
        <v>0.8135</v>
      </c>
      <c r="CX52" s="92">
        <f>CP52*IF(VLOOKUP($E52,武器奇术!$A:$R,17,FALSE)="破竹",VLOOKUP($E52,武器奇术!$A:$R,4,FALSE),VLOOKUP($E52,武器奇术!$A:$R,2,FALSE))*(1+CQ52)*(1+CR52)*CS52*(1+$E$17+VLOOKUP($E52,武器奇术!$A:$R,10,FALSE))</f>
        <v>0</v>
      </c>
      <c r="CY52" s="93">
        <f t="shared" si="10"/>
        <v>0.0986</v>
      </c>
      <c r="CZ52" s="92">
        <f>CO52*IF(VLOOKUP($E52,武器奇术!$A:$R,17,FALSE)="破竹",VLOOKUP($E52,武器奇术!$A:$R,4,FALSE),VLOOKUP($E52,武器奇术!$A:$R,2,FALSE))*(1+CQ52)*(1+CR52)*CS52</f>
        <v>0</v>
      </c>
      <c r="DA52" s="93">
        <f t="shared" si="42"/>
        <v>0.0879</v>
      </c>
      <c r="DB52" s="101">
        <f t="shared" si="43"/>
        <v>0</v>
      </c>
      <c r="DC52" s="99">
        <f>IF(VLOOKUP($E52,武器奇术!$A:$R,18,FALSE)="极乐",0,$B$15)</f>
        <v>66</v>
      </c>
      <c r="DD52" s="91">
        <f t="shared" si="44"/>
        <v>95.9</v>
      </c>
      <c r="DE52" s="91">
        <f>IF(VLOOKUP($E52,武器奇术!$A:$R,18,FALSE)="极乐",0,$C$15)</f>
        <v>125.8</v>
      </c>
      <c r="DF52" s="93">
        <f>IF((IF(VLOOKUP($E52,武器奇术!$A:$R,17,FALSE)="鸣金",$D$7,0)+IF(VLOOKUP($E52,武器奇术!$A:$R,17,FALSE)="裂石",$D$9,0)+IF(VLOOKUP($E52,武器奇术!$A:$R,17,FALSE)="牵丝",$D$11,0)+IF(VLOOKUP($E52,武器奇术!$A:$R,17,FALSE)="破竹",$D$13,0)+$D$15-VLOOKUP($F$7,目标属性!$A:$R,6,FALSE)+IF(VLOOKUP($E52,武器奇术!$A:$V,22,FALSE)=1,4,0)+IF(VLOOKUP($E52,武器奇术!$A:$T,20,FALSE)=1,10,0))&gt;0,(IF(VLOOKUP($E52,武器奇术!$A:$R,17,FALSE)="鸣金",$D$7,0)+IF(VLOOKUP($E52,武器奇术!$A:$R,17,FALSE)="裂石",$D$9,0)+IF(VLOOKUP($E52,武器奇术!$A:$R,17,FALSE)="牵丝",$D$11,0)+IF(VLOOKUP($E52,武器奇术!$A:$R,17,FALSE)="破竹",$D$13,0)+$D$15-VLOOKUP($F$7,目标属性!$A:$R,6,FALSE)+IF(VLOOKUP($E52,武器奇术!$A:$V,22,FALSE)=1,4,0)+IF(VLOOKUP($E52,武器奇术!$A:$T,20,FALSE)=1,10,0))/200,(IF(VLOOKUP($E52,武器奇术!$A:$R,17,FALSE)="鸣金",$D$7,0)+IF(VLOOKUP($E52,武器奇术!$A:$R,17,FALSE)="裂石",$D$9,0)+IF(VLOOKUP($E52,武器奇术!$A:$R,17,FALSE)="牵丝",$D$11,0)+IF(VLOOKUP($E52,武器奇术!$A:$R,17,FALSE)="破竹",$D$13,0)+$D$15-VLOOKUP($F$7,目标属性!$A:$R,6,FALSE)+IF(VLOOKUP($E52,武器奇术!$A:$V,22,FALSE)=1,4,0)+IF(VLOOKUP($E52,武器奇术!$A:$T,20,FALSE)=1,10,0))/100)</f>
        <v>-0.24</v>
      </c>
      <c r="DG52" s="100">
        <f>$E$13</f>
        <v>0.148</v>
      </c>
      <c r="DH52" s="91">
        <v>1</v>
      </c>
      <c r="DI52" s="92">
        <f>DC52*IF(VLOOKUP($E52,武器奇术!$A:$R,17,FALSE)="破竹",VLOOKUP($E52,武器奇术!$A:$R,4,FALSE),VLOOKUP($E52,武器奇术!$A:$R,2,FALSE))*(1+DF52)*(1+DG52)*DH52</f>
        <v>0</v>
      </c>
      <c r="DJ52" s="93">
        <f>(1-IF(VLOOKUP($E52,武器奇术!$A:$R,16,FALSE)="陌刀",1,$N52))*(1-$M52)</f>
        <v>0</v>
      </c>
      <c r="DK52" s="92">
        <f>DD52*IF(VLOOKUP($E52,武器奇术!$A:$R,17,FALSE)="破竹",VLOOKUP($E52,武器奇术!$A:$R,4,FALSE),VLOOKUP($E52,武器奇术!$A:$R,2,FALSE))*(1+DF52)*(1+DG52)*DH52*(1+$E$16+VLOOKUP($E52,武器奇术!$A:$R,8,FALSE))</f>
        <v>0</v>
      </c>
      <c r="DL52" s="93">
        <f t="shared" si="12"/>
        <v>0.8135</v>
      </c>
      <c r="DM52" s="92">
        <f>DE52*IF(VLOOKUP($E52,武器奇术!$A:$R,17,FALSE)="破竹",VLOOKUP($E52,武器奇术!$A:$R,4,FALSE),VLOOKUP($E52,武器奇术!$A:$R,2,FALSE))*(1+DF52)*(1+DG52)*DH52*(1+$E$17+VLOOKUP($E52,武器奇术!$A:$R,10,FALSE))</f>
        <v>0</v>
      </c>
      <c r="DN52" s="93">
        <f t="shared" si="13"/>
        <v>0.0986</v>
      </c>
      <c r="DO52" s="92">
        <f>DD52*IF(VLOOKUP($E52,武器奇术!$A:$R,17,FALSE)="破竹",VLOOKUP($E52,武器奇术!$A:$R,4,FALSE),VLOOKUP($E52,武器奇术!$A:$R,2,FALSE))*(1+DF52)*(1+DG52)*DH52</f>
        <v>0</v>
      </c>
      <c r="DP52" s="93">
        <f t="shared" si="14"/>
        <v>0.0879</v>
      </c>
      <c r="DQ52" s="101">
        <f t="shared" si="15"/>
        <v>0</v>
      </c>
    </row>
    <row r="53" customFormat="1" spans="1:121">
      <c r="A53" s="126"/>
      <c r="B53" s="12"/>
      <c r="C53" s="12"/>
      <c r="D53" s="12"/>
      <c r="E53" s="105" t="s">
        <v>129</v>
      </c>
      <c r="F53" s="106">
        <v>1</v>
      </c>
      <c r="G53" s="107"/>
      <c r="H53" s="92">
        <f>IF(VLOOKUP($E53,武器奇术!$A:$R,18,FALSE)="天工",AE53,(AE53+AT53+BI53+BX53+CM53+DB53+DQ53))*(1+J53)*F53*K53*(1+G53)</f>
        <v>1306.03003368104</v>
      </c>
      <c r="I53" s="93">
        <f t="shared" si="16"/>
        <v>0.000167541083349757</v>
      </c>
      <c r="J53" s="93">
        <f>$F$3+VLOOKUP($E53,武器奇术!$A:$R,12,FALSE)+VLOOKUP($E53,武器奇术!$A:$R,14,FALSE)*$G$3+$P53</f>
        <v>0.823</v>
      </c>
      <c r="K53" s="94">
        <f>VLOOKUP($E53,武器奇术!$A:$R,11,FALSE)</f>
        <v>1</v>
      </c>
      <c r="L53" s="109">
        <f>IF(VLOOKUP($E53,武器奇术!$A:$R,15,FALSE)="天工",0%,IF($C$17+VLOOKUP($E53,武器奇术!$A:$R,7,FALSE)&gt;80%,80%,$C$17+VLOOKUP($E53,武器奇术!$A:$R,7,FALSE))+IF($C$19&gt;20%,20%,$C$19))</f>
        <v>0.8135</v>
      </c>
      <c r="M53" s="110">
        <f>IF(VLOOKUP($E53,武器奇术!$A:$R,15,FALSE)="天工",0%,IF($C$18+VLOOKUP($E53,武器奇术!$A:$R,9,FALSE)&gt;40%,40%,$C$18+VLOOKUP($E53,武器奇术!$A:$R,9,FALSE))+IF($C$20&gt;10%,10%,$C$20))</f>
        <v>0.0986</v>
      </c>
      <c r="N53" s="111">
        <f>IF(VLOOKUP($E53,武器奇术!$A:$R,15,FALSE)="天工",100%,MIN($C$16,1))</f>
        <v>1</v>
      </c>
      <c r="O53" s="112" t="str">
        <f>VLOOKUP($E53,武器奇术!$A:$R,16,FALSE)</f>
        <v>绳标</v>
      </c>
      <c r="P53" s="113">
        <f t="shared" si="17"/>
        <v>0.17</v>
      </c>
      <c r="Q53" s="99">
        <f>$B$5*(1+VLOOKUP($E53,武器奇术!$A:$R,5,FALSE)+IF($G$5="飞隼",0.1,0)+IF($G$5="撼天",0.05,0))-$F$9*IF(VLOOKUP($E53,武器奇术!$A:$S,19,FALSE)=1,0.9,1)+IF($I$5="√",160,0)</f>
        <v>2848.3</v>
      </c>
      <c r="R53" s="91">
        <f t="shared" si="18"/>
        <v>2848.3</v>
      </c>
      <c r="S53" s="91">
        <f>MAX($C$5,$B$5)*(1+VLOOKUP($E53,武器奇术!$A:$R,5,FALSE)+IF($G$5="飞隼",0.1,0)+IF($G$5="撼天",0.05,0))-$F$9*IF(VLOOKUP($E53,武器奇术!$A:$S,19,FALSE)=1,0.9,1)+IF($I$5="√",320,0)</f>
        <v>2848.3</v>
      </c>
      <c r="T53" s="93">
        <f>IF(($D$5+VLOOKUP($E53,武器奇术!$A:$R,13,FALSE)+IF($I$3="√",10,0)-VLOOKUP($F$7,目标属性!$A:$R,5,FALSE))&gt;0,($D$5+VLOOKUP($E53,武器奇术!$A:$R,13,FALSE)+IF($I$3="√",10,0)-VLOOKUP($F$7,目标属性!$A:$R,5,FALSE))/200,($D$5+VLOOKUP($E53,武器奇术!$A:$R,13,FALSE)+IF($I$3="√",10,0)-VLOOKUP($F$7,目标属性!$A:$R,5,FALSE))/100)</f>
        <v>0.3925</v>
      </c>
      <c r="U53" s="100">
        <f>$E$5+IF(VLOOKUP($E53,武器奇术!$A:$R,18,FALSE)="鼠鼠",0.24,0)</f>
        <v>0</v>
      </c>
      <c r="V53" s="91">
        <v>1</v>
      </c>
      <c r="W53" s="92">
        <f>Q53*VLOOKUP($E53,武器奇术!$A:$R,2,FALSE)*(1+T53)*(1+U53)*V53</f>
        <v>246.304606275</v>
      </c>
      <c r="X53" s="93">
        <f>(1-IF(VLOOKUP($E53,武器奇术!$A:$R,16,FALSE)="陌刀",1,$N53))*(1-$M53)</f>
        <v>0</v>
      </c>
      <c r="Y53" s="92">
        <f>R53*VLOOKUP($E53,武器奇术!$A:$R,2,FALSE)*(1+T53)*(1+U53)*V53*(1+$E$16+VLOOKUP($E53,武器奇术!$A:$R,8,FALSE))</f>
        <v>466.50092428485</v>
      </c>
      <c r="Z53" s="93">
        <f t="shared" si="19"/>
        <v>0.8135</v>
      </c>
      <c r="AA53" s="92">
        <f>S53*VLOOKUP($E53,武器奇术!$A:$R,2,FALSE)*(1+T53)*(1+U53)*V53*(1+$E$17+VLOOKUP($E53,武器奇术!$A:$R,10,FALSE))</f>
        <v>332.51121847125</v>
      </c>
      <c r="AB53" s="93">
        <f t="shared" si="20"/>
        <v>0.0986</v>
      </c>
      <c r="AC53" s="92">
        <f>R53*VLOOKUP($E53,武器奇术!$A:$R,2,FALSE)*(1+T53)*(1+U53)*V53</f>
        <v>246.304606275</v>
      </c>
      <c r="AD53" s="93">
        <f t="shared" si="21"/>
        <v>0.0879</v>
      </c>
      <c r="AE53" s="101">
        <f t="shared" si="22"/>
        <v>433.934282938563</v>
      </c>
      <c r="AF53" s="102">
        <f>VLOOKUP($E53,武器奇术!$A:$R,3,FALSE)*(1+IF(VLOOKUP($E53,武器奇术!$A:$R,15,FALSE)="武器",$E$15,0))</f>
        <v>22.1</v>
      </c>
      <c r="AG53" s="92">
        <f t="shared" si="23"/>
        <v>22.1</v>
      </c>
      <c r="AH53" s="92">
        <f>VLOOKUP($E53,武器奇术!$A:$R,3,FALSE)*(1+IF(VLOOKUP($E53,武器奇术!$A:$R,15,FALSE)="武器",$E$15,0))</f>
        <v>22.1</v>
      </c>
      <c r="AI53" s="93">
        <f>IF(($D$5+VLOOKUP($E53,武器奇术!$A:$R,13,FALSE)+IF($I$3="√",10,0)-VLOOKUP($F$7,目标属性!$A:$R,5,FALSE))&gt;0,($D$5+VLOOKUP($E53,武器奇术!$A:$R,13,FALSE)+IF($I$3="√",10,0)-VLOOKUP($F$7,目标属性!$A:$R,5,FALSE))/200,($D$5+VLOOKUP($E53,武器奇术!$A:$R,13,FALSE)+IF($I$3="√",10,0)-VLOOKUP($F$7,目标属性!$A:$R,5,FALSE))/100)</f>
        <v>0.3925</v>
      </c>
      <c r="AJ53" s="100">
        <f>$E$5+IF(VLOOKUP($E53,武器奇术!$A:$R,18,FALSE)="鼠鼠",0.24,0)</f>
        <v>0</v>
      </c>
      <c r="AK53" s="91">
        <v>1</v>
      </c>
      <c r="AL53" s="92">
        <f t="shared" si="24"/>
        <v>30.77425</v>
      </c>
      <c r="AM53" s="93">
        <f>(1-IF(VLOOKUP($E53,武器奇术!$A:$R,16,FALSE)="陌刀",1,$N53))*(1-$M53)</f>
        <v>0</v>
      </c>
      <c r="AN53" s="92">
        <f>AG53*(1+AI53)*(1+AJ53)*AK53*(1+$E$16+VLOOKUP($E53,武器奇术!$A:$R,8,FALSE))</f>
        <v>58.2864295</v>
      </c>
      <c r="AO53" s="93">
        <f t="shared" si="1"/>
        <v>0.8135</v>
      </c>
      <c r="AP53" s="92">
        <f>AH53*(1+AI53)*(1+AJ53)*AK53*(1+$E$17+VLOOKUP($E53,武器奇术!$A:$R,10,FALSE))</f>
        <v>41.5452375</v>
      </c>
      <c r="AQ53" s="93">
        <f t="shared" si="2"/>
        <v>0.0986</v>
      </c>
      <c r="AR53" s="92">
        <f t="shared" si="25"/>
        <v>30.77425</v>
      </c>
      <c r="AS53" s="93">
        <f t="shared" si="26"/>
        <v>0.0879</v>
      </c>
      <c r="AT53" s="101">
        <f t="shared" si="27"/>
        <v>54.21742739075</v>
      </c>
      <c r="AU53" s="99">
        <f>IF(VLOOKUP($E53,武器奇术!$A:$R,18,FALSE)="极乐",0,$B$7*IF($G$5="撼天",1.05,1)+IF(AND(VLOOKUP($E53,武器奇术!$A:$R,15,FALSE)="武器",VLOOKUP($E53,武器奇术!$A:$R,17,FALSE)="鸣金"),$E$3*(1+$E$15),0))</f>
        <v>0</v>
      </c>
      <c r="AV53" s="91">
        <f t="shared" si="28"/>
        <v>0</v>
      </c>
      <c r="AW53" s="91">
        <f>IF(VLOOKUP($E53,武器奇术!$A:$R,18,FALSE)="极乐",0,MAX($C$7*IF($G$5="撼天",1.05,1)+IF(AND(VLOOKUP($E53,武器奇术!$A:$R,15,FALSE)="武器",VLOOKUP($E53,武器奇术!$A:$R,17,FALSE)="鸣金"),$E$3*(1+$E$15),0),AU53))</f>
        <v>0</v>
      </c>
      <c r="AX53" s="93">
        <f>IF(($D$7+IF(VLOOKUP($E53,武器奇术!$A:$R,17,FALSE)="鸣金",$D$15,0)-VLOOKUP($F$7,目标属性!$A:$R,6,FALSE))&gt;0,($D$7+IF(VLOOKUP($E53,武器奇术!$A:$R,17,FALSE)="鸣金",$D$15,0)-VLOOKUP($F$7,目标属性!$A:$R,6,FALSE))/200,($D$7+IF(VLOOKUP($E53,武器奇术!$A:$R,17,FALSE)="鸣金",$D$15,0)-VLOOKUP($F$7,目标属性!$A:$R,6,FALSE))/100)</f>
        <v>-0.24</v>
      </c>
      <c r="AY53" s="100">
        <f t="shared" si="50"/>
        <v>0</v>
      </c>
      <c r="AZ53" s="91">
        <v>1</v>
      </c>
      <c r="BA53" s="92">
        <f>AU53*IF(VLOOKUP($E53,武器奇术!$A:$R,17,FALSE)="鸣金",VLOOKUP($E53,武器奇术!$A:$R,4,FALSE),VLOOKUP($E53,武器奇术!$A:$R,2,FALSE))*(1+AX53)*(1+AY53)*AZ53</f>
        <v>0</v>
      </c>
      <c r="BB53" s="93">
        <f>(1-IF(VLOOKUP($E53,武器奇术!$A:$R,16,FALSE)="陌刀",1,$N53))*(1-$M53)</f>
        <v>0</v>
      </c>
      <c r="BC53" s="92">
        <f>AV53*IF(VLOOKUP($E53,武器奇术!$A:$R,17,FALSE)="鸣金",VLOOKUP($E53,武器奇术!$A:$R,4,FALSE),VLOOKUP($E53,武器奇术!$A:$R,2,FALSE))*(1+AX53)*(1+AY53)*AZ53*(1+$E$16+VLOOKUP($E53,武器奇术!$A:$R,8,FALSE))</f>
        <v>0</v>
      </c>
      <c r="BD53" s="93">
        <f t="shared" si="3"/>
        <v>0.8135</v>
      </c>
      <c r="BE53" s="92">
        <f>AW53*IF(VLOOKUP($E53,武器奇术!$A:$R,17,FALSE)="鸣金",VLOOKUP($E53,武器奇术!$A:$R,4,FALSE),VLOOKUP($E53,武器奇术!$A:$R,2,FALSE))*(1+AX53)*(1+AY53)*AZ53*(1+$E$17+VLOOKUP($E53,武器奇术!$A:$R,10,FALSE))</f>
        <v>0</v>
      </c>
      <c r="BF53" s="93">
        <f t="shared" si="4"/>
        <v>0.0986</v>
      </c>
      <c r="BG53" s="92">
        <f>AV53*IF(VLOOKUP($E53,武器奇术!$A:$R,17,FALSE)="鸣金",VLOOKUP($E53,武器奇术!$A:$R,4,FALSE),VLOOKUP($E53,武器奇术!$A:$R,2,FALSE))*(1+AX53)*(1+AY53)*AZ53</f>
        <v>0</v>
      </c>
      <c r="BH53" s="93">
        <f t="shared" si="30"/>
        <v>0.0879</v>
      </c>
      <c r="BI53" s="101">
        <f t="shared" si="31"/>
        <v>0</v>
      </c>
      <c r="BJ53" s="99">
        <f>IF(VLOOKUP($E53,武器奇术!$A:$R,18,FALSE)="极乐",0,$B$9*IF($G$5="撼天",1.05,1)+IF(AND(VLOOKUP($E53,武器奇术!$A:$R,15,FALSE)="武器",VLOOKUP($E53,武器奇术!$A:$R,17,FALSE)="裂石"),$E$3*(1+$E$15),0))</f>
        <v>0</v>
      </c>
      <c r="BK53" s="91">
        <f t="shared" si="32"/>
        <v>0</v>
      </c>
      <c r="BL53" s="91">
        <f>IF(VLOOKUP($E53,武器奇术!$A:$R,18,FALSE)="极乐",0,MAX($C$9*IF($G$5="撼天",1.05,1)+IF(AND(VLOOKUP($E53,武器奇术!$A:$R,15,FALSE)="武器",VLOOKUP($E53,武器奇术!$A:$R,17,FALSE)="裂石"),$E$3*(1+$E$15),0),BJ53))</f>
        <v>0</v>
      </c>
      <c r="BM53" s="93">
        <f>IF(($D$9+IF(VLOOKUP($E53,武器奇术!$A:$R,17,FALSE)="裂石",$D$15,0)-VLOOKUP($F$7,目标属性!$A:$R,6,FALSE))&gt;0,($D$9+IF(VLOOKUP($E53,武器奇术!$A:$R,17,FALSE)="裂石",$D$15,0)-VLOOKUP($F$7,目标属性!$A:$R,6,FALSE))/200,($D$9+IF(VLOOKUP($E53,武器奇术!$A:$R,17,FALSE)="裂石",$D$15,0)-VLOOKUP($F$7,目标属性!$A:$R,6,FALSE))/100)</f>
        <v>-0.24</v>
      </c>
      <c r="BN53" s="100">
        <f t="shared" si="51"/>
        <v>0</v>
      </c>
      <c r="BO53" s="91">
        <v>1</v>
      </c>
      <c r="BP53" s="92">
        <f>BJ53*IF(VLOOKUP($E53,武器奇术!$A:$R,17,FALSE)="裂石",VLOOKUP($E53,武器奇术!$A:$R,4,FALSE),VLOOKUP($E53,武器奇术!$A:$R,2,FALSE))*(1+BM53)*(1+BN53)*BO53</f>
        <v>0</v>
      </c>
      <c r="BQ53" s="93">
        <f>(1-IF(VLOOKUP($E53,武器奇术!$A:$R,16,FALSE)="陌刀",1,$N53))*(1-$M53)</f>
        <v>0</v>
      </c>
      <c r="BR53" s="92">
        <f>BK53*IF(VLOOKUP($E53,武器奇术!$A:$R,17,FALSE)="裂石",VLOOKUP($E53,武器奇术!$A:$R,4,FALSE),VLOOKUP($E53,武器奇术!$A:$R,2,FALSE))*(1+BM53)*(1+BN53)*BO53*(1+$E$16+VLOOKUP($E53,武器奇术!$A:$R,8,FALSE))</f>
        <v>0</v>
      </c>
      <c r="BS53" s="93">
        <f t="shared" si="5"/>
        <v>0.8135</v>
      </c>
      <c r="BT53" s="92">
        <f>BL53*IF(VLOOKUP($E53,武器奇术!$A:$R,17,FALSE)="裂石",VLOOKUP($E53,武器奇术!$A:$R,4,FALSE),VLOOKUP($E53,武器奇术!$A:$R,2,FALSE))*(1+BM53)*(1+BN53)*BO53*(1+$E$17+VLOOKUP($E53,武器奇术!$A:$R,10,FALSE))</f>
        <v>0</v>
      </c>
      <c r="BU53" s="93">
        <f t="shared" si="6"/>
        <v>0.0986</v>
      </c>
      <c r="BV53" s="92">
        <f>BK53*IF(VLOOKUP($E53,武器奇术!$A:$R,17,FALSE)="裂石",VLOOKUP($E53,武器奇术!$A:$R,4,FALSE),VLOOKUP($E53,武器奇术!$A:$R,2,FALSE))*(1+BM53)*(1+BN53)*BO53</f>
        <v>0</v>
      </c>
      <c r="BW53" s="93">
        <f t="shared" si="34"/>
        <v>0.0879</v>
      </c>
      <c r="BX53" s="101">
        <f t="shared" si="35"/>
        <v>0</v>
      </c>
      <c r="BY53" s="99">
        <f>IF(VLOOKUP($E53,武器奇术!$A:$R,18,FALSE)="极乐",0,$B$11*IF($G$5="撼天",1.05,1)+IF(AND(VLOOKUP($E53,武器奇术!$A:$R,15,FALSE)="武器",VLOOKUP($E53,武器奇术!$A:$R,17,FALSE)="牵丝"),$E$3*(1+$E$15),0))</f>
        <v>0</v>
      </c>
      <c r="BZ53" s="91">
        <f t="shared" si="36"/>
        <v>0</v>
      </c>
      <c r="CA53" s="91">
        <f>IF(VLOOKUP($E53,武器奇术!$A:$R,18,FALSE)="极乐",0,MAX($C$11*IF($G$5="撼天",1.05,1)+IF(AND(VLOOKUP($E53,武器奇术!$A:$R,15,FALSE)="武器",VLOOKUP($E53,武器奇术!$A:$R,17,FALSE)="牵丝"),$E$3*(1+$E$15),0),BY53))</f>
        <v>0</v>
      </c>
      <c r="CB53" s="93">
        <f>IF(($D$11+IF(VLOOKUP($E53,武器奇术!$A:$R,17,FALSE)="牵丝",$D$15,0)-VLOOKUP($F$7,目标属性!$A:$R,6,FALSE))&gt;0,($D$11+IF(VLOOKUP($E53,武器奇术!$A:$R,17,FALSE)="牵丝",$D$15,0)-VLOOKUP($F$7,目标属性!$A:$R,6,FALSE))/200,($D$11+IF(VLOOKUP($E53,武器奇术!$A:$R,17,FALSE)="牵丝",$D$15,0)-VLOOKUP($F$7,目标属性!$A:$R,6,FALSE))/100)</f>
        <v>-0.24</v>
      </c>
      <c r="CC53" s="100">
        <f t="shared" si="52"/>
        <v>0</v>
      </c>
      <c r="CD53" s="91">
        <v>1</v>
      </c>
      <c r="CE53" s="92">
        <f>BY53*IF(VLOOKUP($E53,武器奇术!$A:$R,17,FALSE)="牵丝",VLOOKUP($E53,武器奇术!$A:$R,4,FALSE),VLOOKUP($E53,武器奇术!$A:$R,2,FALSE))*(1+CB53)*(1+CC53)*CD53</f>
        <v>0</v>
      </c>
      <c r="CF53" s="93">
        <f>(1-IF(VLOOKUP($E53,武器奇术!$A:$R,16,FALSE)="陌刀",1,$N53))*(1-$M53)</f>
        <v>0</v>
      </c>
      <c r="CG53" s="92">
        <f>BZ53*IF(VLOOKUP($E53,武器奇术!$A:$R,17,FALSE)="牵丝",VLOOKUP($E53,武器奇术!$A:$R,4,FALSE),VLOOKUP($E53,武器奇术!$A:$R,2,FALSE))*(1+CB53)*(1+CC53)*CD53*(1+$E$16+VLOOKUP($E53,武器奇术!$A:$R,8,FALSE))</f>
        <v>0</v>
      </c>
      <c r="CH53" s="93">
        <f t="shared" si="7"/>
        <v>0.8135</v>
      </c>
      <c r="CI53" s="92">
        <f>CA53*IF(VLOOKUP($E53,武器奇术!$A:$R,17,FALSE)="牵丝",VLOOKUP($E53,武器奇术!$A:$R,4,FALSE),VLOOKUP($E53,武器奇术!$A:$R,2,FALSE))*(1+CB53)*(1+CC53)*CD53*(1+$E$17+VLOOKUP($E53,武器奇术!$A:$R,10,FALSE))</f>
        <v>0</v>
      </c>
      <c r="CJ53" s="93">
        <f t="shared" si="8"/>
        <v>0.0986</v>
      </c>
      <c r="CK53" s="92">
        <f>BZ53*IF(VLOOKUP($E53,武器奇术!$A:$R,17,FALSE)="牵丝",VLOOKUP($E53,武器奇术!$A:$R,4,FALSE),VLOOKUP($E53,武器奇术!$A:$R,2,FALSE))*(1+CB53)*(1+CC53)*CD53</f>
        <v>0</v>
      </c>
      <c r="CL53" s="93">
        <f t="shared" si="38"/>
        <v>0.0879</v>
      </c>
      <c r="CM53" s="101">
        <f t="shared" si="39"/>
        <v>0</v>
      </c>
      <c r="CN53" s="99">
        <f>IF(VLOOKUP($E53,武器奇术!$A:$R,18,FALSE)="极乐",0,$B$13*IF($G$5="撼天",1.05,1)+IF(AND(VLOOKUP($E53,武器奇术!$A:$R,15,FALSE)="武器",VLOOKUP($E53,武器奇术!$A:$R,17,FALSE)="破竹"),$E$3*(1+$E$15),0))</f>
        <v>686.71</v>
      </c>
      <c r="CO53" s="91">
        <f t="shared" si="40"/>
        <v>1052.21</v>
      </c>
      <c r="CP53" s="91">
        <f>IF(VLOOKUP($E53,武器奇术!$A:$R,18,FALSE)="极乐",0,MAX($C$13*IF($G$5="撼天",1.05,1)+IF(AND(VLOOKUP($E53,武器奇术!$A:$R,15,FALSE)="武器",VLOOKUP($E53,武器奇术!$A:$R,17,FALSE)="破竹"),$E$3*(1+$E$15),0),CN53))</f>
        <v>1417.71</v>
      </c>
      <c r="CQ53" s="93">
        <f>IF(($D$13+IF(VLOOKUP($E53,武器奇术!$A:$R,17,FALSE)="破竹",$D$15,0)-VLOOKUP($F$7,目标属性!$A:$R,6,FALSE)+IF(VLOOKUP($E53,武器奇术!$A:$V,22,FALSE)=1,4,0)+IF(VLOOKUP($E53,武器奇术!$A:$T,20,FALSE)=1,10,0))&gt;0,($D$13+IF(VLOOKUP($E53,武器奇术!$A:$R,17,FALSE)="破竹",$D$15,0)-VLOOKUP($F$7,目标属性!$A:$R,6,FALSE)+IF(VLOOKUP($E53,武器奇术!$A:$V,22,FALSE)=1,4,0)+IF(VLOOKUP($E53,武器奇术!$A:$T,20,FALSE)=1,10,0))/200,($D$13+IF(VLOOKUP($E53,武器奇术!$A:$R,17,FALSE)="破竹",$D$15,0)-VLOOKUP($F$7,目标属性!$A:$R,6,FALSE)+IF(VLOOKUP($E53,武器奇术!$A:$V,22,FALSE)=1,4,0)+IF(VLOOKUP($E53,武器奇术!$A:$T,20,FALSE)=1,10,0))/100)</f>
        <v>0.028</v>
      </c>
      <c r="CR53" s="100">
        <f>$E$13</f>
        <v>0.148</v>
      </c>
      <c r="CS53" s="91">
        <v>1</v>
      </c>
      <c r="CT53" s="92">
        <f>CN53*IF(VLOOKUP($E53,武器奇术!$A:$R,17,FALSE)="破竹",VLOOKUP($E53,武器奇术!$A:$R,4,FALSE),VLOOKUP($E53,武器奇术!$A:$R,2,FALSE))*(1+CQ53)*(1+CR53)*CS53</f>
        <v>75.530835157568</v>
      </c>
      <c r="CU53" s="93">
        <f>(1-IF(VLOOKUP($E53,武器奇术!$A:$R,16,FALSE)="陌刀",1,$N53))*(1-$M53)</f>
        <v>0</v>
      </c>
      <c r="CV53" s="92">
        <f>CO53*IF(VLOOKUP($E53,武器奇术!$A:$R,17,FALSE)="破竹",VLOOKUP($E53,武器奇术!$A:$R,4,FALSE),VLOOKUP($E53,武器奇术!$A:$R,2,FALSE))*(1+CQ53)*(1+CR53)*CS53*(1+$E$16+VLOOKUP($E53,武器奇术!$A:$R,8,FALSE))</f>
        <v>219.196348263179</v>
      </c>
      <c r="CW53" s="93">
        <f t="shared" si="9"/>
        <v>0.8135</v>
      </c>
      <c r="CX53" s="92">
        <f>CP53*IF(VLOOKUP($E53,武器奇术!$A:$R,17,FALSE)="破竹",VLOOKUP($E53,武器奇术!$A:$R,4,FALSE),VLOOKUP($E53,武器奇术!$A:$R,2,FALSE))*(1+CQ53)*(1+CR53)*CS53*(1+$E$17+VLOOKUP($E53,武器奇术!$A:$R,10,FALSE))</f>
        <v>210.509687379197</v>
      </c>
      <c r="CY53" s="93">
        <f t="shared" si="10"/>
        <v>0.0986</v>
      </c>
      <c r="CZ53" s="92">
        <f>CO53*IF(VLOOKUP($E53,武器奇术!$A:$R,17,FALSE)="破竹",VLOOKUP($E53,武器奇术!$A:$R,4,FALSE),VLOOKUP($E53,武器奇术!$A:$R,2,FALSE))*(1+CQ53)*(1+CR53)*CS53</f>
        <v>115.731968459968</v>
      </c>
      <c r="DA53" s="93">
        <f t="shared" si="42"/>
        <v>0.0879</v>
      </c>
      <c r="DB53" s="101">
        <f t="shared" si="43"/>
        <v>209.245324515316</v>
      </c>
      <c r="DC53" s="99">
        <f>IF(VLOOKUP($E53,武器奇术!$A:$R,18,FALSE)="极乐",0,$B$15)</f>
        <v>66</v>
      </c>
      <c r="DD53" s="91">
        <f t="shared" si="44"/>
        <v>95.9</v>
      </c>
      <c r="DE53" s="91">
        <f>IF(VLOOKUP($E53,武器奇术!$A:$R,18,FALSE)="极乐",0,$C$15)</f>
        <v>125.8</v>
      </c>
      <c r="DF53" s="93">
        <f>IF((IF(VLOOKUP($E53,武器奇术!$A:$R,17,FALSE)="鸣金",$D$7,0)+IF(VLOOKUP($E53,武器奇术!$A:$R,17,FALSE)="裂石",$D$9,0)+IF(VLOOKUP($E53,武器奇术!$A:$R,17,FALSE)="牵丝",$D$11,0)+IF(VLOOKUP($E53,武器奇术!$A:$R,17,FALSE)="破竹",$D$13,0)+$D$15-VLOOKUP($F$7,目标属性!$A:$R,6,FALSE)+IF(VLOOKUP($E53,武器奇术!$A:$V,22,FALSE)=1,4,0)+IF(VLOOKUP($E53,武器奇术!$A:$T,20,FALSE)=1,10,0))&gt;0,(IF(VLOOKUP($E53,武器奇术!$A:$R,17,FALSE)="鸣金",$D$7,0)+IF(VLOOKUP($E53,武器奇术!$A:$R,17,FALSE)="裂石",$D$9,0)+IF(VLOOKUP($E53,武器奇术!$A:$R,17,FALSE)="牵丝",$D$11,0)+IF(VLOOKUP($E53,武器奇术!$A:$R,17,FALSE)="破竹",$D$13,0)+$D$15-VLOOKUP($F$7,目标属性!$A:$R,6,FALSE)+IF(VLOOKUP($E53,武器奇术!$A:$V,22,FALSE)=1,4,0)+IF(VLOOKUP($E53,武器奇术!$A:$T,20,FALSE)=1,10,0))/200,(IF(VLOOKUP($E53,武器奇术!$A:$R,17,FALSE)="鸣金",$D$7,0)+IF(VLOOKUP($E53,武器奇术!$A:$R,17,FALSE)="裂石",$D$9,0)+IF(VLOOKUP($E53,武器奇术!$A:$R,17,FALSE)="牵丝",$D$11,0)+IF(VLOOKUP($E53,武器奇术!$A:$R,17,FALSE)="破竹",$D$13,0)+$D$15-VLOOKUP($F$7,目标属性!$A:$R,6,FALSE)+IF(VLOOKUP($E53,武器奇术!$A:$V,22,FALSE)=1,4,0)+IF(VLOOKUP($E53,武器奇术!$A:$T,20,FALSE)=1,10,0))/100)</f>
        <v>0.028</v>
      </c>
      <c r="DG53" s="100">
        <f>$E$13</f>
        <v>0.148</v>
      </c>
      <c r="DH53" s="91">
        <v>1</v>
      </c>
      <c r="DI53" s="92">
        <f>DC53*IF(VLOOKUP($E53,武器奇术!$A:$R,17,FALSE)="破竹",VLOOKUP($E53,武器奇术!$A:$R,4,FALSE),VLOOKUP($E53,武器奇术!$A:$R,2,FALSE))*(1+DF53)*(1+DG53)*DH53</f>
        <v>7.2593017728</v>
      </c>
      <c r="DJ53" s="93">
        <f>(1-IF(VLOOKUP($E53,武器奇术!$A:$R,16,FALSE)="陌刀",1,$N53))*(1-$M53)</f>
        <v>0</v>
      </c>
      <c r="DK53" s="92">
        <f>DD53*IF(VLOOKUP($E53,武器奇术!$A:$R,17,FALSE)="破竹",VLOOKUP($E53,武器奇术!$A:$R,4,FALSE),VLOOKUP($E53,武器奇术!$A:$R,2,FALSE))*(1+DF53)*(1+DG53)*DH53*(1+$E$16+VLOOKUP($E53,武器奇术!$A:$R,8,FALSE))</f>
        <v>19.9778844512397</v>
      </c>
      <c r="DL53" s="93">
        <f t="shared" si="12"/>
        <v>0.8135</v>
      </c>
      <c r="DM53" s="92">
        <f>DE53*IF(VLOOKUP($E53,武器奇术!$A:$R,17,FALSE)="破竹",VLOOKUP($E53,武器奇术!$A:$R,4,FALSE),VLOOKUP($E53,武器奇术!$A:$R,2,FALSE))*(1+DF53)*(1+DG53)*DH53*(1+$E$17+VLOOKUP($E53,武器奇术!$A:$R,10,FALSE))</f>
        <v>18.679503334464</v>
      </c>
      <c r="DN53" s="93">
        <f t="shared" si="13"/>
        <v>0.0986</v>
      </c>
      <c r="DO53" s="92">
        <f>DD53*IF(VLOOKUP($E53,武器奇术!$A:$R,17,FALSE)="破竹",VLOOKUP($E53,武器奇术!$A:$R,4,FALSE),VLOOKUP($E53,武器奇术!$A:$R,2,FALSE))*(1+DF53)*(1+DG53)*DH53</f>
        <v>10.54798545472</v>
      </c>
      <c r="DP53" s="93">
        <f t="shared" si="14"/>
        <v>0.0879</v>
      </c>
      <c r="DQ53" s="101">
        <f t="shared" si="15"/>
        <v>19.0209759513315</v>
      </c>
    </row>
    <row r="54" customFormat="1" spans="1:121">
      <c r="A54" s="126"/>
      <c r="B54" s="12"/>
      <c r="C54" s="12"/>
      <c r="D54" s="12"/>
      <c r="E54" s="105" t="s">
        <v>130</v>
      </c>
      <c r="F54" s="106">
        <v>2</v>
      </c>
      <c r="G54" s="107">
        <f>$E$24</f>
        <v>0</v>
      </c>
      <c r="H54" s="92">
        <f>IF(VLOOKUP($E54,武器奇术!$A:$R,18,FALSE)="天工",AE54,(AE54+AT54+BI54+BX54+CM54+DB54+DQ54))*(1+J54)*F54*K54*(1+G54)</f>
        <v>44659.7992005831</v>
      </c>
      <c r="I54" s="93">
        <f t="shared" si="16"/>
        <v>0.00572908045549256</v>
      </c>
      <c r="J54" s="93">
        <f>$F$3+VLOOKUP($E54,武器奇术!$A:$R,12,FALSE)+VLOOKUP($E54,武器奇术!$A:$R,14,FALSE)*$G$3+$P54</f>
        <v>0.943</v>
      </c>
      <c r="K54" s="94">
        <f>VLOOKUP($E54,武器奇术!$A:$R,11,FALSE)</f>
        <v>1</v>
      </c>
      <c r="L54" s="109">
        <f>IF(VLOOKUP($E54,武器奇术!$A:$R,15,FALSE)="天工",0%,IF($C$17+VLOOKUP($E54,武器奇术!$A:$R,7,FALSE)&gt;80%,80%,$C$17+VLOOKUP($E54,武器奇术!$A:$R,7,FALSE))+IF($C$19&gt;20%,20%,$C$19))</f>
        <v>0.887</v>
      </c>
      <c r="M54" s="110">
        <f>IF(VLOOKUP($E54,武器奇术!$A:$R,15,FALSE)="天工",0%,IF($C$18+VLOOKUP($E54,武器奇术!$A:$R,9,FALSE)&gt;40%,40%,$C$18+VLOOKUP($E54,武器奇术!$A:$R,9,FALSE))+IF($C$20&gt;10%,10%,$C$20))</f>
        <v>0.0986</v>
      </c>
      <c r="N54" s="111">
        <f>IF(VLOOKUP($E54,武器奇术!$A:$R,15,FALSE)="天工",100%,MIN($C$16,1))</f>
        <v>1</v>
      </c>
      <c r="O54" s="112" t="str">
        <f>VLOOKUP($E54,武器奇术!$A:$R,16,FALSE)</f>
        <v>双刀</v>
      </c>
      <c r="P54" s="113">
        <f t="shared" si="17"/>
        <v>0.17</v>
      </c>
      <c r="Q54" s="99">
        <f>$B$5*(1+VLOOKUP($E54,武器奇术!$A:$R,5,FALSE)+IF($G$5="飞隼",0.1,0)+IF($G$5="撼天",0.05,0))-$F$9*IF(VLOOKUP($E54,武器奇术!$A:$S,19,FALSE)=1,0.9,1)+IF($I$5="√",160,0)</f>
        <v>2904.2</v>
      </c>
      <c r="R54" s="91">
        <f t="shared" si="18"/>
        <v>2904.2</v>
      </c>
      <c r="S54" s="91">
        <f>MAX($C$5,$B$5)*(1+VLOOKUP($E54,武器奇术!$A:$R,5,FALSE)+IF($G$5="飞隼",0.1,0)+IF($G$5="撼天",0.05,0))-$F$9*IF(VLOOKUP($E54,武器奇术!$A:$S,19,FALSE)=1,0.9,1)+IF($I$5="√",320,0)</f>
        <v>2904.2</v>
      </c>
      <c r="T54" s="93">
        <f>IF(($D$5+VLOOKUP($E54,武器奇术!$A:$R,13,FALSE)+IF($I$3="√",10,0)-VLOOKUP($F$7,目标属性!$A:$R,5,FALSE))&gt;0,($D$5+VLOOKUP($E54,武器奇术!$A:$R,13,FALSE)+IF($I$3="√",10,0)-VLOOKUP($F$7,目标属性!$A:$R,5,FALSE))/200,($D$5+VLOOKUP($E54,武器奇术!$A:$R,13,FALSE)+IF($I$3="√",10,0)-VLOOKUP($F$7,目标属性!$A:$R,5,FALSE))/100)</f>
        <v>0.3925</v>
      </c>
      <c r="U54" s="120">
        <f>$E$5+IF(VLOOKUP($E54,武器奇术!$A:$R,18,FALSE)="鼠鼠",0.24,0)+IF(期望!$G$5="燕归",6/100,0)</f>
        <v>0.06</v>
      </c>
      <c r="V54" s="91">
        <v>1</v>
      </c>
      <c r="W54" s="92">
        <f>Q54*VLOOKUP($E54,武器奇术!$A:$R,2,FALSE)*(1+T54)*(1+U54)*V54</f>
        <v>3051.8190803672</v>
      </c>
      <c r="X54" s="93">
        <f>(1-IF(VLOOKUP($E54,武器奇术!$A:$R,16,FALSE)="陌刀",1,$N54))*(1-$M54)</f>
        <v>0</v>
      </c>
      <c r="Y54" s="92">
        <f>R54*VLOOKUP($E54,武器奇术!$A:$R,2,FALSE)*(1+T54)*(1+U54)*V54*(1+$E$16+VLOOKUP($E54,武器奇术!$A:$R,8,FALSE))</f>
        <v>7306.05487839908</v>
      </c>
      <c r="Z54" s="93">
        <f t="shared" si="19"/>
        <v>0.887</v>
      </c>
      <c r="AA54" s="92">
        <f>S54*VLOOKUP($E54,武器奇术!$A:$R,2,FALSE)*(1+T54)*(1+U54)*V54*(1+$E$17+VLOOKUP($E54,武器奇术!$A:$R,10,FALSE))</f>
        <v>4119.95575849572</v>
      </c>
      <c r="AB54" s="93">
        <f t="shared" si="20"/>
        <v>0.0986</v>
      </c>
      <c r="AC54" s="92">
        <f>R54*VLOOKUP($E54,武器奇术!$A:$R,2,FALSE)*(1+T54)*(1+U54)*V54</f>
        <v>3051.8190803672</v>
      </c>
      <c r="AD54" s="93">
        <f t="shared" si="21"/>
        <v>0.0144</v>
      </c>
      <c r="AE54" s="101">
        <f t="shared" si="22"/>
        <v>6930.64450968495</v>
      </c>
      <c r="AF54" s="102">
        <f>VLOOKUP($E54,武器奇术!$A:$R,3,FALSE)*(1+IF(VLOOKUP($E54,武器奇术!$A:$R,15,FALSE)="武器",$E$15,0))</f>
        <v>257.4</v>
      </c>
      <c r="AG54" s="92">
        <f t="shared" si="23"/>
        <v>257.4</v>
      </c>
      <c r="AH54" s="92">
        <f>VLOOKUP($E54,武器奇术!$A:$R,3,FALSE)*(1+IF(VLOOKUP($E54,武器奇术!$A:$R,15,FALSE)="武器",$E$15,0))</f>
        <v>257.4</v>
      </c>
      <c r="AI54" s="93">
        <f>IF(($D$5+VLOOKUP($E54,武器奇术!$A:$R,13,FALSE)+IF($I$3="√",10,0)-VLOOKUP($F$7,目标属性!$A:$R,5,FALSE))&gt;0,($D$5+VLOOKUP($E54,武器奇术!$A:$R,13,FALSE)+IF($I$3="√",10,0)-VLOOKUP($F$7,目标属性!$A:$R,5,FALSE))/200,($D$5+VLOOKUP($E54,武器奇术!$A:$R,13,FALSE)+IF($I$3="√",10,0)-VLOOKUP($F$7,目标属性!$A:$R,5,FALSE))/100)</f>
        <v>0.3925</v>
      </c>
      <c r="AJ54" s="120">
        <f>$E$5+IF(VLOOKUP($E54,武器奇术!$A:$R,18,FALSE)="鼠鼠",0.24,0)+IF(期望!$G$5="燕归",6/100,0)</f>
        <v>0.06</v>
      </c>
      <c r="AK54" s="91">
        <v>1</v>
      </c>
      <c r="AL54" s="92">
        <f t="shared" si="24"/>
        <v>379.93527</v>
      </c>
      <c r="AM54" s="93">
        <f>(1-IF(VLOOKUP($E54,武器奇术!$A:$R,16,FALSE)="陌刀",1,$N54))*(1-$M54)</f>
        <v>0</v>
      </c>
      <c r="AN54" s="92">
        <f>AG54*(1+AI54)*(1+AJ54)*AK54*(1+$E$16+VLOOKUP($E54,武器奇术!$A:$R,8,FALSE))</f>
        <v>909.56503638</v>
      </c>
      <c r="AO54" s="93">
        <f t="shared" si="1"/>
        <v>0.887</v>
      </c>
      <c r="AP54" s="92">
        <f>AH54*(1+AI54)*(1+AJ54)*AK54*(1+$E$17+VLOOKUP($E54,武器奇术!$A:$R,10,FALSE))</f>
        <v>512.9126145</v>
      </c>
      <c r="AQ54" s="93">
        <f t="shared" si="2"/>
        <v>0.0986</v>
      </c>
      <c r="AR54" s="92">
        <f t="shared" si="25"/>
        <v>379.93527</v>
      </c>
      <c r="AS54" s="93">
        <f t="shared" si="26"/>
        <v>0.0144</v>
      </c>
      <c r="AT54" s="101">
        <f t="shared" si="27"/>
        <v>862.82843894676</v>
      </c>
      <c r="AU54" s="99">
        <f>IF(VLOOKUP($E54,武器奇术!$A:$R,18,FALSE)="极乐",0,$B$7*IF($G$5="撼天",1.05,1)+IF(AND(VLOOKUP($E54,武器奇术!$A:$R,15,FALSE)="武器",VLOOKUP($E54,武器奇术!$A:$R,17,FALSE)="鸣金"),$E$3*(1+$E$15),0))</f>
        <v>0</v>
      </c>
      <c r="AV54" s="91">
        <f t="shared" si="28"/>
        <v>0</v>
      </c>
      <c r="AW54" s="91">
        <f>IF(VLOOKUP($E54,武器奇术!$A:$R,18,FALSE)="极乐",0,MAX($C$7*IF($G$5="撼天",1.05,1)+IF(AND(VLOOKUP($E54,武器奇术!$A:$R,15,FALSE)="武器",VLOOKUP($E54,武器奇术!$A:$R,17,FALSE)="鸣金"),$E$3*(1+$E$15),0),AU54))</f>
        <v>0</v>
      </c>
      <c r="AX54" s="93">
        <f>IF(($D$7+IF(VLOOKUP($E54,武器奇术!$A:$R,17,FALSE)="鸣金",$D$15,0)-VLOOKUP($F$7,目标属性!$A:$R,6,FALSE))&gt;0,($D$7+IF(VLOOKUP($E54,武器奇术!$A:$R,17,FALSE)="鸣金",$D$15,0)-VLOOKUP($F$7,目标属性!$A:$R,6,FALSE))/200,($D$7+IF(VLOOKUP($E54,武器奇术!$A:$R,17,FALSE)="鸣金",$D$15,0)-VLOOKUP($F$7,目标属性!$A:$R,6,FALSE))/100)</f>
        <v>-0.24</v>
      </c>
      <c r="AY54" s="100">
        <f t="shared" si="50"/>
        <v>0</v>
      </c>
      <c r="AZ54" s="91">
        <v>1</v>
      </c>
      <c r="BA54" s="92">
        <f>AU54*IF(VLOOKUP($E54,武器奇术!$A:$R,17,FALSE)="鸣金",VLOOKUP($E54,武器奇术!$A:$R,4,FALSE),VLOOKUP($E54,武器奇术!$A:$R,2,FALSE))*(1+AX54)*(1+AY54)*AZ54</f>
        <v>0</v>
      </c>
      <c r="BB54" s="93">
        <f>(1-IF(VLOOKUP($E54,武器奇术!$A:$R,16,FALSE)="陌刀",1,$N54))*(1-$M54)</f>
        <v>0</v>
      </c>
      <c r="BC54" s="92">
        <f>AV54*IF(VLOOKUP($E54,武器奇术!$A:$R,17,FALSE)="鸣金",VLOOKUP($E54,武器奇术!$A:$R,4,FALSE),VLOOKUP($E54,武器奇术!$A:$R,2,FALSE))*(1+AX54)*(1+AY54)*AZ54*(1+$E$16+VLOOKUP($E54,武器奇术!$A:$R,8,FALSE))</f>
        <v>0</v>
      </c>
      <c r="BD54" s="93">
        <f t="shared" si="3"/>
        <v>0.887</v>
      </c>
      <c r="BE54" s="92">
        <f>AW54*IF(VLOOKUP($E54,武器奇术!$A:$R,17,FALSE)="鸣金",VLOOKUP($E54,武器奇术!$A:$R,4,FALSE),VLOOKUP($E54,武器奇术!$A:$R,2,FALSE))*(1+AX54)*(1+AY54)*AZ54*(1+$E$17+VLOOKUP($E54,武器奇术!$A:$R,10,FALSE))</f>
        <v>0</v>
      </c>
      <c r="BF54" s="93">
        <f t="shared" si="4"/>
        <v>0.0986</v>
      </c>
      <c r="BG54" s="92">
        <f>AV54*IF(VLOOKUP($E54,武器奇术!$A:$R,17,FALSE)="鸣金",VLOOKUP($E54,武器奇术!$A:$R,4,FALSE),VLOOKUP($E54,武器奇术!$A:$R,2,FALSE))*(1+AX54)*(1+AY54)*AZ54</f>
        <v>0</v>
      </c>
      <c r="BH54" s="93">
        <f t="shared" si="30"/>
        <v>0.0144</v>
      </c>
      <c r="BI54" s="101">
        <f t="shared" si="31"/>
        <v>0</v>
      </c>
      <c r="BJ54" s="99">
        <f>IF(VLOOKUP($E54,武器奇术!$A:$R,18,FALSE)="极乐",0,$B$9*IF($G$5="撼天",1.05,1)+IF(AND(VLOOKUP($E54,武器奇术!$A:$R,15,FALSE)="武器",VLOOKUP($E54,武器奇术!$A:$R,17,FALSE)="裂石"),$E$3*(1+$E$15),0))</f>
        <v>0</v>
      </c>
      <c r="BK54" s="91">
        <f t="shared" si="32"/>
        <v>0</v>
      </c>
      <c r="BL54" s="91">
        <f>IF(VLOOKUP($E54,武器奇术!$A:$R,18,FALSE)="极乐",0,MAX($C$9*IF($G$5="撼天",1.05,1)+IF(AND(VLOOKUP($E54,武器奇术!$A:$R,15,FALSE)="武器",VLOOKUP($E54,武器奇术!$A:$R,17,FALSE)="裂石"),$E$3*(1+$E$15),0),BJ54))</f>
        <v>0</v>
      </c>
      <c r="BM54" s="93">
        <f>IF(($D$9+IF(VLOOKUP($E54,武器奇术!$A:$R,17,FALSE)="裂石",$D$15,0)-VLOOKUP($F$7,目标属性!$A:$R,6,FALSE))&gt;0,($D$9+IF(VLOOKUP($E54,武器奇术!$A:$R,17,FALSE)="裂石",$D$15,0)-VLOOKUP($F$7,目标属性!$A:$R,6,FALSE))/200,($D$9+IF(VLOOKUP($E54,武器奇术!$A:$R,17,FALSE)="裂石",$D$15,0)-VLOOKUP($F$7,目标属性!$A:$R,6,FALSE))/100)</f>
        <v>-0.24</v>
      </c>
      <c r="BN54" s="100">
        <f t="shared" si="51"/>
        <v>0</v>
      </c>
      <c r="BO54" s="91">
        <v>1</v>
      </c>
      <c r="BP54" s="92">
        <f>BJ54*IF(VLOOKUP($E54,武器奇术!$A:$R,17,FALSE)="裂石",VLOOKUP($E54,武器奇术!$A:$R,4,FALSE),VLOOKUP($E54,武器奇术!$A:$R,2,FALSE))*(1+BM54)*(1+BN54)*BO54</f>
        <v>0</v>
      </c>
      <c r="BQ54" s="93">
        <f>(1-IF(VLOOKUP($E54,武器奇术!$A:$R,16,FALSE)="陌刀",1,$N54))*(1-$M54)</f>
        <v>0</v>
      </c>
      <c r="BR54" s="92">
        <f>BK54*IF(VLOOKUP($E54,武器奇术!$A:$R,17,FALSE)="裂石",VLOOKUP($E54,武器奇术!$A:$R,4,FALSE),VLOOKUP($E54,武器奇术!$A:$R,2,FALSE))*(1+BM54)*(1+BN54)*BO54*(1+$E$16+VLOOKUP($E54,武器奇术!$A:$R,8,FALSE))</f>
        <v>0</v>
      </c>
      <c r="BS54" s="93">
        <f t="shared" si="5"/>
        <v>0.887</v>
      </c>
      <c r="BT54" s="92">
        <f>BL54*IF(VLOOKUP($E54,武器奇术!$A:$R,17,FALSE)="裂石",VLOOKUP($E54,武器奇术!$A:$R,4,FALSE),VLOOKUP($E54,武器奇术!$A:$R,2,FALSE))*(1+BM54)*(1+BN54)*BO54*(1+$E$17+VLOOKUP($E54,武器奇术!$A:$R,10,FALSE))</f>
        <v>0</v>
      </c>
      <c r="BU54" s="93">
        <f t="shared" si="6"/>
        <v>0.0986</v>
      </c>
      <c r="BV54" s="92">
        <f>BK54*IF(VLOOKUP($E54,武器奇术!$A:$R,17,FALSE)="裂石",VLOOKUP($E54,武器奇术!$A:$R,4,FALSE),VLOOKUP($E54,武器奇术!$A:$R,2,FALSE))*(1+BM54)*(1+BN54)*BO54</f>
        <v>0</v>
      </c>
      <c r="BW54" s="93">
        <f t="shared" si="34"/>
        <v>0.0144</v>
      </c>
      <c r="BX54" s="101">
        <f t="shared" si="35"/>
        <v>0</v>
      </c>
      <c r="BY54" s="99">
        <f>IF(VLOOKUP($E54,武器奇术!$A:$R,18,FALSE)="极乐",0,$B$11*IF($G$5="撼天",1.05,1)+IF(AND(VLOOKUP($E54,武器奇术!$A:$R,15,FALSE)="武器",VLOOKUP($E54,武器奇术!$A:$R,17,FALSE)="牵丝"),$E$3*(1+$E$15),0))</f>
        <v>0</v>
      </c>
      <c r="BZ54" s="91">
        <f t="shared" si="36"/>
        <v>0</v>
      </c>
      <c r="CA54" s="91">
        <f>IF(VLOOKUP($E54,武器奇术!$A:$R,18,FALSE)="极乐",0,MAX($C$11*IF($G$5="撼天",1.05,1)+IF(AND(VLOOKUP($E54,武器奇术!$A:$R,15,FALSE)="武器",VLOOKUP($E54,武器奇术!$A:$R,17,FALSE)="牵丝"),$E$3*(1+$E$15),0),BY54))</f>
        <v>0</v>
      </c>
      <c r="CB54" s="93">
        <f>IF(($D$11+IF(VLOOKUP($E54,武器奇术!$A:$R,17,FALSE)="牵丝",$D$15,0)-VLOOKUP($F$7,目标属性!$A:$R,6,FALSE))&gt;0,($D$11+IF(VLOOKUP($E54,武器奇术!$A:$R,17,FALSE)="牵丝",$D$15,0)-VLOOKUP($F$7,目标属性!$A:$R,6,FALSE))/200,($D$11+IF(VLOOKUP($E54,武器奇术!$A:$R,17,FALSE)="牵丝",$D$15,0)-VLOOKUP($F$7,目标属性!$A:$R,6,FALSE))/100)</f>
        <v>-0.24</v>
      </c>
      <c r="CC54" s="100">
        <f t="shared" si="52"/>
        <v>0</v>
      </c>
      <c r="CD54" s="91">
        <v>1</v>
      </c>
      <c r="CE54" s="92">
        <f>BY54*IF(VLOOKUP($E54,武器奇术!$A:$R,17,FALSE)="牵丝",VLOOKUP($E54,武器奇术!$A:$R,4,FALSE),VLOOKUP($E54,武器奇术!$A:$R,2,FALSE))*(1+CB54)*(1+CC54)*CD54</f>
        <v>0</v>
      </c>
      <c r="CF54" s="93">
        <f>(1-IF(VLOOKUP($E54,武器奇术!$A:$R,16,FALSE)="陌刀",1,$N54))*(1-$M54)</f>
        <v>0</v>
      </c>
      <c r="CG54" s="92">
        <f>BZ54*IF(VLOOKUP($E54,武器奇术!$A:$R,17,FALSE)="牵丝",VLOOKUP($E54,武器奇术!$A:$R,4,FALSE),VLOOKUP($E54,武器奇术!$A:$R,2,FALSE))*(1+CB54)*(1+CC54)*CD54*(1+$E$16+VLOOKUP($E54,武器奇术!$A:$R,8,FALSE))</f>
        <v>0</v>
      </c>
      <c r="CH54" s="93">
        <f t="shared" si="7"/>
        <v>0.887</v>
      </c>
      <c r="CI54" s="92">
        <f>CA54*IF(VLOOKUP($E54,武器奇术!$A:$R,17,FALSE)="牵丝",VLOOKUP($E54,武器奇术!$A:$R,4,FALSE),VLOOKUP($E54,武器奇术!$A:$R,2,FALSE))*(1+CB54)*(1+CC54)*CD54*(1+$E$17+VLOOKUP($E54,武器奇术!$A:$R,10,FALSE))</f>
        <v>0</v>
      </c>
      <c r="CJ54" s="93">
        <f t="shared" si="8"/>
        <v>0.0986</v>
      </c>
      <c r="CK54" s="92">
        <f>BZ54*IF(VLOOKUP($E54,武器奇术!$A:$R,17,FALSE)="牵丝",VLOOKUP($E54,武器奇术!$A:$R,4,FALSE),VLOOKUP($E54,武器奇术!$A:$R,2,FALSE))*(1+CB54)*(1+CC54)*CD54</f>
        <v>0</v>
      </c>
      <c r="CL54" s="93">
        <f t="shared" si="38"/>
        <v>0.0144</v>
      </c>
      <c r="CM54" s="101">
        <f t="shared" si="39"/>
        <v>0</v>
      </c>
      <c r="CN54" s="99">
        <f>IF(VLOOKUP($E54,武器奇术!$A:$R,18,FALSE)="极乐",0,$B$13*IF($G$5="撼天",1.05,1)+IF(AND(VLOOKUP($E54,武器奇术!$A:$R,15,FALSE)="武器",VLOOKUP($E54,武器奇术!$A:$R,17,FALSE)="破竹"),$E$3*(1+$E$15),0))</f>
        <v>686.71</v>
      </c>
      <c r="CO54" s="91">
        <f t="shared" si="40"/>
        <v>1052.21</v>
      </c>
      <c r="CP54" s="91">
        <f>IF(VLOOKUP($E54,武器奇术!$A:$R,18,FALSE)="极乐",0,MAX($C$13*IF($G$5="撼天",1.05,1)+IF(AND(VLOOKUP($E54,武器奇术!$A:$R,15,FALSE)="武器",VLOOKUP($E54,武器奇术!$A:$R,17,FALSE)="破竹"),$E$3*(1+$E$15),0),CN54))</f>
        <v>1417.71</v>
      </c>
      <c r="CQ54" s="93">
        <f>IF(($D$13+IF(VLOOKUP($E54,武器奇术!$A:$R,17,FALSE)="破竹",$D$15,0)-VLOOKUP($F$7,目标属性!$A:$R,6,FALSE)+IF(VLOOKUP($E54,武器奇术!$A:$V,22,FALSE)=1,4,0)+IF(VLOOKUP($E54,武器奇术!$A:$T,20,FALSE)=1,10,0))&gt;0,($D$13+IF(VLOOKUP($E54,武器奇术!$A:$R,17,FALSE)="破竹",$D$15,0)-VLOOKUP($F$7,目标属性!$A:$R,6,FALSE)+IF(VLOOKUP($E54,武器奇术!$A:$V,22,FALSE)=1,4,0)+IF(VLOOKUP($E54,武器奇术!$A:$T,20,FALSE)=1,10,0))/200,($D$13+IF(VLOOKUP($E54,武器奇术!$A:$R,17,FALSE)="破竹",$D$15,0)-VLOOKUP($F$7,目标属性!$A:$R,6,FALSE)+IF(VLOOKUP($E54,武器奇术!$A:$V,22,FALSE)=1,4,0)+IF(VLOOKUP($E54,武器奇术!$A:$T,20,FALSE)=1,10,0))/100)</f>
        <v>0.078</v>
      </c>
      <c r="CR54" s="120">
        <f>$E$13+IF(期望!$G$5="燕归",6%,0)</f>
        <v>0.208</v>
      </c>
      <c r="CS54" s="91">
        <v>1</v>
      </c>
      <c r="CT54" s="92">
        <f>CN54*IF(VLOOKUP($E54,武器奇术!$A:$R,17,FALSE)="破竹",VLOOKUP($E54,武器奇术!$A:$R,4,FALSE),VLOOKUP($E54,武器奇术!$A:$R,2,FALSE))*(1+CQ54)*(1+CR54)*CS54</f>
        <v>954.951949537555</v>
      </c>
      <c r="CU54" s="93">
        <f>(1-IF(VLOOKUP($E54,武器奇术!$A:$R,16,FALSE)="陌刀",1,$N54))*(1-$M54)</f>
        <v>0</v>
      </c>
      <c r="CV54" s="92">
        <f>CO54*IF(VLOOKUP($E54,武器奇术!$A:$R,17,FALSE)="破竹",VLOOKUP($E54,武器奇术!$A:$R,4,FALSE),VLOOKUP($E54,武器奇术!$A:$R,2,FALSE))*(1+CQ54)*(1+CR54)*CS54*(1+$E$16+VLOOKUP($E54,武器奇术!$A:$R,8,FALSE))</f>
        <v>3502.95629600566</v>
      </c>
      <c r="CW54" s="93">
        <f t="shared" si="9"/>
        <v>0.887</v>
      </c>
      <c r="CX54" s="92">
        <f>CP54*IF(VLOOKUP($E54,武器奇术!$A:$R,17,FALSE)="破竹",VLOOKUP($E54,武器奇术!$A:$R,4,FALSE),VLOOKUP($E54,武器奇术!$A:$R,2,FALSE))*(1+CQ54)*(1+CR54)*CS54*(1+$E$17+VLOOKUP($E54,武器奇术!$A:$R,10,FALSE))</f>
        <v>2661.51745760437</v>
      </c>
      <c r="CY54" s="93">
        <f t="shared" si="10"/>
        <v>0.0986</v>
      </c>
      <c r="CZ54" s="92">
        <f>CO54*IF(VLOOKUP($E54,武器奇术!$A:$R,17,FALSE)="破竹",VLOOKUP($E54,武器奇术!$A:$R,4,FALSE),VLOOKUP($E54,武器奇术!$A:$R,2,FALSE))*(1+CQ54)*(1+CR54)*CS54</f>
        <v>1463.22318128892</v>
      </c>
      <c r="DA54" s="93">
        <f t="shared" si="42"/>
        <v>0.0144</v>
      </c>
      <c r="DB54" s="101">
        <f t="shared" si="43"/>
        <v>3390.61826968737</v>
      </c>
      <c r="DC54" s="99">
        <f>IF(VLOOKUP($E54,武器奇术!$A:$R,18,FALSE)="极乐",0,$B$15)</f>
        <v>66</v>
      </c>
      <c r="DD54" s="91">
        <f t="shared" si="44"/>
        <v>95.9</v>
      </c>
      <c r="DE54" s="91">
        <f>IF(VLOOKUP($E54,武器奇术!$A:$R,18,FALSE)="极乐",0,$C$15)</f>
        <v>125.8</v>
      </c>
      <c r="DF54" s="93">
        <f>IF((IF(VLOOKUP($E54,武器奇术!$A:$R,17,FALSE)="鸣金",$D$7,0)+IF(VLOOKUP($E54,武器奇术!$A:$R,17,FALSE)="裂石",$D$9,0)+IF(VLOOKUP($E54,武器奇术!$A:$R,17,FALSE)="牵丝",$D$11,0)+IF(VLOOKUP($E54,武器奇术!$A:$R,17,FALSE)="破竹",$D$13,0)+$D$15-VLOOKUP($F$7,目标属性!$A:$R,6,FALSE)+IF(VLOOKUP($E54,武器奇术!$A:$V,22,FALSE)=1,4,0)+IF(VLOOKUP($E54,武器奇术!$A:$T,20,FALSE)=1,10,0))&gt;0,(IF(VLOOKUP($E54,武器奇术!$A:$R,17,FALSE)="鸣金",$D$7,0)+IF(VLOOKUP($E54,武器奇术!$A:$R,17,FALSE)="裂石",$D$9,0)+IF(VLOOKUP($E54,武器奇术!$A:$R,17,FALSE)="牵丝",$D$11,0)+IF(VLOOKUP($E54,武器奇术!$A:$R,17,FALSE)="破竹",$D$13,0)+$D$15-VLOOKUP($F$7,目标属性!$A:$R,6,FALSE)+IF(VLOOKUP($E54,武器奇术!$A:$V,22,FALSE)=1,4,0)+IF(VLOOKUP($E54,武器奇术!$A:$T,20,FALSE)=1,10,0))/200,(IF(VLOOKUP($E54,武器奇术!$A:$R,17,FALSE)="鸣金",$D$7,0)+IF(VLOOKUP($E54,武器奇术!$A:$R,17,FALSE)="裂石",$D$9,0)+IF(VLOOKUP($E54,武器奇术!$A:$R,17,FALSE)="牵丝",$D$11,0)+IF(VLOOKUP($E54,武器奇术!$A:$R,17,FALSE)="破竹",$D$13,0)+$D$15-VLOOKUP($F$7,目标属性!$A:$R,6,FALSE)+IF(VLOOKUP($E54,武器奇术!$A:$V,22,FALSE)=1,4,0)+IF(VLOOKUP($E54,武器奇术!$A:$T,20,FALSE)=1,10,0))/100)</f>
        <v>0.078</v>
      </c>
      <c r="DG54" s="120">
        <f>$E$13+IF(期望!$G$5="燕归",6%,0)</f>
        <v>0.208</v>
      </c>
      <c r="DH54" s="91">
        <v>1</v>
      </c>
      <c r="DI54" s="92">
        <f>DC54*IF(VLOOKUP($E54,武器奇术!$A:$R,17,FALSE)="破竹",VLOOKUP($E54,武器奇术!$A:$R,4,FALSE),VLOOKUP($E54,武器奇术!$A:$R,2,FALSE))*(1+DF54)*(1+DG54)*DH54</f>
        <v>91.78085169792</v>
      </c>
      <c r="DJ54" s="93">
        <f>(1-IF(VLOOKUP($E54,武器奇术!$A:$R,16,FALSE)="陌刀",1,$N54))*(1-$M54)</f>
        <v>0</v>
      </c>
      <c r="DK54" s="92">
        <f>DD54*IF(VLOOKUP($E54,武器奇术!$A:$R,17,FALSE)="破竹",VLOOKUP($E54,武器奇术!$A:$R,4,FALSE),VLOOKUP($E54,武器奇术!$A:$R,2,FALSE))*(1+DF54)*(1+DG54)*DH54*(1+$E$16+VLOOKUP($E54,武器奇术!$A:$R,8,FALSE))</f>
        <v>319.264698859489</v>
      </c>
      <c r="DL54" s="93">
        <f t="shared" si="12"/>
        <v>0.887</v>
      </c>
      <c r="DM54" s="92">
        <f>DE54*IF(VLOOKUP($E54,武器奇术!$A:$R,17,FALSE)="破竹",VLOOKUP($E54,武器奇术!$A:$R,4,FALSE),VLOOKUP($E54,武器奇术!$A:$R,2,FALSE))*(1+DF54)*(1+DG54)*DH54*(1+$E$17+VLOOKUP($E54,武器奇术!$A:$R,10,FALSE))</f>
        <v>236.16881884633</v>
      </c>
      <c r="DN54" s="93">
        <f t="shared" si="13"/>
        <v>0.0986</v>
      </c>
      <c r="DO54" s="92">
        <f>DD54*IF(VLOOKUP($E54,武器奇术!$A:$R,17,FALSE)="破竹",VLOOKUP($E54,武器奇术!$A:$R,4,FALSE),VLOOKUP($E54,武器奇术!$A:$R,2,FALSE))*(1+DF54)*(1+DG54)*DH54</f>
        <v>133.360358755008</v>
      </c>
      <c r="DP54" s="93">
        <f t="shared" si="14"/>
        <v>0.0144</v>
      </c>
      <c r="DQ54" s="101">
        <f t="shared" si="15"/>
        <v>308.394422592687</v>
      </c>
    </row>
    <row r="55" customFormat="1" spans="1:121">
      <c r="A55" s="126"/>
      <c r="B55" s="128"/>
      <c r="C55" s="12"/>
      <c r="D55" s="12"/>
      <c r="E55" s="105" t="s">
        <v>131</v>
      </c>
      <c r="F55" s="106">
        <v>2</v>
      </c>
      <c r="G55" s="107">
        <f>$E$24</f>
        <v>0</v>
      </c>
      <c r="H55" s="92">
        <f>IF(VLOOKUP($E55,武器奇术!$A:$R,18,FALSE)="天工",AE55,(AE55+AT55+BI55+BX55+CM55+DB55+DQ55))*(1+J55)*F55*K55*(1+G55)</f>
        <v>62175.0030848724</v>
      </c>
      <c r="I55" s="93">
        <f t="shared" si="16"/>
        <v>0.00797597842735219</v>
      </c>
      <c r="J55" s="93">
        <f>$F$3+VLOOKUP($E55,武器奇术!$A:$R,12,FALSE)+VLOOKUP($E55,武器奇术!$A:$R,14,FALSE)*$G$3+$P55</f>
        <v>0.943</v>
      </c>
      <c r="K55" s="94">
        <f>VLOOKUP($E55,武器奇术!$A:$R,11,FALSE)</f>
        <v>1</v>
      </c>
      <c r="L55" s="109">
        <f>IF(VLOOKUP($E55,武器奇术!$A:$R,15,FALSE)="天工",0%,IF($C$17+VLOOKUP($E55,武器奇术!$A:$R,7,FALSE)&gt;80%,80%,$C$17+VLOOKUP($E55,武器奇术!$A:$R,7,FALSE))+IF($C$19&gt;20%,20%,$C$19))</f>
        <v>0.887</v>
      </c>
      <c r="M55" s="110">
        <f>IF(VLOOKUP($E55,武器奇术!$A:$R,15,FALSE)="天工",0%,IF($C$18+VLOOKUP($E55,武器奇术!$A:$R,9,FALSE)&gt;40%,40%,$C$18+VLOOKUP($E55,武器奇术!$A:$R,9,FALSE))+IF($C$20&gt;10%,10%,$C$20))</f>
        <v>0.0986</v>
      </c>
      <c r="N55" s="111">
        <f>IF(VLOOKUP($E55,武器奇术!$A:$R,15,FALSE)="天工",100%,MIN($C$16,1))</f>
        <v>1</v>
      </c>
      <c r="O55" s="112" t="str">
        <f>VLOOKUP($E55,武器奇术!$A:$R,16,FALSE)</f>
        <v>双刀</v>
      </c>
      <c r="P55" s="113">
        <f t="shared" si="17"/>
        <v>0.17</v>
      </c>
      <c r="Q55" s="99">
        <f>$B$5*(1+VLOOKUP($E55,武器奇术!$A:$R,5,FALSE)+IF($G$5="飞隼",0.1,0)+IF($G$5="撼天",0.05,0))-$F$9*IF(VLOOKUP($E55,武器奇术!$A:$S,19,FALSE)=1,0.9,1)+IF($I$5="√",160,0)</f>
        <v>2904.2</v>
      </c>
      <c r="R55" s="91">
        <f t="shared" si="18"/>
        <v>2904.2</v>
      </c>
      <c r="S55" s="91">
        <f>MAX($C$5,$B$5)*(1+VLOOKUP($E55,武器奇术!$A:$R,5,FALSE)+IF($G$5="飞隼",0.1,0)+IF($G$5="撼天",0.05,0))-$F$9*IF(VLOOKUP($E55,武器奇术!$A:$S,19,FALSE)=1,0.9,1)+IF($I$5="√",320,0)</f>
        <v>2904.2</v>
      </c>
      <c r="T55" s="93">
        <f>IF(($D$5+VLOOKUP($E55,武器奇术!$A:$R,13,FALSE)+IF($I$3="√",10,0)-VLOOKUP($F$7,目标属性!$A:$R,5,FALSE))&gt;0,($D$5+VLOOKUP($E55,武器奇术!$A:$R,13,FALSE)+IF($I$3="√",10,0)-VLOOKUP($F$7,目标属性!$A:$R,5,FALSE))/200,($D$5+VLOOKUP($E55,武器奇术!$A:$R,13,FALSE)+IF($I$3="√",10,0)-VLOOKUP($F$7,目标属性!$A:$R,5,FALSE))/100)</f>
        <v>0.3925</v>
      </c>
      <c r="U55" s="120">
        <f>$E$5+IF(VLOOKUP($E55,武器奇术!$A:$R,18,FALSE)="鼠鼠",0.24,0)+IF(期望!$G$5="燕归",6/100,0)</f>
        <v>0.06</v>
      </c>
      <c r="V55" s="91">
        <v>1</v>
      </c>
      <c r="W55" s="92">
        <f>Q55*VLOOKUP($E55,武器奇术!$A:$R,2,FALSE)*(1+T55)*(1+U55)*V55</f>
        <v>4249.5354685212</v>
      </c>
      <c r="X55" s="93">
        <f>(1-IF(VLOOKUP($E55,武器奇术!$A:$R,16,FALSE)="陌刀",1,$N55))*(1-$M55)</f>
        <v>0</v>
      </c>
      <c r="Y55" s="92">
        <f>R55*VLOOKUP($E55,武器奇术!$A:$R,2,FALSE)*(1+T55)*(1+U55)*V55*(1+$E$16+VLOOKUP($E55,武器奇术!$A:$R,8,FALSE))</f>
        <v>10173.3879116398</v>
      </c>
      <c r="Z55" s="93">
        <f t="shared" si="19"/>
        <v>0.887</v>
      </c>
      <c r="AA55" s="92">
        <f>S55*VLOOKUP($E55,武器奇术!$A:$R,2,FALSE)*(1+T55)*(1+U55)*V55*(1+$E$17+VLOOKUP($E55,武器奇术!$A:$R,10,FALSE))</f>
        <v>5736.87288250362</v>
      </c>
      <c r="AB55" s="93">
        <f t="shared" si="20"/>
        <v>0.0986</v>
      </c>
      <c r="AC55" s="92">
        <f>R55*VLOOKUP($E55,武器奇术!$A:$R,2,FALSE)*(1+T55)*(1+U55)*V55</f>
        <v>4249.5354685212</v>
      </c>
      <c r="AD55" s="93">
        <f t="shared" si="21"/>
        <v>0.0144</v>
      </c>
      <c r="AE55" s="101">
        <f t="shared" si="22"/>
        <v>9650.64405458606</v>
      </c>
      <c r="AF55" s="102">
        <f>VLOOKUP($E55,武器奇术!$A:$R,3,FALSE)*(1+IF(VLOOKUP($E55,武器奇术!$A:$R,15,FALSE)="武器",$E$15,0))</f>
        <v>357.5</v>
      </c>
      <c r="AG55" s="92">
        <f t="shared" si="23"/>
        <v>357.5</v>
      </c>
      <c r="AH55" s="92">
        <f>VLOOKUP($E55,武器奇术!$A:$R,3,FALSE)*(1+IF(VLOOKUP($E55,武器奇术!$A:$R,15,FALSE)="武器",$E$15,0))</f>
        <v>357.5</v>
      </c>
      <c r="AI55" s="93">
        <f>IF(($D$5+VLOOKUP($E55,武器奇术!$A:$R,13,FALSE)+IF($I$3="√",10,0)-VLOOKUP($F$7,目标属性!$A:$R,5,FALSE))&gt;0,($D$5+VLOOKUP($E55,武器奇术!$A:$R,13,FALSE)+IF($I$3="√",10,0)-VLOOKUP($F$7,目标属性!$A:$R,5,FALSE))/200,($D$5+VLOOKUP($E55,武器奇术!$A:$R,13,FALSE)+IF($I$3="√",10,0)-VLOOKUP($F$7,目标属性!$A:$R,5,FALSE))/100)</f>
        <v>0.3925</v>
      </c>
      <c r="AJ55" s="120">
        <f>$E$5+IF(VLOOKUP($E55,武器奇术!$A:$R,18,FALSE)="鼠鼠",0.24,0)+IF(期望!$G$5="燕归",6/100,0)</f>
        <v>0.06</v>
      </c>
      <c r="AK55" s="91">
        <v>1</v>
      </c>
      <c r="AL55" s="92">
        <f t="shared" si="24"/>
        <v>527.687875</v>
      </c>
      <c r="AM55" s="93">
        <f>(1-IF(VLOOKUP($E55,武器奇术!$A:$R,16,FALSE)="陌刀",1,$N55))*(1-$M55)</f>
        <v>0</v>
      </c>
      <c r="AN55" s="92">
        <f>AG55*(1+AI55)*(1+AJ55)*AK55*(1+$E$16+VLOOKUP($E55,武器奇术!$A:$R,8,FALSE))</f>
        <v>1263.28477275</v>
      </c>
      <c r="AO55" s="93">
        <f t="shared" si="1"/>
        <v>0.887</v>
      </c>
      <c r="AP55" s="92">
        <f>AH55*(1+AI55)*(1+AJ55)*AK55*(1+$E$17+VLOOKUP($E55,武器奇术!$A:$R,10,FALSE))</f>
        <v>712.37863125</v>
      </c>
      <c r="AQ55" s="93">
        <f t="shared" si="2"/>
        <v>0.0986</v>
      </c>
      <c r="AR55" s="92">
        <f t="shared" si="25"/>
        <v>527.687875</v>
      </c>
      <c r="AS55" s="93">
        <f t="shared" si="26"/>
        <v>0.0144</v>
      </c>
      <c r="AT55" s="101">
        <f t="shared" si="27"/>
        <v>1198.3728318705</v>
      </c>
      <c r="AU55" s="99">
        <f>IF(VLOOKUP($E55,武器奇术!$A:$R,18,FALSE)="极乐",0,$B$7*IF($G$5="撼天",1.05,1)+IF(AND(VLOOKUP($E55,武器奇术!$A:$R,15,FALSE)="武器",VLOOKUP($E55,武器奇术!$A:$R,17,FALSE)="鸣金"),$E$3*(1+$E$15),0))</f>
        <v>0</v>
      </c>
      <c r="AV55" s="91">
        <f t="shared" si="28"/>
        <v>0</v>
      </c>
      <c r="AW55" s="91">
        <f>IF(VLOOKUP($E55,武器奇术!$A:$R,18,FALSE)="极乐",0,MAX($C$7*IF($G$5="撼天",1.05,1)+IF(AND(VLOOKUP($E55,武器奇术!$A:$R,15,FALSE)="武器",VLOOKUP($E55,武器奇术!$A:$R,17,FALSE)="鸣金"),$E$3*(1+$E$15),0),AU55))</f>
        <v>0</v>
      </c>
      <c r="AX55" s="93">
        <f>IF(($D$7+IF(VLOOKUP($E55,武器奇术!$A:$R,17,FALSE)="鸣金",$D$15,0)-VLOOKUP($F$7,目标属性!$A:$R,6,FALSE))&gt;0,($D$7+IF(VLOOKUP($E55,武器奇术!$A:$R,17,FALSE)="鸣金",$D$15,0)-VLOOKUP($F$7,目标属性!$A:$R,6,FALSE))/200,($D$7+IF(VLOOKUP($E55,武器奇术!$A:$R,17,FALSE)="鸣金",$D$15,0)-VLOOKUP($F$7,目标属性!$A:$R,6,FALSE))/100)</f>
        <v>-0.24</v>
      </c>
      <c r="AY55" s="100">
        <f t="shared" si="50"/>
        <v>0</v>
      </c>
      <c r="AZ55" s="91">
        <v>1</v>
      </c>
      <c r="BA55" s="92">
        <f>AU55*IF(VLOOKUP($E55,武器奇术!$A:$R,17,FALSE)="鸣金",VLOOKUP($E55,武器奇术!$A:$R,4,FALSE),VLOOKUP($E55,武器奇术!$A:$R,2,FALSE))*(1+AX55)*(1+AY55)*AZ55</f>
        <v>0</v>
      </c>
      <c r="BB55" s="93">
        <f>(1-IF(VLOOKUP($E55,武器奇术!$A:$R,16,FALSE)="陌刀",1,$N55))*(1-$M55)</f>
        <v>0</v>
      </c>
      <c r="BC55" s="92">
        <f>AV55*IF(VLOOKUP($E55,武器奇术!$A:$R,17,FALSE)="鸣金",VLOOKUP($E55,武器奇术!$A:$R,4,FALSE),VLOOKUP($E55,武器奇术!$A:$R,2,FALSE))*(1+AX55)*(1+AY55)*AZ55*(1+$E$16+VLOOKUP($E55,武器奇术!$A:$R,8,FALSE))</f>
        <v>0</v>
      </c>
      <c r="BD55" s="93">
        <f t="shared" si="3"/>
        <v>0.887</v>
      </c>
      <c r="BE55" s="92">
        <f>AW55*IF(VLOOKUP($E55,武器奇术!$A:$R,17,FALSE)="鸣金",VLOOKUP($E55,武器奇术!$A:$R,4,FALSE),VLOOKUP($E55,武器奇术!$A:$R,2,FALSE))*(1+AX55)*(1+AY55)*AZ55*(1+$E$17+VLOOKUP($E55,武器奇术!$A:$R,10,FALSE))</f>
        <v>0</v>
      </c>
      <c r="BF55" s="93">
        <f t="shared" si="4"/>
        <v>0.0986</v>
      </c>
      <c r="BG55" s="92">
        <f>AV55*IF(VLOOKUP($E55,武器奇术!$A:$R,17,FALSE)="鸣金",VLOOKUP($E55,武器奇术!$A:$R,4,FALSE),VLOOKUP($E55,武器奇术!$A:$R,2,FALSE))*(1+AX55)*(1+AY55)*AZ55</f>
        <v>0</v>
      </c>
      <c r="BH55" s="93">
        <f t="shared" si="30"/>
        <v>0.0144</v>
      </c>
      <c r="BI55" s="101">
        <f t="shared" si="31"/>
        <v>0</v>
      </c>
      <c r="BJ55" s="99">
        <f>IF(VLOOKUP($E55,武器奇术!$A:$R,18,FALSE)="极乐",0,$B$9*IF($G$5="撼天",1.05,1)+IF(AND(VLOOKUP($E55,武器奇术!$A:$R,15,FALSE)="武器",VLOOKUP($E55,武器奇术!$A:$R,17,FALSE)="裂石"),$E$3*(1+$E$15),0))</f>
        <v>0</v>
      </c>
      <c r="BK55" s="91">
        <f t="shared" si="32"/>
        <v>0</v>
      </c>
      <c r="BL55" s="91">
        <f>IF(VLOOKUP($E55,武器奇术!$A:$R,18,FALSE)="极乐",0,MAX($C$9*IF($G$5="撼天",1.05,1)+IF(AND(VLOOKUP($E55,武器奇术!$A:$R,15,FALSE)="武器",VLOOKUP($E55,武器奇术!$A:$R,17,FALSE)="裂石"),$E$3*(1+$E$15),0),BJ55))</f>
        <v>0</v>
      </c>
      <c r="BM55" s="93">
        <f>IF(($D$9+IF(VLOOKUP($E55,武器奇术!$A:$R,17,FALSE)="裂石",$D$15,0)-VLOOKUP($F$7,目标属性!$A:$R,6,FALSE))&gt;0,($D$9+IF(VLOOKUP($E55,武器奇术!$A:$R,17,FALSE)="裂石",$D$15,0)-VLOOKUP($F$7,目标属性!$A:$R,6,FALSE))/200,($D$9+IF(VLOOKUP($E55,武器奇术!$A:$R,17,FALSE)="裂石",$D$15,0)-VLOOKUP($F$7,目标属性!$A:$R,6,FALSE))/100)</f>
        <v>-0.24</v>
      </c>
      <c r="BN55" s="100">
        <f t="shared" si="51"/>
        <v>0</v>
      </c>
      <c r="BO55" s="91">
        <v>1</v>
      </c>
      <c r="BP55" s="92">
        <f>BJ55*IF(VLOOKUP($E55,武器奇术!$A:$R,17,FALSE)="裂石",VLOOKUP($E55,武器奇术!$A:$R,4,FALSE),VLOOKUP($E55,武器奇术!$A:$R,2,FALSE))*(1+BM55)*(1+BN55)*BO55</f>
        <v>0</v>
      </c>
      <c r="BQ55" s="93">
        <f>(1-IF(VLOOKUP($E55,武器奇术!$A:$R,16,FALSE)="陌刀",1,$N55))*(1-$M55)</f>
        <v>0</v>
      </c>
      <c r="BR55" s="92">
        <f>BK55*IF(VLOOKUP($E55,武器奇术!$A:$R,17,FALSE)="裂石",VLOOKUP($E55,武器奇术!$A:$R,4,FALSE),VLOOKUP($E55,武器奇术!$A:$R,2,FALSE))*(1+BM55)*(1+BN55)*BO55*(1+$E$16+VLOOKUP($E55,武器奇术!$A:$R,8,FALSE))</f>
        <v>0</v>
      </c>
      <c r="BS55" s="93">
        <f t="shared" si="5"/>
        <v>0.887</v>
      </c>
      <c r="BT55" s="92">
        <f>BL55*IF(VLOOKUP($E55,武器奇术!$A:$R,17,FALSE)="裂石",VLOOKUP($E55,武器奇术!$A:$R,4,FALSE),VLOOKUP($E55,武器奇术!$A:$R,2,FALSE))*(1+BM55)*(1+BN55)*BO55*(1+$E$17+VLOOKUP($E55,武器奇术!$A:$R,10,FALSE))</f>
        <v>0</v>
      </c>
      <c r="BU55" s="93">
        <f t="shared" si="6"/>
        <v>0.0986</v>
      </c>
      <c r="BV55" s="92">
        <f>BK55*IF(VLOOKUP($E55,武器奇术!$A:$R,17,FALSE)="裂石",VLOOKUP($E55,武器奇术!$A:$R,4,FALSE),VLOOKUP($E55,武器奇术!$A:$R,2,FALSE))*(1+BM55)*(1+BN55)*BO55</f>
        <v>0</v>
      </c>
      <c r="BW55" s="93">
        <f t="shared" si="34"/>
        <v>0.0144</v>
      </c>
      <c r="BX55" s="101">
        <f t="shared" si="35"/>
        <v>0</v>
      </c>
      <c r="BY55" s="99">
        <f>IF(VLOOKUP($E55,武器奇术!$A:$R,18,FALSE)="极乐",0,$B$11*IF($G$5="撼天",1.05,1)+IF(AND(VLOOKUP($E55,武器奇术!$A:$R,15,FALSE)="武器",VLOOKUP($E55,武器奇术!$A:$R,17,FALSE)="牵丝"),$E$3*(1+$E$15),0))</f>
        <v>0</v>
      </c>
      <c r="BZ55" s="91">
        <f t="shared" si="36"/>
        <v>0</v>
      </c>
      <c r="CA55" s="91">
        <f>IF(VLOOKUP($E55,武器奇术!$A:$R,18,FALSE)="极乐",0,MAX($C$11*IF($G$5="撼天",1.05,1)+IF(AND(VLOOKUP($E55,武器奇术!$A:$R,15,FALSE)="武器",VLOOKUP($E55,武器奇术!$A:$R,17,FALSE)="牵丝"),$E$3*(1+$E$15),0),BY55))</f>
        <v>0</v>
      </c>
      <c r="CB55" s="93">
        <f>IF(($D$11+IF(VLOOKUP($E55,武器奇术!$A:$R,17,FALSE)="牵丝",$D$15,0)-VLOOKUP($F$7,目标属性!$A:$R,6,FALSE))&gt;0,($D$11+IF(VLOOKUP($E55,武器奇术!$A:$R,17,FALSE)="牵丝",$D$15,0)-VLOOKUP($F$7,目标属性!$A:$R,6,FALSE))/200,($D$11+IF(VLOOKUP($E55,武器奇术!$A:$R,17,FALSE)="牵丝",$D$15,0)-VLOOKUP($F$7,目标属性!$A:$R,6,FALSE))/100)</f>
        <v>-0.24</v>
      </c>
      <c r="CC55" s="100">
        <f t="shared" si="52"/>
        <v>0</v>
      </c>
      <c r="CD55" s="91">
        <v>1</v>
      </c>
      <c r="CE55" s="92">
        <f>BY55*IF(VLOOKUP($E55,武器奇术!$A:$R,17,FALSE)="牵丝",VLOOKUP($E55,武器奇术!$A:$R,4,FALSE),VLOOKUP($E55,武器奇术!$A:$R,2,FALSE))*(1+CB55)*(1+CC55)*CD55</f>
        <v>0</v>
      </c>
      <c r="CF55" s="93">
        <f>(1-IF(VLOOKUP($E55,武器奇术!$A:$R,16,FALSE)="陌刀",1,$N55))*(1-$M55)</f>
        <v>0</v>
      </c>
      <c r="CG55" s="92">
        <f>BZ55*IF(VLOOKUP($E55,武器奇术!$A:$R,17,FALSE)="牵丝",VLOOKUP($E55,武器奇术!$A:$R,4,FALSE),VLOOKUP($E55,武器奇术!$A:$R,2,FALSE))*(1+CB55)*(1+CC55)*CD55*(1+$E$16+VLOOKUP($E55,武器奇术!$A:$R,8,FALSE))</f>
        <v>0</v>
      </c>
      <c r="CH55" s="93">
        <f t="shared" si="7"/>
        <v>0.887</v>
      </c>
      <c r="CI55" s="92">
        <f>CA55*IF(VLOOKUP($E55,武器奇术!$A:$R,17,FALSE)="牵丝",VLOOKUP($E55,武器奇术!$A:$R,4,FALSE),VLOOKUP($E55,武器奇术!$A:$R,2,FALSE))*(1+CB55)*(1+CC55)*CD55*(1+$E$17+VLOOKUP($E55,武器奇术!$A:$R,10,FALSE))</f>
        <v>0</v>
      </c>
      <c r="CJ55" s="93">
        <f t="shared" si="8"/>
        <v>0.0986</v>
      </c>
      <c r="CK55" s="92">
        <f>BZ55*IF(VLOOKUP($E55,武器奇术!$A:$R,17,FALSE)="牵丝",VLOOKUP($E55,武器奇术!$A:$R,4,FALSE),VLOOKUP($E55,武器奇术!$A:$R,2,FALSE))*(1+CB55)*(1+CC55)*CD55</f>
        <v>0</v>
      </c>
      <c r="CL55" s="93">
        <f t="shared" si="38"/>
        <v>0.0144</v>
      </c>
      <c r="CM55" s="101">
        <f t="shared" si="39"/>
        <v>0</v>
      </c>
      <c r="CN55" s="99">
        <f>IF(VLOOKUP($E55,武器奇术!$A:$R,18,FALSE)="极乐",0,$B$13*IF($G$5="撼天",1.05,1)+IF(AND(VLOOKUP($E55,武器奇术!$A:$R,15,FALSE)="武器",VLOOKUP($E55,武器奇术!$A:$R,17,FALSE)="破竹"),$E$3*(1+$E$15),0))</f>
        <v>686.71</v>
      </c>
      <c r="CO55" s="91">
        <f t="shared" si="40"/>
        <v>1052.21</v>
      </c>
      <c r="CP55" s="91">
        <f>IF(VLOOKUP($E55,武器奇术!$A:$R,18,FALSE)="极乐",0,MAX($C$13*IF($G$5="撼天",1.05,1)+IF(AND(VLOOKUP($E55,武器奇术!$A:$R,15,FALSE)="武器",VLOOKUP($E55,武器奇术!$A:$R,17,FALSE)="破竹"),$E$3*(1+$E$15),0),CN55))</f>
        <v>1417.71</v>
      </c>
      <c r="CQ55" s="93">
        <f>IF(($D$13+IF(VLOOKUP($E55,武器奇术!$A:$R,17,FALSE)="破竹",$D$15,0)-VLOOKUP($F$7,目标属性!$A:$R,6,FALSE)+IF(VLOOKUP($E55,武器奇术!$A:$V,22,FALSE)=1,4,0)+IF(VLOOKUP($E55,武器奇术!$A:$T,20,FALSE)=1,10,0))&gt;0,($D$13+IF(VLOOKUP($E55,武器奇术!$A:$R,17,FALSE)="破竹",$D$15,0)-VLOOKUP($F$7,目标属性!$A:$R,6,FALSE)+IF(VLOOKUP($E55,武器奇术!$A:$V,22,FALSE)=1,4,0)+IF(VLOOKUP($E55,武器奇术!$A:$T,20,FALSE)=1,10,0))/200,($D$13+IF(VLOOKUP($E55,武器奇术!$A:$R,17,FALSE)="破竹",$D$15,0)-VLOOKUP($F$7,目标属性!$A:$R,6,FALSE)+IF(VLOOKUP($E55,武器奇术!$A:$V,22,FALSE)=1,4,0)+IF(VLOOKUP($E55,武器奇术!$A:$T,20,FALSE)=1,10,0))/100)</f>
        <v>0.078</v>
      </c>
      <c r="CR55" s="120">
        <f>$E$13+IF(期望!$G$5="燕归",6%,0)</f>
        <v>0.208</v>
      </c>
      <c r="CS55" s="91">
        <v>1</v>
      </c>
      <c r="CT55" s="92">
        <f>CN55*IF(VLOOKUP($E55,武器奇术!$A:$R,17,FALSE)="破竹",VLOOKUP($E55,武器奇术!$A:$R,4,FALSE),VLOOKUP($E55,武器奇术!$A:$R,2,FALSE))*(1+CQ55)*(1+CR55)*CS55</f>
        <v>1329.73222639562</v>
      </c>
      <c r="CU55" s="93">
        <f>(1-IF(VLOOKUP($E55,武器奇术!$A:$R,16,FALSE)="陌刀",1,$N55))*(1-$M55)</f>
        <v>0</v>
      </c>
      <c r="CV55" s="92">
        <f>CO55*IF(VLOOKUP($E55,武器奇术!$A:$R,17,FALSE)="破竹",VLOOKUP($E55,武器奇术!$A:$R,4,FALSE),VLOOKUP($E55,武器奇术!$A:$R,2,FALSE))*(1+CQ55)*(1+CR55)*CS55*(1+$E$16+VLOOKUP($E55,武器奇术!$A:$R,8,FALSE))</f>
        <v>4877.72591773842</v>
      </c>
      <c r="CW55" s="93">
        <f t="shared" si="9"/>
        <v>0.887</v>
      </c>
      <c r="CX55" s="92">
        <f>CP55*IF(VLOOKUP($E55,武器奇术!$A:$R,17,FALSE)="破竹",VLOOKUP($E55,武器奇术!$A:$R,4,FALSE),VLOOKUP($E55,武器奇术!$A:$R,2,FALSE))*(1+CQ55)*(1+CR55)*CS55*(1+$E$17+VLOOKUP($E55,武器奇术!$A:$R,10,FALSE))</f>
        <v>3706.0561384318</v>
      </c>
      <c r="CY55" s="93">
        <f t="shared" si="10"/>
        <v>0.0986</v>
      </c>
      <c r="CZ55" s="92">
        <f>CO55*IF(VLOOKUP($E55,武器奇术!$A:$R,17,FALSE)="破竹",VLOOKUP($E55,武器奇术!$A:$R,4,FALSE),VLOOKUP($E55,武器奇术!$A:$R,2,FALSE))*(1+CQ55)*(1+CR55)*CS55</f>
        <v>2037.47949780218</v>
      </c>
      <c r="DA55" s="93">
        <f t="shared" si="42"/>
        <v>0.0144</v>
      </c>
      <c r="DB55" s="101">
        <f t="shared" si="43"/>
        <v>4721.2997290517</v>
      </c>
      <c r="DC55" s="99">
        <f>IF(VLOOKUP($E55,武器奇术!$A:$R,18,FALSE)="极乐",0,$B$15)</f>
        <v>66</v>
      </c>
      <c r="DD55" s="91">
        <f t="shared" si="44"/>
        <v>95.9</v>
      </c>
      <c r="DE55" s="91">
        <f>IF(VLOOKUP($E55,武器奇术!$A:$R,18,FALSE)="极乐",0,$C$15)</f>
        <v>125.8</v>
      </c>
      <c r="DF55" s="93">
        <f>IF((IF(VLOOKUP($E55,武器奇术!$A:$R,17,FALSE)="鸣金",$D$7,0)+IF(VLOOKUP($E55,武器奇术!$A:$R,17,FALSE)="裂石",$D$9,0)+IF(VLOOKUP($E55,武器奇术!$A:$R,17,FALSE)="牵丝",$D$11,0)+IF(VLOOKUP($E55,武器奇术!$A:$R,17,FALSE)="破竹",$D$13,0)+$D$15-VLOOKUP($F$7,目标属性!$A:$R,6,FALSE)+IF(VLOOKUP($E55,武器奇术!$A:$V,22,FALSE)=1,4,0)+IF(VLOOKUP($E55,武器奇术!$A:$T,20,FALSE)=1,10,0))&gt;0,(IF(VLOOKUP($E55,武器奇术!$A:$R,17,FALSE)="鸣金",$D$7,0)+IF(VLOOKUP($E55,武器奇术!$A:$R,17,FALSE)="裂石",$D$9,0)+IF(VLOOKUP($E55,武器奇术!$A:$R,17,FALSE)="牵丝",$D$11,0)+IF(VLOOKUP($E55,武器奇术!$A:$R,17,FALSE)="破竹",$D$13,0)+$D$15-VLOOKUP($F$7,目标属性!$A:$R,6,FALSE)+IF(VLOOKUP($E55,武器奇术!$A:$V,22,FALSE)=1,4,0)+IF(VLOOKUP($E55,武器奇术!$A:$T,20,FALSE)=1,10,0))/200,(IF(VLOOKUP($E55,武器奇术!$A:$R,17,FALSE)="鸣金",$D$7,0)+IF(VLOOKUP($E55,武器奇术!$A:$R,17,FALSE)="裂石",$D$9,0)+IF(VLOOKUP($E55,武器奇术!$A:$R,17,FALSE)="牵丝",$D$11,0)+IF(VLOOKUP($E55,武器奇术!$A:$R,17,FALSE)="破竹",$D$13,0)+$D$15-VLOOKUP($F$7,目标属性!$A:$R,6,FALSE)+IF(VLOOKUP($E55,武器奇术!$A:$V,22,FALSE)=1,4,0)+IF(VLOOKUP($E55,武器奇术!$A:$T,20,FALSE)=1,10,0))/100)</f>
        <v>0.078</v>
      </c>
      <c r="DG55" s="120">
        <f>$E$13+IF(期望!$G$5="燕归",6%,0)</f>
        <v>0.208</v>
      </c>
      <c r="DH55" s="91">
        <v>1</v>
      </c>
      <c r="DI55" s="92">
        <f>DC55*IF(VLOOKUP($E55,武器奇术!$A:$R,17,FALSE)="破竹",VLOOKUP($E55,武器奇术!$A:$R,4,FALSE),VLOOKUP($E55,武器奇术!$A:$R,2,FALSE))*(1+DF55)*(1+DG55)*DH55</f>
        <v>127.80114887232</v>
      </c>
      <c r="DJ55" s="93">
        <f>(1-IF(VLOOKUP($E55,武器奇术!$A:$R,16,FALSE)="陌刀",1,$N55))*(1-$M55)</f>
        <v>0</v>
      </c>
      <c r="DK55" s="92">
        <f>DD55*IF(VLOOKUP($E55,武器奇术!$A:$R,17,FALSE)="破竹",VLOOKUP($E55,武器奇术!$A:$R,4,FALSE),VLOOKUP($E55,武器奇术!$A:$R,2,FALSE))*(1+DF55)*(1+DG55)*DH55*(1+$E$16+VLOOKUP($E55,武器奇术!$A:$R,8,FALSE))</f>
        <v>444.563267324122</v>
      </c>
      <c r="DL55" s="93">
        <f t="shared" si="12"/>
        <v>0.887</v>
      </c>
      <c r="DM55" s="92">
        <f>DE55*IF(VLOOKUP($E55,武器奇术!$A:$R,17,FALSE)="破竹",VLOOKUP($E55,武器奇术!$A:$R,4,FALSE),VLOOKUP($E55,武器奇术!$A:$R,2,FALSE))*(1+DF55)*(1+DG55)*DH55*(1+$E$17+VLOOKUP($E55,武器奇术!$A:$R,10,FALSE))</f>
        <v>328.855592621002</v>
      </c>
      <c r="DN55" s="93">
        <f t="shared" si="13"/>
        <v>0.0986</v>
      </c>
      <c r="DO55" s="92">
        <f>DD55*IF(VLOOKUP($E55,武器奇术!$A:$R,17,FALSE)="破竹",VLOOKUP($E55,武器奇术!$A:$R,4,FALSE),VLOOKUP($E55,武器奇术!$A:$R,2,FALSE))*(1+DF55)*(1+DG55)*DH55</f>
        <v>185.698942073568</v>
      </c>
      <c r="DP55" s="93">
        <f t="shared" si="14"/>
        <v>0.0144</v>
      </c>
      <c r="DQ55" s="101">
        <f t="shared" si="15"/>
        <v>429.426844314786</v>
      </c>
    </row>
    <row r="56" customFormat="1" spans="1:121">
      <c r="A56" s="126"/>
      <c r="B56" s="128"/>
      <c r="C56" s="12"/>
      <c r="D56" s="12"/>
      <c r="E56" s="105" t="s">
        <v>132</v>
      </c>
      <c r="F56" s="106">
        <v>2</v>
      </c>
      <c r="G56" s="107">
        <f>$E$24</f>
        <v>0</v>
      </c>
      <c r="H56" s="92">
        <f>IF(VLOOKUP($E56,武器奇术!$A:$R,18,FALSE)="天工",AE56,(AE56+AT56+BI56+BX56+CM56+DB56+DQ56))*(1+J56)*F56*K56*(1+G56)</f>
        <v>99727.8624506328</v>
      </c>
      <c r="I56" s="93">
        <f t="shared" si="16"/>
        <v>0.0127933613196028</v>
      </c>
      <c r="J56" s="93">
        <f>$F$3+VLOOKUP($E56,武器奇术!$A:$R,12,FALSE)+VLOOKUP($E56,武器奇术!$A:$R,14,FALSE)*$G$3+$P56</f>
        <v>0.943</v>
      </c>
      <c r="K56" s="94">
        <f>VLOOKUP($E56,武器奇术!$A:$R,11,FALSE)</f>
        <v>1</v>
      </c>
      <c r="L56" s="109">
        <f>IF(VLOOKUP($E56,武器奇术!$A:$R,15,FALSE)="天工",0%,IF($C$17+VLOOKUP($E56,武器奇术!$A:$R,7,FALSE)&gt;80%,80%,$C$17+VLOOKUP($E56,武器奇术!$A:$R,7,FALSE))+IF($C$19&gt;20%,20%,$C$19))</f>
        <v>0.887</v>
      </c>
      <c r="M56" s="110">
        <f>IF(VLOOKUP($E56,武器奇术!$A:$R,15,FALSE)="天工",0%,IF($C$18+VLOOKUP($E56,武器奇术!$A:$R,9,FALSE)&gt;40%,40%,$C$18+VLOOKUP($E56,武器奇术!$A:$R,9,FALSE))+IF($C$20&gt;10%,10%,$C$20))</f>
        <v>0.0986</v>
      </c>
      <c r="N56" s="111">
        <f>IF(VLOOKUP($E56,武器奇术!$A:$R,15,FALSE)="天工",100%,MIN($C$16,1))</f>
        <v>1</v>
      </c>
      <c r="O56" s="112" t="str">
        <f>VLOOKUP($E56,武器奇术!$A:$R,16,FALSE)</f>
        <v>双刀</v>
      </c>
      <c r="P56" s="113">
        <f t="shared" si="17"/>
        <v>0.17</v>
      </c>
      <c r="Q56" s="99">
        <f>$B$5*(1+VLOOKUP($E56,武器奇术!$A:$R,5,FALSE)+IF($G$5="飞隼",0.1,0)+IF($G$5="撼天",0.05,0))-$F$9*IF(VLOOKUP($E56,武器奇术!$A:$S,19,FALSE)=1,0.9,1)+IF($I$5="√",160,0)</f>
        <v>2904.2</v>
      </c>
      <c r="R56" s="91">
        <f t="shared" si="18"/>
        <v>2904.2</v>
      </c>
      <c r="S56" s="91">
        <f>MAX($C$5,$B$5)*(1+VLOOKUP($E56,武器奇术!$A:$R,5,FALSE)+IF($G$5="飞隼",0.1,0)+IF($G$5="撼天",0.05,0))-$F$9*IF(VLOOKUP($E56,武器奇术!$A:$S,19,FALSE)=1,0.9,1)+IF($I$5="√",320,0)</f>
        <v>2904.2</v>
      </c>
      <c r="T56" s="93">
        <f>IF(($D$5+VLOOKUP($E56,武器奇术!$A:$R,13,FALSE)+IF($I$3="√",10,0)-VLOOKUP($F$7,目标属性!$A:$R,5,FALSE))&gt;0,($D$5+VLOOKUP($E56,武器奇术!$A:$R,13,FALSE)+IF($I$3="√",10,0)-VLOOKUP($F$7,目标属性!$A:$R,5,FALSE))/200,($D$5+VLOOKUP($E56,武器奇术!$A:$R,13,FALSE)+IF($I$3="√",10,0)-VLOOKUP($F$7,目标属性!$A:$R,5,FALSE))/100)</f>
        <v>0.3925</v>
      </c>
      <c r="U56" s="120">
        <f>$E$5+IF(VLOOKUP($E56,武器奇术!$A:$R,18,FALSE)="鼠鼠",0.24,0)+IF(期望!$G$5="燕归",6/100,0)</f>
        <v>0.06</v>
      </c>
      <c r="V56" s="91">
        <v>1</v>
      </c>
      <c r="W56" s="92">
        <f>Q56*VLOOKUP($E56,武器奇术!$A:$R,2,FALSE)*(1+T56)*(1+U56)*V56</f>
        <v>6816.1379491205</v>
      </c>
      <c r="X56" s="93">
        <f>(1-IF(VLOOKUP($E56,武器奇术!$A:$R,16,FALSE)="陌刀",1,$N56))*(1-$M56)</f>
        <v>0</v>
      </c>
      <c r="Y56" s="92">
        <f>R56*VLOOKUP($E56,武器奇术!$A:$R,2,FALSE)*(1+T56)*(1+U56)*V56*(1+$E$16+VLOOKUP($E56,武器奇术!$A:$R,8,FALSE))</f>
        <v>16317.8342501945</v>
      </c>
      <c r="Z56" s="93">
        <f t="shared" si="19"/>
        <v>0.887</v>
      </c>
      <c r="AA56" s="92">
        <f>S56*VLOOKUP($E56,武器奇术!$A:$R,2,FALSE)*(1+T56)*(1+U56)*V56*(1+$E$17+VLOOKUP($E56,武器奇术!$A:$R,10,FALSE))</f>
        <v>9201.78623131268</v>
      </c>
      <c r="AB56" s="93">
        <f t="shared" si="20"/>
        <v>0.0986</v>
      </c>
      <c r="AC56" s="92">
        <f>R56*VLOOKUP($E56,武器奇术!$A:$R,2,FALSE)*(1+T56)*(1+U56)*V56</f>
        <v>6816.1379491205</v>
      </c>
      <c r="AD56" s="93">
        <f t="shared" si="21"/>
        <v>0.0144</v>
      </c>
      <c r="AE56" s="101">
        <f t="shared" si="22"/>
        <v>15479.3674887973</v>
      </c>
      <c r="AF56" s="102">
        <f>VLOOKUP($E56,武器奇术!$A:$R,3,FALSE)*(1+IF(VLOOKUP($E56,武器奇术!$A:$R,15,FALSE)="武器",$E$15,0))</f>
        <v>573.43</v>
      </c>
      <c r="AG56" s="92">
        <f t="shared" si="23"/>
        <v>573.43</v>
      </c>
      <c r="AH56" s="92">
        <f>VLOOKUP($E56,武器奇术!$A:$R,3,FALSE)*(1+IF(VLOOKUP($E56,武器奇术!$A:$R,15,FALSE)="武器",$E$15,0))</f>
        <v>573.43</v>
      </c>
      <c r="AI56" s="93">
        <f>IF(($D$5+VLOOKUP($E56,武器奇术!$A:$R,13,FALSE)+IF($I$3="√",10,0)-VLOOKUP($F$7,目标属性!$A:$R,5,FALSE))&gt;0,($D$5+VLOOKUP($E56,武器奇术!$A:$R,13,FALSE)+IF($I$3="√",10,0)-VLOOKUP($F$7,目标属性!$A:$R,5,FALSE))/200,($D$5+VLOOKUP($E56,武器奇术!$A:$R,13,FALSE)+IF($I$3="√",10,0)-VLOOKUP($F$7,目标属性!$A:$R,5,FALSE))/100)</f>
        <v>0.3925</v>
      </c>
      <c r="AJ56" s="120">
        <f>$E$5+IF(VLOOKUP($E56,武器奇术!$A:$R,18,FALSE)="鼠鼠",0.24,0)+IF(期望!$G$5="燕归",6/100,0)</f>
        <v>0.06</v>
      </c>
      <c r="AK56" s="91">
        <v>1</v>
      </c>
      <c r="AL56" s="92">
        <f t="shared" si="24"/>
        <v>846.4113515</v>
      </c>
      <c r="AM56" s="93">
        <f>(1-IF(VLOOKUP($E56,武器奇术!$A:$R,16,FALSE)="陌刀",1,$N56))*(1-$M56)</f>
        <v>0</v>
      </c>
      <c r="AN56" s="92">
        <f>AG56*(1+AI56)*(1+AJ56)*AK56*(1+$E$16+VLOOKUP($E56,武器奇术!$A:$R,8,FALSE))</f>
        <v>2026.308775491</v>
      </c>
      <c r="AO56" s="93">
        <f t="shared" si="1"/>
        <v>0.887</v>
      </c>
      <c r="AP56" s="92">
        <f>AH56*(1+AI56)*(1+AJ56)*AK56*(1+$E$17+VLOOKUP($E56,武器奇术!$A:$R,10,FALSE))</f>
        <v>1142.655324525</v>
      </c>
      <c r="AQ56" s="93">
        <f t="shared" si="2"/>
        <v>0.0986</v>
      </c>
      <c r="AR56" s="92">
        <f t="shared" si="25"/>
        <v>846.4113515</v>
      </c>
      <c r="AS56" s="93">
        <f t="shared" si="26"/>
        <v>0.0144</v>
      </c>
      <c r="AT56" s="101">
        <f t="shared" si="27"/>
        <v>1922.19002232028</v>
      </c>
      <c r="AU56" s="99">
        <f>IF(VLOOKUP($E56,武器奇术!$A:$R,18,FALSE)="极乐",0,$B$7*IF($G$5="撼天",1.05,1)+IF(AND(VLOOKUP($E56,武器奇术!$A:$R,15,FALSE)="武器",VLOOKUP($E56,武器奇术!$A:$R,17,FALSE)="鸣金"),$E$3*(1+$E$15),0))</f>
        <v>0</v>
      </c>
      <c r="AV56" s="91">
        <f t="shared" si="28"/>
        <v>0</v>
      </c>
      <c r="AW56" s="91">
        <f>IF(VLOOKUP($E56,武器奇术!$A:$R,18,FALSE)="极乐",0,MAX($C$7*IF($G$5="撼天",1.05,1)+IF(AND(VLOOKUP($E56,武器奇术!$A:$R,15,FALSE)="武器",VLOOKUP($E56,武器奇术!$A:$R,17,FALSE)="鸣金"),$E$3*(1+$E$15),0),AU56))</f>
        <v>0</v>
      </c>
      <c r="AX56" s="93">
        <f>IF(($D$7+IF(VLOOKUP($E56,武器奇术!$A:$R,17,FALSE)="鸣金",$D$15,0)-VLOOKUP($F$7,目标属性!$A:$R,6,FALSE))&gt;0,($D$7+IF(VLOOKUP($E56,武器奇术!$A:$R,17,FALSE)="鸣金",$D$15,0)-VLOOKUP($F$7,目标属性!$A:$R,6,FALSE))/200,($D$7+IF(VLOOKUP($E56,武器奇术!$A:$R,17,FALSE)="鸣金",$D$15,0)-VLOOKUP($F$7,目标属性!$A:$R,6,FALSE))/100)</f>
        <v>-0.24</v>
      </c>
      <c r="AY56" s="100">
        <f t="shared" si="50"/>
        <v>0</v>
      </c>
      <c r="AZ56" s="91">
        <v>1</v>
      </c>
      <c r="BA56" s="92">
        <f>AU56*IF(VLOOKUP($E56,武器奇术!$A:$R,17,FALSE)="鸣金",VLOOKUP($E56,武器奇术!$A:$R,4,FALSE),VLOOKUP($E56,武器奇术!$A:$R,2,FALSE))*(1+AX56)*(1+AY56)*AZ56</f>
        <v>0</v>
      </c>
      <c r="BB56" s="93">
        <f>(1-IF(VLOOKUP($E56,武器奇术!$A:$R,16,FALSE)="陌刀",1,$N56))*(1-$M56)</f>
        <v>0</v>
      </c>
      <c r="BC56" s="92">
        <f>AV56*IF(VLOOKUP($E56,武器奇术!$A:$R,17,FALSE)="鸣金",VLOOKUP($E56,武器奇术!$A:$R,4,FALSE),VLOOKUP($E56,武器奇术!$A:$R,2,FALSE))*(1+AX56)*(1+AY56)*AZ56*(1+$E$16+VLOOKUP($E56,武器奇术!$A:$R,8,FALSE))</f>
        <v>0</v>
      </c>
      <c r="BD56" s="93">
        <f t="shared" si="3"/>
        <v>0.887</v>
      </c>
      <c r="BE56" s="92">
        <f>AW56*IF(VLOOKUP($E56,武器奇术!$A:$R,17,FALSE)="鸣金",VLOOKUP($E56,武器奇术!$A:$R,4,FALSE),VLOOKUP($E56,武器奇术!$A:$R,2,FALSE))*(1+AX56)*(1+AY56)*AZ56*(1+$E$17+VLOOKUP($E56,武器奇术!$A:$R,10,FALSE))</f>
        <v>0</v>
      </c>
      <c r="BF56" s="93">
        <f t="shared" si="4"/>
        <v>0.0986</v>
      </c>
      <c r="BG56" s="92">
        <f>AV56*IF(VLOOKUP($E56,武器奇术!$A:$R,17,FALSE)="鸣金",VLOOKUP($E56,武器奇术!$A:$R,4,FALSE),VLOOKUP($E56,武器奇术!$A:$R,2,FALSE))*(1+AX56)*(1+AY56)*AZ56</f>
        <v>0</v>
      </c>
      <c r="BH56" s="93">
        <f t="shared" si="30"/>
        <v>0.0144</v>
      </c>
      <c r="BI56" s="101">
        <f t="shared" si="31"/>
        <v>0</v>
      </c>
      <c r="BJ56" s="99">
        <f>IF(VLOOKUP($E56,武器奇术!$A:$R,18,FALSE)="极乐",0,$B$9*IF($G$5="撼天",1.05,1)+IF(AND(VLOOKUP($E56,武器奇术!$A:$R,15,FALSE)="武器",VLOOKUP($E56,武器奇术!$A:$R,17,FALSE)="裂石"),$E$3*(1+$E$15),0))</f>
        <v>0</v>
      </c>
      <c r="BK56" s="91">
        <f t="shared" si="32"/>
        <v>0</v>
      </c>
      <c r="BL56" s="91">
        <f>IF(VLOOKUP($E56,武器奇术!$A:$R,18,FALSE)="极乐",0,MAX($C$9*IF($G$5="撼天",1.05,1)+IF(AND(VLOOKUP($E56,武器奇术!$A:$R,15,FALSE)="武器",VLOOKUP($E56,武器奇术!$A:$R,17,FALSE)="裂石"),$E$3*(1+$E$15),0),BJ56))</f>
        <v>0</v>
      </c>
      <c r="BM56" s="93">
        <f>IF(($D$9+IF(VLOOKUP($E56,武器奇术!$A:$R,17,FALSE)="裂石",$D$15,0)-VLOOKUP($F$7,目标属性!$A:$R,6,FALSE))&gt;0,($D$9+IF(VLOOKUP($E56,武器奇术!$A:$R,17,FALSE)="裂石",$D$15,0)-VLOOKUP($F$7,目标属性!$A:$R,6,FALSE))/200,($D$9+IF(VLOOKUP($E56,武器奇术!$A:$R,17,FALSE)="裂石",$D$15,0)-VLOOKUP($F$7,目标属性!$A:$R,6,FALSE))/100)</f>
        <v>-0.24</v>
      </c>
      <c r="BN56" s="100">
        <f t="shared" si="51"/>
        <v>0</v>
      </c>
      <c r="BO56" s="91">
        <v>1</v>
      </c>
      <c r="BP56" s="92">
        <f>BJ56*IF(VLOOKUP($E56,武器奇术!$A:$R,17,FALSE)="裂石",VLOOKUP($E56,武器奇术!$A:$R,4,FALSE),VLOOKUP($E56,武器奇术!$A:$R,2,FALSE))*(1+BM56)*(1+BN56)*BO56</f>
        <v>0</v>
      </c>
      <c r="BQ56" s="93">
        <f>(1-IF(VLOOKUP($E56,武器奇术!$A:$R,16,FALSE)="陌刀",1,$N56))*(1-$M56)</f>
        <v>0</v>
      </c>
      <c r="BR56" s="92">
        <f>BK56*IF(VLOOKUP($E56,武器奇术!$A:$R,17,FALSE)="裂石",VLOOKUP($E56,武器奇术!$A:$R,4,FALSE),VLOOKUP($E56,武器奇术!$A:$R,2,FALSE))*(1+BM56)*(1+BN56)*BO56*(1+$E$16+VLOOKUP($E56,武器奇术!$A:$R,8,FALSE))</f>
        <v>0</v>
      </c>
      <c r="BS56" s="93">
        <f t="shared" si="5"/>
        <v>0.887</v>
      </c>
      <c r="BT56" s="92">
        <f>BL56*IF(VLOOKUP($E56,武器奇术!$A:$R,17,FALSE)="裂石",VLOOKUP($E56,武器奇术!$A:$R,4,FALSE),VLOOKUP($E56,武器奇术!$A:$R,2,FALSE))*(1+BM56)*(1+BN56)*BO56*(1+$E$17+VLOOKUP($E56,武器奇术!$A:$R,10,FALSE))</f>
        <v>0</v>
      </c>
      <c r="BU56" s="93">
        <f t="shared" si="6"/>
        <v>0.0986</v>
      </c>
      <c r="BV56" s="92">
        <f>BK56*IF(VLOOKUP($E56,武器奇术!$A:$R,17,FALSE)="裂石",VLOOKUP($E56,武器奇术!$A:$R,4,FALSE),VLOOKUP($E56,武器奇术!$A:$R,2,FALSE))*(1+BM56)*(1+BN56)*BO56</f>
        <v>0</v>
      </c>
      <c r="BW56" s="93">
        <f t="shared" si="34"/>
        <v>0.0144</v>
      </c>
      <c r="BX56" s="101">
        <f t="shared" si="35"/>
        <v>0</v>
      </c>
      <c r="BY56" s="99">
        <f>IF(VLOOKUP($E56,武器奇术!$A:$R,18,FALSE)="极乐",0,$B$11*IF($G$5="撼天",1.05,1)+IF(AND(VLOOKUP($E56,武器奇术!$A:$R,15,FALSE)="武器",VLOOKUP($E56,武器奇术!$A:$R,17,FALSE)="牵丝"),$E$3*(1+$E$15),0))</f>
        <v>0</v>
      </c>
      <c r="BZ56" s="91">
        <f t="shared" si="36"/>
        <v>0</v>
      </c>
      <c r="CA56" s="91">
        <f>IF(VLOOKUP($E56,武器奇术!$A:$R,18,FALSE)="极乐",0,MAX($C$11*IF($G$5="撼天",1.05,1)+IF(AND(VLOOKUP($E56,武器奇术!$A:$R,15,FALSE)="武器",VLOOKUP($E56,武器奇术!$A:$R,17,FALSE)="牵丝"),$E$3*(1+$E$15),0),BY56))</f>
        <v>0</v>
      </c>
      <c r="CB56" s="93">
        <f>IF(($D$11+IF(VLOOKUP($E56,武器奇术!$A:$R,17,FALSE)="牵丝",$D$15,0)-VLOOKUP($F$7,目标属性!$A:$R,6,FALSE))&gt;0,($D$11+IF(VLOOKUP($E56,武器奇术!$A:$R,17,FALSE)="牵丝",$D$15,0)-VLOOKUP($F$7,目标属性!$A:$R,6,FALSE))/200,($D$11+IF(VLOOKUP($E56,武器奇术!$A:$R,17,FALSE)="牵丝",$D$15,0)-VLOOKUP($F$7,目标属性!$A:$R,6,FALSE))/100)</f>
        <v>-0.24</v>
      </c>
      <c r="CC56" s="100">
        <f t="shared" si="52"/>
        <v>0</v>
      </c>
      <c r="CD56" s="91">
        <v>1</v>
      </c>
      <c r="CE56" s="92">
        <f>BY56*IF(VLOOKUP($E56,武器奇术!$A:$R,17,FALSE)="牵丝",VLOOKUP($E56,武器奇术!$A:$R,4,FALSE),VLOOKUP($E56,武器奇术!$A:$R,2,FALSE))*(1+CB56)*(1+CC56)*CD56</f>
        <v>0</v>
      </c>
      <c r="CF56" s="93">
        <f>(1-IF(VLOOKUP($E56,武器奇术!$A:$R,16,FALSE)="陌刀",1,$N56))*(1-$M56)</f>
        <v>0</v>
      </c>
      <c r="CG56" s="92">
        <f>BZ56*IF(VLOOKUP($E56,武器奇术!$A:$R,17,FALSE)="牵丝",VLOOKUP($E56,武器奇术!$A:$R,4,FALSE),VLOOKUP($E56,武器奇术!$A:$R,2,FALSE))*(1+CB56)*(1+CC56)*CD56*(1+$E$16+VLOOKUP($E56,武器奇术!$A:$R,8,FALSE))</f>
        <v>0</v>
      </c>
      <c r="CH56" s="93">
        <f t="shared" si="7"/>
        <v>0.887</v>
      </c>
      <c r="CI56" s="92">
        <f>CA56*IF(VLOOKUP($E56,武器奇术!$A:$R,17,FALSE)="牵丝",VLOOKUP($E56,武器奇术!$A:$R,4,FALSE),VLOOKUP($E56,武器奇术!$A:$R,2,FALSE))*(1+CB56)*(1+CC56)*CD56*(1+$E$17+VLOOKUP($E56,武器奇术!$A:$R,10,FALSE))</f>
        <v>0</v>
      </c>
      <c r="CJ56" s="93">
        <f t="shared" si="8"/>
        <v>0.0986</v>
      </c>
      <c r="CK56" s="92">
        <f>BZ56*IF(VLOOKUP($E56,武器奇术!$A:$R,17,FALSE)="牵丝",VLOOKUP($E56,武器奇术!$A:$R,4,FALSE),VLOOKUP($E56,武器奇术!$A:$R,2,FALSE))*(1+CB56)*(1+CC56)*CD56</f>
        <v>0</v>
      </c>
      <c r="CL56" s="93">
        <f t="shared" si="38"/>
        <v>0.0144</v>
      </c>
      <c r="CM56" s="101">
        <f t="shared" si="39"/>
        <v>0</v>
      </c>
      <c r="CN56" s="99">
        <f>IF(VLOOKUP($E56,武器奇术!$A:$R,18,FALSE)="极乐",0,$B$13*IF($G$5="撼天",1.05,1)+IF(AND(VLOOKUP($E56,武器奇术!$A:$R,15,FALSE)="武器",VLOOKUP($E56,武器奇术!$A:$R,17,FALSE)="破竹"),$E$3*(1+$E$15),0))</f>
        <v>686.71</v>
      </c>
      <c r="CO56" s="91">
        <f t="shared" si="40"/>
        <v>1052.21</v>
      </c>
      <c r="CP56" s="91">
        <f>IF(VLOOKUP($E56,武器奇术!$A:$R,18,FALSE)="极乐",0,MAX($C$13*IF($G$5="撼天",1.05,1)+IF(AND(VLOOKUP($E56,武器奇术!$A:$R,15,FALSE)="武器",VLOOKUP($E56,武器奇术!$A:$R,17,FALSE)="破竹"),$E$3*(1+$E$15),0),CN56))</f>
        <v>1417.71</v>
      </c>
      <c r="CQ56" s="93">
        <f>IF(($D$13+IF(VLOOKUP($E56,武器奇术!$A:$R,17,FALSE)="破竹",$D$15,0)-VLOOKUP($F$7,目标属性!$A:$R,6,FALSE)+IF(VLOOKUP($E56,武器奇术!$A:$V,22,FALSE)=1,4,0)+IF(VLOOKUP($E56,武器奇术!$A:$T,20,FALSE)=1,10,0))&gt;0,($D$13+IF(VLOOKUP($E56,武器奇术!$A:$R,17,FALSE)="破竹",$D$15,0)-VLOOKUP($F$7,目标属性!$A:$R,6,FALSE)+IF(VLOOKUP($E56,武器奇术!$A:$V,22,FALSE)=1,4,0)+IF(VLOOKUP($E56,武器奇术!$A:$T,20,FALSE)=1,10,0))/200,($D$13+IF(VLOOKUP($E56,武器奇术!$A:$R,17,FALSE)="破竹",$D$15,0)-VLOOKUP($F$7,目标属性!$A:$R,6,FALSE)+IF(VLOOKUP($E56,武器奇术!$A:$V,22,FALSE)=1,4,0)+IF(VLOOKUP($E56,武器奇术!$A:$T,20,FALSE)=1,10,0))/100)</f>
        <v>0.078</v>
      </c>
      <c r="CR56" s="120">
        <f>$E$13+IF(期望!$G$5="燕归",6%,0)</f>
        <v>0.208</v>
      </c>
      <c r="CS56" s="91">
        <v>1</v>
      </c>
      <c r="CT56" s="92">
        <f>CN56*IF(VLOOKUP($E56,武器奇术!$A:$R,17,FALSE)="破竹",VLOOKUP($E56,武器奇术!$A:$R,4,FALSE),VLOOKUP($E56,武器奇术!$A:$R,2,FALSE))*(1+CQ56)*(1+CR56)*CS56</f>
        <v>2132.903082182</v>
      </c>
      <c r="CU56" s="93">
        <f>(1-IF(VLOOKUP($E56,武器奇术!$A:$R,16,FALSE)="陌刀",1,$N56))*(1-$M56)</f>
        <v>0</v>
      </c>
      <c r="CV56" s="92">
        <f>CO56*IF(VLOOKUP($E56,武器奇术!$A:$R,17,FALSE)="破竹",VLOOKUP($E56,武器奇术!$A:$R,4,FALSE),VLOOKUP($E56,武器奇术!$A:$R,2,FALSE))*(1+CQ56)*(1+CR56)*CS56*(1+$E$16+VLOOKUP($E56,武器奇术!$A:$R,8,FALSE))</f>
        <v>7823.9185585384</v>
      </c>
      <c r="CW56" s="93">
        <f t="shared" si="9"/>
        <v>0.887</v>
      </c>
      <c r="CX56" s="92">
        <f>CP56*IF(VLOOKUP($E56,武器奇术!$A:$R,17,FALSE)="破竹",VLOOKUP($E56,武器奇术!$A:$R,4,FALSE),VLOOKUP($E56,武器奇术!$A:$R,2,FALSE))*(1+CQ56)*(1+CR56)*CS56*(1+$E$17+VLOOKUP($E56,武器奇术!$A:$R,10,FALSE))</f>
        <v>5944.54913815777</v>
      </c>
      <c r="CY56" s="93">
        <f t="shared" si="10"/>
        <v>0.0986</v>
      </c>
      <c r="CZ56" s="92">
        <f>CO56*IF(VLOOKUP($E56,武器奇术!$A:$R,17,FALSE)="破竹",VLOOKUP($E56,武器奇术!$A:$R,4,FALSE),VLOOKUP($E56,武器奇术!$A:$R,2,FALSE))*(1+CQ56)*(1+CR56)*CS56</f>
        <v>3268.13640707536</v>
      </c>
      <c r="DA56" s="93">
        <f t="shared" si="42"/>
        <v>0.0144</v>
      </c>
      <c r="DB56" s="101">
        <f t="shared" si="43"/>
        <v>7573.0094707078</v>
      </c>
      <c r="DC56" s="99">
        <f>IF(VLOOKUP($E56,武器奇术!$A:$R,18,FALSE)="极乐",0,$B$15)</f>
        <v>66</v>
      </c>
      <c r="DD56" s="91">
        <f t="shared" si="44"/>
        <v>95.9</v>
      </c>
      <c r="DE56" s="91">
        <f>IF(VLOOKUP($E56,武器奇术!$A:$R,18,FALSE)="极乐",0,$C$15)</f>
        <v>125.8</v>
      </c>
      <c r="DF56" s="93">
        <f>IF((IF(VLOOKUP($E56,武器奇术!$A:$R,17,FALSE)="鸣金",$D$7,0)+IF(VLOOKUP($E56,武器奇术!$A:$R,17,FALSE)="裂石",$D$9,0)+IF(VLOOKUP($E56,武器奇术!$A:$R,17,FALSE)="牵丝",$D$11,0)+IF(VLOOKUP($E56,武器奇术!$A:$R,17,FALSE)="破竹",$D$13,0)+$D$15-VLOOKUP($F$7,目标属性!$A:$R,6,FALSE)+IF(VLOOKUP($E56,武器奇术!$A:$V,22,FALSE)=1,4,0)+IF(VLOOKUP($E56,武器奇术!$A:$T,20,FALSE)=1,10,0))&gt;0,(IF(VLOOKUP($E56,武器奇术!$A:$R,17,FALSE)="鸣金",$D$7,0)+IF(VLOOKUP($E56,武器奇术!$A:$R,17,FALSE)="裂石",$D$9,0)+IF(VLOOKUP($E56,武器奇术!$A:$R,17,FALSE)="牵丝",$D$11,0)+IF(VLOOKUP($E56,武器奇术!$A:$R,17,FALSE)="破竹",$D$13,0)+$D$15-VLOOKUP($F$7,目标属性!$A:$R,6,FALSE)+IF(VLOOKUP($E56,武器奇术!$A:$V,22,FALSE)=1,4,0)+IF(VLOOKUP($E56,武器奇术!$A:$T,20,FALSE)=1,10,0))/200,(IF(VLOOKUP($E56,武器奇术!$A:$R,17,FALSE)="鸣金",$D$7,0)+IF(VLOOKUP($E56,武器奇术!$A:$R,17,FALSE)="裂石",$D$9,0)+IF(VLOOKUP($E56,武器奇术!$A:$R,17,FALSE)="牵丝",$D$11,0)+IF(VLOOKUP($E56,武器奇术!$A:$R,17,FALSE)="破竹",$D$13,0)+$D$15-VLOOKUP($F$7,目标属性!$A:$R,6,FALSE)+IF(VLOOKUP($E56,武器奇术!$A:$V,22,FALSE)=1,4,0)+IF(VLOOKUP($E56,武器奇术!$A:$T,20,FALSE)=1,10,0))/100)</f>
        <v>0.078</v>
      </c>
      <c r="DG56" s="120">
        <f>$E$13+IF(期望!$G$5="燕归",6%,0)</f>
        <v>0.208</v>
      </c>
      <c r="DH56" s="91">
        <v>1</v>
      </c>
      <c r="DI56" s="92">
        <f>DC56*IF(VLOOKUP($E56,武器奇术!$A:$R,17,FALSE)="破竹",VLOOKUP($E56,武器奇术!$A:$R,4,FALSE),VLOOKUP($E56,武器奇术!$A:$R,2,FALSE))*(1+DF56)*(1+DG56)*DH56</f>
        <v>204.99425292192</v>
      </c>
      <c r="DJ56" s="93">
        <f>(1-IF(VLOOKUP($E56,武器奇术!$A:$R,16,FALSE)="陌刀",1,$N56))*(1-$M56)</f>
        <v>0</v>
      </c>
      <c r="DK56" s="92">
        <f>DD56*IF(VLOOKUP($E56,武器奇术!$A:$R,17,FALSE)="破竹",VLOOKUP($E56,武器奇术!$A:$R,4,FALSE),VLOOKUP($E56,武器奇术!$A:$R,2,FALSE))*(1+DF56)*(1+DG56)*DH56*(1+$E$16+VLOOKUP($E56,武器奇术!$A:$R,8,FALSE))</f>
        <v>713.083690293604</v>
      </c>
      <c r="DL56" s="93">
        <f t="shared" si="12"/>
        <v>0.887</v>
      </c>
      <c r="DM56" s="92">
        <f>DE56*IF(VLOOKUP($E56,武器奇术!$A:$R,17,FALSE)="破竹",VLOOKUP($E56,武器奇术!$A:$R,4,FALSE),VLOOKUP($E56,武器奇术!$A:$R,2,FALSE))*(1+DF56)*(1+DG56)*DH56*(1+$E$17+VLOOKUP($E56,武器奇术!$A:$R,10,FALSE))</f>
        <v>527.48748445045</v>
      </c>
      <c r="DN56" s="93">
        <f t="shared" si="13"/>
        <v>0.0986</v>
      </c>
      <c r="DO56" s="92">
        <f>DD56*IF(VLOOKUP($E56,武器奇术!$A:$R,17,FALSE)="破竹",VLOOKUP($E56,武器奇术!$A:$R,4,FALSE),VLOOKUP($E56,武器奇术!$A:$R,2,FALSE))*(1+DF56)*(1+DG56)*DH56</f>
        <v>297.862861442608</v>
      </c>
      <c r="DP56" s="93">
        <f t="shared" si="14"/>
        <v>0.0144</v>
      </c>
      <c r="DQ56" s="101">
        <f t="shared" si="15"/>
        <v>688.804724462015</v>
      </c>
    </row>
    <row r="57" customFormat="1" spans="1:121">
      <c r="A57" s="126"/>
      <c r="B57" s="128"/>
      <c r="C57" s="12"/>
      <c r="D57" s="12"/>
      <c r="E57" s="105" t="s">
        <v>133</v>
      </c>
      <c r="F57" s="106">
        <v>1</v>
      </c>
      <c r="G57" s="107">
        <f t="shared" ref="G57:G63" si="53">$E$24</f>
        <v>0</v>
      </c>
      <c r="H57" s="92">
        <f>IF(VLOOKUP($E57,武器奇术!$A:$R,18,FALSE)="天工",AE57,(AE57+AT57+BI57+BX57+CM57+DB57+DQ57))*(1+J57)*F57*K57*(1+G57)</f>
        <v>59872.7048764261</v>
      </c>
      <c r="I57" s="93">
        <f t="shared" si="16"/>
        <v>0.00768063335404624</v>
      </c>
      <c r="J57" s="93">
        <f>$F$3+VLOOKUP($E57,武器奇术!$A:$R,12,FALSE)+VLOOKUP($E57,武器奇术!$A:$R,14,FALSE)*$G$3+$P57</f>
        <v>0.943</v>
      </c>
      <c r="K57" s="94">
        <f>VLOOKUP($E57,武器奇术!$A:$R,11,FALSE)</f>
        <v>1</v>
      </c>
      <c r="L57" s="109">
        <f>IF(VLOOKUP($E57,武器奇术!$A:$R,15,FALSE)="天工",0%,IF($C$17+VLOOKUP($E57,武器奇术!$A:$R,7,FALSE)&gt;80%,80%,$C$17+VLOOKUP($E57,武器奇术!$A:$R,7,FALSE))+IF($C$19&gt;20%,20%,$C$19))</f>
        <v>0.887</v>
      </c>
      <c r="M57" s="110">
        <f>IF(VLOOKUP($E57,武器奇术!$A:$R,15,FALSE)="天工",0%,IF($C$18+VLOOKUP($E57,武器奇术!$A:$R,9,FALSE)&gt;40%,40%,$C$18+VLOOKUP($E57,武器奇术!$A:$R,9,FALSE))+IF($C$20&gt;10%,10%,$C$20))</f>
        <v>0.0986</v>
      </c>
      <c r="N57" s="111">
        <f>IF(VLOOKUP($E57,武器奇术!$A:$R,15,FALSE)="天工",100%,MIN($C$16,1))</f>
        <v>1</v>
      </c>
      <c r="O57" s="112" t="str">
        <f>VLOOKUP($E57,武器奇术!$A:$R,16,FALSE)</f>
        <v>双刀</v>
      </c>
      <c r="P57" s="113">
        <f t="shared" si="17"/>
        <v>0.17</v>
      </c>
      <c r="Q57" s="99">
        <f>$B$5*(1+VLOOKUP($E57,武器奇术!$A:$R,5,FALSE)+IF($G$5="飞隼",0.1,0)+IF($G$5="撼天",0.05,0))-$F$9*IF(VLOOKUP($E57,武器奇术!$A:$S,19,FALSE)=1,0.9,1)+IF($I$5="√",160,0)</f>
        <v>2904.2</v>
      </c>
      <c r="R57" s="91">
        <f t="shared" si="18"/>
        <v>2904.2</v>
      </c>
      <c r="S57" s="91">
        <f>MAX($C$5,$B$5)*(1+VLOOKUP($E57,武器奇术!$A:$R,5,FALSE)+IF($G$5="飞隼",0.1,0)+IF($G$5="撼天",0.05,0))-$F$9*IF(VLOOKUP($E57,武器奇术!$A:$S,19,FALSE)=1,0.9,1)+IF($I$5="√",320,0)</f>
        <v>2904.2</v>
      </c>
      <c r="T57" s="93">
        <f>IF(($D$5+VLOOKUP($E57,武器奇术!$A:$R,13,FALSE)+IF($I$3="√",10,0)-VLOOKUP($F$7,目标属性!$A:$R,5,FALSE))&gt;0,($D$5+VLOOKUP($E57,武器奇术!$A:$R,13,FALSE)+IF($I$3="√",10,0)-VLOOKUP($F$7,目标属性!$A:$R,5,FALSE))/200,($D$5+VLOOKUP($E57,武器奇术!$A:$R,13,FALSE)+IF($I$3="√",10,0)-VLOOKUP($F$7,目标属性!$A:$R,5,FALSE))/100)</f>
        <v>0.3925</v>
      </c>
      <c r="U57" s="120">
        <f>$E$5+IF(VLOOKUP($E57,武器奇术!$A:$R,18,FALSE)="鼠鼠",0.24,0)+IF(期望!$G$5="燕归",6/100,0)</f>
        <v>0.06</v>
      </c>
      <c r="V57" s="91">
        <v>1</v>
      </c>
      <c r="W57" s="92">
        <f>Q57*VLOOKUP($E57,武器奇术!$A:$R,2,FALSE)*(1+T57)*(1+U57)*V57</f>
        <v>8185.0240415658</v>
      </c>
      <c r="X57" s="93">
        <f>(1-IF(VLOOKUP($E57,武器奇术!$A:$R,16,FALSE)="陌刀",1,$N57))*(1-$M57)</f>
        <v>0</v>
      </c>
      <c r="Y57" s="92">
        <f>R57*VLOOKUP($E57,武器奇术!$A:$R,2,FALSE)*(1+T57)*(1+U57)*V57*(1+$E$16+VLOOKUP($E57,武器奇术!$A:$R,8,FALSE))</f>
        <v>19594.9475555085</v>
      </c>
      <c r="Z57" s="93">
        <f t="shared" si="19"/>
        <v>0.887</v>
      </c>
      <c r="AA57" s="92">
        <f>S57*VLOOKUP($E57,武器奇术!$A:$R,2,FALSE)*(1+T57)*(1+U57)*V57*(1+$E$17+VLOOKUP($E57,武器奇术!$A:$R,10,FALSE))</f>
        <v>11049.7824561138</v>
      </c>
      <c r="AB57" s="93">
        <f t="shared" si="20"/>
        <v>0.0986</v>
      </c>
      <c r="AC57" s="92">
        <f>R57*VLOOKUP($E57,武器奇术!$A:$R,2,FALSE)*(1+T57)*(1+U57)*V57</f>
        <v>8185.0240415658</v>
      </c>
      <c r="AD57" s="93">
        <f t="shared" si="21"/>
        <v>0.0144</v>
      </c>
      <c r="AE57" s="101">
        <f t="shared" si="22"/>
        <v>18588.0913781074</v>
      </c>
      <c r="AF57" s="102">
        <f>VLOOKUP($E57,武器奇术!$A:$R,3,FALSE)*(1+IF(VLOOKUP($E57,武器奇术!$A:$R,15,FALSE)="武器",$E$15,0))</f>
        <v>687.83</v>
      </c>
      <c r="AG57" s="92">
        <f t="shared" si="23"/>
        <v>687.83</v>
      </c>
      <c r="AH57" s="92">
        <f>VLOOKUP($E57,武器奇术!$A:$R,3,FALSE)*(1+IF(VLOOKUP($E57,武器奇术!$A:$R,15,FALSE)="武器",$E$15,0))</f>
        <v>687.83</v>
      </c>
      <c r="AI57" s="93">
        <f>IF(($D$5+VLOOKUP($E57,武器奇术!$A:$R,13,FALSE)+IF($I$3="√",10,0)-VLOOKUP($F$7,目标属性!$A:$R,5,FALSE))&gt;0,($D$5+VLOOKUP($E57,武器奇术!$A:$R,13,FALSE)+IF($I$3="√",10,0)-VLOOKUP($F$7,目标属性!$A:$R,5,FALSE))/200,($D$5+VLOOKUP($E57,武器奇术!$A:$R,13,FALSE)+IF($I$3="√",10,0)-VLOOKUP($F$7,目标属性!$A:$R,5,FALSE))/100)</f>
        <v>0.3925</v>
      </c>
      <c r="AJ57" s="120">
        <f>$E$5+IF(VLOOKUP($E57,武器奇术!$A:$R,18,FALSE)="鼠鼠",0.24,0)+IF(期望!$G$5="燕归",6/100,0)</f>
        <v>0.06</v>
      </c>
      <c r="AK57" s="91">
        <v>1</v>
      </c>
      <c r="AL57" s="92">
        <f t="shared" si="24"/>
        <v>1015.2714715</v>
      </c>
      <c r="AM57" s="93">
        <f>(1-IF(VLOOKUP($E57,武器奇术!$A:$R,16,FALSE)="陌刀",1,$N57))*(1-$M57)</f>
        <v>0</v>
      </c>
      <c r="AN57" s="92">
        <f>AG57*(1+AI57)*(1+AJ57)*AK57*(1+$E$16+VLOOKUP($E57,武器奇术!$A:$R,8,FALSE))</f>
        <v>2430.559902771</v>
      </c>
      <c r="AO57" s="93">
        <f t="shared" si="1"/>
        <v>0.887</v>
      </c>
      <c r="AP57" s="92">
        <f>AH57*(1+AI57)*(1+AJ57)*AK57*(1+$E$17+VLOOKUP($E57,武器奇术!$A:$R,10,FALSE))</f>
        <v>1370.616486525</v>
      </c>
      <c r="AQ57" s="93">
        <f t="shared" si="2"/>
        <v>0.0986</v>
      </c>
      <c r="AR57" s="92">
        <f t="shared" si="25"/>
        <v>1015.2714715</v>
      </c>
      <c r="AS57" s="93">
        <f t="shared" si="26"/>
        <v>0.0144</v>
      </c>
      <c r="AT57" s="101">
        <f t="shared" si="27"/>
        <v>2305.66932851884</v>
      </c>
      <c r="AU57" s="99">
        <f>IF(VLOOKUP($E57,武器奇术!$A:$R,18,FALSE)="极乐",0,$B$7*IF($G$5="撼天",1.05,1)+IF(AND(VLOOKUP($E57,武器奇术!$A:$R,15,FALSE)="武器",VLOOKUP($E57,武器奇术!$A:$R,17,FALSE)="鸣金"),$E$3*(1+$E$15),0))</f>
        <v>0</v>
      </c>
      <c r="AV57" s="91">
        <f t="shared" si="28"/>
        <v>0</v>
      </c>
      <c r="AW57" s="91">
        <f>IF(VLOOKUP($E57,武器奇术!$A:$R,18,FALSE)="极乐",0,MAX($C$7*IF($G$5="撼天",1.05,1)+IF(AND(VLOOKUP($E57,武器奇术!$A:$R,15,FALSE)="武器",VLOOKUP($E57,武器奇术!$A:$R,17,FALSE)="鸣金"),$E$3*(1+$E$15),0),AU57))</f>
        <v>0</v>
      </c>
      <c r="AX57" s="93">
        <f>IF(($D$7+IF(VLOOKUP($E57,武器奇术!$A:$R,17,FALSE)="鸣金",$D$15,0)-VLOOKUP($F$7,目标属性!$A:$R,6,FALSE))&gt;0,($D$7+IF(VLOOKUP($E57,武器奇术!$A:$R,17,FALSE)="鸣金",$D$15,0)-VLOOKUP($F$7,目标属性!$A:$R,6,FALSE))/200,($D$7+IF(VLOOKUP($E57,武器奇术!$A:$R,17,FALSE)="鸣金",$D$15,0)-VLOOKUP($F$7,目标属性!$A:$R,6,FALSE))/100)</f>
        <v>-0.24</v>
      </c>
      <c r="AY57" s="100">
        <f t="shared" si="50"/>
        <v>0</v>
      </c>
      <c r="AZ57" s="91">
        <v>1</v>
      </c>
      <c r="BA57" s="92">
        <f>AU57*IF(VLOOKUP($E57,武器奇术!$A:$R,17,FALSE)="鸣金",VLOOKUP($E57,武器奇术!$A:$R,4,FALSE),VLOOKUP($E57,武器奇术!$A:$R,2,FALSE))*(1+AX57)*(1+AY57)*AZ57</f>
        <v>0</v>
      </c>
      <c r="BB57" s="93">
        <f>(1-IF(VLOOKUP($E57,武器奇术!$A:$R,16,FALSE)="陌刀",1,$N57))*(1-$M57)</f>
        <v>0</v>
      </c>
      <c r="BC57" s="92">
        <f>AV57*IF(VLOOKUP($E57,武器奇术!$A:$R,17,FALSE)="鸣金",VLOOKUP($E57,武器奇术!$A:$R,4,FALSE),VLOOKUP($E57,武器奇术!$A:$R,2,FALSE))*(1+AX57)*(1+AY57)*AZ57*(1+$E$16+VLOOKUP($E57,武器奇术!$A:$R,8,FALSE))</f>
        <v>0</v>
      </c>
      <c r="BD57" s="93">
        <f t="shared" si="3"/>
        <v>0.887</v>
      </c>
      <c r="BE57" s="92">
        <f>AW57*IF(VLOOKUP($E57,武器奇术!$A:$R,17,FALSE)="鸣金",VLOOKUP($E57,武器奇术!$A:$R,4,FALSE),VLOOKUP($E57,武器奇术!$A:$R,2,FALSE))*(1+AX57)*(1+AY57)*AZ57*(1+$E$17+VLOOKUP($E57,武器奇术!$A:$R,10,FALSE))</f>
        <v>0</v>
      </c>
      <c r="BF57" s="93">
        <f t="shared" si="4"/>
        <v>0.0986</v>
      </c>
      <c r="BG57" s="92">
        <f>AV57*IF(VLOOKUP($E57,武器奇术!$A:$R,17,FALSE)="鸣金",VLOOKUP($E57,武器奇术!$A:$R,4,FALSE),VLOOKUP($E57,武器奇术!$A:$R,2,FALSE))*(1+AX57)*(1+AY57)*AZ57</f>
        <v>0</v>
      </c>
      <c r="BH57" s="93">
        <f t="shared" si="30"/>
        <v>0.0144</v>
      </c>
      <c r="BI57" s="101">
        <f t="shared" si="31"/>
        <v>0</v>
      </c>
      <c r="BJ57" s="99">
        <f>IF(VLOOKUP($E57,武器奇术!$A:$R,18,FALSE)="极乐",0,$B$9*IF($G$5="撼天",1.05,1)+IF(AND(VLOOKUP($E57,武器奇术!$A:$R,15,FALSE)="武器",VLOOKUP($E57,武器奇术!$A:$R,17,FALSE)="裂石"),$E$3*(1+$E$15),0))</f>
        <v>0</v>
      </c>
      <c r="BK57" s="91">
        <f t="shared" si="32"/>
        <v>0</v>
      </c>
      <c r="BL57" s="91">
        <f>IF(VLOOKUP($E57,武器奇术!$A:$R,18,FALSE)="极乐",0,MAX($C$9*IF($G$5="撼天",1.05,1)+IF(AND(VLOOKUP($E57,武器奇术!$A:$R,15,FALSE)="武器",VLOOKUP($E57,武器奇术!$A:$R,17,FALSE)="裂石"),$E$3*(1+$E$15),0),BJ57))</f>
        <v>0</v>
      </c>
      <c r="BM57" s="93">
        <f>IF(($D$9+IF(VLOOKUP($E57,武器奇术!$A:$R,17,FALSE)="裂石",$D$15,0)-VLOOKUP($F$7,目标属性!$A:$R,6,FALSE))&gt;0,($D$9+IF(VLOOKUP($E57,武器奇术!$A:$R,17,FALSE)="裂石",$D$15,0)-VLOOKUP($F$7,目标属性!$A:$R,6,FALSE))/200,($D$9+IF(VLOOKUP($E57,武器奇术!$A:$R,17,FALSE)="裂石",$D$15,0)-VLOOKUP($F$7,目标属性!$A:$R,6,FALSE))/100)</f>
        <v>-0.24</v>
      </c>
      <c r="BN57" s="100">
        <f t="shared" si="51"/>
        <v>0</v>
      </c>
      <c r="BO57" s="91">
        <v>1</v>
      </c>
      <c r="BP57" s="92">
        <f>BJ57*IF(VLOOKUP($E57,武器奇术!$A:$R,17,FALSE)="裂石",VLOOKUP($E57,武器奇术!$A:$R,4,FALSE),VLOOKUP($E57,武器奇术!$A:$R,2,FALSE))*(1+BM57)*(1+BN57)*BO57</f>
        <v>0</v>
      </c>
      <c r="BQ57" s="93">
        <f>(1-IF(VLOOKUP($E57,武器奇术!$A:$R,16,FALSE)="陌刀",1,$N57))*(1-$M57)</f>
        <v>0</v>
      </c>
      <c r="BR57" s="92">
        <f>BK57*IF(VLOOKUP($E57,武器奇术!$A:$R,17,FALSE)="裂石",VLOOKUP($E57,武器奇术!$A:$R,4,FALSE),VLOOKUP($E57,武器奇术!$A:$R,2,FALSE))*(1+BM57)*(1+BN57)*BO57*(1+$E$16+VLOOKUP($E57,武器奇术!$A:$R,8,FALSE))</f>
        <v>0</v>
      </c>
      <c r="BS57" s="93">
        <f t="shared" si="5"/>
        <v>0.887</v>
      </c>
      <c r="BT57" s="92">
        <f>BL57*IF(VLOOKUP($E57,武器奇术!$A:$R,17,FALSE)="裂石",VLOOKUP($E57,武器奇术!$A:$R,4,FALSE),VLOOKUP($E57,武器奇术!$A:$R,2,FALSE))*(1+BM57)*(1+BN57)*BO57*(1+$E$17+VLOOKUP($E57,武器奇术!$A:$R,10,FALSE))</f>
        <v>0</v>
      </c>
      <c r="BU57" s="93">
        <f t="shared" si="6"/>
        <v>0.0986</v>
      </c>
      <c r="BV57" s="92">
        <f>BK57*IF(VLOOKUP($E57,武器奇术!$A:$R,17,FALSE)="裂石",VLOOKUP($E57,武器奇术!$A:$R,4,FALSE),VLOOKUP($E57,武器奇术!$A:$R,2,FALSE))*(1+BM57)*(1+BN57)*BO57</f>
        <v>0</v>
      </c>
      <c r="BW57" s="93">
        <f t="shared" si="34"/>
        <v>0.0144</v>
      </c>
      <c r="BX57" s="101">
        <f t="shared" si="35"/>
        <v>0</v>
      </c>
      <c r="BY57" s="99">
        <f>IF(VLOOKUP($E57,武器奇术!$A:$R,18,FALSE)="极乐",0,$B$11*IF($G$5="撼天",1.05,1)+IF(AND(VLOOKUP($E57,武器奇术!$A:$R,15,FALSE)="武器",VLOOKUP($E57,武器奇术!$A:$R,17,FALSE)="牵丝"),$E$3*(1+$E$15),0))</f>
        <v>0</v>
      </c>
      <c r="BZ57" s="91">
        <f t="shared" si="36"/>
        <v>0</v>
      </c>
      <c r="CA57" s="91">
        <f>IF(VLOOKUP($E57,武器奇术!$A:$R,18,FALSE)="极乐",0,MAX($C$11*IF($G$5="撼天",1.05,1)+IF(AND(VLOOKUP($E57,武器奇术!$A:$R,15,FALSE)="武器",VLOOKUP($E57,武器奇术!$A:$R,17,FALSE)="牵丝"),$E$3*(1+$E$15),0),BY57))</f>
        <v>0</v>
      </c>
      <c r="CB57" s="93">
        <f>IF(($D$11+IF(VLOOKUP($E57,武器奇术!$A:$R,17,FALSE)="牵丝",$D$15,0)-VLOOKUP($F$7,目标属性!$A:$R,6,FALSE))&gt;0,($D$11+IF(VLOOKUP($E57,武器奇术!$A:$R,17,FALSE)="牵丝",$D$15,0)-VLOOKUP($F$7,目标属性!$A:$R,6,FALSE))/200,($D$11+IF(VLOOKUP($E57,武器奇术!$A:$R,17,FALSE)="牵丝",$D$15,0)-VLOOKUP($F$7,目标属性!$A:$R,6,FALSE))/100)</f>
        <v>-0.24</v>
      </c>
      <c r="CC57" s="100">
        <f t="shared" si="52"/>
        <v>0</v>
      </c>
      <c r="CD57" s="91">
        <v>1</v>
      </c>
      <c r="CE57" s="92">
        <f>BY57*IF(VLOOKUP($E57,武器奇术!$A:$R,17,FALSE)="牵丝",VLOOKUP($E57,武器奇术!$A:$R,4,FALSE),VLOOKUP($E57,武器奇术!$A:$R,2,FALSE))*(1+CB57)*(1+CC57)*CD57</f>
        <v>0</v>
      </c>
      <c r="CF57" s="93">
        <f>(1-IF(VLOOKUP($E57,武器奇术!$A:$R,16,FALSE)="陌刀",1,$N57))*(1-$M57)</f>
        <v>0</v>
      </c>
      <c r="CG57" s="92">
        <f>BZ57*IF(VLOOKUP($E57,武器奇术!$A:$R,17,FALSE)="牵丝",VLOOKUP($E57,武器奇术!$A:$R,4,FALSE),VLOOKUP($E57,武器奇术!$A:$R,2,FALSE))*(1+CB57)*(1+CC57)*CD57*(1+$E$16+VLOOKUP($E57,武器奇术!$A:$R,8,FALSE))</f>
        <v>0</v>
      </c>
      <c r="CH57" s="93">
        <f t="shared" si="7"/>
        <v>0.887</v>
      </c>
      <c r="CI57" s="92">
        <f>CA57*IF(VLOOKUP($E57,武器奇术!$A:$R,17,FALSE)="牵丝",VLOOKUP($E57,武器奇术!$A:$R,4,FALSE),VLOOKUP($E57,武器奇术!$A:$R,2,FALSE))*(1+CB57)*(1+CC57)*CD57*(1+$E$17+VLOOKUP($E57,武器奇术!$A:$R,10,FALSE))</f>
        <v>0</v>
      </c>
      <c r="CJ57" s="93">
        <f t="shared" si="8"/>
        <v>0.0986</v>
      </c>
      <c r="CK57" s="92">
        <f>BZ57*IF(VLOOKUP($E57,武器奇术!$A:$R,17,FALSE)="牵丝",VLOOKUP($E57,武器奇术!$A:$R,4,FALSE),VLOOKUP($E57,武器奇术!$A:$R,2,FALSE))*(1+CB57)*(1+CC57)*CD57</f>
        <v>0</v>
      </c>
      <c r="CL57" s="93">
        <f t="shared" si="38"/>
        <v>0.0144</v>
      </c>
      <c r="CM57" s="101">
        <f t="shared" si="39"/>
        <v>0</v>
      </c>
      <c r="CN57" s="99">
        <f>IF(VLOOKUP($E57,武器奇术!$A:$R,18,FALSE)="极乐",0,$B$13*IF($G$5="撼天",1.05,1)+IF(AND(VLOOKUP($E57,武器奇术!$A:$R,15,FALSE)="武器",VLOOKUP($E57,武器奇术!$A:$R,17,FALSE)="破竹"),$E$3*(1+$E$15),0))</f>
        <v>686.71</v>
      </c>
      <c r="CO57" s="91">
        <f t="shared" si="40"/>
        <v>1052.21</v>
      </c>
      <c r="CP57" s="91">
        <f>IF(VLOOKUP($E57,武器奇术!$A:$R,18,FALSE)="极乐",0,MAX($C$13*IF($G$5="撼天",1.05,1)+IF(AND(VLOOKUP($E57,武器奇术!$A:$R,15,FALSE)="武器",VLOOKUP($E57,武器奇术!$A:$R,17,FALSE)="破竹"),$E$3*(1+$E$15),0),CN57))</f>
        <v>1417.71</v>
      </c>
      <c r="CQ57" s="93">
        <f>IF(($D$13+IF(VLOOKUP($E57,武器奇术!$A:$R,17,FALSE)="破竹",$D$15,0)-VLOOKUP($F$7,目标属性!$A:$R,6,FALSE)+IF(VLOOKUP($E57,武器奇术!$A:$V,22,FALSE)=1,4,0)+IF(VLOOKUP($E57,武器奇术!$A:$T,20,FALSE)=1,10,0))&gt;0,($D$13+IF(VLOOKUP($E57,武器奇术!$A:$R,17,FALSE)="破竹",$D$15,0)-VLOOKUP($F$7,目标属性!$A:$R,6,FALSE)+IF(VLOOKUP($E57,武器奇术!$A:$V,22,FALSE)=1,4,0)+IF(VLOOKUP($E57,武器奇术!$A:$T,20,FALSE)=1,10,0))/200,($D$13+IF(VLOOKUP($E57,武器奇术!$A:$R,17,FALSE)="破竹",$D$15,0)-VLOOKUP($F$7,目标属性!$A:$R,6,FALSE)+IF(VLOOKUP($E57,武器奇术!$A:$V,22,FALSE)=1,4,0)+IF(VLOOKUP($E57,武器奇术!$A:$T,20,FALSE)=1,10,0))/100)</f>
        <v>0.078</v>
      </c>
      <c r="CR57" s="120">
        <f>$E$13+IF(期望!$G$5="燕归",6%,0)</f>
        <v>0.208</v>
      </c>
      <c r="CS57" s="91">
        <v>1</v>
      </c>
      <c r="CT57" s="92">
        <f>CN57*IF(VLOOKUP($E57,武器奇术!$A:$R,17,FALSE)="破竹",VLOOKUP($E57,武器奇术!$A:$R,4,FALSE),VLOOKUP($E57,武器奇术!$A:$R,2,FALSE))*(1+CQ57)*(1+CR57)*CS57</f>
        <v>2561.19529358357</v>
      </c>
      <c r="CU57" s="93">
        <f>(1-IF(VLOOKUP($E57,武器奇术!$A:$R,16,FALSE)="陌刀",1,$N57))*(1-$M57)</f>
        <v>0</v>
      </c>
      <c r="CV57" s="92">
        <f>CO57*IF(VLOOKUP($E57,武器奇术!$A:$R,17,FALSE)="破竹",VLOOKUP($E57,武器奇术!$A:$R,4,FALSE),VLOOKUP($E57,武器奇术!$A:$R,2,FALSE))*(1+CQ57)*(1+CR57)*CS57*(1+$E$16+VLOOKUP($E57,武器奇术!$A:$R,8,FALSE))</f>
        <v>9394.98074568392</v>
      </c>
      <c r="CW57" s="93">
        <f t="shared" si="9"/>
        <v>0.887</v>
      </c>
      <c r="CX57" s="92">
        <f>CP57*IF(VLOOKUP($E57,武器奇术!$A:$R,17,FALSE)="破竹",VLOOKUP($E57,武器奇术!$A:$R,4,FALSE),VLOOKUP($E57,武器奇术!$A:$R,2,FALSE))*(1+CQ57)*(1+CR57)*CS57*(1+$E$17+VLOOKUP($E57,武器奇术!$A:$R,10,FALSE))</f>
        <v>7138.22929992223</v>
      </c>
      <c r="CY57" s="93">
        <f t="shared" si="10"/>
        <v>0.0986</v>
      </c>
      <c r="CZ57" s="92">
        <f>CO57*IF(VLOOKUP($E57,武器奇术!$A:$R,17,FALSE)="破竹",VLOOKUP($E57,武器奇术!$A:$R,4,FALSE),VLOOKUP($E57,武器奇术!$A:$R,2,FALSE))*(1+CQ57)*(1+CR57)*CS57</f>
        <v>3924.38627639261</v>
      </c>
      <c r="DA57" s="93">
        <f t="shared" si="42"/>
        <v>0.0144</v>
      </c>
      <c r="DB57" s="101">
        <f t="shared" si="43"/>
        <v>9093.68849277402</v>
      </c>
      <c r="DC57" s="99">
        <f>IF(VLOOKUP($E57,武器奇术!$A:$R,18,FALSE)="极乐",0,$B$15)</f>
        <v>66</v>
      </c>
      <c r="DD57" s="91">
        <f t="shared" si="44"/>
        <v>95.9</v>
      </c>
      <c r="DE57" s="91">
        <f>IF(VLOOKUP($E57,武器奇术!$A:$R,18,FALSE)="极乐",0,$C$15)</f>
        <v>125.8</v>
      </c>
      <c r="DF57" s="93">
        <f>IF((IF(VLOOKUP($E57,武器奇术!$A:$R,17,FALSE)="鸣金",$D$7,0)+IF(VLOOKUP($E57,武器奇术!$A:$R,17,FALSE)="裂石",$D$9,0)+IF(VLOOKUP($E57,武器奇术!$A:$R,17,FALSE)="牵丝",$D$11,0)+IF(VLOOKUP($E57,武器奇术!$A:$R,17,FALSE)="破竹",$D$13,0)+$D$15-VLOOKUP($F$7,目标属性!$A:$R,6,FALSE)+IF(VLOOKUP($E57,武器奇术!$A:$V,22,FALSE)=1,4,0)+IF(VLOOKUP($E57,武器奇术!$A:$T,20,FALSE)=1,10,0))&gt;0,(IF(VLOOKUP($E57,武器奇术!$A:$R,17,FALSE)="鸣金",$D$7,0)+IF(VLOOKUP($E57,武器奇术!$A:$R,17,FALSE)="裂石",$D$9,0)+IF(VLOOKUP($E57,武器奇术!$A:$R,17,FALSE)="牵丝",$D$11,0)+IF(VLOOKUP($E57,武器奇术!$A:$R,17,FALSE)="破竹",$D$13,0)+$D$15-VLOOKUP($F$7,目标属性!$A:$R,6,FALSE)+IF(VLOOKUP($E57,武器奇术!$A:$V,22,FALSE)=1,4,0)+IF(VLOOKUP($E57,武器奇术!$A:$T,20,FALSE)=1,10,0))/200,(IF(VLOOKUP($E57,武器奇术!$A:$R,17,FALSE)="鸣金",$D$7,0)+IF(VLOOKUP($E57,武器奇术!$A:$R,17,FALSE)="裂石",$D$9,0)+IF(VLOOKUP($E57,武器奇术!$A:$R,17,FALSE)="牵丝",$D$11,0)+IF(VLOOKUP($E57,武器奇术!$A:$R,17,FALSE)="破竹",$D$13,0)+$D$15-VLOOKUP($F$7,目标属性!$A:$R,6,FALSE)+IF(VLOOKUP($E57,武器奇术!$A:$V,22,FALSE)=1,4,0)+IF(VLOOKUP($E57,武器奇术!$A:$T,20,FALSE)=1,10,0))/100)</f>
        <v>0.078</v>
      </c>
      <c r="DG57" s="120">
        <f>$E$13+IF(期望!$G$5="燕归",6%,0)</f>
        <v>0.208</v>
      </c>
      <c r="DH57" s="91">
        <v>1</v>
      </c>
      <c r="DI57" s="92">
        <f>DC57*IF(VLOOKUP($E57,武器奇术!$A:$R,17,FALSE)="破竹",VLOOKUP($E57,武器奇术!$A:$R,4,FALSE),VLOOKUP($E57,武器奇术!$A:$R,2,FALSE))*(1+DF57)*(1+DG57)*DH57</f>
        <v>246.15760565088</v>
      </c>
      <c r="DJ57" s="93">
        <f>(1-IF(VLOOKUP($E57,武器奇术!$A:$R,16,FALSE)="陌刀",1,$N57))*(1-$M57)</f>
        <v>0</v>
      </c>
      <c r="DK57" s="92">
        <f>DD57*IF(VLOOKUP($E57,武器奇术!$A:$R,17,FALSE)="破竹",VLOOKUP($E57,武器奇术!$A:$R,4,FALSE),VLOOKUP($E57,武器奇术!$A:$R,2,FALSE))*(1+DF57)*(1+DG57)*DH57*(1+$E$16+VLOOKUP($E57,武器奇术!$A:$R,8,FALSE))</f>
        <v>856.272658035076</v>
      </c>
      <c r="DL57" s="93">
        <f t="shared" si="12"/>
        <v>0.887</v>
      </c>
      <c r="DM57" s="92">
        <f>DE57*IF(VLOOKUP($E57,武器奇术!$A:$R,17,FALSE)="破竹",VLOOKUP($E57,武器奇术!$A:$R,4,FALSE),VLOOKUP($E57,武器奇术!$A:$R,2,FALSE))*(1+DF57)*(1+DG57)*DH57*(1+$E$17+VLOOKUP($E57,武器奇术!$A:$R,10,FALSE))</f>
        <v>633.408275268014</v>
      </c>
      <c r="DN57" s="93">
        <f t="shared" si="13"/>
        <v>0.0986</v>
      </c>
      <c r="DO57" s="92">
        <f>DD57*IF(VLOOKUP($E57,武器奇术!$A:$R,17,FALSE)="破竹",VLOOKUP($E57,武器奇术!$A:$R,4,FALSE),VLOOKUP($E57,武器奇术!$A:$R,2,FALSE))*(1+DF57)*(1+DG57)*DH57</f>
        <v>357.674460332112</v>
      </c>
      <c r="DP57" s="93">
        <f t="shared" si="14"/>
        <v>0.0144</v>
      </c>
      <c r="DQ57" s="101">
        <f t="shared" si="15"/>
        <v>827.118415847321</v>
      </c>
    </row>
    <row r="58" customFormat="1" spans="1:121">
      <c r="A58" s="126"/>
      <c r="B58" s="128"/>
      <c r="C58" s="12"/>
      <c r="D58" s="12"/>
      <c r="E58" s="105" t="s">
        <v>134</v>
      </c>
      <c r="F58" s="106">
        <v>1</v>
      </c>
      <c r="G58" s="107">
        <f t="shared" si="53"/>
        <v>0</v>
      </c>
      <c r="H58" s="123">
        <f>IF(VLOOKUP($E58,武器奇术!$A:$R,18,FALSE)="天工",AE58,(AE58+AT58+BI58+BX58+CM58+DB58+DQ58))*(1+J58)*F58*K58*(1+G58)*IF(AND($E$26&lt;12,$E$26&gt;6,$F$26="√"),0.8,1)</f>
        <v>87408.8171940162</v>
      </c>
      <c r="I58" s="93">
        <f t="shared" si="16"/>
        <v>0.0112130407030003</v>
      </c>
      <c r="J58" s="93">
        <f>$F$3+VLOOKUP($E58,武器奇术!$A:$R,12,FALSE)+VLOOKUP($E58,武器奇术!$A:$R,14,FALSE)*$G$3+$P58</f>
        <v>0.943</v>
      </c>
      <c r="K58" s="94">
        <f>VLOOKUP($E58,武器奇术!$A:$R,11,FALSE)</f>
        <v>1</v>
      </c>
      <c r="L58" s="109">
        <f>IF(VLOOKUP($E58,武器奇术!$A:$R,15,FALSE)="天工",0%,IF($C$17+VLOOKUP($E58,武器奇术!$A:$R,7,FALSE)&gt;80%,80%,$C$17+VLOOKUP($E58,武器奇术!$A:$R,7,FALSE))+IF($C$19&gt;20%,20%,$C$19))</f>
        <v>0.887</v>
      </c>
      <c r="M58" s="110">
        <f>IF(VLOOKUP($E58,武器奇术!$A:$R,15,FALSE)="天工",0%,IF($C$18+VLOOKUP($E58,武器奇术!$A:$R,9,FALSE)&gt;40%,40%,$C$18+VLOOKUP($E58,武器奇术!$A:$R,9,FALSE))+IF($C$20&gt;10%,10%,$C$20))</f>
        <v>0.0986</v>
      </c>
      <c r="N58" s="111">
        <f>IF(VLOOKUP($E58,武器奇术!$A:$R,15,FALSE)="天工",100%,MIN($C$16,1))</f>
        <v>1</v>
      </c>
      <c r="O58" s="112" t="str">
        <f>VLOOKUP($E58,武器奇术!$A:$R,16,FALSE)</f>
        <v>双刀</v>
      </c>
      <c r="P58" s="113">
        <f t="shared" si="17"/>
        <v>0.17</v>
      </c>
      <c r="Q58" s="99">
        <f>$B$5*(1+VLOOKUP($E58,武器奇术!$A:$R,5,FALSE)+IF($G$5="飞隼",0.1,0)+IF($G$5="撼天",0.05,0))-$F$9*IF(VLOOKUP($E58,武器奇术!$A:$S,19,FALSE)=1,0.9,1)+IF($I$5="√",160,0)</f>
        <v>2904.2</v>
      </c>
      <c r="R58" s="91">
        <f t="shared" si="18"/>
        <v>2904.2</v>
      </c>
      <c r="S58" s="91">
        <f>MAX($C$5,$B$5)*(1+VLOOKUP($E58,武器奇术!$A:$R,5,FALSE)+IF($G$5="飞隼",0.1,0)+IF($G$5="撼天",0.05,0))-$F$9*IF(VLOOKUP($E58,武器奇术!$A:$S,19,FALSE)=1,0.9,1)+IF($I$5="√",320,0)</f>
        <v>2904.2</v>
      </c>
      <c r="T58" s="93">
        <f>IF(($D$5+VLOOKUP($E58,武器奇术!$A:$R,13,FALSE)+IF($I$3="√",10,0)-VLOOKUP($F$7,目标属性!$A:$R,5,FALSE))&gt;0,($D$5+VLOOKUP($E58,武器奇术!$A:$R,13,FALSE)+IF($I$3="√",10,0)-VLOOKUP($F$7,目标属性!$A:$R,5,FALSE))/200,($D$5+VLOOKUP($E58,武器奇术!$A:$R,13,FALSE)+IF($I$3="√",10,0)-VLOOKUP($F$7,目标属性!$A:$R,5,FALSE))/100)</f>
        <v>0.3925</v>
      </c>
      <c r="U58" s="120">
        <f>$E$5+IF(VLOOKUP($E58,武器奇术!$A:$R,18,FALSE)="鼠鼠",0.24,0)+IF(期望!$G$5="燕归",6/100,0)</f>
        <v>0.06</v>
      </c>
      <c r="V58" s="91">
        <v>1</v>
      </c>
      <c r="W58" s="92">
        <f>Q58*VLOOKUP($E58,武器奇术!$A:$R,2,FALSE)*(1+T58)*(1+U58)*V58</f>
        <v>11949.8144522042</v>
      </c>
      <c r="X58" s="93">
        <f>(1-IF(VLOOKUP($E58,武器奇术!$A:$R,16,FALSE)="陌刀",1,$N58))*(1-$M58)</f>
        <v>0</v>
      </c>
      <c r="Y58" s="92">
        <f>R58*VLOOKUP($E58,武器奇术!$A:$R,2,FALSE)*(1+T58)*(1+U58)*V58*(1+$E$16+VLOOKUP($E58,武器奇术!$A:$R,8,FALSE))</f>
        <v>28607.8557985769</v>
      </c>
      <c r="Z58" s="93">
        <f t="shared" si="19"/>
        <v>0.887</v>
      </c>
      <c r="AA58" s="92">
        <f>S58*VLOOKUP($E58,武器奇术!$A:$R,2,FALSE)*(1+T58)*(1+U58)*V58*(1+$E$17+VLOOKUP($E58,武器奇术!$A:$R,10,FALSE))</f>
        <v>16132.2495104757</v>
      </c>
      <c r="AB58" s="93">
        <f t="shared" si="20"/>
        <v>0.0986</v>
      </c>
      <c r="AC58" s="92">
        <f>R58*VLOOKUP($E58,武器奇术!$A:$R,2,FALSE)*(1+T58)*(1+U58)*V58</f>
        <v>11949.8144522042</v>
      </c>
      <c r="AD58" s="93">
        <f t="shared" si="21"/>
        <v>0.0144</v>
      </c>
      <c r="AE58" s="101">
        <f t="shared" si="22"/>
        <v>27137.8852231824</v>
      </c>
      <c r="AF58" s="102">
        <f>VLOOKUP($E58,武器奇术!$A:$R,3,FALSE)*(1+IF(VLOOKUP($E58,武器奇术!$A:$R,15,FALSE)="武器",$E$15,0))</f>
        <v>1003.86</v>
      </c>
      <c r="AG58" s="92">
        <f t="shared" si="23"/>
        <v>1003.86</v>
      </c>
      <c r="AH58" s="92">
        <f>VLOOKUP($E58,武器奇术!$A:$R,3,FALSE)*(1+IF(VLOOKUP($E58,武器奇术!$A:$R,15,FALSE)="武器",$E$15,0))</f>
        <v>1003.86</v>
      </c>
      <c r="AI58" s="93">
        <f>IF(($D$5+VLOOKUP($E58,武器奇术!$A:$R,13,FALSE)+IF($I$3="√",10,0)-VLOOKUP($F$7,目标属性!$A:$R,5,FALSE))&gt;0,($D$5+VLOOKUP($E58,武器奇术!$A:$R,13,FALSE)+IF($I$3="√",10,0)-VLOOKUP($F$7,目标属性!$A:$R,5,FALSE))/200,($D$5+VLOOKUP($E58,武器奇术!$A:$R,13,FALSE)+IF($I$3="√",10,0)-VLOOKUP($F$7,目标属性!$A:$R,5,FALSE))/100)</f>
        <v>0.3925</v>
      </c>
      <c r="AJ58" s="120">
        <f>$E$5+IF(VLOOKUP($E58,武器奇术!$A:$R,18,FALSE)="鼠鼠",0.24,0)+IF(期望!$G$5="燕归",6/100,0)</f>
        <v>0.06</v>
      </c>
      <c r="AK58" s="91">
        <v>1</v>
      </c>
      <c r="AL58" s="92">
        <f t="shared" si="24"/>
        <v>1481.747553</v>
      </c>
      <c r="AM58" s="93">
        <f>(1-IF(VLOOKUP($E58,武器奇术!$A:$R,16,FALSE)="陌刀",1,$N58))*(1-$M58)</f>
        <v>0</v>
      </c>
      <c r="AN58" s="92">
        <f>AG58*(1+AI58)*(1+AJ58)*AK58*(1+$E$16+VLOOKUP($E58,武器奇术!$A:$R,8,FALSE))</f>
        <v>3547.303641882</v>
      </c>
      <c r="AO58" s="93">
        <f t="shared" si="1"/>
        <v>0.887</v>
      </c>
      <c r="AP58" s="92">
        <f>AH58*(1+AI58)*(1+AJ58)*AK58*(1+$E$17+VLOOKUP($E58,武器奇术!$A:$R,10,FALSE))</f>
        <v>2000.35919655</v>
      </c>
      <c r="AQ58" s="93">
        <f t="shared" si="2"/>
        <v>0.0986</v>
      </c>
      <c r="AR58" s="92">
        <f t="shared" si="25"/>
        <v>1481.747553</v>
      </c>
      <c r="AS58" s="93">
        <f t="shared" si="26"/>
        <v>0.0144</v>
      </c>
      <c r="AT58" s="101">
        <f t="shared" si="27"/>
        <v>3365.03091189236</v>
      </c>
      <c r="AU58" s="99">
        <f>IF(VLOOKUP($E58,武器奇术!$A:$R,18,FALSE)="极乐",0,$B$7*IF($G$5="撼天",1.05,1)+IF(AND(VLOOKUP($E58,武器奇术!$A:$R,15,FALSE)="武器",VLOOKUP($E58,武器奇术!$A:$R,17,FALSE)="鸣金"),$E$3*(1+$E$15),0))</f>
        <v>0</v>
      </c>
      <c r="AV58" s="91">
        <f t="shared" si="28"/>
        <v>0</v>
      </c>
      <c r="AW58" s="91">
        <f>IF(VLOOKUP($E58,武器奇术!$A:$R,18,FALSE)="极乐",0,MAX($C$7*IF($G$5="撼天",1.05,1)+IF(AND(VLOOKUP($E58,武器奇术!$A:$R,15,FALSE)="武器",VLOOKUP($E58,武器奇术!$A:$R,17,FALSE)="鸣金"),$E$3*(1+$E$15),0),AU58))</f>
        <v>0</v>
      </c>
      <c r="AX58" s="93">
        <f>IF(($D$7+IF(VLOOKUP($E58,武器奇术!$A:$R,17,FALSE)="鸣金",$D$15,0)-VLOOKUP($F$7,目标属性!$A:$R,6,FALSE))&gt;0,($D$7+IF(VLOOKUP($E58,武器奇术!$A:$R,17,FALSE)="鸣金",$D$15,0)-VLOOKUP($F$7,目标属性!$A:$R,6,FALSE))/200,($D$7+IF(VLOOKUP($E58,武器奇术!$A:$R,17,FALSE)="鸣金",$D$15,0)-VLOOKUP($F$7,目标属性!$A:$R,6,FALSE))/100)</f>
        <v>-0.24</v>
      </c>
      <c r="AY58" s="100">
        <f t="shared" si="50"/>
        <v>0</v>
      </c>
      <c r="AZ58" s="91">
        <v>1</v>
      </c>
      <c r="BA58" s="92">
        <f>AU58*IF(VLOOKUP($E58,武器奇术!$A:$R,17,FALSE)="鸣金",VLOOKUP($E58,武器奇术!$A:$R,4,FALSE),VLOOKUP($E58,武器奇术!$A:$R,2,FALSE))*(1+AX58)*(1+AY58)*AZ58</f>
        <v>0</v>
      </c>
      <c r="BB58" s="93">
        <f>(1-IF(VLOOKUP($E58,武器奇术!$A:$R,16,FALSE)="陌刀",1,$N58))*(1-$M58)</f>
        <v>0</v>
      </c>
      <c r="BC58" s="92">
        <f>AV58*IF(VLOOKUP($E58,武器奇术!$A:$R,17,FALSE)="鸣金",VLOOKUP($E58,武器奇术!$A:$R,4,FALSE),VLOOKUP($E58,武器奇术!$A:$R,2,FALSE))*(1+AX58)*(1+AY58)*AZ58*(1+$E$16+VLOOKUP($E58,武器奇术!$A:$R,8,FALSE))</f>
        <v>0</v>
      </c>
      <c r="BD58" s="93">
        <f t="shared" si="3"/>
        <v>0.887</v>
      </c>
      <c r="BE58" s="92">
        <f>AW58*IF(VLOOKUP($E58,武器奇术!$A:$R,17,FALSE)="鸣金",VLOOKUP($E58,武器奇术!$A:$R,4,FALSE),VLOOKUP($E58,武器奇术!$A:$R,2,FALSE))*(1+AX58)*(1+AY58)*AZ58*(1+$E$17+VLOOKUP($E58,武器奇术!$A:$R,10,FALSE))</f>
        <v>0</v>
      </c>
      <c r="BF58" s="93">
        <f t="shared" si="4"/>
        <v>0.0986</v>
      </c>
      <c r="BG58" s="92">
        <f>AV58*IF(VLOOKUP($E58,武器奇术!$A:$R,17,FALSE)="鸣金",VLOOKUP($E58,武器奇术!$A:$R,4,FALSE),VLOOKUP($E58,武器奇术!$A:$R,2,FALSE))*(1+AX58)*(1+AY58)*AZ58</f>
        <v>0</v>
      </c>
      <c r="BH58" s="93">
        <f t="shared" si="30"/>
        <v>0.0144</v>
      </c>
      <c r="BI58" s="101">
        <f t="shared" si="31"/>
        <v>0</v>
      </c>
      <c r="BJ58" s="99">
        <f>IF(VLOOKUP($E58,武器奇术!$A:$R,18,FALSE)="极乐",0,$B$9*IF($G$5="撼天",1.05,1)+IF(AND(VLOOKUP($E58,武器奇术!$A:$R,15,FALSE)="武器",VLOOKUP($E58,武器奇术!$A:$R,17,FALSE)="裂石"),$E$3*(1+$E$15),0))</f>
        <v>0</v>
      </c>
      <c r="BK58" s="91">
        <f t="shared" si="32"/>
        <v>0</v>
      </c>
      <c r="BL58" s="91">
        <f>IF(VLOOKUP($E58,武器奇术!$A:$R,18,FALSE)="极乐",0,MAX($C$9*IF($G$5="撼天",1.05,1)+IF(AND(VLOOKUP($E58,武器奇术!$A:$R,15,FALSE)="武器",VLOOKUP($E58,武器奇术!$A:$R,17,FALSE)="裂石"),$E$3*(1+$E$15),0),BJ58))</f>
        <v>0</v>
      </c>
      <c r="BM58" s="93">
        <f>IF(($D$9+IF(VLOOKUP($E58,武器奇术!$A:$R,17,FALSE)="裂石",$D$15,0)-VLOOKUP($F$7,目标属性!$A:$R,6,FALSE))&gt;0,($D$9+IF(VLOOKUP($E58,武器奇术!$A:$R,17,FALSE)="裂石",$D$15,0)-VLOOKUP($F$7,目标属性!$A:$R,6,FALSE))/200,($D$9+IF(VLOOKUP($E58,武器奇术!$A:$R,17,FALSE)="裂石",$D$15,0)-VLOOKUP($F$7,目标属性!$A:$R,6,FALSE))/100)</f>
        <v>-0.24</v>
      </c>
      <c r="BN58" s="100">
        <f t="shared" si="51"/>
        <v>0</v>
      </c>
      <c r="BO58" s="91">
        <v>1</v>
      </c>
      <c r="BP58" s="92">
        <f>BJ58*IF(VLOOKUP($E58,武器奇术!$A:$R,17,FALSE)="裂石",VLOOKUP($E58,武器奇术!$A:$R,4,FALSE),VLOOKUP($E58,武器奇术!$A:$R,2,FALSE))*(1+BM58)*(1+BN58)*BO58</f>
        <v>0</v>
      </c>
      <c r="BQ58" s="93">
        <f>(1-IF(VLOOKUP($E58,武器奇术!$A:$R,16,FALSE)="陌刀",1,$N58))*(1-$M58)</f>
        <v>0</v>
      </c>
      <c r="BR58" s="92">
        <f>BK58*IF(VLOOKUP($E58,武器奇术!$A:$R,17,FALSE)="裂石",VLOOKUP($E58,武器奇术!$A:$R,4,FALSE),VLOOKUP($E58,武器奇术!$A:$R,2,FALSE))*(1+BM58)*(1+BN58)*BO58*(1+$E$16+VLOOKUP($E58,武器奇术!$A:$R,8,FALSE))</f>
        <v>0</v>
      </c>
      <c r="BS58" s="93">
        <f t="shared" si="5"/>
        <v>0.887</v>
      </c>
      <c r="BT58" s="92">
        <f>BL58*IF(VLOOKUP($E58,武器奇术!$A:$R,17,FALSE)="裂石",VLOOKUP($E58,武器奇术!$A:$R,4,FALSE),VLOOKUP($E58,武器奇术!$A:$R,2,FALSE))*(1+BM58)*(1+BN58)*BO58*(1+$E$17+VLOOKUP($E58,武器奇术!$A:$R,10,FALSE))</f>
        <v>0</v>
      </c>
      <c r="BU58" s="93">
        <f t="shared" si="6"/>
        <v>0.0986</v>
      </c>
      <c r="BV58" s="92">
        <f>BK58*IF(VLOOKUP($E58,武器奇术!$A:$R,17,FALSE)="裂石",VLOOKUP($E58,武器奇术!$A:$R,4,FALSE),VLOOKUP($E58,武器奇术!$A:$R,2,FALSE))*(1+BM58)*(1+BN58)*BO58</f>
        <v>0</v>
      </c>
      <c r="BW58" s="93">
        <f t="shared" si="34"/>
        <v>0.0144</v>
      </c>
      <c r="BX58" s="101">
        <f t="shared" si="35"/>
        <v>0</v>
      </c>
      <c r="BY58" s="99">
        <f>IF(VLOOKUP($E58,武器奇术!$A:$R,18,FALSE)="极乐",0,$B$11*IF($G$5="撼天",1.05,1)+IF(AND(VLOOKUP($E58,武器奇术!$A:$R,15,FALSE)="武器",VLOOKUP($E58,武器奇术!$A:$R,17,FALSE)="牵丝"),$E$3*(1+$E$15),0))</f>
        <v>0</v>
      </c>
      <c r="BZ58" s="91">
        <f t="shared" si="36"/>
        <v>0</v>
      </c>
      <c r="CA58" s="91">
        <f>IF(VLOOKUP($E58,武器奇术!$A:$R,18,FALSE)="极乐",0,MAX($C$11*IF($G$5="撼天",1.05,1)+IF(AND(VLOOKUP($E58,武器奇术!$A:$R,15,FALSE)="武器",VLOOKUP($E58,武器奇术!$A:$R,17,FALSE)="牵丝"),$E$3*(1+$E$15),0),BY58))</f>
        <v>0</v>
      </c>
      <c r="CB58" s="93">
        <f>IF(($D$11+IF(VLOOKUP($E58,武器奇术!$A:$R,17,FALSE)="牵丝",$D$15,0)-VLOOKUP($F$7,目标属性!$A:$R,6,FALSE))&gt;0,($D$11+IF(VLOOKUP($E58,武器奇术!$A:$R,17,FALSE)="牵丝",$D$15,0)-VLOOKUP($F$7,目标属性!$A:$R,6,FALSE))/200,($D$11+IF(VLOOKUP($E58,武器奇术!$A:$R,17,FALSE)="牵丝",$D$15,0)-VLOOKUP($F$7,目标属性!$A:$R,6,FALSE))/100)</f>
        <v>-0.24</v>
      </c>
      <c r="CC58" s="100">
        <f t="shared" si="52"/>
        <v>0</v>
      </c>
      <c r="CD58" s="91">
        <v>1</v>
      </c>
      <c r="CE58" s="92">
        <f>BY58*IF(VLOOKUP($E58,武器奇术!$A:$R,17,FALSE)="牵丝",VLOOKUP($E58,武器奇术!$A:$R,4,FALSE),VLOOKUP($E58,武器奇术!$A:$R,2,FALSE))*(1+CB58)*(1+CC58)*CD58</f>
        <v>0</v>
      </c>
      <c r="CF58" s="93">
        <f>(1-IF(VLOOKUP($E58,武器奇术!$A:$R,16,FALSE)="陌刀",1,$N58))*(1-$M58)</f>
        <v>0</v>
      </c>
      <c r="CG58" s="92">
        <f>BZ58*IF(VLOOKUP($E58,武器奇术!$A:$R,17,FALSE)="牵丝",VLOOKUP($E58,武器奇术!$A:$R,4,FALSE),VLOOKUP($E58,武器奇术!$A:$R,2,FALSE))*(1+CB58)*(1+CC58)*CD58*(1+$E$16+VLOOKUP($E58,武器奇术!$A:$R,8,FALSE))</f>
        <v>0</v>
      </c>
      <c r="CH58" s="93">
        <f t="shared" si="7"/>
        <v>0.887</v>
      </c>
      <c r="CI58" s="92">
        <f>CA58*IF(VLOOKUP($E58,武器奇术!$A:$R,17,FALSE)="牵丝",VLOOKUP($E58,武器奇术!$A:$R,4,FALSE),VLOOKUP($E58,武器奇术!$A:$R,2,FALSE))*(1+CB58)*(1+CC58)*CD58*(1+$E$17+VLOOKUP($E58,武器奇术!$A:$R,10,FALSE))</f>
        <v>0</v>
      </c>
      <c r="CJ58" s="93">
        <f t="shared" si="8"/>
        <v>0.0986</v>
      </c>
      <c r="CK58" s="92">
        <f>BZ58*IF(VLOOKUP($E58,武器奇术!$A:$R,17,FALSE)="牵丝",VLOOKUP($E58,武器奇术!$A:$R,4,FALSE),VLOOKUP($E58,武器奇术!$A:$R,2,FALSE))*(1+CB58)*(1+CC58)*CD58</f>
        <v>0</v>
      </c>
      <c r="CL58" s="93">
        <f t="shared" si="38"/>
        <v>0.0144</v>
      </c>
      <c r="CM58" s="101">
        <f t="shared" si="39"/>
        <v>0</v>
      </c>
      <c r="CN58" s="99">
        <f>IF(VLOOKUP($E58,武器奇术!$A:$R,18,FALSE)="极乐",0,$B$13*IF($G$5="撼天",1.05,1)+IF(AND(VLOOKUP($E58,武器奇术!$A:$R,15,FALSE)="武器",VLOOKUP($E58,武器奇术!$A:$R,17,FALSE)="破竹"),$E$3*(1+$E$15),0))</f>
        <v>686.71</v>
      </c>
      <c r="CO58" s="91">
        <f t="shared" si="40"/>
        <v>1052.21</v>
      </c>
      <c r="CP58" s="91">
        <f>IF(VLOOKUP($E58,武器奇术!$A:$R,18,FALSE)="极乐",0,MAX($C$13*IF($G$5="撼天",1.05,1)+IF(AND(VLOOKUP($E58,武器奇术!$A:$R,15,FALSE)="武器",VLOOKUP($E58,武器奇术!$A:$R,17,FALSE)="破竹"),$E$3*(1+$E$15),0),CN58))</f>
        <v>1417.71</v>
      </c>
      <c r="CQ58" s="93">
        <f>IF(($D$13+IF(VLOOKUP($E58,武器奇术!$A:$R,17,FALSE)="破竹",$D$15,0)-VLOOKUP($F$7,目标属性!$A:$R,6,FALSE)+IF(VLOOKUP($E58,武器奇术!$A:$V,22,FALSE)=1,4,0)+IF(VLOOKUP($E58,武器奇术!$A:$T,20,FALSE)=1,10,0))&gt;0,($D$13+IF(VLOOKUP($E58,武器奇术!$A:$R,17,FALSE)="破竹",$D$15,0)-VLOOKUP($F$7,目标属性!$A:$R,6,FALSE)+IF(VLOOKUP($E58,武器奇术!$A:$V,22,FALSE)=1,4,0)+IF(VLOOKUP($E58,武器奇术!$A:$T,20,FALSE)=1,10,0))/200,($D$13+IF(VLOOKUP($E58,武器奇术!$A:$R,17,FALSE)="破竹",$D$15,0)-VLOOKUP($F$7,目标属性!$A:$R,6,FALSE)+IF(VLOOKUP($E58,武器奇术!$A:$V,22,FALSE)=1,4,0)+IF(VLOOKUP($E58,武器奇术!$A:$T,20,FALSE)=1,10,0))/100)</f>
        <v>0.078</v>
      </c>
      <c r="CR58" s="120">
        <f>$E$13+IF(期望!$G$5="燕归",6%,0)</f>
        <v>0.208</v>
      </c>
      <c r="CS58" s="91">
        <v>1</v>
      </c>
      <c r="CT58" s="92">
        <f>CN58*IF(VLOOKUP($E58,武器奇术!$A:$R,17,FALSE)="破竹",VLOOKUP($E58,武器奇术!$A:$R,4,FALSE),VLOOKUP($E58,武器奇术!$A:$R,2,FALSE))*(1+CQ58)*(1+CR58)*CS58</f>
        <v>3739.14642622801</v>
      </c>
      <c r="CU58" s="93">
        <f>(1-IF(VLOOKUP($E58,武器奇术!$A:$R,16,FALSE)="陌刀",1,$N58))*(1-$M58)</f>
        <v>0</v>
      </c>
      <c r="CV58" s="92">
        <f>CO58*IF(VLOOKUP($E58,武器奇术!$A:$R,17,FALSE)="破竹",VLOOKUP($E58,武器奇术!$A:$R,4,FALSE),VLOOKUP($E58,武器奇术!$A:$R,2,FALSE))*(1+CQ58)*(1+CR58)*CS58*(1+$E$16+VLOOKUP($E58,武器奇术!$A:$R,8,FALSE))</f>
        <v>13715.9430082167</v>
      </c>
      <c r="CW58" s="93">
        <f t="shared" si="9"/>
        <v>0.887</v>
      </c>
      <c r="CX58" s="92">
        <f>CP58*IF(VLOOKUP($E58,武器奇术!$A:$R,17,FALSE)="破竹",VLOOKUP($E58,武器奇术!$A:$R,4,FALSE),VLOOKUP($E58,武器奇术!$A:$R,2,FALSE))*(1+CQ58)*(1+CR58)*CS58*(1+$E$17+VLOOKUP($E58,武器奇术!$A:$R,10,FALSE))</f>
        <v>10421.2609804756</v>
      </c>
      <c r="CY58" s="93">
        <f t="shared" si="10"/>
        <v>0.0986</v>
      </c>
      <c r="CZ58" s="92">
        <f>CO58*IF(VLOOKUP($E58,武器奇术!$A:$R,17,FALSE)="破竹",VLOOKUP($E58,武器奇术!$A:$R,4,FALSE),VLOOKUP($E58,武器奇术!$A:$R,2,FALSE))*(1+CQ58)*(1+CR58)*CS58</f>
        <v>5729.29950217905</v>
      </c>
      <c r="DA58" s="93">
        <f t="shared" si="42"/>
        <v>0.0144</v>
      </c>
      <c r="DB58" s="101">
        <f t="shared" si="43"/>
        <v>13276.0796937945</v>
      </c>
      <c r="DC58" s="99">
        <f>IF(VLOOKUP($E58,武器奇术!$A:$R,18,FALSE)="极乐",0,$B$15)</f>
        <v>66</v>
      </c>
      <c r="DD58" s="91">
        <f t="shared" si="44"/>
        <v>95.9</v>
      </c>
      <c r="DE58" s="91">
        <f>IF(VLOOKUP($E58,武器奇术!$A:$R,18,FALSE)="极乐",0,$C$15)</f>
        <v>125.8</v>
      </c>
      <c r="DF58" s="93">
        <f>IF((IF(VLOOKUP($E58,武器奇术!$A:$R,17,FALSE)="鸣金",$D$7,0)+IF(VLOOKUP($E58,武器奇术!$A:$R,17,FALSE)="裂石",$D$9,0)+IF(VLOOKUP($E58,武器奇术!$A:$R,17,FALSE)="牵丝",$D$11,0)+IF(VLOOKUP($E58,武器奇术!$A:$R,17,FALSE)="破竹",$D$13,0)+$D$15-VLOOKUP($F$7,目标属性!$A:$R,6,FALSE)+IF(VLOOKUP($E58,武器奇术!$A:$V,22,FALSE)=1,4,0)+IF(VLOOKUP($E58,武器奇术!$A:$T,20,FALSE)=1,10,0))&gt;0,(IF(VLOOKUP($E58,武器奇术!$A:$R,17,FALSE)="鸣金",$D$7,0)+IF(VLOOKUP($E58,武器奇术!$A:$R,17,FALSE)="裂石",$D$9,0)+IF(VLOOKUP($E58,武器奇术!$A:$R,17,FALSE)="牵丝",$D$11,0)+IF(VLOOKUP($E58,武器奇术!$A:$R,17,FALSE)="破竹",$D$13,0)+$D$15-VLOOKUP($F$7,目标属性!$A:$R,6,FALSE)+IF(VLOOKUP($E58,武器奇术!$A:$V,22,FALSE)=1,4,0)+IF(VLOOKUP($E58,武器奇术!$A:$T,20,FALSE)=1,10,0))/200,(IF(VLOOKUP($E58,武器奇术!$A:$R,17,FALSE)="鸣金",$D$7,0)+IF(VLOOKUP($E58,武器奇术!$A:$R,17,FALSE)="裂石",$D$9,0)+IF(VLOOKUP($E58,武器奇术!$A:$R,17,FALSE)="牵丝",$D$11,0)+IF(VLOOKUP($E58,武器奇术!$A:$R,17,FALSE)="破竹",$D$13,0)+$D$15-VLOOKUP($F$7,目标属性!$A:$R,6,FALSE)+IF(VLOOKUP($E58,武器奇术!$A:$V,22,FALSE)=1,4,0)+IF(VLOOKUP($E58,武器奇术!$A:$T,20,FALSE)=1,10,0))/100)</f>
        <v>0.078</v>
      </c>
      <c r="DG58" s="120">
        <f>$E$13+IF(期望!$G$5="燕归",6%,0)</f>
        <v>0.208</v>
      </c>
      <c r="DH58" s="91">
        <v>1</v>
      </c>
      <c r="DI58" s="92">
        <f>DC58*IF(VLOOKUP($E58,武器奇术!$A:$R,17,FALSE)="破竹",VLOOKUP($E58,武器奇术!$A:$R,4,FALSE),VLOOKUP($E58,武器奇术!$A:$R,2,FALSE))*(1+DF58)*(1+DG58)*DH58</f>
        <v>359.37100687488</v>
      </c>
      <c r="DJ58" s="93">
        <f>(1-IF(VLOOKUP($E58,武器奇术!$A:$R,16,FALSE)="陌刀",1,$N58))*(1-$M58)</f>
        <v>0</v>
      </c>
      <c r="DK58" s="92">
        <f>DD58*IF(VLOOKUP($E58,武器奇术!$A:$R,17,FALSE)="破竹",VLOOKUP($E58,武器奇术!$A:$R,4,FALSE),VLOOKUP($E58,武器奇术!$A:$R,2,FALSE))*(1+DF58)*(1+DG58)*DH58*(1+$E$16+VLOOKUP($E58,武器奇术!$A:$R,8,FALSE))</f>
        <v>1250.09164946919</v>
      </c>
      <c r="DL58" s="93">
        <f t="shared" si="12"/>
        <v>0.887</v>
      </c>
      <c r="DM58" s="92">
        <f>DE58*IF(VLOOKUP($E58,武器奇术!$A:$R,17,FALSE)="破竹",VLOOKUP($E58,武器奇术!$A:$R,4,FALSE),VLOOKUP($E58,武器奇术!$A:$R,2,FALSE))*(1+DF58)*(1+DG58)*DH58*(1+$E$17+VLOOKUP($E58,武器奇术!$A:$R,10,FALSE))</f>
        <v>924.726940872135</v>
      </c>
      <c r="DN58" s="93">
        <f t="shared" si="13"/>
        <v>0.0986</v>
      </c>
      <c r="DO58" s="92">
        <f>DD58*IF(VLOOKUP($E58,武器奇术!$A:$R,17,FALSE)="破竹",VLOOKUP($E58,武器奇术!$A:$R,4,FALSE),VLOOKUP($E58,武器奇术!$A:$R,2,FALSE))*(1+DF58)*(1+DG58)*DH58</f>
        <v>522.176963019712</v>
      </c>
      <c r="DP58" s="93">
        <f t="shared" si="14"/>
        <v>0.0144</v>
      </c>
      <c r="DQ58" s="101">
        <f t="shared" si="15"/>
        <v>1207.52871771665</v>
      </c>
    </row>
    <row r="59" customFormat="1" spans="1:121">
      <c r="A59" s="126"/>
      <c r="B59" s="128"/>
      <c r="C59" s="12"/>
      <c r="D59" s="12"/>
      <c r="E59" s="105" t="s">
        <v>135</v>
      </c>
      <c r="F59" s="106">
        <f>SUM(F54:F57)+F58*3+8</f>
        <v>18</v>
      </c>
      <c r="G59" s="107">
        <f>$E$23</f>
        <v>0.32</v>
      </c>
      <c r="H59" s="92">
        <f>IF(VLOOKUP($E59,武器奇术!$A:$R,18,FALSE)="天工",AE59,(AE59+AT59+BI59+BX59+CM59+DB59+DQ59))*(1+J59)*F59*K59*(1+G59)</f>
        <v>361222.626985157</v>
      </c>
      <c r="I59" s="93">
        <f t="shared" si="16"/>
        <v>0.0463386206249516</v>
      </c>
      <c r="J59" s="93">
        <f>$F$3+VLOOKUP($E59,武器奇术!$A:$R,12,FALSE)+VLOOKUP($E59,武器奇术!$A:$R,14,FALSE)*$G$3+$P59</f>
        <v>1.743</v>
      </c>
      <c r="K59" s="94">
        <f>VLOOKUP($E59,武器奇术!$A:$R,11,FALSE)</f>
        <v>1</v>
      </c>
      <c r="L59" s="109">
        <f>IF(VLOOKUP($E59,武器奇术!$A:$R,15,FALSE)="天工",0%,IF($C$17+VLOOKUP($E59,武器奇术!$A:$R,7,FALSE)&gt;80%,80%,$C$17+VLOOKUP($E59,武器奇术!$A:$R,7,FALSE))+IF($C$19&gt;20%,20%,$C$19))</f>
        <v>0.887</v>
      </c>
      <c r="M59" s="110">
        <f>IF(VLOOKUP($E59,武器奇术!$A:$R,15,FALSE)="天工",0%,IF($C$18+VLOOKUP($E59,武器奇术!$A:$R,9,FALSE)&gt;40%,40%,$C$18+VLOOKUP($E59,武器奇术!$A:$R,9,FALSE))+IF($C$20&gt;10%,10%,$C$20))</f>
        <v>0.0986</v>
      </c>
      <c r="N59" s="111">
        <f>IF(VLOOKUP($E59,武器奇术!$A:$R,15,FALSE)="天工",100%,MIN($C$16,1))</f>
        <v>1</v>
      </c>
      <c r="O59" s="112" t="str">
        <f>VLOOKUP($E59,武器奇术!$A:$R,16,FALSE)</f>
        <v>绳标</v>
      </c>
      <c r="P59" s="113">
        <f t="shared" si="17"/>
        <v>0.17</v>
      </c>
      <c r="Q59" s="99">
        <f>$B$5*(1+VLOOKUP($E59,武器奇术!$A:$R,5,FALSE)+IF($G$5="飞隼",0.1,0)+IF($G$5="撼天",0.05,0))-$F$9*IF(VLOOKUP($E59,武器奇术!$A:$S,19,FALSE)=1,0.9,1)+IF($I$5="√",160,0)</f>
        <v>2848.3</v>
      </c>
      <c r="R59" s="91">
        <f t="shared" si="18"/>
        <v>2848.3</v>
      </c>
      <c r="S59" s="91">
        <f>MAX($C$5,$B$5)*(1+VLOOKUP($E59,武器奇术!$A:$R,5,FALSE)+IF($G$5="飞隼",0.1,0)+IF($G$5="撼天",0.05,0))-$F$9*IF(VLOOKUP($E59,武器奇术!$A:$S,19,FALSE)=1,0.9,1)+IF($I$5="√",320,0)</f>
        <v>2848.3</v>
      </c>
      <c r="T59" s="93">
        <f>IF(($D$5+VLOOKUP($E59,武器奇术!$A:$R,13,FALSE)+IF($I$3="√",10,0)-VLOOKUP($F$7,目标属性!$A:$R,5,FALSE))&gt;0,($D$5+VLOOKUP($E59,武器奇术!$A:$R,13,FALSE)+IF($I$3="√",10,0)-VLOOKUP($F$7,目标属性!$A:$R,5,FALSE))/200,($D$5+VLOOKUP($E59,武器奇术!$A:$R,13,FALSE)+IF($I$3="√",10,0)-VLOOKUP($F$7,目标属性!$A:$R,5,FALSE))/100)</f>
        <v>0.3925</v>
      </c>
      <c r="U59" s="120">
        <f>$E$5+IF(VLOOKUP($E59,武器奇术!$A:$R,18,FALSE)="鼠鼠",0.24,0)+IF(期望!$G$5="燕归",6/100,0)</f>
        <v>0.3</v>
      </c>
      <c r="V59" s="91">
        <v>1</v>
      </c>
      <c r="W59" s="92">
        <f>Q59*VLOOKUP($E59,武器奇术!$A:$R,2,FALSE)*(1+T59)*(1+U59)*V59</f>
        <v>1804.64727625</v>
      </c>
      <c r="X59" s="93">
        <f>(1-IF(VLOOKUP($E59,武器奇术!$A:$R,16,FALSE)="陌刀",1,$N59))*(1-$M59)</f>
        <v>0</v>
      </c>
      <c r="Y59" s="92">
        <f>R59*VLOOKUP($E59,武器奇术!$A:$R,2,FALSE)*(1+T59)*(1+U59)*V59*(1+$E$16+VLOOKUP($E59,武器奇术!$A:$R,8,FALSE))</f>
        <v>4320.3255793425</v>
      </c>
      <c r="Z59" s="93">
        <f t="shared" si="19"/>
        <v>0.887</v>
      </c>
      <c r="AA59" s="92">
        <f>S59*VLOOKUP($E59,武器奇术!$A:$R,2,FALSE)*(1+T59)*(1+U59)*V59*(1+$E$17+VLOOKUP($E59,武器奇术!$A:$R,10,FALSE))</f>
        <v>2436.2738229375</v>
      </c>
      <c r="AB59" s="93">
        <f t="shared" si="20"/>
        <v>0.0986</v>
      </c>
      <c r="AC59" s="92">
        <f>R59*VLOOKUP($E59,武器奇术!$A:$R,2,FALSE)*(1+T59)*(1+U59)*V59</f>
        <v>1804.64727625</v>
      </c>
      <c r="AD59" s="93">
        <f t="shared" si="21"/>
        <v>0.0144</v>
      </c>
      <c r="AE59" s="101">
        <f t="shared" si="22"/>
        <v>4098.33230859643</v>
      </c>
      <c r="AF59" s="102">
        <f>VLOOKUP($E59,武器奇术!$A:$R,3,FALSE)*(1+IF(VLOOKUP($E59,武器奇术!$A:$R,15,FALSE)="武器",$E$15,0))</f>
        <v>0</v>
      </c>
      <c r="AG59" s="92">
        <f t="shared" si="23"/>
        <v>0</v>
      </c>
      <c r="AH59" s="92">
        <f>VLOOKUP($E59,武器奇术!$A:$R,3,FALSE)*(1+IF(VLOOKUP($E59,武器奇术!$A:$R,15,FALSE)="武器",$E$15,0))</f>
        <v>0</v>
      </c>
      <c r="AI59" s="93">
        <f>IF(($D$5+VLOOKUP($E59,武器奇术!$A:$R,13,FALSE)+IF($I$3="√",10,0)-VLOOKUP($F$7,目标属性!$A:$R,5,FALSE))&gt;0,($D$5+VLOOKUP($E59,武器奇术!$A:$R,13,FALSE)+IF($I$3="√",10,0)-VLOOKUP($F$7,目标属性!$A:$R,5,FALSE))/200,($D$5+VLOOKUP($E59,武器奇术!$A:$R,13,FALSE)+IF($I$3="√",10,0)-VLOOKUP($F$7,目标属性!$A:$R,5,FALSE))/100)</f>
        <v>0.3925</v>
      </c>
      <c r="AJ59" s="120">
        <f>$E$5+IF(VLOOKUP($E59,武器奇术!$A:$R,18,FALSE)="鼠鼠",0.24,0)+IF(期望!$G$5="燕归",6/100,0)</f>
        <v>0.3</v>
      </c>
      <c r="AK59" s="91">
        <v>1</v>
      </c>
      <c r="AL59" s="92">
        <f t="shared" si="24"/>
        <v>0</v>
      </c>
      <c r="AM59" s="93">
        <f>(1-IF(VLOOKUP($E59,武器奇术!$A:$R,16,FALSE)="陌刀",1,$N59))*(1-$M59)</f>
        <v>0</v>
      </c>
      <c r="AN59" s="92">
        <f>AG59*(1+AI59)*(1+AJ59)*AK59*(1+$E$16+VLOOKUP($E59,武器奇术!$A:$R,8,FALSE))</f>
        <v>0</v>
      </c>
      <c r="AO59" s="93">
        <f t="shared" si="1"/>
        <v>0.887</v>
      </c>
      <c r="AP59" s="92">
        <f>AH59*(1+AI59)*(1+AJ59)*AK59*(1+$E$17+VLOOKUP($E59,武器奇术!$A:$R,10,FALSE))</f>
        <v>0</v>
      </c>
      <c r="AQ59" s="93">
        <f t="shared" si="2"/>
        <v>0.0986</v>
      </c>
      <c r="AR59" s="92">
        <f t="shared" si="25"/>
        <v>0</v>
      </c>
      <c r="AS59" s="93">
        <f t="shared" si="26"/>
        <v>0.0144</v>
      </c>
      <c r="AT59" s="101">
        <f t="shared" si="27"/>
        <v>0</v>
      </c>
      <c r="AU59" s="99">
        <f>IF(VLOOKUP($E59,武器奇术!$A:$R,18,FALSE)="极乐",0,$B$7*IF($G$5="撼天",1.05,1)+IF(AND(VLOOKUP($E59,武器奇术!$A:$R,15,FALSE)="武器",VLOOKUP($E59,武器奇术!$A:$R,17,FALSE)="鸣金"),$E$3*(1+$E$15),0))</f>
        <v>0</v>
      </c>
      <c r="AV59" s="91">
        <f t="shared" si="28"/>
        <v>0</v>
      </c>
      <c r="AW59" s="91">
        <f>IF(VLOOKUP($E59,武器奇术!$A:$R,18,FALSE)="极乐",0,MAX($C$7*IF($G$5="撼天",1.05,1)+IF(AND(VLOOKUP($E59,武器奇术!$A:$R,15,FALSE)="武器",VLOOKUP($E59,武器奇术!$A:$R,17,FALSE)="鸣金"),$E$3*(1+$E$15),0),AU59))</f>
        <v>0</v>
      </c>
      <c r="AX59" s="93">
        <f>IF(($D$7+IF(VLOOKUP($E59,武器奇术!$A:$R,17,FALSE)="鸣金",$D$15,0)-VLOOKUP($F$7,目标属性!$A:$R,6,FALSE))&gt;0,($D$7+IF(VLOOKUP($E59,武器奇术!$A:$R,17,FALSE)="鸣金",$D$15,0)-VLOOKUP($F$7,目标属性!$A:$R,6,FALSE))/200,($D$7+IF(VLOOKUP($E59,武器奇术!$A:$R,17,FALSE)="鸣金",$D$15,0)-VLOOKUP($F$7,目标属性!$A:$R,6,FALSE))/100)</f>
        <v>-0.24</v>
      </c>
      <c r="AY59" s="100">
        <f t="shared" si="50"/>
        <v>0</v>
      </c>
      <c r="AZ59" s="91">
        <v>1</v>
      </c>
      <c r="BA59" s="92">
        <f>AU59*IF(VLOOKUP($E59,武器奇术!$A:$R,17,FALSE)="鸣金",VLOOKUP($E59,武器奇术!$A:$R,4,FALSE),VLOOKUP($E59,武器奇术!$A:$R,2,FALSE))*(1+AX59)*(1+AY59)*AZ59</f>
        <v>0</v>
      </c>
      <c r="BB59" s="93">
        <f>(1-IF(VLOOKUP($E59,武器奇术!$A:$R,16,FALSE)="陌刀",1,$N59))*(1-$M59)</f>
        <v>0</v>
      </c>
      <c r="BC59" s="92">
        <f>AV59*IF(VLOOKUP($E59,武器奇术!$A:$R,17,FALSE)="鸣金",VLOOKUP($E59,武器奇术!$A:$R,4,FALSE),VLOOKUP($E59,武器奇术!$A:$R,2,FALSE))*(1+AX59)*(1+AY59)*AZ59*(1+$E$16+VLOOKUP($E59,武器奇术!$A:$R,8,FALSE))</f>
        <v>0</v>
      </c>
      <c r="BD59" s="93">
        <f t="shared" si="3"/>
        <v>0.887</v>
      </c>
      <c r="BE59" s="92">
        <f>AW59*IF(VLOOKUP($E59,武器奇术!$A:$R,17,FALSE)="鸣金",VLOOKUP($E59,武器奇术!$A:$R,4,FALSE),VLOOKUP($E59,武器奇术!$A:$R,2,FALSE))*(1+AX59)*(1+AY59)*AZ59*(1+$E$17+VLOOKUP($E59,武器奇术!$A:$R,10,FALSE))</f>
        <v>0</v>
      </c>
      <c r="BF59" s="93">
        <f t="shared" si="4"/>
        <v>0.0986</v>
      </c>
      <c r="BG59" s="92">
        <f>AV59*IF(VLOOKUP($E59,武器奇术!$A:$R,17,FALSE)="鸣金",VLOOKUP($E59,武器奇术!$A:$R,4,FALSE),VLOOKUP($E59,武器奇术!$A:$R,2,FALSE))*(1+AX59)*(1+AY59)*AZ59</f>
        <v>0</v>
      </c>
      <c r="BH59" s="93">
        <f t="shared" si="30"/>
        <v>0.0144</v>
      </c>
      <c r="BI59" s="101">
        <f t="shared" si="31"/>
        <v>0</v>
      </c>
      <c r="BJ59" s="99">
        <f>IF(VLOOKUP($E59,武器奇术!$A:$R,18,FALSE)="极乐",0,$B$9*IF($G$5="撼天",1.05,1)+IF(AND(VLOOKUP($E59,武器奇术!$A:$R,15,FALSE)="武器",VLOOKUP($E59,武器奇术!$A:$R,17,FALSE)="裂石"),$E$3*(1+$E$15),0))</f>
        <v>0</v>
      </c>
      <c r="BK59" s="91">
        <f t="shared" si="32"/>
        <v>0</v>
      </c>
      <c r="BL59" s="91">
        <f>IF(VLOOKUP($E59,武器奇术!$A:$R,18,FALSE)="极乐",0,MAX($C$9*IF($G$5="撼天",1.05,1)+IF(AND(VLOOKUP($E59,武器奇术!$A:$R,15,FALSE)="武器",VLOOKUP($E59,武器奇术!$A:$R,17,FALSE)="裂石"),$E$3*(1+$E$15),0),BJ59))</f>
        <v>0</v>
      </c>
      <c r="BM59" s="93">
        <f>IF(($D$9+IF(VLOOKUP($E59,武器奇术!$A:$R,17,FALSE)="裂石",$D$15,0)-VLOOKUP($F$7,目标属性!$A:$R,6,FALSE))&gt;0,($D$9+IF(VLOOKUP($E59,武器奇术!$A:$R,17,FALSE)="裂石",$D$15,0)-VLOOKUP($F$7,目标属性!$A:$R,6,FALSE))/200,($D$9+IF(VLOOKUP($E59,武器奇术!$A:$R,17,FALSE)="裂石",$D$15,0)-VLOOKUP($F$7,目标属性!$A:$R,6,FALSE))/100)</f>
        <v>-0.24</v>
      </c>
      <c r="BN59" s="100">
        <f t="shared" si="51"/>
        <v>0</v>
      </c>
      <c r="BO59" s="91">
        <v>1</v>
      </c>
      <c r="BP59" s="92">
        <f>BJ59*IF(VLOOKUP($E59,武器奇术!$A:$R,17,FALSE)="裂石",VLOOKUP($E59,武器奇术!$A:$R,4,FALSE),VLOOKUP($E59,武器奇术!$A:$R,2,FALSE))*(1+BM59)*(1+BN59)*BO59</f>
        <v>0</v>
      </c>
      <c r="BQ59" s="93">
        <f>(1-IF(VLOOKUP($E59,武器奇术!$A:$R,16,FALSE)="陌刀",1,$N59))*(1-$M59)</f>
        <v>0</v>
      </c>
      <c r="BR59" s="92">
        <f>BK59*IF(VLOOKUP($E59,武器奇术!$A:$R,17,FALSE)="裂石",VLOOKUP($E59,武器奇术!$A:$R,4,FALSE),VLOOKUP($E59,武器奇术!$A:$R,2,FALSE))*(1+BM59)*(1+BN59)*BO59*(1+$E$16+VLOOKUP($E59,武器奇术!$A:$R,8,FALSE))</f>
        <v>0</v>
      </c>
      <c r="BS59" s="93">
        <f t="shared" si="5"/>
        <v>0.887</v>
      </c>
      <c r="BT59" s="92">
        <f>BL59*IF(VLOOKUP($E59,武器奇术!$A:$R,17,FALSE)="裂石",VLOOKUP($E59,武器奇术!$A:$R,4,FALSE),VLOOKUP($E59,武器奇术!$A:$R,2,FALSE))*(1+BM59)*(1+BN59)*BO59*(1+$E$17+VLOOKUP($E59,武器奇术!$A:$R,10,FALSE))</f>
        <v>0</v>
      </c>
      <c r="BU59" s="93">
        <f t="shared" si="6"/>
        <v>0.0986</v>
      </c>
      <c r="BV59" s="92">
        <f>BK59*IF(VLOOKUP($E59,武器奇术!$A:$R,17,FALSE)="裂石",VLOOKUP($E59,武器奇术!$A:$R,4,FALSE),VLOOKUP($E59,武器奇术!$A:$R,2,FALSE))*(1+BM59)*(1+BN59)*BO59</f>
        <v>0</v>
      </c>
      <c r="BW59" s="93">
        <f t="shared" si="34"/>
        <v>0.0144</v>
      </c>
      <c r="BX59" s="101">
        <f t="shared" si="35"/>
        <v>0</v>
      </c>
      <c r="BY59" s="99">
        <f>IF(VLOOKUP($E59,武器奇术!$A:$R,18,FALSE)="极乐",0,$B$11*IF($G$5="撼天",1.05,1)+IF(AND(VLOOKUP($E59,武器奇术!$A:$R,15,FALSE)="武器",VLOOKUP($E59,武器奇术!$A:$R,17,FALSE)="牵丝"),$E$3*(1+$E$15),0))</f>
        <v>0</v>
      </c>
      <c r="BZ59" s="91">
        <f t="shared" si="36"/>
        <v>0</v>
      </c>
      <c r="CA59" s="91">
        <f>IF(VLOOKUP($E59,武器奇术!$A:$R,18,FALSE)="极乐",0,MAX($C$11*IF($G$5="撼天",1.05,1)+IF(AND(VLOOKUP($E59,武器奇术!$A:$R,15,FALSE)="武器",VLOOKUP($E59,武器奇术!$A:$R,17,FALSE)="牵丝"),$E$3*(1+$E$15),0),BY59))</f>
        <v>0</v>
      </c>
      <c r="CB59" s="93">
        <f>IF(($D$11+IF(VLOOKUP($E59,武器奇术!$A:$R,17,FALSE)="牵丝",$D$15,0)-VLOOKUP($F$7,目标属性!$A:$R,6,FALSE))&gt;0,($D$11+IF(VLOOKUP($E59,武器奇术!$A:$R,17,FALSE)="牵丝",$D$15,0)-VLOOKUP($F$7,目标属性!$A:$R,6,FALSE))/200,($D$11+IF(VLOOKUP($E59,武器奇术!$A:$R,17,FALSE)="牵丝",$D$15,0)-VLOOKUP($F$7,目标属性!$A:$R,6,FALSE))/100)</f>
        <v>-0.24</v>
      </c>
      <c r="CC59" s="100">
        <f t="shared" si="52"/>
        <v>0</v>
      </c>
      <c r="CD59" s="91">
        <v>1</v>
      </c>
      <c r="CE59" s="92">
        <f>BY59*IF(VLOOKUP($E59,武器奇术!$A:$R,17,FALSE)="牵丝",VLOOKUP($E59,武器奇术!$A:$R,4,FALSE),VLOOKUP($E59,武器奇术!$A:$R,2,FALSE))*(1+CB59)*(1+CC59)*CD59</f>
        <v>0</v>
      </c>
      <c r="CF59" s="93">
        <f>(1-IF(VLOOKUP($E59,武器奇术!$A:$R,16,FALSE)="陌刀",1,$N59))*(1-$M59)</f>
        <v>0</v>
      </c>
      <c r="CG59" s="92">
        <f>BZ59*IF(VLOOKUP($E59,武器奇术!$A:$R,17,FALSE)="牵丝",VLOOKUP($E59,武器奇术!$A:$R,4,FALSE),VLOOKUP($E59,武器奇术!$A:$R,2,FALSE))*(1+CB59)*(1+CC59)*CD59*(1+$E$16+VLOOKUP($E59,武器奇术!$A:$R,8,FALSE))</f>
        <v>0</v>
      </c>
      <c r="CH59" s="93">
        <f t="shared" si="7"/>
        <v>0.887</v>
      </c>
      <c r="CI59" s="92">
        <f>CA59*IF(VLOOKUP($E59,武器奇术!$A:$R,17,FALSE)="牵丝",VLOOKUP($E59,武器奇术!$A:$R,4,FALSE),VLOOKUP($E59,武器奇术!$A:$R,2,FALSE))*(1+CB59)*(1+CC59)*CD59*(1+$E$17+VLOOKUP($E59,武器奇术!$A:$R,10,FALSE))</f>
        <v>0</v>
      </c>
      <c r="CJ59" s="93">
        <f t="shared" si="8"/>
        <v>0.0986</v>
      </c>
      <c r="CK59" s="92">
        <f>BZ59*IF(VLOOKUP($E59,武器奇术!$A:$R,17,FALSE)="牵丝",VLOOKUP($E59,武器奇术!$A:$R,4,FALSE),VLOOKUP($E59,武器奇术!$A:$R,2,FALSE))*(1+CB59)*(1+CC59)*CD59</f>
        <v>0</v>
      </c>
      <c r="CL59" s="93">
        <f t="shared" si="38"/>
        <v>0.0144</v>
      </c>
      <c r="CM59" s="101">
        <f t="shared" si="39"/>
        <v>0</v>
      </c>
      <c r="CN59" s="99">
        <f>IF(VLOOKUP($E59,武器奇术!$A:$R,18,FALSE)="极乐",0,$B$13*IF($G$5="撼天",1.05,1)+IF(AND(VLOOKUP($E59,武器奇术!$A:$R,15,FALSE)="武器",VLOOKUP($E59,武器奇术!$A:$R,17,FALSE)="破竹"),$E$3*(1+$E$15),0))</f>
        <v>490.8</v>
      </c>
      <c r="CO59" s="91">
        <f t="shared" si="40"/>
        <v>856.3</v>
      </c>
      <c r="CP59" s="91">
        <f>IF(VLOOKUP($E59,武器奇术!$A:$R,18,FALSE)="极乐",0,MAX($C$13*IF($G$5="撼天",1.05,1)+IF(AND(VLOOKUP($E59,武器奇术!$A:$R,15,FALSE)="武器",VLOOKUP($E59,武器奇术!$A:$R,17,FALSE)="破竹"),$E$3*(1+$E$15),0),CN59))</f>
        <v>1221.8</v>
      </c>
      <c r="CQ59" s="93">
        <f>IF(($D$13+IF(VLOOKUP($E59,武器奇术!$A:$R,17,FALSE)="破竹",$D$15,0)-VLOOKUP($F$7,目标属性!$A:$R,6,FALSE)+IF(VLOOKUP($E59,武器奇术!$A:$V,22,FALSE)=1,4,0)+IF(VLOOKUP($E59,武器奇术!$A:$T,20,FALSE)=1,10,0))&gt;0,($D$13+IF(VLOOKUP($E59,武器奇术!$A:$R,17,FALSE)="破竹",$D$15,0)-VLOOKUP($F$7,目标属性!$A:$R,6,FALSE)+IF(VLOOKUP($E59,武器奇术!$A:$V,22,FALSE)=1,4,0)+IF(VLOOKUP($E59,武器奇术!$A:$T,20,FALSE)=1,10,0))/200,($D$13+IF(VLOOKUP($E59,武器奇术!$A:$R,17,FALSE)="破竹",$D$15,0)-VLOOKUP($F$7,目标属性!$A:$R,6,FALSE)+IF(VLOOKUP($E59,武器奇术!$A:$V,22,FALSE)=1,4,0)+IF(VLOOKUP($E59,武器奇术!$A:$T,20,FALSE)=1,10,0))/100)</f>
        <v>0.028</v>
      </c>
      <c r="CR59" s="120">
        <f>$E$13+IF(期望!$G$5="燕归",6%,0)</f>
        <v>0.208</v>
      </c>
      <c r="CS59" s="91">
        <v>1</v>
      </c>
      <c r="CT59" s="92">
        <f>CN59*IF(VLOOKUP($E59,武器奇术!$A:$R,17,FALSE)="破竹",VLOOKUP($E59,武器奇术!$A:$R,4,FALSE),VLOOKUP($E59,武器奇术!$A:$R,2,FALSE))*(1+CQ59)*(1+CR59)*CS59</f>
        <v>319.98079008</v>
      </c>
      <c r="CU59" s="93">
        <f>(1-IF(VLOOKUP($E59,武器奇术!$A:$R,16,FALSE)="陌刀",1,$N59))*(1-$M59)</f>
        <v>0</v>
      </c>
      <c r="CV59" s="92">
        <f>CO59*IF(VLOOKUP($E59,武器奇术!$A:$R,17,FALSE)="破竹",VLOOKUP($E59,武器奇术!$A:$R,4,FALSE),VLOOKUP($E59,武器奇术!$A:$R,2,FALSE))*(1+CQ59)*(1+CR59)*CS59*(1+$E$16+VLOOKUP($E59,武器奇术!$A:$R,8,FALSE))</f>
        <v>1336.50147515472</v>
      </c>
      <c r="CW59" s="93">
        <f t="shared" si="9"/>
        <v>0.887</v>
      </c>
      <c r="CX59" s="92">
        <f>CP59*IF(VLOOKUP($E59,武器奇术!$A:$R,17,FALSE)="破竹",VLOOKUP($E59,武器奇术!$A:$R,4,FALSE),VLOOKUP($E59,武器奇术!$A:$R,2,FALSE))*(1+CQ59)*(1+CR59)*CS59*(1+$E$17+VLOOKUP($E59,武器奇术!$A:$R,10,FALSE))</f>
        <v>1075.358424168</v>
      </c>
      <c r="CY59" s="93">
        <f t="shared" si="10"/>
        <v>0.0986</v>
      </c>
      <c r="CZ59" s="92">
        <f>CO59*IF(VLOOKUP($E59,武器奇术!$A:$R,17,FALSE)="破竹",VLOOKUP($E59,武器奇术!$A:$R,4,FALSE),VLOOKUP($E59,武器奇术!$A:$R,2,FALSE))*(1+CQ59)*(1+CR59)*CS59</f>
        <v>558.27129288</v>
      </c>
      <c r="DA59" s="93">
        <f t="shared" si="42"/>
        <v>0.0144</v>
      </c>
      <c r="DB59" s="101">
        <f t="shared" si="43"/>
        <v>1299.54625570267</v>
      </c>
      <c r="DC59" s="99">
        <f>IF(VLOOKUP($E59,武器奇术!$A:$R,18,FALSE)="极乐",0,$B$15)</f>
        <v>66</v>
      </c>
      <c r="DD59" s="91">
        <f t="shared" si="44"/>
        <v>95.9</v>
      </c>
      <c r="DE59" s="91">
        <f>IF(VLOOKUP($E59,武器奇术!$A:$R,18,FALSE)="极乐",0,$C$15)</f>
        <v>125.8</v>
      </c>
      <c r="DF59" s="93">
        <f>IF((IF(VLOOKUP($E59,武器奇术!$A:$R,17,FALSE)="鸣金",$D$7,0)+IF(VLOOKUP($E59,武器奇术!$A:$R,17,FALSE)="裂石",$D$9,0)+IF(VLOOKUP($E59,武器奇术!$A:$R,17,FALSE)="牵丝",$D$11,0)+IF(VLOOKUP($E59,武器奇术!$A:$R,17,FALSE)="破竹",$D$13,0)+$D$15-VLOOKUP($F$7,目标属性!$A:$R,6,FALSE)+IF(VLOOKUP($E59,武器奇术!$A:$V,22,FALSE)=1,4,0)+IF(VLOOKUP($E59,武器奇术!$A:$T,20,FALSE)=1,10,0))&gt;0,(IF(VLOOKUP($E59,武器奇术!$A:$R,17,FALSE)="鸣金",$D$7,0)+IF(VLOOKUP($E59,武器奇术!$A:$R,17,FALSE)="裂石",$D$9,0)+IF(VLOOKUP($E59,武器奇术!$A:$R,17,FALSE)="牵丝",$D$11,0)+IF(VLOOKUP($E59,武器奇术!$A:$R,17,FALSE)="破竹",$D$13,0)+$D$15-VLOOKUP($F$7,目标属性!$A:$R,6,FALSE)+IF(VLOOKUP($E59,武器奇术!$A:$V,22,FALSE)=1,4,0)+IF(VLOOKUP($E59,武器奇术!$A:$T,20,FALSE)=1,10,0))/200,(IF(VLOOKUP($E59,武器奇术!$A:$R,17,FALSE)="鸣金",$D$7,0)+IF(VLOOKUP($E59,武器奇术!$A:$R,17,FALSE)="裂石",$D$9,0)+IF(VLOOKUP($E59,武器奇术!$A:$R,17,FALSE)="牵丝",$D$11,0)+IF(VLOOKUP($E59,武器奇术!$A:$R,17,FALSE)="破竹",$D$13,0)+$D$15-VLOOKUP($F$7,目标属性!$A:$R,6,FALSE)+IF(VLOOKUP($E59,武器奇术!$A:$V,22,FALSE)=1,4,0)+IF(VLOOKUP($E59,武器奇术!$A:$T,20,FALSE)=1,10,0))/100)</f>
        <v>0.028</v>
      </c>
      <c r="DG59" s="120">
        <f>$E$13+IF(期望!$G$5="燕归",6%,0)</f>
        <v>0.208</v>
      </c>
      <c r="DH59" s="91">
        <v>1</v>
      </c>
      <c r="DI59" s="92">
        <f>DC59*IF(VLOOKUP($E59,武器奇术!$A:$R,17,FALSE)="破竹",VLOOKUP($E59,武器奇术!$A:$R,4,FALSE),VLOOKUP($E59,武器奇术!$A:$R,2,FALSE))*(1+DF59)*(1+DG59)*DH59</f>
        <v>43.0292016</v>
      </c>
      <c r="DJ59" s="93">
        <f>(1-IF(VLOOKUP($E59,武器奇术!$A:$R,16,FALSE)="陌刀",1,$N59))*(1-$M59)</f>
        <v>0</v>
      </c>
      <c r="DK59" s="92">
        <f>DD59*IF(VLOOKUP($E59,武器奇术!$A:$R,17,FALSE)="破竹",VLOOKUP($E59,武器奇术!$A:$R,4,FALSE),VLOOKUP($E59,武器奇术!$A:$R,2,FALSE))*(1+DF59)*(1+DG59)*DH59*(1+$E$16+VLOOKUP($E59,武器奇术!$A:$R,8,FALSE))</f>
        <v>149.67942481296</v>
      </c>
      <c r="DL59" s="93">
        <f t="shared" si="12"/>
        <v>0.887</v>
      </c>
      <c r="DM59" s="92">
        <f>DE59*IF(VLOOKUP($E59,武器奇术!$A:$R,17,FALSE)="破竹",VLOOKUP($E59,武器奇术!$A:$R,4,FALSE),VLOOKUP($E59,武器奇术!$A:$R,2,FALSE))*(1+DF59)*(1+DG59)*DH59*(1+$E$17+VLOOKUP($E59,武器奇术!$A:$R,10,FALSE))</f>
        <v>110.721959208</v>
      </c>
      <c r="DN59" s="93">
        <f t="shared" si="13"/>
        <v>0.0986</v>
      </c>
      <c r="DO59" s="92">
        <f>DD59*IF(VLOOKUP($E59,武器奇术!$A:$R,17,FALSE)="破竹",VLOOKUP($E59,武器奇术!$A:$R,4,FALSE),VLOOKUP($E59,武器奇术!$A:$R,2,FALSE))*(1+DF59)*(1+DG59)*DH59</f>
        <v>62.52273384</v>
      </c>
      <c r="DP59" s="93">
        <f t="shared" si="14"/>
        <v>0.0144</v>
      </c>
      <c r="DQ59" s="101">
        <f t="shared" si="15"/>
        <v>144.5831623543</v>
      </c>
    </row>
    <row r="60" customFormat="1" spans="1:121">
      <c r="E60" s="105" t="s">
        <v>136</v>
      </c>
      <c r="F60" s="106">
        <v>1</v>
      </c>
      <c r="G60" s="107"/>
      <c r="H60" s="92">
        <f>IF(VLOOKUP($E60,武器奇术!$A:$R,18,FALSE)="天工",AE60,(AE60+AT60+BI60+BX60+CM60+DB60+DQ60))*(1+J60)*F60*K60*(1+G60)</f>
        <v>36693.8341119078</v>
      </c>
      <c r="I60" s="93">
        <f t="shared" si="16"/>
        <v>0.00470718479730361</v>
      </c>
      <c r="J60" s="93">
        <f>$F$3+VLOOKUP($E60,武器奇术!$A:$R,12,FALSE)+VLOOKUP($E60,武器奇术!$A:$R,14,FALSE)*$G$3+$P60</f>
        <v>0.823</v>
      </c>
      <c r="K60" s="94">
        <f>VLOOKUP($E60,武器奇术!$A:$R,11,FALSE)</f>
        <v>1</v>
      </c>
      <c r="L60" s="109">
        <f>IF(VLOOKUP($E60,武器奇术!$A:$R,15,FALSE)="天工",0%,IF($C$17+VLOOKUP($E60,武器奇术!$A:$R,7,FALSE)&gt;80%,80%,$C$17+VLOOKUP($E60,武器奇术!$A:$R,7,FALSE))+IF($C$19&gt;20%,20%,$C$19))</f>
        <v>0.887</v>
      </c>
      <c r="M60" s="110">
        <f>IF(VLOOKUP($E60,武器奇术!$A:$R,15,FALSE)="天工",0%,IF($C$18+VLOOKUP($E60,武器奇术!$A:$R,9,FALSE)&gt;40%,40%,$C$18+VLOOKUP($E60,武器奇术!$A:$R,9,FALSE))+IF($C$20&gt;10%,10%,$C$20))</f>
        <v>0.0986</v>
      </c>
      <c r="N60" s="111">
        <f>IF(VLOOKUP($E60,武器奇术!$A:$R,15,FALSE)="天工",100%,MIN($C$16,1))</f>
        <v>1</v>
      </c>
      <c r="O60" s="112" t="str">
        <f>VLOOKUP($E60,武器奇术!$A:$R,16,FALSE)</f>
        <v>双刀</v>
      </c>
      <c r="P60" s="113">
        <f t="shared" si="17"/>
        <v>0.17</v>
      </c>
      <c r="Q60" s="99">
        <f>$B$5*(1+VLOOKUP($E60,武器奇术!$A:$R,5,FALSE)+IF($G$5="飞隼",0.1,0)+IF($G$5="撼天",0.05,0))-$F$9*IF(VLOOKUP($E60,武器奇术!$A:$S,19,FALSE)=1,0.9,1)+IF($I$5="√",160,0)</f>
        <v>2848.3</v>
      </c>
      <c r="R60" s="91">
        <f t="shared" si="18"/>
        <v>2848.3</v>
      </c>
      <c r="S60" s="91">
        <f>MAX($C$5,$B$5)*(1+VLOOKUP($E60,武器奇术!$A:$R,5,FALSE)+IF($G$5="飞隼",0.1,0)+IF($G$5="撼天",0.05,0))-$F$9*IF(VLOOKUP($E60,武器奇术!$A:$S,19,FALSE)=1,0.9,1)+IF($I$5="√",320,0)</f>
        <v>2848.3</v>
      </c>
      <c r="T60" s="93">
        <f>IF(($D$5+VLOOKUP($E60,武器奇术!$A:$R,13,FALSE)+IF($I$3="√",10,0)-VLOOKUP($F$7,目标属性!$A:$R,5,FALSE))&gt;0,($D$5+VLOOKUP($E60,武器奇术!$A:$R,13,FALSE)+IF($I$3="√",10,0)-VLOOKUP($F$7,目标属性!$A:$R,5,FALSE))/200,($D$5+VLOOKUP($E60,武器奇术!$A:$R,13,FALSE)+IF($I$3="√",10,0)-VLOOKUP($F$7,目标属性!$A:$R,5,FALSE))/100)</f>
        <v>0.3925</v>
      </c>
      <c r="U60" s="100">
        <f>$E$5+IF(VLOOKUP($E60,武器奇术!$A:$R,18,FALSE)="鼠鼠",0.24,0)</f>
        <v>0</v>
      </c>
      <c r="V60" s="91">
        <v>1</v>
      </c>
      <c r="W60" s="92">
        <f>Q60*VLOOKUP($E60,武器奇术!$A:$R,2,FALSE)*(1+T60)*(1+U60)*V60</f>
        <v>5373.4859997</v>
      </c>
      <c r="X60" s="93">
        <f>(1-IF(VLOOKUP($E60,武器奇术!$A:$R,16,FALSE)="陌刀",1,$N60))*(1-$M60)</f>
        <v>0</v>
      </c>
      <c r="Y60" s="92">
        <f>R60*VLOOKUP($E60,武器奇术!$A:$R,2,FALSE)*(1+T60)*(1+U60)*V60*(1+$E$16+VLOOKUP($E60,武器奇术!$A:$R,8,FALSE))</f>
        <v>12864.1254832818</v>
      </c>
      <c r="Z60" s="93">
        <f t="shared" si="19"/>
        <v>0.887</v>
      </c>
      <c r="AA60" s="92">
        <f>S60*VLOOKUP($E60,武器奇术!$A:$R,2,FALSE)*(1+T60)*(1+U60)*V60*(1+$E$17+VLOOKUP($E60,武器奇术!$A:$R,10,FALSE))</f>
        <v>7254.206099595</v>
      </c>
      <c r="AB60" s="93">
        <f t="shared" si="20"/>
        <v>0.0986</v>
      </c>
      <c r="AC60" s="92">
        <f>R60*VLOOKUP($E60,武器奇术!$A:$R,2,FALSE)*(1+T60)*(1+U60)*V60</f>
        <v>5373.4859997</v>
      </c>
      <c r="AD60" s="93">
        <f t="shared" si="21"/>
        <v>0.0144</v>
      </c>
      <c r="AE60" s="101">
        <f t="shared" si="22"/>
        <v>12203.1222234867</v>
      </c>
      <c r="AF60" s="102">
        <f>VLOOKUP($E60,武器奇术!$A:$R,3,FALSE)*(1+IF(VLOOKUP($E60,武器奇术!$A:$R,15,FALSE)="武器",$E$15,0))</f>
        <v>488.8</v>
      </c>
      <c r="AG60" s="92">
        <f t="shared" si="23"/>
        <v>488.8</v>
      </c>
      <c r="AH60" s="92">
        <f>VLOOKUP($E60,武器奇术!$A:$R,3,FALSE)*(1+IF(VLOOKUP($E60,武器奇术!$A:$R,15,FALSE)="武器",$E$15,0))</f>
        <v>488.8</v>
      </c>
      <c r="AI60" s="93">
        <f>IF(($D$5+VLOOKUP($E60,武器奇术!$A:$R,13,FALSE)+IF($I$3="√",10,0)-VLOOKUP($F$7,目标属性!$A:$R,5,FALSE))&gt;0,($D$5+VLOOKUP($E60,武器奇术!$A:$R,13,FALSE)+IF($I$3="√",10,0)-VLOOKUP($F$7,目标属性!$A:$R,5,FALSE))/200,($D$5+VLOOKUP($E60,武器奇术!$A:$R,13,FALSE)+IF($I$3="√",10,0)-VLOOKUP($F$7,目标属性!$A:$R,5,FALSE))/100)</f>
        <v>0.3925</v>
      </c>
      <c r="AJ60" s="100">
        <f>$E$5+IF(VLOOKUP($E60,武器奇术!$A:$R,18,FALSE)="鼠鼠",0.24,0)</f>
        <v>0</v>
      </c>
      <c r="AK60" s="91">
        <v>1</v>
      </c>
      <c r="AL60" s="92">
        <f t="shared" si="24"/>
        <v>680.654</v>
      </c>
      <c r="AM60" s="93">
        <f>(1-IF(VLOOKUP($E60,武器奇术!$A:$R,16,FALSE)="陌刀",1,$N60))*(1-$M60)</f>
        <v>0</v>
      </c>
      <c r="AN60" s="92">
        <f>AG60*(1+AI60)*(1+AJ60)*AK60*(1+$E$16+VLOOKUP($E60,武器奇术!$A:$R,8,FALSE))</f>
        <v>1629.485676</v>
      </c>
      <c r="AO60" s="93">
        <f t="shared" si="1"/>
        <v>0.887</v>
      </c>
      <c r="AP60" s="92">
        <f>AH60*(1+AI60)*(1+AJ60)*AK60*(1+$E$17+VLOOKUP($E60,武器奇术!$A:$R,10,FALSE))</f>
        <v>918.8829</v>
      </c>
      <c r="AQ60" s="93">
        <f t="shared" si="2"/>
        <v>0.0986</v>
      </c>
      <c r="AR60" s="92">
        <f t="shared" si="25"/>
        <v>680.654</v>
      </c>
      <c r="AS60" s="93">
        <f t="shared" si="26"/>
        <v>0.0144</v>
      </c>
      <c r="AT60" s="101">
        <f t="shared" si="27"/>
        <v>1545.757066152</v>
      </c>
      <c r="AU60" s="99">
        <f>IF(VLOOKUP($E60,武器奇术!$A:$R,18,FALSE)="极乐",0,$B$7*IF($G$5="撼天",1.05,1)+IF(AND(VLOOKUP($E60,武器奇术!$A:$R,15,FALSE)="武器",VLOOKUP($E60,武器奇术!$A:$R,17,FALSE)="鸣金"),$E$3*(1+$E$15),0))</f>
        <v>0</v>
      </c>
      <c r="AV60" s="91">
        <f t="shared" si="28"/>
        <v>0</v>
      </c>
      <c r="AW60" s="91">
        <f>IF(VLOOKUP($E60,武器奇术!$A:$R,18,FALSE)="极乐",0,MAX($C$7*IF($G$5="撼天",1.05,1)+IF(AND(VLOOKUP($E60,武器奇术!$A:$R,15,FALSE)="武器",VLOOKUP($E60,武器奇术!$A:$R,17,FALSE)="鸣金"),$E$3*(1+$E$15),0),AU60))</f>
        <v>0</v>
      </c>
      <c r="AX60" s="93">
        <f>IF(($D$7+IF(VLOOKUP($E60,武器奇术!$A:$R,17,FALSE)="鸣金",$D$15,0)-VLOOKUP($F$7,目标属性!$A:$R,6,FALSE))&gt;0,($D$7+IF(VLOOKUP($E60,武器奇术!$A:$R,17,FALSE)="鸣金",$D$15,0)-VLOOKUP($F$7,目标属性!$A:$R,6,FALSE))/200,($D$7+IF(VLOOKUP($E60,武器奇术!$A:$R,17,FALSE)="鸣金",$D$15,0)-VLOOKUP($F$7,目标属性!$A:$R,6,FALSE))/100)</f>
        <v>-0.24</v>
      </c>
      <c r="AY60" s="100">
        <f t="shared" si="50"/>
        <v>0</v>
      </c>
      <c r="AZ60" s="91">
        <v>1</v>
      </c>
      <c r="BA60" s="92">
        <f>AU60*IF(VLOOKUP($E60,武器奇术!$A:$R,17,FALSE)="鸣金",VLOOKUP($E60,武器奇术!$A:$R,4,FALSE),VLOOKUP($E60,武器奇术!$A:$R,2,FALSE))*(1+AX60)*(1+AY60)*AZ60</f>
        <v>0</v>
      </c>
      <c r="BB60" s="93">
        <f>(1-IF(VLOOKUP($E60,武器奇术!$A:$R,16,FALSE)="陌刀",1,$N60))*(1-$M60)</f>
        <v>0</v>
      </c>
      <c r="BC60" s="92">
        <f>AV60*IF(VLOOKUP($E60,武器奇术!$A:$R,17,FALSE)="鸣金",VLOOKUP($E60,武器奇术!$A:$R,4,FALSE),VLOOKUP($E60,武器奇术!$A:$R,2,FALSE))*(1+AX60)*(1+AY60)*AZ60*(1+$E$16+VLOOKUP($E60,武器奇术!$A:$R,8,FALSE))</f>
        <v>0</v>
      </c>
      <c r="BD60" s="93">
        <f t="shared" si="3"/>
        <v>0.887</v>
      </c>
      <c r="BE60" s="92">
        <f>AW60*IF(VLOOKUP($E60,武器奇术!$A:$R,17,FALSE)="鸣金",VLOOKUP($E60,武器奇术!$A:$R,4,FALSE),VLOOKUP($E60,武器奇术!$A:$R,2,FALSE))*(1+AX60)*(1+AY60)*AZ60*(1+$E$17+VLOOKUP($E60,武器奇术!$A:$R,10,FALSE))</f>
        <v>0</v>
      </c>
      <c r="BF60" s="93">
        <f t="shared" si="4"/>
        <v>0.0986</v>
      </c>
      <c r="BG60" s="92">
        <f>AV60*IF(VLOOKUP($E60,武器奇术!$A:$R,17,FALSE)="鸣金",VLOOKUP($E60,武器奇术!$A:$R,4,FALSE),VLOOKUP($E60,武器奇术!$A:$R,2,FALSE))*(1+AX60)*(1+AY60)*AZ60</f>
        <v>0</v>
      </c>
      <c r="BH60" s="93">
        <f t="shared" si="30"/>
        <v>0.0144</v>
      </c>
      <c r="BI60" s="101">
        <f t="shared" si="31"/>
        <v>0</v>
      </c>
      <c r="BJ60" s="99">
        <f>IF(VLOOKUP($E60,武器奇术!$A:$R,18,FALSE)="极乐",0,$B$9*IF($G$5="撼天",1.05,1)+IF(AND(VLOOKUP($E60,武器奇术!$A:$R,15,FALSE)="武器",VLOOKUP($E60,武器奇术!$A:$R,17,FALSE)="裂石"),$E$3*(1+$E$15),0))</f>
        <v>0</v>
      </c>
      <c r="BK60" s="91">
        <f t="shared" si="32"/>
        <v>0</v>
      </c>
      <c r="BL60" s="91">
        <f>IF(VLOOKUP($E60,武器奇术!$A:$R,18,FALSE)="极乐",0,MAX($C$9*IF($G$5="撼天",1.05,1)+IF(AND(VLOOKUP($E60,武器奇术!$A:$R,15,FALSE)="武器",VLOOKUP($E60,武器奇术!$A:$R,17,FALSE)="裂石"),$E$3*(1+$E$15),0),BJ60))</f>
        <v>0</v>
      </c>
      <c r="BM60" s="93">
        <f>IF(($D$9+IF(VLOOKUP($E60,武器奇术!$A:$R,17,FALSE)="裂石",$D$15,0)-VLOOKUP($F$7,目标属性!$A:$R,6,FALSE))&gt;0,($D$9+IF(VLOOKUP($E60,武器奇术!$A:$R,17,FALSE)="裂石",$D$15,0)-VLOOKUP($F$7,目标属性!$A:$R,6,FALSE))/200,($D$9+IF(VLOOKUP($E60,武器奇术!$A:$R,17,FALSE)="裂石",$D$15,0)-VLOOKUP($F$7,目标属性!$A:$R,6,FALSE))/100)</f>
        <v>-0.24</v>
      </c>
      <c r="BN60" s="100">
        <f t="shared" si="51"/>
        <v>0</v>
      </c>
      <c r="BO60" s="91">
        <v>1</v>
      </c>
      <c r="BP60" s="92">
        <f>BJ60*IF(VLOOKUP($E60,武器奇术!$A:$R,17,FALSE)="裂石",VLOOKUP($E60,武器奇术!$A:$R,4,FALSE),VLOOKUP($E60,武器奇术!$A:$R,2,FALSE))*(1+BM60)*(1+BN60)*BO60</f>
        <v>0</v>
      </c>
      <c r="BQ60" s="93">
        <f>(1-IF(VLOOKUP($E60,武器奇术!$A:$R,16,FALSE)="陌刀",1,$N60))*(1-$M60)</f>
        <v>0</v>
      </c>
      <c r="BR60" s="92">
        <f>BK60*IF(VLOOKUP($E60,武器奇术!$A:$R,17,FALSE)="裂石",VLOOKUP($E60,武器奇术!$A:$R,4,FALSE),VLOOKUP($E60,武器奇术!$A:$R,2,FALSE))*(1+BM60)*(1+BN60)*BO60*(1+$E$16+VLOOKUP($E60,武器奇术!$A:$R,8,FALSE))</f>
        <v>0</v>
      </c>
      <c r="BS60" s="93">
        <f t="shared" si="5"/>
        <v>0.887</v>
      </c>
      <c r="BT60" s="92">
        <f>BL60*IF(VLOOKUP($E60,武器奇术!$A:$R,17,FALSE)="裂石",VLOOKUP($E60,武器奇术!$A:$R,4,FALSE),VLOOKUP($E60,武器奇术!$A:$R,2,FALSE))*(1+BM60)*(1+BN60)*BO60*(1+$E$17+VLOOKUP($E60,武器奇术!$A:$R,10,FALSE))</f>
        <v>0</v>
      </c>
      <c r="BU60" s="93">
        <f t="shared" si="6"/>
        <v>0.0986</v>
      </c>
      <c r="BV60" s="92">
        <f>BK60*IF(VLOOKUP($E60,武器奇术!$A:$R,17,FALSE)="裂石",VLOOKUP($E60,武器奇术!$A:$R,4,FALSE),VLOOKUP($E60,武器奇术!$A:$R,2,FALSE))*(1+BM60)*(1+BN60)*BO60</f>
        <v>0</v>
      </c>
      <c r="BW60" s="93">
        <f t="shared" si="34"/>
        <v>0.0144</v>
      </c>
      <c r="BX60" s="101">
        <f t="shared" si="35"/>
        <v>0</v>
      </c>
      <c r="BY60" s="99">
        <f>IF(VLOOKUP($E60,武器奇术!$A:$R,18,FALSE)="极乐",0,$B$11*IF($G$5="撼天",1.05,1)+IF(AND(VLOOKUP($E60,武器奇术!$A:$R,15,FALSE)="武器",VLOOKUP($E60,武器奇术!$A:$R,17,FALSE)="牵丝"),$E$3*(1+$E$15),0))</f>
        <v>0</v>
      </c>
      <c r="BZ60" s="91">
        <f t="shared" si="36"/>
        <v>0</v>
      </c>
      <c r="CA60" s="91">
        <f>IF(VLOOKUP($E60,武器奇术!$A:$R,18,FALSE)="极乐",0,MAX($C$11*IF($G$5="撼天",1.05,1)+IF(AND(VLOOKUP($E60,武器奇术!$A:$R,15,FALSE)="武器",VLOOKUP($E60,武器奇术!$A:$R,17,FALSE)="牵丝"),$E$3*(1+$E$15),0),BY60))</f>
        <v>0</v>
      </c>
      <c r="CB60" s="93">
        <f>IF(($D$11+IF(VLOOKUP($E60,武器奇术!$A:$R,17,FALSE)="牵丝",$D$15,0)-VLOOKUP($F$7,目标属性!$A:$R,6,FALSE))&gt;0,($D$11+IF(VLOOKUP($E60,武器奇术!$A:$R,17,FALSE)="牵丝",$D$15,0)-VLOOKUP($F$7,目标属性!$A:$R,6,FALSE))/200,($D$11+IF(VLOOKUP($E60,武器奇术!$A:$R,17,FALSE)="牵丝",$D$15,0)-VLOOKUP($F$7,目标属性!$A:$R,6,FALSE))/100)</f>
        <v>-0.24</v>
      </c>
      <c r="CC60" s="100">
        <f t="shared" si="52"/>
        <v>0</v>
      </c>
      <c r="CD60" s="91">
        <v>1</v>
      </c>
      <c r="CE60" s="92">
        <f>BY60*IF(VLOOKUP($E60,武器奇术!$A:$R,17,FALSE)="牵丝",VLOOKUP($E60,武器奇术!$A:$R,4,FALSE),VLOOKUP($E60,武器奇术!$A:$R,2,FALSE))*(1+CB60)*(1+CC60)*CD60</f>
        <v>0</v>
      </c>
      <c r="CF60" s="93">
        <f>(1-IF(VLOOKUP($E60,武器奇术!$A:$R,16,FALSE)="陌刀",1,$N60))*(1-$M60)</f>
        <v>0</v>
      </c>
      <c r="CG60" s="92">
        <f>BZ60*IF(VLOOKUP($E60,武器奇术!$A:$R,17,FALSE)="牵丝",VLOOKUP($E60,武器奇术!$A:$R,4,FALSE),VLOOKUP($E60,武器奇术!$A:$R,2,FALSE))*(1+CB60)*(1+CC60)*CD60*(1+$E$16+VLOOKUP($E60,武器奇术!$A:$R,8,FALSE))</f>
        <v>0</v>
      </c>
      <c r="CH60" s="93">
        <f t="shared" si="7"/>
        <v>0.887</v>
      </c>
      <c r="CI60" s="92">
        <f>CA60*IF(VLOOKUP($E60,武器奇术!$A:$R,17,FALSE)="牵丝",VLOOKUP($E60,武器奇术!$A:$R,4,FALSE),VLOOKUP($E60,武器奇术!$A:$R,2,FALSE))*(1+CB60)*(1+CC60)*CD60*(1+$E$17+VLOOKUP($E60,武器奇术!$A:$R,10,FALSE))</f>
        <v>0</v>
      </c>
      <c r="CJ60" s="93">
        <f t="shared" si="8"/>
        <v>0.0986</v>
      </c>
      <c r="CK60" s="92">
        <f>BZ60*IF(VLOOKUP($E60,武器奇术!$A:$R,17,FALSE)="牵丝",VLOOKUP($E60,武器奇术!$A:$R,4,FALSE),VLOOKUP($E60,武器奇术!$A:$R,2,FALSE))*(1+CB60)*(1+CC60)*CD60</f>
        <v>0</v>
      </c>
      <c r="CL60" s="93">
        <f t="shared" si="38"/>
        <v>0.0144</v>
      </c>
      <c r="CM60" s="101">
        <f t="shared" si="39"/>
        <v>0</v>
      </c>
      <c r="CN60" s="99">
        <f>IF(VLOOKUP($E60,武器奇术!$A:$R,18,FALSE)="极乐",0,$B$13*IF($G$5="撼天",1.05,1)+IF(AND(VLOOKUP($E60,武器奇术!$A:$R,15,FALSE)="武器",VLOOKUP($E60,武器奇术!$A:$R,17,FALSE)="破竹"),$E$3*(1+$E$15),0))</f>
        <v>686.71</v>
      </c>
      <c r="CO60" s="91">
        <f t="shared" si="40"/>
        <v>1052.21</v>
      </c>
      <c r="CP60" s="91">
        <f>IF(VLOOKUP($E60,武器奇术!$A:$R,18,FALSE)="极乐",0,MAX($C$13*IF($G$5="撼天",1.05,1)+IF(AND(VLOOKUP($E60,武器奇术!$A:$R,15,FALSE)="武器",VLOOKUP($E60,武器奇术!$A:$R,17,FALSE)="破竹"),$E$3*(1+$E$15),0),CN60))</f>
        <v>1417.71</v>
      </c>
      <c r="CQ60" s="93">
        <f>IF(($D$13+IF(VLOOKUP($E60,武器奇术!$A:$R,17,FALSE)="破竹",$D$15,0)-VLOOKUP($F$7,目标属性!$A:$R,6,FALSE)+IF(VLOOKUP($E60,武器奇术!$A:$V,22,FALSE)=1,4,0)+IF(VLOOKUP($E60,武器奇术!$A:$T,20,FALSE)=1,10,0))&gt;0,($D$13+IF(VLOOKUP($E60,武器奇术!$A:$R,17,FALSE)="破竹",$D$15,0)-VLOOKUP($F$7,目标属性!$A:$R,6,FALSE)+IF(VLOOKUP($E60,武器奇术!$A:$V,22,FALSE)=1,4,0)+IF(VLOOKUP($E60,武器奇术!$A:$T,20,FALSE)=1,10,0))/200,($D$13+IF(VLOOKUP($E60,武器奇术!$A:$R,17,FALSE)="破竹",$D$15,0)-VLOOKUP($F$7,目标属性!$A:$R,6,FALSE)+IF(VLOOKUP($E60,武器奇术!$A:$V,22,FALSE)=1,4,0)+IF(VLOOKUP($E60,武器奇术!$A:$T,20,FALSE)=1,10,0))/100)</f>
        <v>0.028</v>
      </c>
      <c r="CR60" s="100">
        <f>$E$13</f>
        <v>0.148</v>
      </c>
      <c r="CS60" s="91">
        <v>1</v>
      </c>
      <c r="CT60" s="92">
        <f>CN60*IF(VLOOKUP($E60,武器奇术!$A:$R,17,FALSE)="破竹",VLOOKUP($E60,武器奇术!$A:$R,4,FALSE),VLOOKUP($E60,武器奇术!$A:$R,2,FALSE))*(1+CQ60)*(1+CR60)*CS60</f>
        <v>1646.92878977693</v>
      </c>
      <c r="CU60" s="93">
        <f>(1-IF(VLOOKUP($E60,武器奇术!$A:$R,16,FALSE)="陌刀",1,$N60))*(1-$M60)</f>
        <v>0</v>
      </c>
      <c r="CV60" s="92">
        <f>CO60*IF(VLOOKUP($E60,武器奇术!$A:$R,17,FALSE)="破竹",VLOOKUP($E60,武器奇术!$A:$R,4,FALSE),VLOOKUP($E60,武器奇术!$A:$R,2,FALSE))*(1+CQ60)*(1+CR60)*CS60*(1+$E$16+VLOOKUP($E60,武器奇术!$A:$R,8,FALSE))</f>
        <v>6041.26686794642</v>
      </c>
      <c r="CW60" s="93">
        <f t="shared" si="9"/>
        <v>0.887</v>
      </c>
      <c r="CX60" s="92">
        <f>CP60*IF(VLOOKUP($E60,武器奇术!$A:$R,17,FALSE)="破竹",VLOOKUP($E60,武器奇术!$A:$R,4,FALSE),VLOOKUP($E60,武器奇术!$A:$R,2,FALSE))*(1+CQ60)*(1+CR60)*CS60*(1+$E$17+VLOOKUP($E60,武器奇术!$A:$R,10,FALSE))</f>
        <v>4590.10500742493</v>
      </c>
      <c r="CY60" s="93">
        <f t="shared" si="10"/>
        <v>0.0986</v>
      </c>
      <c r="CZ60" s="92">
        <f>CO60*IF(VLOOKUP($E60,武器奇术!$A:$R,17,FALSE)="破竹",VLOOKUP($E60,武器奇术!$A:$R,4,FALSE),VLOOKUP($E60,武器奇术!$A:$R,2,FALSE))*(1+CQ60)*(1+CR60)*CS60</f>
        <v>2523.50328652733</v>
      </c>
      <c r="DA60" s="93">
        <f t="shared" si="42"/>
        <v>0.0144</v>
      </c>
      <c r="DB60" s="101">
        <f t="shared" si="43"/>
        <v>5847.52651292657</v>
      </c>
      <c r="DC60" s="99">
        <f>IF(VLOOKUP($E60,武器奇术!$A:$R,18,FALSE)="极乐",0,$B$15)</f>
        <v>66</v>
      </c>
      <c r="DD60" s="91">
        <f t="shared" si="44"/>
        <v>95.9</v>
      </c>
      <c r="DE60" s="91">
        <f>IF(VLOOKUP($E60,武器奇术!$A:$R,18,FALSE)="极乐",0,$C$15)</f>
        <v>125.8</v>
      </c>
      <c r="DF60" s="93">
        <f>IF((IF(VLOOKUP($E60,武器奇术!$A:$R,17,FALSE)="鸣金",$D$7,0)+IF(VLOOKUP($E60,武器奇术!$A:$R,17,FALSE)="裂石",$D$9,0)+IF(VLOOKUP($E60,武器奇术!$A:$R,17,FALSE)="牵丝",$D$11,0)+IF(VLOOKUP($E60,武器奇术!$A:$R,17,FALSE)="破竹",$D$13,0)+$D$15-VLOOKUP($F$7,目标属性!$A:$R,6,FALSE)+IF(VLOOKUP($E60,武器奇术!$A:$V,22,FALSE)=1,4,0)+IF(VLOOKUP($E60,武器奇术!$A:$T,20,FALSE)=1,10,0))&gt;0,(IF(VLOOKUP($E60,武器奇术!$A:$R,17,FALSE)="鸣金",$D$7,0)+IF(VLOOKUP($E60,武器奇术!$A:$R,17,FALSE)="裂石",$D$9,0)+IF(VLOOKUP($E60,武器奇术!$A:$R,17,FALSE)="牵丝",$D$11,0)+IF(VLOOKUP($E60,武器奇术!$A:$R,17,FALSE)="破竹",$D$13,0)+$D$15-VLOOKUP($F$7,目标属性!$A:$R,6,FALSE)+IF(VLOOKUP($E60,武器奇术!$A:$V,22,FALSE)=1,4,0)+IF(VLOOKUP($E60,武器奇术!$A:$T,20,FALSE)=1,10,0))/200,(IF(VLOOKUP($E60,武器奇术!$A:$R,17,FALSE)="鸣金",$D$7,0)+IF(VLOOKUP($E60,武器奇术!$A:$R,17,FALSE)="裂石",$D$9,0)+IF(VLOOKUP($E60,武器奇术!$A:$R,17,FALSE)="牵丝",$D$11,0)+IF(VLOOKUP($E60,武器奇术!$A:$R,17,FALSE)="破竹",$D$13,0)+$D$15-VLOOKUP($F$7,目标属性!$A:$R,6,FALSE)+IF(VLOOKUP($E60,武器奇术!$A:$V,22,FALSE)=1,4,0)+IF(VLOOKUP($E60,武器奇术!$A:$T,20,FALSE)=1,10,0))/100)</f>
        <v>0.028</v>
      </c>
      <c r="DG60" s="100">
        <f t="shared" ref="DG60:DG84" si="54">$E$13</f>
        <v>0.148</v>
      </c>
      <c r="DH60" s="91">
        <v>1</v>
      </c>
      <c r="DI60" s="92">
        <f>DC60*IF(VLOOKUP($E60,武器奇术!$A:$R,17,FALSE)="破竹",VLOOKUP($E60,武器奇术!$A:$R,4,FALSE),VLOOKUP($E60,武器奇术!$A:$R,2,FALSE))*(1+DF60)*(1+DG60)*DH60</f>
        <v>158.2870500288</v>
      </c>
      <c r="DJ60" s="93">
        <f>(1-IF(VLOOKUP($E60,武器奇术!$A:$R,16,FALSE)="陌刀",1,$N60))*(1-$M60)</f>
        <v>0</v>
      </c>
      <c r="DK60" s="92">
        <f>DD60*IF(VLOOKUP($E60,武器奇术!$A:$R,17,FALSE)="破竹",VLOOKUP($E60,武器奇术!$A:$R,4,FALSE),VLOOKUP($E60,武器奇术!$A:$R,2,FALSE))*(1+DF60)*(1+DG60)*DH60*(1+$E$16+VLOOKUP($E60,武器奇术!$A:$R,8,FALSE))</f>
        <v>550.610137364273</v>
      </c>
      <c r="DL60" s="93">
        <f t="shared" si="12"/>
        <v>0.887</v>
      </c>
      <c r="DM60" s="92">
        <f>DE60*IF(VLOOKUP($E60,武器奇术!$A:$R,17,FALSE)="破竹",VLOOKUP($E60,武器奇术!$A:$R,4,FALSE),VLOOKUP($E60,武器奇术!$A:$R,2,FALSE))*(1+DF60)*(1+DG60)*DH60*(1+$E$17+VLOOKUP($E60,武器奇术!$A:$R,10,FALSE))</f>
        <v>407.301359187744</v>
      </c>
      <c r="DN60" s="93">
        <f t="shared" si="13"/>
        <v>0.0986</v>
      </c>
      <c r="DO60" s="92">
        <f>DD60*IF(VLOOKUP($E60,武器奇术!$A:$R,17,FALSE)="破竹",VLOOKUP($E60,武器奇术!$A:$R,4,FALSE),VLOOKUP($E60,武器奇术!$A:$R,2,FALSE))*(1+DF60)*(1+DG60)*DH60</f>
        <v>229.99588026912</v>
      </c>
      <c r="DP60" s="93">
        <f t="shared" si="14"/>
        <v>0.0144</v>
      </c>
      <c r="DQ60" s="101">
        <f t="shared" si="15"/>
        <v>531.863046533897</v>
      </c>
    </row>
    <row r="61" customFormat="1" spans="1:121">
      <c r="E61" s="105" t="s">
        <v>137</v>
      </c>
      <c r="F61" s="123">
        <f>IF($K$3="×",0,(F54*2+F55+F56*8+F57*5+F58*5+F59+F60*6+5+2)*0.15/3.5)</f>
        <v>0</v>
      </c>
      <c r="G61" s="107"/>
      <c r="H61" s="92">
        <f>IF(VLOOKUP($E61,武器奇术!$A:$R,18,FALSE)="天工",AE61,(AE61+AT61+BI61+BX61+CM61+DB61+DQ61))*(1+J61)*F61*K61*(1+G61)</f>
        <v>0</v>
      </c>
      <c r="I61" s="93">
        <f t="shared" si="16"/>
        <v>0</v>
      </c>
      <c r="J61" s="93">
        <f>$F$3+VLOOKUP($E61,武器奇术!$A:$R,12,FALSE)+VLOOKUP($E61,武器奇术!$A:$R,14,FALSE)*$G$3+$P61</f>
        <v>0.653</v>
      </c>
      <c r="K61" s="94">
        <f>VLOOKUP($E61,武器奇术!$A:$R,11,FALSE)</f>
        <v>1</v>
      </c>
      <c r="L61" s="109">
        <f>IF(VLOOKUP($E61,武器奇术!$A:$R,15,FALSE)="天工",0%,IF($C$17+VLOOKUP($E61,武器奇术!$A:$R,7,FALSE)&gt;80%,80%,$C$17+VLOOKUP($E61,武器奇术!$A:$R,7,FALSE))+IF($C$19&gt;20%,20%,$C$19))</f>
        <v>0.887</v>
      </c>
      <c r="M61" s="110">
        <f>IF(VLOOKUP($E61,武器奇术!$A:$R,15,FALSE)="天工",0%,IF($C$18+VLOOKUP($E61,武器奇术!$A:$R,9,FALSE)&gt;40%,40%,$C$18+VLOOKUP($E61,武器奇术!$A:$R,9,FALSE))+IF($C$20&gt;10%,10%,$C$20))</f>
        <v>0.0986</v>
      </c>
      <c r="N61" s="111">
        <f>IF(VLOOKUP($E61,武器奇术!$A:$R,15,FALSE)="天工",100%,MIN($C$16,1))</f>
        <v>1</v>
      </c>
      <c r="O61" s="112" t="str">
        <f>VLOOKUP($E61,武器奇术!$A:$R,16,FALSE)</f>
        <v>N/A</v>
      </c>
      <c r="P61" s="113">
        <f t="shared" si="17"/>
        <v>0</v>
      </c>
      <c r="Q61" s="99">
        <f>$B$5*(1+VLOOKUP($E61,武器奇术!$A:$R,5,FALSE)+IF($G$5="飞隼",0.1,0)+IF($G$5="撼天",0.05,0))-$F$9*IF(VLOOKUP($E61,武器奇术!$A:$S,19,FALSE)=1,0.9,1)+IF($I$5="√",160,0)</f>
        <v>2848.3</v>
      </c>
      <c r="R61" s="91">
        <f t="shared" si="18"/>
        <v>2848.3</v>
      </c>
      <c r="S61" s="91">
        <f>MAX($C$5,$B$5)*(1+VLOOKUP($E61,武器奇术!$A:$R,5,FALSE)+IF($G$5="飞隼",0.1,0)+IF($G$5="撼天",0.05,0))-$F$9*IF(VLOOKUP($E61,武器奇术!$A:$S,19,FALSE)=1,0.9,1)+IF($I$5="√",320,0)</f>
        <v>2848.3</v>
      </c>
      <c r="T61" s="93">
        <f>IF(($D$5+VLOOKUP($E61,武器奇术!$A:$R,13,FALSE)+IF($I$3="√",10,0)-VLOOKUP($F$7,目标属性!$A:$R,5,FALSE))&gt;0,($D$5+VLOOKUP($E61,武器奇术!$A:$R,13,FALSE)+IF($I$3="√",10,0)-VLOOKUP($F$7,目标属性!$A:$R,5,FALSE))/200,($D$5+VLOOKUP($E61,武器奇术!$A:$R,13,FALSE)+IF($I$3="√",10,0)-VLOOKUP($F$7,目标属性!$A:$R,5,FALSE))/100)</f>
        <v>0.3925</v>
      </c>
      <c r="U61" s="100">
        <f>$E$5+IF(VLOOKUP($E61,武器奇术!$A:$R,18,FALSE)="鼠鼠",0.24,0)</f>
        <v>0</v>
      </c>
      <c r="V61" s="91">
        <v>1</v>
      </c>
      <c r="W61" s="92">
        <f>Q61*VLOOKUP($E61,武器奇术!$A:$R,2,FALSE)*(1+T61)*(1+U61)*V61</f>
        <v>7932.5155</v>
      </c>
      <c r="X61" s="93">
        <f>(1-IF(VLOOKUP($E61,武器奇术!$A:$R,16,FALSE)="陌刀",1,$N61))*(1-$M61)</f>
        <v>0</v>
      </c>
      <c r="Y61" s="92">
        <f>R61*VLOOKUP($E61,武器奇术!$A:$R,2,FALSE)*(1+T61)*(1+U61)*V61*(1+$E$16+VLOOKUP($E61,武器奇术!$A:$R,8,FALSE))</f>
        <v>18990.442107</v>
      </c>
      <c r="Z61" s="93">
        <f t="shared" si="19"/>
        <v>0.887</v>
      </c>
      <c r="AA61" s="92">
        <f>S61*VLOOKUP($E61,武器奇术!$A:$R,2,FALSE)*(1+T61)*(1+U61)*V61*(1+$E$17+VLOOKUP($E61,武器奇术!$A:$R,10,FALSE))</f>
        <v>10708.895925</v>
      </c>
      <c r="AB61" s="93">
        <f t="shared" si="20"/>
        <v>0.0986</v>
      </c>
      <c r="AC61" s="92">
        <f>R61*VLOOKUP($E61,武器奇术!$A:$R,2,FALSE)*(1+T61)*(1+U61)*V61</f>
        <v>7932.5155</v>
      </c>
      <c r="AD61" s="93">
        <f t="shared" si="21"/>
        <v>0.0144</v>
      </c>
      <c r="AE61" s="101">
        <f t="shared" si="22"/>
        <v>18014.647510314</v>
      </c>
      <c r="AF61" s="102">
        <f>VLOOKUP($E61,武器奇术!$A:$R,3,FALSE)*(1+IF(VLOOKUP($E61,武器奇术!$A:$R,15,FALSE)="武器",$E$15,0))</f>
        <v>0</v>
      </c>
      <c r="AG61" s="92">
        <f t="shared" si="23"/>
        <v>0</v>
      </c>
      <c r="AH61" s="92">
        <f>VLOOKUP($E61,武器奇术!$A:$R,3,FALSE)*(1+IF(VLOOKUP($E61,武器奇术!$A:$R,15,FALSE)="武器",$E$15,0))</f>
        <v>0</v>
      </c>
      <c r="AI61" s="93">
        <f>IF(($D$5+VLOOKUP($E61,武器奇术!$A:$R,13,FALSE)+IF($I$3="√",10,0)-VLOOKUP($F$7,目标属性!$A:$R,5,FALSE))&gt;0,($D$5+VLOOKUP($E61,武器奇术!$A:$R,13,FALSE)+IF($I$3="√",10,0)-VLOOKUP($F$7,目标属性!$A:$R,5,FALSE))/200,($D$5+VLOOKUP($E61,武器奇术!$A:$R,13,FALSE)+IF($I$3="√",10,0)-VLOOKUP($F$7,目标属性!$A:$R,5,FALSE))/100)</f>
        <v>0.3925</v>
      </c>
      <c r="AJ61" s="100">
        <f>$E$5+IF(VLOOKUP($E61,武器奇术!$A:$R,18,FALSE)="鼠鼠",0.24,0)</f>
        <v>0</v>
      </c>
      <c r="AK61" s="91">
        <v>1</v>
      </c>
      <c r="AL61" s="92">
        <f t="shared" si="24"/>
        <v>0</v>
      </c>
      <c r="AM61" s="93">
        <f>(1-IF(VLOOKUP($E61,武器奇术!$A:$R,16,FALSE)="陌刀",1,$N61))*(1-$M61)</f>
        <v>0</v>
      </c>
      <c r="AN61" s="92">
        <f>AG61*(1+AI61)*(1+AJ61)*AK61*(1+$E$16+VLOOKUP($E61,武器奇术!$A:$R,8,FALSE))</f>
        <v>0</v>
      </c>
      <c r="AO61" s="93">
        <f t="shared" si="1"/>
        <v>0.887</v>
      </c>
      <c r="AP61" s="92">
        <f>AH61*(1+AI61)*(1+AJ61)*AK61*(1+$E$17+VLOOKUP($E61,武器奇术!$A:$R,10,FALSE))</f>
        <v>0</v>
      </c>
      <c r="AQ61" s="93">
        <f t="shared" si="2"/>
        <v>0.0986</v>
      </c>
      <c r="AR61" s="92">
        <f t="shared" si="25"/>
        <v>0</v>
      </c>
      <c r="AS61" s="93">
        <f t="shared" si="26"/>
        <v>0.0144</v>
      </c>
      <c r="AT61" s="101">
        <f t="shared" si="27"/>
        <v>0</v>
      </c>
      <c r="AU61" s="99">
        <f>IF(VLOOKUP($E61,武器奇术!$A:$R,18,FALSE)="极乐",0,$B$7*IF($G$5="撼天",1.05,1)+IF(AND(VLOOKUP($E61,武器奇术!$A:$R,15,FALSE)="武器",VLOOKUP($E61,武器奇术!$A:$R,17,FALSE)="鸣金"),$E$3*(1+$E$15),0))</f>
        <v>0</v>
      </c>
      <c r="AV61" s="91">
        <f t="shared" si="28"/>
        <v>0</v>
      </c>
      <c r="AW61" s="91">
        <f>IF(VLOOKUP($E61,武器奇术!$A:$R,18,FALSE)="极乐",0,MAX($C$7*IF($G$5="撼天",1.05,1)+IF(AND(VLOOKUP($E61,武器奇术!$A:$R,15,FALSE)="武器",VLOOKUP($E61,武器奇术!$A:$R,17,FALSE)="鸣金"),$E$3*(1+$E$15),0),AU61))</f>
        <v>0</v>
      </c>
      <c r="AX61" s="93">
        <f>IF(($D$7+IF(VLOOKUP($E61,武器奇术!$A:$R,17,FALSE)="鸣金",$D$15,0)-VLOOKUP($F$7,目标属性!$A:$R,6,FALSE))&gt;0,($D$7+IF(VLOOKUP($E61,武器奇术!$A:$R,17,FALSE)="鸣金",$D$15,0)-VLOOKUP($F$7,目标属性!$A:$R,6,FALSE))/200,($D$7+IF(VLOOKUP($E61,武器奇术!$A:$R,17,FALSE)="鸣金",$D$15,0)-VLOOKUP($F$7,目标属性!$A:$R,6,FALSE))/100)</f>
        <v>-0.24</v>
      </c>
      <c r="AY61" s="100">
        <f t="shared" ref="AY61:AY70" si="55">$E$7</f>
        <v>0</v>
      </c>
      <c r="AZ61" s="91">
        <v>1</v>
      </c>
      <c r="BA61" s="92">
        <f>AU61*IF(VLOOKUP($E61,武器奇术!$A:$R,17,FALSE)="鸣金",VLOOKUP($E61,武器奇术!$A:$R,4,FALSE),VLOOKUP($E61,武器奇术!$A:$R,2,FALSE))*(1+AX61)*(1+AY61)*AZ61</f>
        <v>0</v>
      </c>
      <c r="BB61" s="93">
        <f>(1-IF(VLOOKUP($E61,武器奇术!$A:$R,16,FALSE)="陌刀",1,$N61))*(1-$M61)</f>
        <v>0</v>
      </c>
      <c r="BC61" s="92">
        <f>AV61*IF(VLOOKUP($E61,武器奇术!$A:$R,17,FALSE)="鸣金",VLOOKUP($E61,武器奇术!$A:$R,4,FALSE),VLOOKUP($E61,武器奇术!$A:$R,2,FALSE))*(1+AX61)*(1+AY61)*AZ61*(1+$E$16+VLOOKUP($E61,武器奇术!$A:$R,8,FALSE))</f>
        <v>0</v>
      </c>
      <c r="BD61" s="93">
        <f t="shared" si="3"/>
        <v>0.887</v>
      </c>
      <c r="BE61" s="92">
        <f>AW61*IF(VLOOKUP($E61,武器奇术!$A:$R,17,FALSE)="鸣金",VLOOKUP($E61,武器奇术!$A:$R,4,FALSE),VLOOKUP($E61,武器奇术!$A:$R,2,FALSE))*(1+AX61)*(1+AY61)*AZ61*(1+$E$17+VLOOKUP($E61,武器奇术!$A:$R,10,FALSE))</f>
        <v>0</v>
      </c>
      <c r="BF61" s="93">
        <f t="shared" si="4"/>
        <v>0.0986</v>
      </c>
      <c r="BG61" s="92">
        <f>AV61*IF(VLOOKUP($E61,武器奇术!$A:$R,17,FALSE)="鸣金",VLOOKUP($E61,武器奇术!$A:$R,4,FALSE),VLOOKUP($E61,武器奇术!$A:$R,2,FALSE))*(1+AX61)*(1+AY61)*AZ61</f>
        <v>0</v>
      </c>
      <c r="BH61" s="93">
        <f t="shared" si="30"/>
        <v>0.0144</v>
      </c>
      <c r="BI61" s="101">
        <f t="shared" si="31"/>
        <v>0</v>
      </c>
      <c r="BJ61" s="99">
        <f>IF(VLOOKUP($E61,武器奇术!$A:$R,18,FALSE)="极乐",0,$B$9*IF($G$5="撼天",1.05,1)+IF(AND(VLOOKUP($E61,武器奇术!$A:$R,15,FALSE)="武器",VLOOKUP($E61,武器奇术!$A:$R,17,FALSE)="裂石"),$E$3*(1+$E$15),0))</f>
        <v>0</v>
      </c>
      <c r="BK61" s="91">
        <f t="shared" si="32"/>
        <v>0</v>
      </c>
      <c r="BL61" s="91">
        <f>IF(VLOOKUP($E61,武器奇术!$A:$R,18,FALSE)="极乐",0,MAX($C$9*IF($G$5="撼天",1.05,1)+IF(AND(VLOOKUP($E61,武器奇术!$A:$R,15,FALSE)="武器",VLOOKUP($E61,武器奇术!$A:$R,17,FALSE)="裂石"),$E$3*(1+$E$15),0),BJ61))</f>
        <v>0</v>
      </c>
      <c r="BM61" s="93">
        <f>IF(($D$9+IF(VLOOKUP($E61,武器奇术!$A:$R,17,FALSE)="裂石",$D$15,0)-VLOOKUP($F$7,目标属性!$A:$R,6,FALSE))&gt;0,($D$9+IF(VLOOKUP($E61,武器奇术!$A:$R,17,FALSE)="裂石",$D$15,0)-VLOOKUP($F$7,目标属性!$A:$R,6,FALSE))/200,($D$9+IF(VLOOKUP($E61,武器奇术!$A:$R,17,FALSE)="裂石",$D$15,0)-VLOOKUP($F$7,目标属性!$A:$R,6,FALSE))/100)</f>
        <v>-0.24</v>
      </c>
      <c r="BN61" s="100">
        <f t="shared" ref="BN61:BN70" si="56">$E$9</f>
        <v>0</v>
      </c>
      <c r="BO61" s="91">
        <v>1</v>
      </c>
      <c r="BP61" s="92">
        <f>BJ61*IF(VLOOKUP($E61,武器奇术!$A:$R,17,FALSE)="裂石",VLOOKUP($E61,武器奇术!$A:$R,4,FALSE),VLOOKUP($E61,武器奇术!$A:$R,2,FALSE))*(1+BM61)*(1+BN61)*BO61</f>
        <v>0</v>
      </c>
      <c r="BQ61" s="93">
        <f>(1-IF(VLOOKUP($E61,武器奇术!$A:$R,16,FALSE)="陌刀",1,$N61))*(1-$M61)</f>
        <v>0</v>
      </c>
      <c r="BR61" s="92">
        <f>BK61*IF(VLOOKUP($E61,武器奇术!$A:$R,17,FALSE)="裂石",VLOOKUP($E61,武器奇术!$A:$R,4,FALSE),VLOOKUP($E61,武器奇术!$A:$R,2,FALSE))*(1+BM61)*(1+BN61)*BO61*(1+$E$16+VLOOKUP($E61,武器奇术!$A:$R,8,FALSE))</f>
        <v>0</v>
      </c>
      <c r="BS61" s="93">
        <f t="shared" si="5"/>
        <v>0.887</v>
      </c>
      <c r="BT61" s="92">
        <f>BL61*IF(VLOOKUP($E61,武器奇术!$A:$R,17,FALSE)="裂石",VLOOKUP($E61,武器奇术!$A:$R,4,FALSE),VLOOKUP($E61,武器奇术!$A:$R,2,FALSE))*(1+BM61)*(1+BN61)*BO61*(1+$E$17+VLOOKUP($E61,武器奇术!$A:$R,10,FALSE))</f>
        <v>0</v>
      </c>
      <c r="BU61" s="93">
        <f t="shared" si="6"/>
        <v>0.0986</v>
      </c>
      <c r="BV61" s="92">
        <f>BK61*IF(VLOOKUP($E61,武器奇术!$A:$R,17,FALSE)="裂石",VLOOKUP($E61,武器奇术!$A:$R,4,FALSE),VLOOKUP($E61,武器奇术!$A:$R,2,FALSE))*(1+BM61)*(1+BN61)*BO61</f>
        <v>0</v>
      </c>
      <c r="BW61" s="93">
        <f t="shared" si="34"/>
        <v>0.0144</v>
      </c>
      <c r="BX61" s="101">
        <f t="shared" si="35"/>
        <v>0</v>
      </c>
      <c r="BY61" s="99">
        <f>IF(VLOOKUP($E61,武器奇术!$A:$R,18,FALSE)="极乐",0,$B$11*IF($G$5="撼天",1.05,1)+IF(AND(VLOOKUP($E61,武器奇术!$A:$R,15,FALSE)="武器",VLOOKUP($E61,武器奇术!$A:$R,17,FALSE)="牵丝"),$E$3*(1+$E$15),0))</f>
        <v>0</v>
      </c>
      <c r="BZ61" s="91">
        <f t="shared" si="36"/>
        <v>0</v>
      </c>
      <c r="CA61" s="91">
        <f>IF(VLOOKUP($E61,武器奇术!$A:$R,18,FALSE)="极乐",0,MAX($C$11*IF($G$5="撼天",1.05,1)+IF(AND(VLOOKUP($E61,武器奇术!$A:$R,15,FALSE)="武器",VLOOKUP($E61,武器奇术!$A:$R,17,FALSE)="牵丝"),$E$3*(1+$E$15),0),BY61))</f>
        <v>0</v>
      </c>
      <c r="CB61" s="93">
        <f>IF(($D$11+IF(VLOOKUP($E61,武器奇术!$A:$R,17,FALSE)="牵丝",$D$15,0)-VLOOKUP($F$7,目标属性!$A:$R,6,FALSE))&gt;0,($D$11+IF(VLOOKUP($E61,武器奇术!$A:$R,17,FALSE)="牵丝",$D$15,0)-VLOOKUP($F$7,目标属性!$A:$R,6,FALSE))/200,($D$11+IF(VLOOKUP($E61,武器奇术!$A:$R,17,FALSE)="牵丝",$D$15,0)-VLOOKUP($F$7,目标属性!$A:$R,6,FALSE))/100)</f>
        <v>-0.24</v>
      </c>
      <c r="CC61" s="100">
        <f t="shared" ref="CC61:CC70" si="57">$E$11</f>
        <v>0</v>
      </c>
      <c r="CD61" s="91">
        <v>1</v>
      </c>
      <c r="CE61" s="92">
        <f>BY61*IF(VLOOKUP($E61,武器奇术!$A:$R,17,FALSE)="牵丝",VLOOKUP($E61,武器奇术!$A:$R,4,FALSE),VLOOKUP($E61,武器奇术!$A:$R,2,FALSE))*(1+CB61)*(1+CC61)*CD61</f>
        <v>0</v>
      </c>
      <c r="CF61" s="93">
        <f>(1-IF(VLOOKUP($E61,武器奇术!$A:$R,16,FALSE)="陌刀",1,$N61))*(1-$M61)</f>
        <v>0</v>
      </c>
      <c r="CG61" s="92">
        <f>BZ61*IF(VLOOKUP($E61,武器奇术!$A:$R,17,FALSE)="牵丝",VLOOKUP($E61,武器奇术!$A:$R,4,FALSE),VLOOKUP($E61,武器奇术!$A:$R,2,FALSE))*(1+CB61)*(1+CC61)*CD61*(1+$E$16+VLOOKUP($E61,武器奇术!$A:$R,8,FALSE))</f>
        <v>0</v>
      </c>
      <c r="CH61" s="93">
        <f t="shared" si="7"/>
        <v>0.887</v>
      </c>
      <c r="CI61" s="92">
        <f>CA61*IF(VLOOKUP($E61,武器奇术!$A:$R,17,FALSE)="牵丝",VLOOKUP($E61,武器奇术!$A:$R,4,FALSE),VLOOKUP($E61,武器奇术!$A:$R,2,FALSE))*(1+CB61)*(1+CC61)*CD61*(1+$E$17+VLOOKUP($E61,武器奇术!$A:$R,10,FALSE))</f>
        <v>0</v>
      </c>
      <c r="CJ61" s="93">
        <f t="shared" si="8"/>
        <v>0.0986</v>
      </c>
      <c r="CK61" s="92">
        <f>BZ61*IF(VLOOKUP($E61,武器奇术!$A:$R,17,FALSE)="牵丝",VLOOKUP($E61,武器奇术!$A:$R,4,FALSE),VLOOKUP($E61,武器奇术!$A:$R,2,FALSE))*(1+CB61)*(1+CC61)*CD61</f>
        <v>0</v>
      </c>
      <c r="CL61" s="93">
        <f t="shared" si="38"/>
        <v>0.0144</v>
      </c>
      <c r="CM61" s="101">
        <f t="shared" si="39"/>
        <v>0</v>
      </c>
      <c r="CN61" s="99">
        <f>IF(VLOOKUP($E61,武器奇术!$A:$R,18,FALSE)="极乐",0,$B$13*IF($G$5="撼天",1.05,1)+IF(AND(VLOOKUP($E61,武器奇术!$A:$R,15,FALSE)="武器",VLOOKUP($E61,武器奇术!$A:$R,17,FALSE)="破竹"),$E$3*(1+$E$15),0))</f>
        <v>0</v>
      </c>
      <c r="CO61" s="91">
        <f t="shared" si="40"/>
        <v>0</v>
      </c>
      <c r="CP61" s="91">
        <f>IF(VLOOKUP($E61,武器奇术!$A:$R,18,FALSE)="极乐",0,MAX($C$13*IF($G$5="撼天",1.05,1)+IF(AND(VLOOKUP($E61,武器奇术!$A:$R,15,FALSE)="武器",VLOOKUP($E61,武器奇术!$A:$R,17,FALSE)="破竹"),$E$3*(1+$E$15),0),CN61))</f>
        <v>0</v>
      </c>
      <c r="CQ61" s="93">
        <f>IF(($D$13+IF(VLOOKUP($E61,武器奇术!$A:$R,17,FALSE)="破竹",$D$15,0)-VLOOKUP($F$7,目标属性!$A:$R,6,FALSE)+IF(VLOOKUP($E61,武器奇术!$A:$V,22,FALSE)=1,4,0)+IF(VLOOKUP($E61,武器奇术!$A:$T,20,FALSE)=1,10,0))&gt;0,($D$13+IF(VLOOKUP($E61,武器奇术!$A:$R,17,FALSE)="破竹",$D$15,0)-VLOOKUP($F$7,目标属性!$A:$R,6,FALSE)+IF(VLOOKUP($E61,武器奇术!$A:$V,22,FALSE)=1,4,0)+IF(VLOOKUP($E61,武器奇术!$A:$T,20,FALSE)=1,10,0))/200,($D$13+IF(VLOOKUP($E61,武器奇术!$A:$R,17,FALSE)="破竹",$D$15,0)-VLOOKUP($F$7,目标属性!$A:$R,6,FALSE)+IF(VLOOKUP($E61,武器奇术!$A:$V,22,FALSE)=1,4,0)+IF(VLOOKUP($E61,武器奇术!$A:$T,20,FALSE)=1,10,0))/100)</f>
        <v>0.028</v>
      </c>
      <c r="CR61" s="100">
        <f>$E$13</f>
        <v>0.148</v>
      </c>
      <c r="CS61" s="91">
        <v>1</v>
      </c>
      <c r="CT61" s="92">
        <f>CN61*IF(VLOOKUP($E61,武器奇术!$A:$R,17,FALSE)="破竹",VLOOKUP($E61,武器奇术!$A:$R,4,FALSE),VLOOKUP($E61,武器奇术!$A:$R,2,FALSE))*(1+CQ61)*(1+CR61)*CS61</f>
        <v>0</v>
      </c>
      <c r="CU61" s="93">
        <f>(1-IF(VLOOKUP($E61,武器奇术!$A:$R,16,FALSE)="陌刀",1,$N61))*(1-$M61)</f>
        <v>0</v>
      </c>
      <c r="CV61" s="92">
        <f>CO61*IF(VLOOKUP($E61,武器奇术!$A:$R,17,FALSE)="破竹",VLOOKUP($E61,武器奇术!$A:$R,4,FALSE),VLOOKUP($E61,武器奇术!$A:$R,2,FALSE))*(1+CQ61)*(1+CR61)*CS61*(1+$E$16+VLOOKUP($E61,武器奇术!$A:$R,8,FALSE))</f>
        <v>0</v>
      </c>
      <c r="CW61" s="93">
        <f t="shared" si="9"/>
        <v>0.887</v>
      </c>
      <c r="CX61" s="92">
        <f>CP61*IF(VLOOKUP($E61,武器奇术!$A:$R,17,FALSE)="破竹",VLOOKUP($E61,武器奇术!$A:$R,4,FALSE),VLOOKUP($E61,武器奇术!$A:$R,2,FALSE))*(1+CQ61)*(1+CR61)*CS61*(1+$E$17+VLOOKUP($E61,武器奇术!$A:$R,10,FALSE))</f>
        <v>0</v>
      </c>
      <c r="CY61" s="93">
        <f t="shared" si="10"/>
        <v>0.0986</v>
      </c>
      <c r="CZ61" s="92">
        <f>CO61*IF(VLOOKUP($E61,武器奇术!$A:$R,17,FALSE)="破竹",VLOOKUP($E61,武器奇术!$A:$R,4,FALSE),VLOOKUP($E61,武器奇术!$A:$R,2,FALSE))*(1+CQ61)*(1+CR61)*CS61</f>
        <v>0</v>
      </c>
      <c r="DA61" s="93">
        <f t="shared" si="42"/>
        <v>0.0144</v>
      </c>
      <c r="DB61" s="101">
        <f t="shared" si="43"/>
        <v>0</v>
      </c>
      <c r="DC61" s="99">
        <f>IF(VLOOKUP($E61,武器奇术!$A:$R,18,FALSE)="极乐",0,$B$15)</f>
        <v>0</v>
      </c>
      <c r="DD61" s="91">
        <f t="shared" si="44"/>
        <v>0</v>
      </c>
      <c r="DE61" s="91">
        <f>IF(VLOOKUP($E61,武器奇术!$A:$R,18,FALSE)="极乐",0,$C$15)</f>
        <v>0</v>
      </c>
      <c r="DF61" s="93">
        <f>IF((IF(VLOOKUP($E61,武器奇术!$A:$R,17,FALSE)="鸣金",$D$7,0)+IF(VLOOKUP($E61,武器奇术!$A:$R,17,FALSE)="裂石",$D$9,0)+IF(VLOOKUP($E61,武器奇术!$A:$R,17,FALSE)="牵丝",$D$11,0)+IF(VLOOKUP($E61,武器奇术!$A:$R,17,FALSE)="破竹",$D$13,0)+$D$15-VLOOKUP($F$7,目标属性!$A:$R,6,FALSE)+IF(VLOOKUP($E61,武器奇术!$A:$V,22,FALSE)=1,4,0)+IF(VLOOKUP($E61,武器奇术!$A:$T,20,FALSE)=1,10,0))&gt;0,(IF(VLOOKUP($E61,武器奇术!$A:$R,17,FALSE)="鸣金",$D$7,0)+IF(VLOOKUP($E61,武器奇术!$A:$R,17,FALSE)="裂石",$D$9,0)+IF(VLOOKUP($E61,武器奇术!$A:$R,17,FALSE)="牵丝",$D$11,0)+IF(VLOOKUP($E61,武器奇术!$A:$R,17,FALSE)="破竹",$D$13,0)+$D$15-VLOOKUP($F$7,目标属性!$A:$R,6,FALSE)+IF(VLOOKUP($E61,武器奇术!$A:$V,22,FALSE)=1,4,0)+IF(VLOOKUP($E61,武器奇术!$A:$T,20,FALSE)=1,10,0))/200,(IF(VLOOKUP($E61,武器奇术!$A:$R,17,FALSE)="鸣金",$D$7,0)+IF(VLOOKUP($E61,武器奇术!$A:$R,17,FALSE)="裂石",$D$9,0)+IF(VLOOKUP($E61,武器奇术!$A:$R,17,FALSE)="牵丝",$D$11,0)+IF(VLOOKUP($E61,武器奇术!$A:$R,17,FALSE)="破竹",$D$13,0)+$D$15-VLOOKUP($F$7,目标属性!$A:$R,6,FALSE)+IF(VLOOKUP($E61,武器奇术!$A:$V,22,FALSE)=1,4,0)+IF(VLOOKUP($E61,武器奇术!$A:$T,20,FALSE)=1,10,0))/100)</f>
        <v>0.028</v>
      </c>
      <c r="DG61" s="100">
        <f t="shared" si="54"/>
        <v>0.148</v>
      </c>
      <c r="DH61" s="91">
        <v>1</v>
      </c>
      <c r="DI61" s="92">
        <f>DC61*IF(VLOOKUP($E61,武器奇术!$A:$R,17,FALSE)="破竹",VLOOKUP($E61,武器奇术!$A:$R,4,FALSE),VLOOKUP($E61,武器奇术!$A:$R,2,FALSE))*(1+DF61)*(1+DG61)*DH61</f>
        <v>0</v>
      </c>
      <c r="DJ61" s="93">
        <f>(1-IF(VLOOKUP($E61,武器奇术!$A:$R,16,FALSE)="陌刀",1,$N61))*(1-$M61)</f>
        <v>0</v>
      </c>
      <c r="DK61" s="92">
        <f>DD61*IF(VLOOKUP($E61,武器奇术!$A:$R,17,FALSE)="破竹",VLOOKUP($E61,武器奇术!$A:$R,4,FALSE),VLOOKUP($E61,武器奇术!$A:$R,2,FALSE))*(1+DF61)*(1+DG61)*DH61*(1+$E$16+VLOOKUP($E61,武器奇术!$A:$R,8,FALSE))</f>
        <v>0</v>
      </c>
      <c r="DL61" s="93">
        <f t="shared" si="12"/>
        <v>0.887</v>
      </c>
      <c r="DM61" s="92">
        <f>DE61*IF(VLOOKUP($E61,武器奇术!$A:$R,17,FALSE)="破竹",VLOOKUP($E61,武器奇术!$A:$R,4,FALSE),VLOOKUP($E61,武器奇术!$A:$R,2,FALSE))*(1+DF61)*(1+DG61)*DH61*(1+$E$17+VLOOKUP($E61,武器奇术!$A:$R,10,FALSE))</f>
        <v>0</v>
      </c>
      <c r="DN61" s="93">
        <f t="shared" si="13"/>
        <v>0.0986</v>
      </c>
      <c r="DO61" s="92">
        <f>DD61*IF(VLOOKUP($E61,武器奇术!$A:$R,17,FALSE)="破竹",VLOOKUP($E61,武器奇术!$A:$R,4,FALSE),VLOOKUP($E61,武器奇术!$A:$R,2,FALSE))*(1+DF61)*(1+DG61)*DH61</f>
        <v>0</v>
      </c>
      <c r="DP61" s="93">
        <f t="shared" si="14"/>
        <v>0.0144</v>
      </c>
      <c r="DQ61" s="101">
        <f t="shared" si="15"/>
        <v>0</v>
      </c>
    </row>
    <row r="62" customFormat="1" spans="1:121">
      <c r="E62" s="105" t="s">
        <v>138</v>
      </c>
      <c r="F62" s="106">
        <v>1</v>
      </c>
      <c r="G62" s="107">
        <f t="shared" si="53"/>
        <v>0</v>
      </c>
      <c r="H62" s="92">
        <f>IF(VLOOKUP($E62,武器奇术!$A:$R,18,FALSE)="天工",AE62,(AE62+AT62+BI62+BX62+CM62+DB62+DQ62))*(1+J62)*F62*K62*(1+G62)</f>
        <v>55250.5197341389</v>
      </c>
      <c r="I62" s="93">
        <f t="shared" si="16"/>
        <v>0.00708768687792327</v>
      </c>
      <c r="J62" s="93">
        <f>$F$3+VLOOKUP($E62,武器奇术!$A:$R,12,FALSE)+VLOOKUP($E62,武器奇术!$A:$R,14,FALSE)*$G$3+$P62</f>
        <v>0.793</v>
      </c>
      <c r="K62" s="94">
        <f>VLOOKUP($E62,武器奇术!$A:$R,11,FALSE)</f>
        <v>1</v>
      </c>
      <c r="L62" s="109">
        <f>IF(VLOOKUP($E62,武器奇术!$A:$R,15,FALSE)="天工",0%,IF($C$17+VLOOKUP($E62,武器奇术!$A:$R,7,FALSE)&gt;80%,80%,$C$17+VLOOKUP($E62,武器奇术!$A:$R,7,FALSE))+IF($C$19&gt;20%,20%,$C$19))</f>
        <v>0.887</v>
      </c>
      <c r="M62" s="110">
        <f>IF(VLOOKUP($E62,武器奇术!$A:$R,15,FALSE)="天工",0%,IF($C$18+VLOOKUP($E62,武器奇术!$A:$R,9,FALSE)&gt;40%,40%,$C$18+VLOOKUP($E62,武器奇术!$A:$R,9,FALSE))+IF($C$20&gt;10%,10%,$C$20))</f>
        <v>0.0986</v>
      </c>
      <c r="N62" s="111">
        <f>IF(VLOOKUP($E62,武器奇术!$A:$R,15,FALSE)="天工",100%,MIN($C$16,1))</f>
        <v>1</v>
      </c>
      <c r="O62" s="112" t="str">
        <f>VLOOKUP($E62,武器奇术!$A:$R,16,FALSE)</f>
        <v>双刀</v>
      </c>
      <c r="P62" s="113">
        <f t="shared" si="17"/>
        <v>0.17</v>
      </c>
      <c r="Q62" s="99">
        <f>$B$5*(1+VLOOKUP($E62,武器奇术!$A:$R,5,FALSE)+IF($G$5="飞隼",0.1,0)+IF($G$5="撼天",0.05,0))-$F$9*IF(VLOOKUP($E62,武器奇术!$A:$S,19,FALSE)=1,0.9,1)+IF($I$5="√",160,0)</f>
        <v>2904.2</v>
      </c>
      <c r="R62" s="91">
        <f t="shared" si="18"/>
        <v>2904.2</v>
      </c>
      <c r="S62" s="91">
        <f>MAX($C$5,$B$5)*(1+VLOOKUP($E62,武器奇术!$A:$R,5,FALSE)+IF($G$5="飞隼",0.1,0)+IF($G$5="撼天",0.05,0))-$F$9*IF(VLOOKUP($E62,武器奇术!$A:$S,19,FALSE)=1,0.9,1)+IF($I$5="√",320,0)</f>
        <v>2904.2</v>
      </c>
      <c r="T62" s="93">
        <f>IF(($D$5+VLOOKUP($E62,武器奇术!$A:$R,13,FALSE)+IF($I$3="√",10,0)-VLOOKUP($F$7,目标属性!$A:$R,5,FALSE))&gt;0,($D$5+VLOOKUP($E62,武器奇术!$A:$R,13,FALSE)+IF($I$3="√",10,0)-VLOOKUP($F$7,目标属性!$A:$R,5,FALSE))/200,($D$5+VLOOKUP($E62,武器奇术!$A:$R,13,FALSE)+IF($I$3="√",10,0)-VLOOKUP($F$7,目标属性!$A:$R,5,FALSE))/100)</f>
        <v>0.3925</v>
      </c>
      <c r="U62" s="120">
        <f>$E$5+IF(VLOOKUP($E62,武器奇术!$A:$R,18,FALSE)="鼠鼠",0.24,0)+IF(期望!$G$5="燕归",6/100,0)</f>
        <v>0.06</v>
      </c>
      <c r="V62" s="91">
        <v>1</v>
      </c>
      <c r="W62" s="92">
        <f>Q62*VLOOKUP($E62,武器奇术!$A:$R,2,FALSE)*(1+T62)*(1+U62)*V62</f>
        <v>8185.0240415658</v>
      </c>
      <c r="X62" s="93">
        <f>(1-IF(VLOOKUP($E62,武器奇术!$A:$R,16,FALSE)="陌刀",1,$N62))*(1-$M62)</f>
        <v>0</v>
      </c>
      <c r="Y62" s="92">
        <f>R62*VLOOKUP($E62,武器奇术!$A:$R,2,FALSE)*(1+T62)*(1+U62)*V62*(1+$E$16+VLOOKUP($E62,武器奇术!$A:$R,8,FALSE))</f>
        <v>19594.9475555085</v>
      </c>
      <c r="Z62" s="93">
        <f t="shared" si="19"/>
        <v>0.887</v>
      </c>
      <c r="AA62" s="92">
        <f>S62*VLOOKUP($E62,武器奇术!$A:$R,2,FALSE)*(1+T62)*(1+U62)*V62*(1+$E$17+VLOOKUP($E62,武器奇术!$A:$R,10,FALSE))</f>
        <v>11049.7824561138</v>
      </c>
      <c r="AB62" s="93">
        <f t="shared" si="20"/>
        <v>0.0986</v>
      </c>
      <c r="AC62" s="92">
        <f>R62*VLOOKUP($E62,武器奇术!$A:$R,2,FALSE)*(1+T62)*(1+U62)*V62</f>
        <v>8185.0240415658</v>
      </c>
      <c r="AD62" s="93">
        <f t="shared" si="21"/>
        <v>0.0144</v>
      </c>
      <c r="AE62" s="101">
        <f t="shared" si="22"/>
        <v>18588.0913781074</v>
      </c>
      <c r="AF62" s="102">
        <f>VLOOKUP($E62,武器奇术!$A:$R,3,FALSE)*(1+IF(VLOOKUP($E62,武器奇术!$A:$R,15,FALSE)="武器",$E$15,0))</f>
        <v>687.83</v>
      </c>
      <c r="AG62" s="92">
        <f t="shared" si="23"/>
        <v>687.83</v>
      </c>
      <c r="AH62" s="92">
        <f>VLOOKUP($E62,武器奇术!$A:$R,3,FALSE)*(1+IF(VLOOKUP($E62,武器奇术!$A:$R,15,FALSE)="武器",$E$15,0))</f>
        <v>687.83</v>
      </c>
      <c r="AI62" s="93">
        <f>IF(($D$5+VLOOKUP($E62,武器奇术!$A:$R,13,FALSE)+IF($I$3="√",10,0)-VLOOKUP($F$7,目标属性!$A:$R,5,FALSE))&gt;0,($D$5+VLOOKUP($E62,武器奇术!$A:$R,13,FALSE)+IF($I$3="√",10,0)-VLOOKUP($F$7,目标属性!$A:$R,5,FALSE))/200,($D$5+VLOOKUP($E62,武器奇术!$A:$R,13,FALSE)+IF($I$3="√",10,0)-VLOOKUP($F$7,目标属性!$A:$R,5,FALSE))/100)</f>
        <v>0.3925</v>
      </c>
      <c r="AJ62" s="120">
        <f>$E$5+IF(VLOOKUP($E62,武器奇术!$A:$R,18,FALSE)="鼠鼠",0.24,0)+IF(期望!$G$5="燕归",6/100,0)</f>
        <v>0.06</v>
      </c>
      <c r="AK62" s="91">
        <v>1</v>
      </c>
      <c r="AL62" s="92">
        <f t="shared" si="24"/>
        <v>1015.2714715</v>
      </c>
      <c r="AM62" s="93">
        <f>(1-IF(VLOOKUP($E62,武器奇术!$A:$R,16,FALSE)="陌刀",1,$N62))*(1-$M62)</f>
        <v>0</v>
      </c>
      <c r="AN62" s="92">
        <f>AG62*(1+AI62)*(1+AJ62)*AK62*(1+$E$16+VLOOKUP($E62,武器奇术!$A:$R,8,FALSE))</f>
        <v>2430.559902771</v>
      </c>
      <c r="AO62" s="93">
        <f t="shared" si="1"/>
        <v>0.887</v>
      </c>
      <c r="AP62" s="92">
        <f>AH62*(1+AI62)*(1+AJ62)*AK62*(1+$E$17+VLOOKUP($E62,武器奇术!$A:$R,10,FALSE))</f>
        <v>1370.616486525</v>
      </c>
      <c r="AQ62" s="93">
        <f t="shared" si="2"/>
        <v>0.0986</v>
      </c>
      <c r="AR62" s="92">
        <f t="shared" si="25"/>
        <v>1015.2714715</v>
      </c>
      <c r="AS62" s="93">
        <f t="shared" si="26"/>
        <v>0.0144</v>
      </c>
      <c r="AT62" s="101">
        <f t="shared" si="27"/>
        <v>2305.66932851884</v>
      </c>
      <c r="AU62" s="99">
        <f>IF(VLOOKUP($E62,武器奇术!$A:$R,18,FALSE)="极乐",0,$B$7*IF($G$5="撼天",1.05,1)+IF(AND(VLOOKUP($E62,武器奇术!$A:$R,15,FALSE)="武器",VLOOKUP($E62,武器奇术!$A:$R,17,FALSE)="鸣金"),$E$3*(1+$E$15),0))</f>
        <v>0</v>
      </c>
      <c r="AV62" s="91">
        <f t="shared" si="28"/>
        <v>0</v>
      </c>
      <c r="AW62" s="91">
        <f>IF(VLOOKUP($E62,武器奇术!$A:$R,18,FALSE)="极乐",0,MAX($C$7*IF($G$5="撼天",1.05,1)+IF(AND(VLOOKUP($E62,武器奇术!$A:$R,15,FALSE)="武器",VLOOKUP($E62,武器奇术!$A:$R,17,FALSE)="鸣金"),$E$3*(1+$E$15),0),AU62))</f>
        <v>0</v>
      </c>
      <c r="AX62" s="93">
        <f>IF(($D$7+IF(VLOOKUP($E62,武器奇术!$A:$R,17,FALSE)="鸣金",$D$15,0)-VLOOKUP($F$7,目标属性!$A:$R,6,FALSE))&gt;0,($D$7+IF(VLOOKUP($E62,武器奇术!$A:$R,17,FALSE)="鸣金",$D$15,0)-VLOOKUP($F$7,目标属性!$A:$R,6,FALSE))/200,($D$7+IF(VLOOKUP($E62,武器奇术!$A:$R,17,FALSE)="鸣金",$D$15,0)-VLOOKUP($F$7,目标属性!$A:$R,6,FALSE))/100)</f>
        <v>-0.24</v>
      </c>
      <c r="AY62" s="100">
        <f t="shared" si="55"/>
        <v>0</v>
      </c>
      <c r="AZ62" s="91">
        <v>1</v>
      </c>
      <c r="BA62" s="92">
        <f>AU62*IF(VLOOKUP($E62,武器奇术!$A:$R,17,FALSE)="鸣金",VLOOKUP($E62,武器奇术!$A:$R,4,FALSE),VLOOKUP($E62,武器奇术!$A:$R,2,FALSE))*(1+AX62)*(1+AY62)*AZ62</f>
        <v>0</v>
      </c>
      <c r="BB62" s="93">
        <f>(1-IF(VLOOKUP($E62,武器奇术!$A:$R,16,FALSE)="陌刀",1,$N62))*(1-$M62)</f>
        <v>0</v>
      </c>
      <c r="BC62" s="92">
        <f>AV62*IF(VLOOKUP($E62,武器奇术!$A:$R,17,FALSE)="鸣金",VLOOKUP($E62,武器奇术!$A:$R,4,FALSE),VLOOKUP($E62,武器奇术!$A:$R,2,FALSE))*(1+AX62)*(1+AY62)*AZ62*(1+$E$16+VLOOKUP($E62,武器奇术!$A:$R,8,FALSE))</f>
        <v>0</v>
      </c>
      <c r="BD62" s="93">
        <f t="shared" si="3"/>
        <v>0.887</v>
      </c>
      <c r="BE62" s="92">
        <f>AW62*IF(VLOOKUP($E62,武器奇术!$A:$R,17,FALSE)="鸣金",VLOOKUP($E62,武器奇术!$A:$R,4,FALSE),VLOOKUP($E62,武器奇术!$A:$R,2,FALSE))*(1+AX62)*(1+AY62)*AZ62*(1+$E$17+VLOOKUP($E62,武器奇术!$A:$R,10,FALSE))</f>
        <v>0</v>
      </c>
      <c r="BF62" s="93">
        <f t="shared" si="4"/>
        <v>0.0986</v>
      </c>
      <c r="BG62" s="92">
        <f>AV62*IF(VLOOKUP($E62,武器奇术!$A:$R,17,FALSE)="鸣金",VLOOKUP($E62,武器奇术!$A:$R,4,FALSE),VLOOKUP($E62,武器奇术!$A:$R,2,FALSE))*(1+AX62)*(1+AY62)*AZ62</f>
        <v>0</v>
      </c>
      <c r="BH62" s="93">
        <f t="shared" si="30"/>
        <v>0.0144</v>
      </c>
      <c r="BI62" s="101">
        <f t="shared" si="31"/>
        <v>0</v>
      </c>
      <c r="BJ62" s="99">
        <f>IF(VLOOKUP($E62,武器奇术!$A:$R,18,FALSE)="极乐",0,$B$9*IF($G$5="撼天",1.05,1)+IF(AND(VLOOKUP($E62,武器奇术!$A:$R,15,FALSE)="武器",VLOOKUP($E62,武器奇术!$A:$R,17,FALSE)="裂石"),$E$3*(1+$E$15),0))</f>
        <v>0</v>
      </c>
      <c r="BK62" s="91">
        <f t="shared" si="32"/>
        <v>0</v>
      </c>
      <c r="BL62" s="91">
        <f>IF(VLOOKUP($E62,武器奇术!$A:$R,18,FALSE)="极乐",0,MAX($C$9*IF($G$5="撼天",1.05,1)+IF(AND(VLOOKUP($E62,武器奇术!$A:$R,15,FALSE)="武器",VLOOKUP($E62,武器奇术!$A:$R,17,FALSE)="裂石"),$E$3*(1+$E$15),0),BJ62))</f>
        <v>0</v>
      </c>
      <c r="BM62" s="93">
        <f>IF(($D$9+IF(VLOOKUP($E62,武器奇术!$A:$R,17,FALSE)="裂石",$D$15,0)-VLOOKUP($F$7,目标属性!$A:$R,6,FALSE))&gt;0,($D$9+IF(VLOOKUP($E62,武器奇术!$A:$R,17,FALSE)="裂石",$D$15,0)-VLOOKUP($F$7,目标属性!$A:$R,6,FALSE))/200,($D$9+IF(VLOOKUP($E62,武器奇术!$A:$R,17,FALSE)="裂石",$D$15,0)-VLOOKUP($F$7,目标属性!$A:$R,6,FALSE))/100)</f>
        <v>-0.24</v>
      </c>
      <c r="BN62" s="100">
        <f t="shared" si="56"/>
        <v>0</v>
      </c>
      <c r="BO62" s="91">
        <v>1</v>
      </c>
      <c r="BP62" s="92">
        <f>BJ62*IF(VLOOKUP($E62,武器奇术!$A:$R,17,FALSE)="裂石",VLOOKUP($E62,武器奇术!$A:$R,4,FALSE),VLOOKUP($E62,武器奇术!$A:$R,2,FALSE))*(1+BM62)*(1+BN62)*BO62</f>
        <v>0</v>
      </c>
      <c r="BQ62" s="93">
        <f>(1-IF(VLOOKUP($E62,武器奇术!$A:$R,16,FALSE)="陌刀",1,$N62))*(1-$M62)</f>
        <v>0</v>
      </c>
      <c r="BR62" s="92">
        <f>BK62*IF(VLOOKUP($E62,武器奇术!$A:$R,17,FALSE)="裂石",VLOOKUP($E62,武器奇术!$A:$R,4,FALSE),VLOOKUP($E62,武器奇术!$A:$R,2,FALSE))*(1+BM62)*(1+BN62)*BO62*(1+$E$16+VLOOKUP($E62,武器奇术!$A:$R,8,FALSE))</f>
        <v>0</v>
      </c>
      <c r="BS62" s="93">
        <f t="shared" si="5"/>
        <v>0.887</v>
      </c>
      <c r="BT62" s="92">
        <f>BL62*IF(VLOOKUP($E62,武器奇术!$A:$R,17,FALSE)="裂石",VLOOKUP($E62,武器奇术!$A:$R,4,FALSE),VLOOKUP($E62,武器奇术!$A:$R,2,FALSE))*(1+BM62)*(1+BN62)*BO62*(1+$E$17+VLOOKUP($E62,武器奇术!$A:$R,10,FALSE))</f>
        <v>0</v>
      </c>
      <c r="BU62" s="93">
        <f t="shared" si="6"/>
        <v>0.0986</v>
      </c>
      <c r="BV62" s="92">
        <f>BK62*IF(VLOOKUP($E62,武器奇术!$A:$R,17,FALSE)="裂石",VLOOKUP($E62,武器奇术!$A:$R,4,FALSE),VLOOKUP($E62,武器奇术!$A:$R,2,FALSE))*(1+BM62)*(1+BN62)*BO62</f>
        <v>0</v>
      </c>
      <c r="BW62" s="93">
        <f t="shared" si="34"/>
        <v>0.0144</v>
      </c>
      <c r="BX62" s="101">
        <f t="shared" si="35"/>
        <v>0</v>
      </c>
      <c r="BY62" s="99">
        <f>IF(VLOOKUP($E62,武器奇术!$A:$R,18,FALSE)="极乐",0,$B$11*IF($G$5="撼天",1.05,1)+IF(AND(VLOOKUP($E62,武器奇术!$A:$R,15,FALSE)="武器",VLOOKUP($E62,武器奇术!$A:$R,17,FALSE)="牵丝"),$E$3*(1+$E$15),0))</f>
        <v>0</v>
      </c>
      <c r="BZ62" s="91">
        <f t="shared" si="36"/>
        <v>0</v>
      </c>
      <c r="CA62" s="91">
        <f>IF(VLOOKUP($E62,武器奇术!$A:$R,18,FALSE)="极乐",0,MAX($C$11*IF($G$5="撼天",1.05,1)+IF(AND(VLOOKUP($E62,武器奇术!$A:$R,15,FALSE)="武器",VLOOKUP($E62,武器奇术!$A:$R,17,FALSE)="牵丝"),$E$3*(1+$E$15),0),BY62))</f>
        <v>0</v>
      </c>
      <c r="CB62" s="93">
        <f>IF(($D$11+IF(VLOOKUP($E62,武器奇术!$A:$R,17,FALSE)="牵丝",$D$15,0)-VLOOKUP($F$7,目标属性!$A:$R,6,FALSE))&gt;0,($D$11+IF(VLOOKUP($E62,武器奇术!$A:$R,17,FALSE)="牵丝",$D$15,0)-VLOOKUP($F$7,目标属性!$A:$R,6,FALSE))/200,($D$11+IF(VLOOKUP($E62,武器奇术!$A:$R,17,FALSE)="牵丝",$D$15,0)-VLOOKUP($F$7,目标属性!$A:$R,6,FALSE))/100)</f>
        <v>-0.24</v>
      </c>
      <c r="CC62" s="100">
        <f t="shared" si="57"/>
        <v>0</v>
      </c>
      <c r="CD62" s="91">
        <v>1</v>
      </c>
      <c r="CE62" s="92">
        <f>BY62*IF(VLOOKUP($E62,武器奇术!$A:$R,17,FALSE)="牵丝",VLOOKUP($E62,武器奇术!$A:$R,4,FALSE),VLOOKUP($E62,武器奇术!$A:$R,2,FALSE))*(1+CB62)*(1+CC62)*CD62</f>
        <v>0</v>
      </c>
      <c r="CF62" s="93">
        <f>(1-IF(VLOOKUP($E62,武器奇术!$A:$R,16,FALSE)="陌刀",1,$N62))*(1-$M62)</f>
        <v>0</v>
      </c>
      <c r="CG62" s="92">
        <f>BZ62*IF(VLOOKUP($E62,武器奇术!$A:$R,17,FALSE)="牵丝",VLOOKUP($E62,武器奇术!$A:$R,4,FALSE),VLOOKUP($E62,武器奇术!$A:$R,2,FALSE))*(1+CB62)*(1+CC62)*CD62*(1+$E$16+VLOOKUP($E62,武器奇术!$A:$R,8,FALSE))</f>
        <v>0</v>
      </c>
      <c r="CH62" s="93">
        <f t="shared" si="7"/>
        <v>0.887</v>
      </c>
      <c r="CI62" s="92">
        <f>CA62*IF(VLOOKUP($E62,武器奇术!$A:$R,17,FALSE)="牵丝",VLOOKUP($E62,武器奇术!$A:$R,4,FALSE),VLOOKUP($E62,武器奇术!$A:$R,2,FALSE))*(1+CB62)*(1+CC62)*CD62*(1+$E$17+VLOOKUP($E62,武器奇术!$A:$R,10,FALSE))</f>
        <v>0</v>
      </c>
      <c r="CJ62" s="93">
        <f t="shared" si="8"/>
        <v>0.0986</v>
      </c>
      <c r="CK62" s="92">
        <f>BZ62*IF(VLOOKUP($E62,武器奇术!$A:$R,17,FALSE)="牵丝",VLOOKUP($E62,武器奇术!$A:$R,4,FALSE),VLOOKUP($E62,武器奇术!$A:$R,2,FALSE))*(1+CB62)*(1+CC62)*CD62</f>
        <v>0</v>
      </c>
      <c r="CL62" s="93">
        <f t="shared" si="38"/>
        <v>0.0144</v>
      </c>
      <c r="CM62" s="101">
        <f t="shared" si="39"/>
        <v>0</v>
      </c>
      <c r="CN62" s="99">
        <f>IF(VLOOKUP($E62,武器奇术!$A:$R,18,FALSE)="极乐",0,$B$13*IF($G$5="撼天",1.05,1)+IF(AND(VLOOKUP($E62,武器奇术!$A:$R,15,FALSE)="武器",VLOOKUP($E62,武器奇术!$A:$R,17,FALSE)="破竹"),$E$3*(1+$E$15),0))</f>
        <v>686.71</v>
      </c>
      <c r="CO62" s="91">
        <f t="shared" si="40"/>
        <v>1052.21</v>
      </c>
      <c r="CP62" s="91">
        <f>IF(VLOOKUP($E62,武器奇术!$A:$R,18,FALSE)="极乐",0,MAX($C$13*IF($G$5="撼天",1.05,1)+IF(AND(VLOOKUP($E62,武器奇术!$A:$R,15,FALSE)="武器",VLOOKUP($E62,武器奇术!$A:$R,17,FALSE)="破竹"),$E$3*(1+$E$15),0),CN62))</f>
        <v>1417.71</v>
      </c>
      <c r="CQ62" s="93">
        <f>IF(($D$13+IF(VLOOKUP($E62,武器奇术!$A:$R,17,FALSE)="破竹",$D$15,0)-VLOOKUP($F$7,目标属性!$A:$R,6,FALSE)+IF(VLOOKUP($E62,武器奇术!$A:$V,22,FALSE)=1,4,0)+IF(VLOOKUP($E62,武器奇术!$A:$T,20,FALSE)=1,10,0))&gt;0,($D$13+IF(VLOOKUP($E62,武器奇术!$A:$R,17,FALSE)="破竹",$D$15,0)-VLOOKUP($F$7,目标属性!$A:$R,6,FALSE)+IF(VLOOKUP($E62,武器奇术!$A:$V,22,FALSE)=1,4,0)+IF(VLOOKUP($E62,武器奇术!$A:$T,20,FALSE)=1,10,0))/200,($D$13+IF(VLOOKUP($E62,武器奇术!$A:$R,17,FALSE)="破竹",$D$15,0)-VLOOKUP($F$7,目标属性!$A:$R,6,FALSE)+IF(VLOOKUP($E62,武器奇术!$A:$V,22,FALSE)=1,4,0)+IF(VLOOKUP($E62,武器奇术!$A:$T,20,FALSE)=1,10,0))/100)</f>
        <v>0.078</v>
      </c>
      <c r="CR62" s="120">
        <f>$E$13+IF(期望!$G$5="燕归",6%,0)</f>
        <v>0.208</v>
      </c>
      <c r="CS62" s="91">
        <v>1</v>
      </c>
      <c r="CT62" s="92">
        <f>CN62*IF(VLOOKUP($E62,武器奇术!$A:$R,17,FALSE)="破竹",VLOOKUP($E62,武器奇术!$A:$R,4,FALSE),VLOOKUP($E62,武器奇术!$A:$R,2,FALSE))*(1+CQ62)*(1+CR62)*CS62</f>
        <v>2561.19529358357</v>
      </c>
      <c r="CU62" s="93">
        <f>(1-IF(VLOOKUP($E62,武器奇术!$A:$R,16,FALSE)="陌刀",1,$N62))*(1-$M62)</f>
        <v>0</v>
      </c>
      <c r="CV62" s="92">
        <f>CO62*IF(VLOOKUP($E62,武器奇术!$A:$R,17,FALSE)="破竹",VLOOKUP($E62,武器奇术!$A:$R,4,FALSE),VLOOKUP($E62,武器奇术!$A:$R,2,FALSE))*(1+CQ62)*(1+CR62)*CS62*(1+$E$16+VLOOKUP($E62,武器奇术!$A:$R,8,FALSE))</f>
        <v>9394.98074568392</v>
      </c>
      <c r="CW62" s="93">
        <f t="shared" si="9"/>
        <v>0.887</v>
      </c>
      <c r="CX62" s="92">
        <f>CP62*IF(VLOOKUP($E62,武器奇术!$A:$R,17,FALSE)="破竹",VLOOKUP($E62,武器奇术!$A:$R,4,FALSE),VLOOKUP($E62,武器奇术!$A:$R,2,FALSE))*(1+CQ62)*(1+CR62)*CS62*(1+$E$17+VLOOKUP($E62,武器奇术!$A:$R,10,FALSE))</f>
        <v>7138.22929992223</v>
      </c>
      <c r="CY62" s="93">
        <f t="shared" si="10"/>
        <v>0.0986</v>
      </c>
      <c r="CZ62" s="92">
        <f>CO62*IF(VLOOKUP($E62,武器奇术!$A:$R,17,FALSE)="破竹",VLOOKUP($E62,武器奇术!$A:$R,4,FALSE),VLOOKUP($E62,武器奇术!$A:$R,2,FALSE))*(1+CQ62)*(1+CR62)*CS62</f>
        <v>3924.38627639261</v>
      </c>
      <c r="DA62" s="93">
        <f t="shared" si="42"/>
        <v>0.0144</v>
      </c>
      <c r="DB62" s="101">
        <f t="shared" si="43"/>
        <v>9093.68849277402</v>
      </c>
      <c r="DC62" s="99">
        <f>IF(VLOOKUP($E62,武器奇术!$A:$R,18,FALSE)="极乐",0,$B$15)</f>
        <v>66</v>
      </c>
      <c r="DD62" s="91">
        <f t="shared" si="44"/>
        <v>95.9</v>
      </c>
      <c r="DE62" s="91">
        <f>IF(VLOOKUP($E62,武器奇术!$A:$R,18,FALSE)="极乐",0,$C$15)</f>
        <v>125.8</v>
      </c>
      <c r="DF62" s="93">
        <f>IF((IF(VLOOKUP($E62,武器奇术!$A:$R,17,FALSE)="鸣金",$D$7,0)+IF(VLOOKUP($E62,武器奇术!$A:$R,17,FALSE)="裂石",$D$9,0)+IF(VLOOKUP($E62,武器奇术!$A:$R,17,FALSE)="牵丝",$D$11,0)+IF(VLOOKUP($E62,武器奇术!$A:$R,17,FALSE)="破竹",$D$13,0)+$D$15-VLOOKUP($F$7,目标属性!$A:$R,6,FALSE)+IF(VLOOKUP($E62,武器奇术!$A:$V,22,FALSE)=1,4,0)+IF(VLOOKUP($E62,武器奇术!$A:$T,20,FALSE)=1,10,0))&gt;0,(IF(VLOOKUP($E62,武器奇术!$A:$R,17,FALSE)="鸣金",$D$7,0)+IF(VLOOKUP($E62,武器奇术!$A:$R,17,FALSE)="裂石",$D$9,0)+IF(VLOOKUP($E62,武器奇术!$A:$R,17,FALSE)="牵丝",$D$11,0)+IF(VLOOKUP($E62,武器奇术!$A:$R,17,FALSE)="破竹",$D$13,0)+$D$15-VLOOKUP($F$7,目标属性!$A:$R,6,FALSE)+IF(VLOOKUP($E62,武器奇术!$A:$V,22,FALSE)=1,4,0)+IF(VLOOKUP($E62,武器奇术!$A:$T,20,FALSE)=1,10,0))/200,(IF(VLOOKUP($E62,武器奇术!$A:$R,17,FALSE)="鸣金",$D$7,0)+IF(VLOOKUP($E62,武器奇术!$A:$R,17,FALSE)="裂石",$D$9,0)+IF(VLOOKUP($E62,武器奇术!$A:$R,17,FALSE)="牵丝",$D$11,0)+IF(VLOOKUP($E62,武器奇术!$A:$R,17,FALSE)="破竹",$D$13,0)+$D$15-VLOOKUP($F$7,目标属性!$A:$R,6,FALSE)+IF(VLOOKUP($E62,武器奇术!$A:$V,22,FALSE)=1,4,0)+IF(VLOOKUP($E62,武器奇术!$A:$T,20,FALSE)=1,10,0))/100)</f>
        <v>0.078</v>
      </c>
      <c r="DG62" s="120">
        <f>$E$13+IF(期望!$G$5="燕归",6%,0)</f>
        <v>0.208</v>
      </c>
      <c r="DH62" s="91">
        <v>1</v>
      </c>
      <c r="DI62" s="92">
        <f>DC62*IF(VLOOKUP($E62,武器奇术!$A:$R,17,FALSE)="破竹",VLOOKUP($E62,武器奇术!$A:$R,4,FALSE),VLOOKUP($E62,武器奇术!$A:$R,2,FALSE))*(1+DF62)*(1+DG62)*DH62</f>
        <v>246.15760565088</v>
      </c>
      <c r="DJ62" s="93">
        <f>(1-IF(VLOOKUP($E62,武器奇术!$A:$R,16,FALSE)="陌刀",1,$N62))*(1-$M62)</f>
        <v>0</v>
      </c>
      <c r="DK62" s="92">
        <f>DD62*IF(VLOOKUP($E62,武器奇术!$A:$R,17,FALSE)="破竹",VLOOKUP($E62,武器奇术!$A:$R,4,FALSE),VLOOKUP($E62,武器奇术!$A:$R,2,FALSE))*(1+DF62)*(1+DG62)*DH62*(1+$E$16+VLOOKUP($E62,武器奇术!$A:$R,8,FALSE))</f>
        <v>856.272658035076</v>
      </c>
      <c r="DL62" s="93">
        <f t="shared" si="12"/>
        <v>0.887</v>
      </c>
      <c r="DM62" s="92">
        <f>DE62*IF(VLOOKUP($E62,武器奇术!$A:$R,17,FALSE)="破竹",VLOOKUP($E62,武器奇术!$A:$R,4,FALSE),VLOOKUP($E62,武器奇术!$A:$R,2,FALSE))*(1+DF62)*(1+DG62)*DH62*(1+$E$17+VLOOKUP($E62,武器奇术!$A:$R,10,FALSE))</f>
        <v>633.408275268014</v>
      </c>
      <c r="DN62" s="93">
        <f t="shared" si="13"/>
        <v>0.0986</v>
      </c>
      <c r="DO62" s="92">
        <f>DD62*IF(VLOOKUP($E62,武器奇术!$A:$R,17,FALSE)="破竹",VLOOKUP($E62,武器奇术!$A:$R,4,FALSE),VLOOKUP($E62,武器奇术!$A:$R,2,FALSE))*(1+DF62)*(1+DG62)*DH62</f>
        <v>357.674460332112</v>
      </c>
      <c r="DP62" s="93">
        <f t="shared" si="14"/>
        <v>0.0144</v>
      </c>
      <c r="DQ62" s="101">
        <f t="shared" si="15"/>
        <v>827.118415847321</v>
      </c>
    </row>
    <row r="63" customFormat="1" spans="1:121">
      <c r="E63" s="105" t="s">
        <v>139</v>
      </c>
      <c r="F63" s="106">
        <v>1</v>
      </c>
      <c r="G63" s="107">
        <f t="shared" si="53"/>
        <v>0</v>
      </c>
      <c r="H63" s="123">
        <f>IF(VLOOKUP($E63,武器奇术!$A:$R,18,FALSE)="天工",AE63,(AE63+AT63+BI63+BX63+CM63+DB63+DQ63))*(1+J63)*F63*K63*(1+G63)*IF(AND($E$26&lt;12,$E$26&gt;6,$F$26="√"),0.8,1)</f>
        <v>80660.8385120284</v>
      </c>
      <c r="I63" s="93">
        <f t="shared" ref="I63:I126" si="58">H63/$C$30</f>
        <v>0.0103473916523312</v>
      </c>
      <c r="J63" s="93">
        <f>$F$3+VLOOKUP($E63,武器奇术!$A:$R,12,FALSE)+VLOOKUP($E63,武器奇术!$A:$R,14,FALSE)*$G$3+$P63</f>
        <v>0.793</v>
      </c>
      <c r="K63" s="94">
        <f>VLOOKUP($E63,武器奇术!$A:$R,11,FALSE)</f>
        <v>1</v>
      </c>
      <c r="L63" s="109">
        <f>IF(VLOOKUP($E63,武器奇术!$A:$R,15,FALSE)="天工",0%,IF($C$17+VLOOKUP($E63,武器奇术!$A:$R,7,FALSE)&gt;80%,80%,$C$17+VLOOKUP($E63,武器奇术!$A:$R,7,FALSE))+IF($C$19&gt;20%,20%,$C$19))</f>
        <v>0.887</v>
      </c>
      <c r="M63" s="110">
        <f>IF(VLOOKUP($E63,武器奇术!$A:$R,15,FALSE)="天工",0%,IF($C$18+VLOOKUP($E63,武器奇术!$A:$R,9,FALSE)&gt;40%,40%,$C$18+VLOOKUP($E63,武器奇术!$A:$R,9,FALSE))+IF($C$20&gt;10%,10%,$C$20))</f>
        <v>0.0986</v>
      </c>
      <c r="N63" s="111">
        <f>IF(VLOOKUP($E63,武器奇术!$A:$R,15,FALSE)="天工",100%,MIN($C$16,1))</f>
        <v>1</v>
      </c>
      <c r="O63" s="112" t="str">
        <f>VLOOKUP($E63,武器奇术!$A:$R,16,FALSE)</f>
        <v>双刀</v>
      </c>
      <c r="P63" s="113">
        <f t="shared" ref="P63:P94" si="59">VLOOKUP($O63,$B$22:$C$27,2,FALSE)+IF(OR($O63="双刀",$O63="绳标"),$C$24,0)</f>
        <v>0.17</v>
      </c>
      <c r="Q63" s="99">
        <f>$B$5*(1+VLOOKUP($E63,武器奇术!$A:$R,5,FALSE)+IF($G$5="飞隼",0.1,0)+IF($G$5="撼天",0.05,0))-$F$9*IF(VLOOKUP($E63,武器奇术!$A:$S,19,FALSE)=1,0.9,1)+IF($I$5="√",160,0)</f>
        <v>2904.2</v>
      </c>
      <c r="R63" s="91">
        <f t="shared" ref="R63:R126" si="60">(Q63+S63)/2</f>
        <v>2904.2</v>
      </c>
      <c r="S63" s="91">
        <f>MAX($C$5,$B$5)*(1+VLOOKUP($E63,武器奇术!$A:$R,5,FALSE)+IF($G$5="飞隼",0.1,0)+IF($G$5="撼天",0.05,0))-$F$9*IF(VLOOKUP($E63,武器奇术!$A:$S,19,FALSE)=1,0.9,1)+IF($I$5="√",320,0)</f>
        <v>2904.2</v>
      </c>
      <c r="T63" s="93">
        <f>IF(($D$5+VLOOKUP($E63,武器奇术!$A:$R,13,FALSE)+IF($I$3="√",10,0)-VLOOKUP($F$7,目标属性!$A:$R,5,FALSE))&gt;0,($D$5+VLOOKUP($E63,武器奇术!$A:$R,13,FALSE)+IF($I$3="√",10,0)-VLOOKUP($F$7,目标属性!$A:$R,5,FALSE))/200,($D$5+VLOOKUP($E63,武器奇术!$A:$R,13,FALSE)+IF($I$3="√",10,0)-VLOOKUP($F$7,目标属性!$A:$R,5,FALSE))/100)</f>
        <v>0.3925</v>
      </c>
      <c r="U63" s="120">
        <f>$E$5+IF(VLOOKUP($E63,武器奇术!$A:$R,18,FALSE)="鼠鼠",0.24,0)+IF(期望!$G$5="燕归",6/100,0)</f>
        <v>0.06</v>
      </c>
      <c r="V63" s="91">
        <v>1</v>
      </c>
      <c r="W63" s="92">
        <f>Q63*VLOOKUP($E63,武器奇术!$A:$R,2,FALSE)*(1+T63)*(1+U63)*V63</f>
        <v>11949.8144522042</v>
      </c>
      <c r="X63" s="93">
        <f>(1-IF(VLOOKUP($E63,武器奇术!$A:$R,16,FALSE)="陌刀",1,$N63))*(1-$M63)</f>
        <v>0</v>
      </c>
      <c r="Y63" s="92">
        <f>R63*VLOOKUP($E63,武器奇术!$A:$R,2,FALSE)*(1+T63)*(1+U63)*V63*(1+$E$16+VLOOKUP($E63,武器奇术!$A:$R,8,FALSE))</f>
        <v>28607.8557985769</v>
      </c>
      <c r="Z63" s="93">
        <f t="shared" ref="Z63:Z126" si="61">IF($L63+$M63&lt;=100%,$N63*$L63,$N63*(1-$M63))</f>
        <v>0.887</v>
      </c>
      <c r="AA63" s="92">
        <f>S63*VLOOKUP($E63,武器奇术!$A:$R,2,FALSE)*(1+T63)*(1+U63)*V63*(1+$E$17+VLOOKUP($E63,武器奇术!$A:$R,10,FALSE))</f>
        <v>16132.2495104757</v>
      </c>
      <c r="AB63" s="93">
        <f t="shared" ref="AB63:AB126" si="62">$M63</f>
        <v>0.0986</v>
      </c>
      <c r="AC63" s="92">
        <f>R63*VLOOKUP($E63,武器奇术!$A:$R,2,FALSE)*(1+T63)*(1+U63)*V63</f>
        <v>11949.8144522042</v>
      </c>
      <c r="AD63" s="93">
        <f t="shared" ref="AD63:AD126" si="63">MAX((1-X63-Z63-AB63),0)</f>
        <v>0.0144</v>
      </c>
      <c r="AE63" s="101">
        <f t="shared" ref="AE63:AE126" si="64">W63*X63+Y63*Z63+AA63*AB63+AC63*AD63</f>
        <v>27137.8852231824</v>
      </c>
      <c r="AF63" s="102">
        <f>VLOOKUP($E63,武器奇术!$A:$R,3,FALSE)*(1+IF(VLOOKUP($E63,武器奇术!$A:$R,15,FALSE)="武器",$E$15,0))</f>
        <v>1003.86</v>
      </c>
      <c r="AG63" s="92">
        <f t="shared" ref="AG63:AG126" si="65">(AF63+AH63)/2</f>
        <v>1003.86</v>
      </c>
      <c r="AH63" s="92">
        <f>VLOOKUP($E63,武器奇术!$A:$R,3,FALSE)*(1+IF(VLOOKUP($E63,武器奇术!$A:$R,15,FALSE)="武器",$E$15,0))</f>
        <v>1003.86</v>
      </c>
      <c r="AI63" s="93">
        <f>IF(($D$5+VLOOKUP($E63,武器奇术!$A:$R,13,FALSE)+IF($I$3="√",10,0)-VLOOKUP($F$7,目标属性!$A:$R,5,FALSE))&gt;0,($D$5+VLOOKUP($E63,武器奇术!$A:$R,13,FALSE)+IF($I$3="√",10,0)-VLOOKUP($F$7,目标属性!$A:$R,5,FALSE))/200,($D$5+VLOOKUP($E63,武器奇术!$A:$R,13,FALSE)+IF($I$3="√",10,0)-VLOOKUP($F$7,目标属性!$A:$R,5,FALSE))/100)</f>
        <v>0.3925</v>
      </c>
      <c r="AJ63" s="120">
        <f>$E$5+IF(VLOOKUP($E63,武器奇术!$A:$R,18,FALSE)="鼠鼠",0.24,0)+IF(期望!$G$5="燕归",6/100,0)</f>
        <v>0.06</v>
      </c>
      <c r="AK63" s="91">
        <v>1</v>
      </c>
      <c r="AL63" s="92">
        <f t="shared" ref="AL63:AL94" si="66">AF63*(1+AI63)*(1+AJ63)*AK63</f>
        <v>1481.747553</v>
      </c>
      <c r="AM63" s="93">
        <f>(1-IF(VLOOKUP($E63,武器奇术!$A:$R,16,FALSE)="陌刀",1,$N63))*(1-$M63)</f>
        <v>0</v>
      </c>
      <c r="AN63" s="92">
        <f>AG63*(1+AI63)*(1+AJ63)*AK63*(1+$E$16+VLOOKUP($E63,武器奇术!$A:$R,8,FALSE))</f>
        <v>3547.303641882</v>
      </c>
      <c r="AO63" s="93">
        <f t="shared" si="1"/>
        <v>0.887</v>
      </c>
      <c r="AP63" s="92">
        <f>AH63*(1+AI63)*(1+AJ63)*AK63*(1+$E$17+VLOOKUP($E63,武器奇术!$A:$R,10,FALSE))</f>
        <v>2000.35919655</v>
      </c>
      <c r="AQ63" s="93">
        <f t="shared" si="2"/>
        <v>0.0986</v>
      </c>
      <c r="AR63" s="92">
        <f t="shared" ref="AR63:AR126" si="67">AG63*(1+AI63)*(1+AJ63)*AK63</f>
        <v>1481.747553</v>
      </c>
      <c r="AS63" s="93">
        <f t="shared" ref="AS63:AS126" si="68">MAX((1-AM63-AO63-AQ63),0)</f>
        <v>0.0144</v>
      </c>
      <c r="AT63" s="101">
        <f t="shared" ref="AT63:AT126" si="69">AL63*AM63+AN63*AO63+AP63*AQ63+AR63*AS63</f>
        <v>3365.03091189236</v>
      </c>
      <c r="AU63" s="99">
        <f>IF(VLOOKUP($E63,武器奇术!$A:$R,18,FALSE)="极乐",0,$B$7*IF($G$5="撼天",1.05,1)+IF(AND(VLOOKUP($E63,武器奇术!$A:$R,15,FALSE)="武器",VLOOKUP($E63,武器奇术!$A:$R,17,FALSE)="鸣金"),$E$3*(1+$E$15),0))</f>
        <v>0</v>
      </c>
      <c r="AV63" s="91">
        <f t="shared" ref="AV63:AV126" si="70">(AU63+AW63)/2</f>
        <v>0</v>
      </c>
      <c r="AW63" s="91">
        <f>IF(VLOOKUP($E63,武器奇术!$A:$R,18,FALSE)="极乐",0,MAX($C$7*IF($G$5="撼天",1.05,1)+IF(AND(VLOOKUP($E63,武器奇术!$A:$R,15,FALSE)="武器",VLOOKUP($E63,武器奇术!$A:$R,17,FALSE)="鸣金"),$E$3*(1+$E$15),0),AU63))</f>
        <v>0</v>
      </c>
      <c r="AX63" s="93">
        <f>IF(($D$7+IF(VLOOKUP($E63,武器奇术!$A:$R,17,FALSE)="鸣金",$D$15,0)-VLOOKUP($F$7,目标属性!$A:$R,6,FALSE))&gt;0,($D$7+IF(VLOOKUP($E63,武器奇术!$A:$R,17,FALSE)="鸣金",$D$15,0)-VLOOKUP($F$7,目标属性!$A:$R,6,FALSE))/200,($D$7+IF(VLOOKUP($E63,武器奇术!$A:$R,17,FALSE)="鸣金",$D$15,0)-VLOOKUP($F$7,目标属性!$A:$R,6,FALSE))/100)</f>
        <v>-0.24</v>
      </c>
      <c r="AY63" s="100">
        <f t="shared" si="55"/>
        <v>0</v>
      </c>
      <c r="AZ63" s="91">
        <v>1</v>
      </c>
      <c r="BA63" s="92">
        <f>AU63*IF(VLOOKUP($E63,武器奇术!$A:$R,17,FALSE)="鸣金",VLOOKUP($E63,武器奇术!$A:$R,4,FALSE),VLOOKUP($E63,武器奇术!$A:$R,2,FALSE))*(1+AX63)*(1+AY63)*AZ63</f>
        <v>0</v>
      </c>
      <c r="BB63" s="93">
        <f>(1-IF(VLOOKUP($E63,武器奇术!$A:$R,16,FALSE)="陌刀",1,$N63))*(1-$M63)</f>
        <v>0</v>
      </c>
      <c r="BC63" s="92">
        <f>AV63*IF(VLOOKUP($E63,武器奇术!$A:$R,17,FALSE)="鸣金",VLOOKUP($E63,武器奇术!$A:$R,4,FALSE),VLOOKUP($E63,武器奇术!$A:$R,2,FALSE))*(1+AX63)*(1+AY63)*AZ63*(1+$E$16+VLOOKUP($E63,武器奇术!$A:$R,8,FALSE))</f>
        <v>0</v>
      </c>
      <c r="BD63" s="93">
        <f t="shared" si="3"/>
        <v>0.887</v>
      </c>
      <c r="BE63" s="92">
        <f>AW63*IF(VLOOKUP($E63,武器奇术!$A:$R,17,FALSE)="鸣金",VLOOKUP($E63,武器奇术!$A:$R,4,FALSE),VLOOKUP($E63,武器奇术!$A:$R,2,FALSE))*(1+AX63)*(1+AY63)*AZ63*(1+$E$17+VLOOKUP($E63,武器奇术!$A:$R,10,FALSE))</f>
        <v>0</v>
      </c>
      <c r="BF63" s="93">
        <f t="shared" si="4"/>
        <v>0.0986</v>
      </c>
      <c r="BG63" s="92">
        <f>AV63*IF(VLOOKUP($E63,武器奇术!$A:$R,17,FALSE)="鸣金",VLOOKUP($E63,武器奇术!$A:$R,4,FALSE),VLOOKUP($E63,武器奇术!$A:$R,2,FALSE))*(1+AX63)*(1+AY63)*AZ63</f>
        <v>0</v>
      </c>
      <c r="BH63" s="93">
        <f t="shared" ref="BH63:BH126" si="71">MAX((1-BB63-BD63-BF63),0)</f>
        <v>0.0144</v>
      </c>
      <c r="BI63" s="101">
        <f t="shared" ref="BI63:BI126" si="72">BA63*BB63+BC63*BD63+BE63*BF63+BG63*BH63</f>
        <v>0</v>
      </c>
      <c r="BJ63" s="99">
        <f>IF(VLOOKUP($E63,武器奇术!$A:$R,18,FALSE)="极乐",0,$B$9*IF($G$5="撼天",1.05,1)+IF(AND(VLOOKUP($E63,武器奇术!$A:$R,15,FALSE)="武器",VLOOKUP($E63,武器奇术!$A:$R,17,FALSE)="裂石"),$E$3*(1+$E$15),0))</f>
        <v>0</v>
      </c>
      <c r="BK63" s="91">
        <f t="shared" ref="BK63:BK126" si="73">(BJ63+BL63)/2</f>
        <v>0</v>
      </c>
      <c r="BL63" s="91">
        <f>IF(VLOOKUP($E63,武器奇术!$A:$R,18,FALSE)="极乐",0,MAX($C$9*IF($G$5="撼天",1.05,1)+IF(AND(VLOOKUP($E63,武器奇术!$A:$R,15,FALSE)="武器",VLOOKUP($E63,武器奇术!$A:$R,17,FALSE)="裂石"),$E$3*(1+$E$15),0),BJ63))</f>
        <v>0</v>
      </c>
      <c r="BM63" s="93">
        <f>IF(($D$9+IF(VLOOKUP($E63,武器奇术!$A:$R,17,FALSE)="裂石",$D$15,0)-VLOOKUP($F$7,目标属性!$A:$R,6,FALSE))&gt;0,($D$9+IF(VLOOKUP($E63,武器奇术!$A:$R,17,FALSE)="裂石",$D$15,0)-VLOOKUP($F$7,目标属性!$A:$R,6,FALSE))/200,($D$9+IF(VLOOKUP($E63,武器奇术!$A:$R,17,FALSE)="裂石",$D$15,0)-VLOOKUP($F$7,目标属性!$A:$R,6,FALSE))/100)</f>
        <v>-0.24</v>
      </c>
      <c r="BN63" s="100">
        <f t="shared" si="56"/>
        <v>0</v>
      </c>
      <c r="BO63" s="91">
        <v>1</v>
      </c>
      <c r="BP63" s="92">
        <f>BJ63*IF(VLOOKUP($E63,武器奇术!$A:$R,17,FALSE)="裂石",VLOOKUP($E63,武器奇术!$A:$R,4,FALSE),VLOOKUP($E63,武器奇术!$A:$R,2,FALSE))*(1+BM63)*(1+BN63)*BO63</f>
        <v>0</v>
      </c>
      <c r="BQ63" s="93">
        <f>(1-IF(VLOOKUP($E63,武器奇术!$A:$R,16,FALSE)="陌刀",1,$N63))*(1-$M63)</f>
        <v>0</v>
      </c>
      <c r="BR63" s="92">
        <f>BK63*IF(VLOOKUP($E63,武器奇术!$A:$R,17,FALSE)="裂石",VLOOKUP($E63,武器奇术!$A:$R,4,FALSE),VLOOKUP($E63,武器奇术!$A:$R,2,FALSE))*(1+BM63)*(1+BN63)*BO63*(1+$E$16+VLOOKUP($E63,武器奇术!$A:$R,8,FALSE))</f>
        <v>0</v>
      </c>
      <c r="BS63" s="93">
        <f t="shared" si="5"/>
        <v>0.887</v>
      </c>
      <c r="BT63" s="92">
        <f>BL63*IF(VLOOKUP($E63,武器奇术!$A:$R,17,FALSE)="裂石",VLOOKUP($E63,武器奇术!$A:$R,4,FALSE),VLOOKUP($E63,武器奇术!$A:$R,2,FALSE))*(1+BM63)*(1+BN63)*BO63*(1+$E$17+VLOOKUP($E63,武器奇术!$A:$R,10,FALSE))</f>
        <v>0</v>
      </c>
      <c r="BU63" s="93">
        <f t="shared" si="6"/>
        <v>0.0986</v>
      </c>
      <c r="BV63" s="92">
        <f>BK63*IF(VLOOKUP($E63,武器奇术!$A:$R,17,FALSE)="裂石",VLOOKUP($E63,武器奇术!$A:$R,4,FALSE),VLOOKUP($E63,武器奇术!$A:$R,2,FALSE))*(1+BM63)*(1+BN63)*BO63</f>
        <v>0</v>
      </c>
      <c r="BW63" s="93">
        <f t="shared" ref="BW63:BW126" si="74">MAX((1-BQ63-BS63-BU63),0)</f>
        <v>0.0144</v>
      </c>
      <c r="BX63" s="101">
        <f t="shared" ref="BX63:BX126" si="75">BP63*BQ63+BR63*BS63+BT63*BU63+BV63*BW63</f>
        <v>0</v>
      </c>
      <c r="BY63" s="99">
        <f>IF(VLOOKUP($E63,武器奇术!$A:$R,18,FALSE)="极乐",0,$B$11*IF($G$5="撼天",1.05,1)+IF(AND(VLOOKUP($E63,武器奇术!$A:$R,15,FALSE)="武器",VLOOKUP($E63,武器奇术!$A:$R,17,FALSE)="牵丝"),$E$3*(1+$E$15),0))</f>
        <v>0</v>
      </c>
      <c r="BZ63" s="91">
        <f t="shared" ref="BZ63:BZ126" si="76">(BY63+CA63)/2</f>
        <v>0</v>
      </c>
      <c r="CA63" s="91">
        <f>IF(VLOOKUP($E63,武器奇术!$A:$R,18,FALSE)="极乐",0,MAX($C$11*IF($G$5="撼天",1.05,1)+IF(AND(VLOOKUP($E63,武器奇术!$A:$R,15,FALSE)="武器",VLOOKUP($E63,武器奇术!$A:$R,17,FALSE)="牵丝"),$E$3*(1+$E$15),0),BY63))</f>
        <v>0</v>
      </c>
      <c r="CB63" s="93">
        <f>IF(($D$11+IF(VLOOKUP($E63,武器奇术!$A:$R,17,FALSE)="牵丝",$D$15,0)-VLOOKUP($F$7,目标属性!$A:$R,6,FALSE))&gt;0,($D$11+IF(VLOOKUP($E63,武器奇术!$A:$R,17,FALSE)="牵丝",$D$15,0)-VLOOKUP($F$7,目标属性!$A:$R,6,FALSE))/200,($D$11+IF(VLOOKUP($E63,武器奇术!$A:$R,17,FALSE)="牵丝",$D$15,0)-VLOOKUP($F$7,目标属性!$A:$R,6,FALSE))/100)</f>
        <v>-0.24</v>
      </c>
      <c r="CC63" s="100">
        <f t="shared" si="57"/>
        <v>0</v>
      </c>
      <c r="CD63" s="91">
        <v>1</v>
      </c>
      <c r="CE63" s="92">
        <f>BY63*IF(VLOOKUP($E63,武器奇术!$A:$R,17,FALSE)="牵丝",VLOOKUP($E63,武器奇术!$A:$R,4,FALSE),VLOOKUP($E63,武器奇术!$A:$R,2,FALSE))*(1+CB63)*(1+CC63)*CD63</f>
        <v>0</v>
      </c>
      <c r="CF63" s="93">
        <f>(1-IF(VLOOKUP($E63,武器奇术!$A:$R,16,FALSE)="陌刀",1,$N63))*(1-$M63)</f>
        <v>0</v>
      </c>
      <c r="CG63" s="92">
        <f>BZ63*IF(VLOOKUP($E63,武器奇术!$A:$R,17,FALSE)="牵丝",VLOOKUP($E63,武器奇术!$A:$R,4,FALSE),VLOOKUP($E63,武器奇术!$A:$R,2,FALSE))*(1+CB63)*(1+CC63)*CD63*(1+$E$16+VLOOKUP($E63,武器奇术!$A:$R,8,FALSE))</f>
        <v>0</v>
      </c>
      <c r="CH63" s="93">
        <f t="shared" si="7"/>
        <v>0.887</v>
      </c>
      <c r="CI63" s="92">
        <f>CA63*IF(VLOOKUP($E63,武器奇术!$A:$R,17,FALSE)="牵丝",VLOOKUP($E63,武器奇术!$A:$R,4,FALSE),VLOOKUP($E63,武器奇术!$A:$R,2,FALSE))*(1+CB63)*(1+CC63)*CD63*(1+$E$17+VLOOKUP($E63,武器奇术!$A:$R,10,FALSE))</f>
        <v>0</v>
      </c>
      <c r="CJ63" s="93">
        <f t="shared" si="8"/>
        <v>0.0986</v>
      </c>
      <c r="CK63" s="92">
        <f>BZ63*IF(VLOOKUP($E63,武器奇术!$A:$R,17,FALSE)="牵丝",VLOOKUP($E63,武器奇术!$A:$R,4,FALSE),VLOOKUP($E63,武器奇术!$A:$R,2,FALSE))*(1+CB63)*(1+CC63)*CD63</f>
        <v>0</v>
      </c>
      <c r="CL63" s="93">
        <f t="shared" ref="CL63:CL126" si="77">MAX((1-CF63-CH63-CJ63),0)</f>
        <v>0.0144</v>
      </c>
      <c r="CM63" s="101">
        <f t="shared" ref="CM63:CM126" si="78">CE63*CF63+CG63*CH63+CI63*CJ63+CK63*CL63</f>
        <v>0</v>
      </c>
      <c r="CN63" s="99">
        <f>IF(VLOOKUP($E63,武器奇术!$A:$R,18,FALSE)="极乐",0,$B$13*IF($G$5="撼天",1.05,1)+IF(AND(VLOOKUP($E63,武器奇术!$A:$R,15,FALSE)="武器",VLOOKUP($E63,武器奇术!$A:$R,17,FALSE)="破竹"),$E$3*(1+$E$15),0))</f>
        <v>686.71</v>
      </c>
      <c r="CO63" s="91">
        <f t="shared" ref="CO63:CO126" si="79">(CN63+CP63)/2</f>
        <v>1052.21</v>
      </c>
      <c r="CP63" s="91">
        <f>IF(VLOOKUP($E63,武器奇术!$A:$R,18,FALSE)="极乐",0,MAX($C$13*IF($G$5="撼天",1.05,1)+IF(AND(VLOOKUP($E63,武器奇术!$A:$R,15,FALSE)="武器",VLOOKUP($E63,武器奇术!$A:$R,17,FALSE)="破竹"),$E$3*(1+$E$15),0),CN63))</f>
        <v>1417.71</v>
      </c>
      <c r="CQ63" s="93">
        <f>IF(($D$13+IF(VLOOKUP($E63,武器奇术!$A:$R,17,FALSE)="破竹",$D$15,0)-VLOOKUP($F$7,目标属性!$A:$R,6,FALSE)+IF(VLOOKUP($E63,武器奇术!$A:$V,22,FALSE)=1,4,0)+IF(VLOOKUP($E63,武器奇术!$A:$T,20,FALSE)=1,10,0))&gt;0,($D$13+IF(VLOOKUP($E63,武器奇术!$A:$R,17,FALSE)="破竹",$D$15,0)-VLOOKUP($F$7,目标属性!$A:$R,6,FALSE)+IF(VLOOKUP($E63,武器奇术!$A:$V,22,FALSE)=1,4,0)+IF(VLOOKUP($E63,武器奇术!$A:$T,20,FALSE)=1,10,0))/200,($D$13+IF(VLOOKUP($E63,武器奇术!$A:$R,17,FALSE)="破竹",$D$15,0)-VLOOKUP($F$7,目标属性!$A:$R,6,FALSE)+IF(VLOOKUP($E63,武器奇术!$A:$V,22,FALSE)=1,4,0)+IF(VLOOKUP($E63,武器奇术!$A:$T,20,FALSE)=1,10,0))/100)</f>
        <v>0.078</v>
      </c>
      <c r="CR63" s="120">
        <f>$E$13+IF(期望!$G$5="燕归",6%,0)</f>
        <v>0.208</v>
      </c>
      <c r="CS63" s="91">
        <v>1</v>
      </c>
      <c r="CT63" s="92">
        <f>CN63*IF(VLOOKUP($E63,武器奇术!$A:$R,17,FALSE)="破竹",VLOOKUP($E63,武器奇术!$A:$R,4,FALSE),VLOOKUP($E63,武器奇术!$A:$R,2,FALSE))*(1+CQ63)*(1+CR63)*CS63</f>
        <v>3739.14642622801</v>
      </c>
      <c r="CU63" s="93">
        <f>(1-IF(VLOOKUP($E63,武器奇术!$A:$R,16,FALSE)="陌刀",1,$N63))*(1-$M63)</f>
        <v>0</v>
      </c>
      <c r="CV63" s="92">
        <f>CO63*IF(VLOOKUP($E63,武器奇术!$A:$R,17,FALSE)="破竹",VLOOKUP($E63,武器奇术!$A:$R,4,FALSE),VLOOKUP($E63,武器奇术!$A:$R,2,FALSE))*(1+CQ63)*(1+CR63)*CS63*(1+$E$16+VLOOKUP($E63,武器奇术!$A:$R,8,FALSE))</f>
        <v>13715.9430082167</v>
      </c>
      <c r="CW63" s="93">
        <f t="shared" si="9"/>
        <v>0.887</v>
      </c>
      <c r="CX63" s="92">
        <f>CP63*IF(VLOOKUP($E63,武器奇术!$A:$R,17,FALSE)="破竹",VLOOKUP($E63,武器奇术!$A:$R,4,FALSE),VLOOKUP($E63,武器奇术!$A:$R,2,FALSE))*(1+CQ63)*(1+CR63)*CS63*(1+$E$17+VLOOKUP($E63,武器奇术!$A:$R,10,FALSE))</f>
        <v>10421.2609804756</v>
      </c>
      <c r="CY63" s="93">
        <f t="shared" si="10"/>
        <v>0.0986</v>
      </c>
      <c r="CZ63" s="92">
        <f>CO63*IF(VLOOKUP($E63,武器奇术!$A:$R,17,FALSE)="破竹",VLOOKUP($E63,武器奇术!$A:$R,4,FALSE),VLOOKUP($E63,武器奇术!$A:$R,2,FALSE))*(1+CQ63)*(1+CR63)*CS63</f>
        <v>5729.29950217905</v>
      </c>
      <c r="DA63" s="93">
        <f t="shared" ref="DA63:DA126" si="80">MAX((1-CU63-CW63-CY63),0)</f>
        <v>0.0144</v>
      </c>
      <c r="DB63" s="101">
        <f t="shared" ref="DB63:DB126" si="81">CT63*CU63+CV63*CW63+CX63*CY63+CZ63*DA63</f>
        <v>13276.0796937945</v>
      </c>
      <c r="DC63" s="99">
        <f>IF(VLOOKUP($E63,武器奇术!$A:$R,18,FALSE)="极乐",0,$B$15)</f>
        <v>66</v>
      </c>
      <c r="DD63" s="91">
        <f t="shared" ref="DD63:DD100" si="82">(DC63+DE63)/2</f>
        <v>95.9</v>
      </c>
      <c r="DE63" s="91">
        <f>IF(VLOOKUP($E63,武器奇术!$A:$R,18,FALSE)="极乐",0,$C$15)</f>
        <v>125.8</v>
      </c>
      <c r="DF63" s="93">
        <f>IF((IF(VLOOKUP($E63,武器奇术!$A:$R,17,FALSE)="鸣金",$D$7,0)+IF(VLOOKUP($E63,武器奇术!$A:$R,17,FALSE)="裂石",$D$9,0)+IF(VLOOKUP($E63,武器奇术!$A:$R,17,FALSE)="牵丝",$D$11,0)+IF(VLOOKUP($E63,武器奇术!$A:$R,17,FALSE)="破竹",$D$13,0)+$D$15-VLOOKUP($F$7,目标属性!$A:$R,6,FALSE)+IF(VLOOKUP($E63,武器奇术!$A:$V,22,FALSE)=1,4,0)+IF(VLOOKUP($E63,武器奇术!$A:$T,20,FALSE)=1,10,0))&gt;0,(IF(VLOOKUP($E63,武器奇术!$A:$R,17,FALSE)="鸣金",$D$7,0)+IF(VLOOKUP($E63,武器奇术!$A:$R,17,FALSE)="裂石",$D$9,0)+IF(VLOOKUP($E63,武器奇术!$A:$R,17,FALSE)="牵丝",$D$11,0)+IF(VLOOKUP($E63,武器奇术!$A:$R,17,FALSE)="破竹",$D$13,0)+$D$15-VLOOKUP($F$7,目标属性!$A:$R,6,FALSE)+IF(VLOOKUP($E63,武器奇术!$A:$V,22,FALSE)=1,4,0)+IF(VLOOKUP($E63,武器奇术!$A:$T,20,FALSE)=1,10,0))/200,(IF(VLOOKUP($E63,武器奇术!$A:$R,17,FALSE)="鸣金",$D$7,0)+IF(VLOOKUP($E63,武器奇术!$A:$R,17,FALSE)="裂石",$D$9,0)+IF(VLOOKUP($E63,武器奇术!$A:$R,17,FALSE)="牵丝",$D$11,0)+IF(VLOOKUP($E63,武器奇术!$A:$R,17,FALSE)="破竹",$D$13,0)+$D$15-VLOOKUP($F$7,目标属性!$A:$R,6,FALSE)+IF(VLOOKUP($E63,武器奇术!$A:$V,22,FALSE)=1,4,0)+IF(VLOOKUP($E63,武器奇术!$A:$T,20,FALSE)=1,10,0))/100)</f>
        <v>0.078</v>
      </c>
      <c r="DG63" s="120">
        <f>$E$13+IF(期望!$G$5="燕归",6%,0)</f>
        <v>0.208</v>
      </c>
      <c r="DH63" s="91">
        <v>1</v>
      </c>
      <c r="DI63" s="92">
        <f>DC63*IF(VLOOKUP($E63,武器奇术!$A:$R,17,FALSE)="破竹",VLOOKUP($E63,武器奇术!$A:$R,4,FALSE),VLOOKUP($E63,武器奇术!$A:$R,2,FALSE))*(1+DF63)*(1+DG63)*DH63</f>
        <v>359.37100687488</v>
      </c>
      <c r="DJ63" s="93">
        <f>(1-IF(VLOOKUP($E63,武器奇术!$A:$R,16,FALSE)="陌刀",1,$N63))*(1-$M63)</f>
        <v>0</v>
      </c>
      <c r="DK63" s="92">
        <f>DD63*IF(VLOOKUP($E63,武器奇术!$A:$R,17,FALSE)="破竹",VLOOKUP($E63,武器奇术!$A:$R,4,FALSE),VLOOKUP($E63,武器奇术!$A:$R,2,FALSE))*(1+DF63)*(1+DG63)*DH63*(1+$E$16+VLOOKUP($E63,武器奇术!$A:$R,8,FALSE))</f>
        <v>1250.09164946919</v>
      </c>
      <c r="DL63" s="93">
        <f t="shared" si="12"/>
        <v>0.887</v>
      </c>
      <c r="DM63" s="92">
        <f>DE63*IF(VLOOKUP($E63,武器奇术!$A:$R,17,FALSE)="破竹",VLOOKUP($E63,武器奇术!$A:$R,4,FALSE),VLOOKUP($E63,武器奇术!$A:$R,2,FALSE))*(1+DF63)*(1+DG63)*DH63*(1+$E$17+VLOOKUP($E63,武器奇术!$A:$R,10,FALSE))</f>
        <v>924.726940872135</v>
      </c>
      <c r="DN63" s="93">
        <f t="shared" si="13"/>
        <v>0.0986</v>
      </c>
      <c r="DO63" s="92">
        <f>DD63*IF(VLOOKUP($E63,武器奇术!$A:$R,17,FALSE)="破竹",VLOOKUP($E63,武器奇术!$A:$R,4,FALSE),VLOOKUP($E63,武器奇术!$A:$R,2,FALSE))*(1+DF63)*(1+DG63)*DH63</f>
        <v>522.176963019712</v>
      </c>
      <c r="DP63" s="93">
        <f t="shared" si="14"/>
        <v>0.0144</v>
      </c>
      <c r="DQ63" s="101">
        <f t="shared" si="15"/>
        <v>1207.52871771665</v>
      </c>
    </row>
    <row r="64" customFormat="1" spans="1:121">
      <c r="E64" s="105" t="s">
        <v>140</v>
      </c>
      <c r="F64" s="106">
        <f>F62+F63*3+2</f>
        <v>6</v>
      </c>
      <c r="G64" s="107">
        <f>$E$23</f>
        <v>0.32</v>
      </c>
      <c r="H64" s="92">
        <f>IF(VLOOKUP($E64,武器奇术!$A:$R,18,FALSE)="天工",AE64,(AE64+AT64+BI64+BX64+CM64+DB64+DQ64))*(1+J64)*F64*K64*(1+G64)</f>
        <v>113823.097797121</v>
      </c>
      <c r="I64" s="93">
        <f t="shared" si="58"/>
        <v>0.0146015364297605</v>
      </c>
      <c r="J64" s="93">
        <f>$F$3+VLOOKUP($E64,武器奇术!$A:$R,12,FALSE)+VLOOKUP($E64,武器奇术!$A:$R,14,FALSE)*$G$3+$P64</f>
        <v>1.593</v>
      </c>
      <c r="K64" s="94">
        <f>VLOOKUP($E64,武器奇术!$A:$R,11,FALSE)</f>
        <v>1</v>
      </c>
      <c r="L64" s="109">
        <f>IF(VLOOKUP($E64,武器奇术!$A:$R,15,FALSE)="天工",0%,IF($C$17+VLOOKUP($E64,武器奇术!$A:$R,7,FALSE)&gt;80%,80%,$C$17+VLOOKUP($E64,武器奇术!$A:$R,7,FALSE))+IF($C$19&gt;20%,20%,$C$19))</f>
        <v>0.887</v>
      </c>
      <c r="M64" s="110">
        <f>IF(VLOOKUP($E64,武器奇术!$A:$R,15,FALSE)="天工",0%,IF($C$18+VLOOKUP($E64,武器奇术!$A:$R,9,FALSE)&gt;40%,40%,$C$18+VLOOKUP($E64,武器奇术!$A:$R,9,FALSE))+IF($C$20&gt;10%,10%,$C$20))</f>
        <v>0.0986</v>
      </c>
      <c r="N64" s="111">
        <f>IF(VLOOKUP($E64,武器奇术!$A:$R,15,FALSE)="天工",100%,MIN($C$16,1))</f>
        <v>1</v>
      </c>
      <c r="O64" s="112" t="str">
        <f>VLOOKUP($E64,武器奇术!$A:$R,16,FALSE)</f>
        <v>绳标</v>
      </c>
      <c r="P64" s="113">
        <f t="shared" si="59"/>
        <v>0.17</v>
      </c>
      <c r="Q64" s="99">
        <f>$B$5*(1+VLOOKUP($E64,武器奇术!$A:$R,5,FALSE)+IF($G$5="飞隼",0.1,0)+IF($G$5="撼天",0.05,0))-$F$9*IF(VLOOKUP($E64,武器奇术!$A:$S,19,FALSE)=1,0.9,1)+IF($I$5="√",160,0)</f>
        <v>2848.3</v>
      </c>
      <c r="R64" s="91">
        <f t="shared" si="60"/>
        <v>2848.3</v>
      </c>
      <c r="S64" s="91">
        <f>MAX($C$5,$B$5)*(1+VLOOKUP($E64,武器奇术!$A:$R,5,FALSE)+IF($G$5="飞隼",0.1,0)+IF($G$5="撼天",0.05,0))-$F$9*IF(VLOOKUP($E64,武器奇术!$A:$S,19,FALSE)=1,0.9,1)+IF($I$5="√",320,0)</f>
        <v>2848.3</v>
      </c>
      <c r="T64" s="93">
        <f>IF(($D$5+VLOOKUP($E64,武器奇术!$A:$R,13,FALSE)+IF($I$3="√",10,0)-VLOOKUP($F$7,目标属性!$A:$R,5,FALSE))&gt;0,($D$5+VLOOKUP($E64,武器奇术!$A:$R,13,FALSE)+IF($I$3="√",10,0)-VLOOKUP($F$7,目标属性!$A:$R,5,FALSE))/200,($D$5+VLOOKUP($E64,武器奇术!$A:$R,13,FALSE)+IF($I$3="√",10,0)-VLOOKUP($F$7,目标属性!$A:$R,5,FALSE))/100)</f>
        <v>0.3925</v>
      </c>
      <c r="U64" s="120">
        <f>$E$5+IF(VLOOKUP($E64,武器奇术!$A:$R,18,FALSE)="鼠鼠",0.24,0)+IF(期望!$G$5="燕归",6/100,0)</f>
        <v>0.3</v>
      </c>
      <c r="V64" s="91">
        <v>1</v>
      </c>
      <c r="W64" s="92">
        <f>Q64*VLOOKUP($E64,武器奇术!$A:$R,2,FALSE)*(1+T64)*(1+U64)*V64</f>
        <v>1804.64727625</v>
      </c>
      <c r="X64" s="93">
        <f>(1-IF(VLOOKUP($E64,武器奇术!$A:$R,16,FALSE)="陌刀",1,$N64))*(1-$M64)</f>
        <v>0</v>
      </c>
      <c r="Y64" s="92">
        <f>R64*VLOOKUP($E64,武器奇术!$A:$R,2,FALSE)*(1+T64)*(1+U64)*V64*(1+$E$16+VLOOKUP($E64,武器奇术!$A:$R,8,FALSE))</f>
        <v>4320.3255793425</v>
      </c>
      <c r="Z64" s="93">
        <f t="shared" si="61"/>
        <v>0.887</v>
      </c>
      <c r="AA64" s="92">
        <f>S64*VLOOKUP($E64,武器奇术!$A:$R,2,FALSE)*(1+T64)*(1+U64)*V64*(1+$E$17+VLOOKUP($E64,武器奇术!$A:$R,10,FALSE))</f>
        <v>2436.2738229375</v>
      </c>
      <c r="AB64" s="93">
        <f t="shared" si="62"/>
        <v>0.0986</v>
      </c>
      <c r="AC64" s="92">
        <f>R64*VLOOKUP($E64,武器奇术!$A:$R,2,FALSE)*(1+T64)*(1+U64)*V64</f>
        <v>1804.64727625</v>
      </c>
      <c r="AD64" s="93">
        <f t="shared" si="63"/>
        <v>0.0144</v>
      </c>
      <c r="AE64" s="101">
        <f t="shared" si="64"/>
        <v>4098.33230859643</v>
      </c>
      <c r="AF64" s="102">
        <f>VLOOKUP($E64,武器奇术!$A:$R,3,FALSE)*(1+IF(VLOOKUP($E64,武器奇术!$A:$R,15,FALSE)="武器",$E$15,0))</f>
        <v>0</v>
      </c>
      <c r="AG64" s="92">
        <f t="shared" si="65"/>
        <v>0</v>
      </c>
      <c r="AH64" s="92">
        <f>VLOOKUP($E64,武器奇术!$A:$R,3,FALSE)*(1+IF(VLOOKUP($E64,武器奇术!$A:$R,15,FALSE)="武器",$E$15,0))</f>
        <v>0</v>
      </c>
      <c r="AI64" s="93">
        <f>IF(($D$5+VLOOKUP($E64,武器奇术!$A:$R,13,FALSE)+IF($I$3="√",10,0)-VLOOKUP($F$7,目标属性!$A:$R,5,FALSE))&gt;0,($D$5+VLOOKUP($E64,武器奇术!$A:$R,13,FALSE)+IF($I$3="√",10,0)-VLOOKUP($F$7,目标属性!$A:$R,5,FALSE))/200,($D$5+VLOOKUP($E64,武器奇术!$A:$R,13,FALSE)+IF($I$3="√",10,0)-VLOOKUP($F$7,目标属性!$A:$R,5,FALSE))/100)</f>
        <v>0.3925</v>
      </c>
      <c r="AJ64" s="120">
        <f>$E$5+IF(VLOOKUP($E64,武器奇术!$A:$R,18,FALSE)="鼠鼠",0.24,0)+IF(期望!$G$5="燕归",6/100,0)</f>
        <v>0.3</v>
      </c>
      <c r="AK64" s="91">
        <v>1</v>
      </c>
      <c r="AL64" s="92">
        <f t="shared" si="66"/>
        <v>0</v>
      </c>
      <c r="AM64" s="93">
        <f>(1-IF(VLOOKUP($E64,武器奇术!$A:$R,16,FALSE)="陌刀",1,$N64))*(1-$M64)</f>
        <v>0</v>
      </c>
      <c r="AN64" s="92">
        <f>AG64*(1+AI64)*(1+AJ64)*AK64*(1+$E$16+VLOOKUP($E64,武器奇术!$A:$R,8,FALSE))</f>
        <v>0</v>
      </c>
      <c r="AO64" s="93">
        <f t="shared" si="1"/>
        <v>0.887</v>
      </c>
      <c r="AP64" s="92">
        <f>AH64*(1+AI64)*(1+AJ64)*AK64*(1+$E$17+VLOOKUP($E64,武器奇术!$A:$R,10,FALSE))</f>
        <v>0</v>
      </c>
      <c r="AQ64" s="93">
        <f t="shared" si="2"/>
        <v>0.0986</v>
      </c>
      <c r="AR64" s="92">
        <f t="shared" si="67"/>
        <v>0</v>
      </c>
      <c r="AS64" s="93">
        <f t="shared" si="68"/>
        <v>0.0144</v>
      </c>
      <c r="AT64" s="101">
        <f t="shared" si="69"/>
        <v>0</v>
      </c>
      <c r="AU64" s="99">
        <f>IF(VLOOKUP($E64,武器奇术!$A:$R,18,FALSE)="极乐",0,$B$7*IF($G$5="撼天",1.05,1)+IF(AND(VLOOKUP($E64,武器奇术!$A:$R,15,FALSE)="武器",VLOOKUP($E64,武器奇术!$A:$R,17,FALSE)="鸣金"),$E$3*(1+$E$15),0))</f>
        <v>0</v>
      </c>
      <c r="AV64" s="91">
        <f t="shared" si="70"/>
        <v>0</v>
      </c>
      <c r="AW64" s="91">
        <f>IF(VLOOKUP($E64,武器奇术!$A:$R,18,FALSE)="极乐",0,MAX($C$7*IF($G$5="撼天",1.05,1)+IF(AND(VLOOKUP($E64,武器奇术!$A:$R,15,FALSE)="武器",VLOOKUP($E64,武器奇术!$A:$R,17,FALSE)="鸣金"),$E$3*(1+$E$15),0),AU64))</f>
        <v>0</v>
      </c>
      <c r="AX64" s="93">
        <f>IF(($D$7+IF(VLOOKUP($E64,武器奇术!$A:$R,17,FALSE)="鸣金",$D$15,0)-VLOOKUP($F$7,目标属性!$A:$R,6,FALSE))&gt;0,($D$7+IF(VLOOKUP($E64,武器奇术!$A:$R,17,FALSE)="鸣金",$D$15,0)-VLOOKUP($F$7,目标属性!$A:$R,6,FALSE))/200,($D$7+IF(VLOOKUP($E64,武器奇术!$A:$R,17,FALSE)="鸣金",$D$15,0)-VLOOKUP($F$7,目标属性!$A:$R,6,FALSE))/100)</f>
        <v>-0.24</v>
      </c>
      <c r="AY64" s="100">
        <f t="shared" si="55"/>
        <v>0</v>
      </c>
      <c r="AZ64" s="91">
        <v>1</v>
      </c>
      <c r="BA64" s="92">
        <f>AU64*IF(VLOOKUP($E64,武器奇术!$A:$R,17,FALSE)="鸣金",VLOOKUP($E64,武器奇术!$A:$R,4,FALSE),VLOOKUP($E64,武器奇术!$A:$R,2,FALSE))*(1+AX64)*(1+AY64)*AZ64</f>
        <v>0</v>
      </c>
      <c r="BB64" s="93">
        <f>(1-IF(VLOOKUP($E64,武器奇术!$A:$R,16,FALSE)="陌刀",1,$N64))*(1-$M64)</f>
        <v>0</v>
      </c>
      <c r="BC64" s="92">
        <f>AV64*IF(VLOOKUP($E64,武器奇术!$A:$R,17,FALSE)="鸣金",VLOOKUP($E64,武器奇术!$A:$R,4,FALSE),VLOOKUP($E64,武器奇术!$A:$R,2,FALSE))*(1+AX64)*(1+AY64)*AZ64*(1+$E$16+VLOOKUP($E64,武器奇术!$A:$R,8,FALSE))</f>
        <v>0</v>
      </c>
      <c r="BD64" s="93">
        <f t="shared" si="3"/>
        <v>0.887</v>
      </c>
      <c r="BE64" s="92">
        <f>AW64*IF(VLOOKUP($E64,武器奇术!$A:$R,17,FALSE)="鸣金",VLOOKUP($E64,武器奇术!$A:$R,4,FALSE),VLOOKUP($E64,武器奇术!$A:$R,2,FALSE))*(1+AX64)*(1+AY64)*AZ64*(1+$E$17+VLOOKUP($E64,武器奇术!$A:$R,10,FALSE))</f>
        <v>0</v>
      </c>
      <c r="BF64" s="93">
        <f t="shared" si="4"/>
        <v>0.0986</v>
      </c>
      <c r="BG64" s="92">
        <f>AV64*IF(VLOOKUP($E64,武器奇术!$A:$R,17,FALSE)="鸣金",VLOOKUP($E64,武器奇术!$A:$R,4,FALSE),VLOOKUP($E64,武器奇术!$A:$R,2,FALSE))*(1+AX64)*(1+AY64)*AZ64</f>
        <v>0</v>
      </c>
      <c r="BH64" s="93">
        <f t="shared" si="71"/>
        <v>0.0144</v>
      </c>
      <c r="BI64" s="101">
        <f t="shared" si="72"/>
        <v>0</v>
      </c>
      <c r="BJ64" s="99">
        <f>IF(VLOOKUP($E64,武器奇术!$A:$R,18,FALSE)="极乐",0,$B$9*IF($G$5="撼天",1.05,1)+IF(AND(VLOOKUP($E64,武器奇术!$A:$R,15,FALSE)="武器",VLOOKUP($E64,武器奇术!$A:$R,17,FALSE)="裂石"),$E$3*(1+$E$15),0))</f>
        <v>0</v>
      </c>
      <c r="BK64" s="91">
        <f t="shared" si="73"/>
        <v>0</v>
      </c>
      <c r="BL64" s="91">
        <f>IF(VLOOKUP($E64,武器奇术!$A:$R,18,FALSE)="极乐",0,MAX($C$9*IF($G$5="撼天",1.05,1)+IF(AND(VLOOKUP($E64,武器奇术!$A:$R,15,FALSE)="武器",VLOOKUP($E64,武器奇术!$A:$R,17,FALSE)="裂石"),$E$3*(1+$E$15),0),BJ64))</f>
        <v>0</v>
      </c>
      <c r="BM64" s="93">
        <f>IF(($D$9+IF(VLOOKUP($E64,武器奇术!$A:$R,17,FALSE)="裂石",$D$15,0)-VLOOKUP($F$7,目标属性!$A:$R,6,FALSE))&gt;0,($D$9+IF(VLOOKUP($E64,武器奇术!$A:$R,17,FALSE)="裂石",$D$15,0)-VLOOKUP($F$7,目标属性!$A:$R,6,FALSE))/200,($D$9+IF(VLOOKUP($E64,武器奇术!$A:$R,17,FALSE)="裂石",$D$15,0)-VLOOKUP($F$7,目标属性!$A:$R,6,FALSE))/100)</f>
        <v>-0.24</v>
      </c>
      <c r="BN64" s="100">
        <f t="shared" si="56"/>
        <v>0</v>
      </c>
      <c r="BO64" s="91">
        <v>1</v>
      </c>
      <c r="BP64" s="92">
        <f>BJ64*IF(VLOOKUP($E64,武器奇术!$A:$R,17,FALSE)="裂石",VLOOKUP($E64,武器奇术!$A:$R,4,FALSE),VLOOKUP($E64,武器奇术!$A:$R,2,FALSE))*(1+BM64)*(1+BN64)*BO64</f>
        <v>0</v>
      </c>
      <c r="BQ64" s="93">
        <f>(1-IF(VLOOKUP($E64,武器奇术!$A:$R,16,FALSE)="陌刀",1,$N64))*(1-$M64)</f>
        <v>0</v>
      </c>
      <c r="BR64" s="92">
        <f>BK64*IF(VLOOKUP($E64,武器奇术!$A:$R,17,FALSE)="裂石",VLOOKUP($E64,武器奇术!$A:$R,4,FALSE),VLOOKUP($E64,武器奇术!$A:$R,2,FALSE))*(1+BM64)*(1+BN64)*BO64*(1+$E$16+VLOOKUP($E64,武器奇术!$A:$R,8,FALSE))</f>
        <v>0</v>
      </c>
      <c r="BS64" s="93">
        <f t="shared" si="5"/>
        <v>0.887</v>
      </c>
      <c r="BT64" s="92">
        <f>BL64*IF(VLOOKUP($E64,武器奇术!$A:$R,17,FALSE)="裂石",VLOOKUP($E64,武器奇术!$A:$R,4,FALSE),VLOOKUP($E64,武器奇术!$A:$R,2,FALSE))*(1+BM64)*(1+BN64)*BO64*(1+$E$17+VLOOKUP($E64,武器奇术!$A:$R,10,FALSE))</f>
        <v>0</v>
      </c>
      <c r="BU64" s="93">
        <f t="shared" si="6"/>
        <v>0.0986</v>
      </c>
      <c r="BV64" s="92">
        <f>BK64*IF(VLOOKUP($E64,武器奇术!$A:$R,17,FALSE)="裂石",VLOOKUP($E64,武器奇术!$A:$R,4,FALSE),VLOOKUP($E64,武器奇术!$A:$R,2,FALSE))*(1+BM64)*(1+BN64)*BO64</f>
        <v>0</v>
      </c>
      <c r="BW64" s="93">
        <f t="shared" si="74"/>
        <v>0.0144</v>
      </c>
      <c r="BX64" s="101">
        <f t="shared" si="75"/>
        <v>0</v>
      </c>
      <c r="BY64" s="99">
        <f>IF(VLOOKUP($E64,武器奇术!$A:$R,18,FALSE)="极乐",0,$B$11*IF($G$5="撼天",1.05,1)+IF(AND(VLOOKUP($E64,武器奇术!$A:$R,15,FALSE)="武器",VLOOKUP($E64,武器奇术!$A:$R,17,FALSE)="牵丝"),$E$3*(1+$E$15),0))</f>
        <v>0</v>
      </c>
      <c r="BZ64" s="91">
        <f t="shared" si="76"/>
        <v>0</v>
      </c>
      <c r="CA64" s="91">
        <f>IF(VLOOKUP($E64,武器奇术!$A:$R,18,FALSE)="极乐",0,MAX($C$11*IF($G$5="撼天",1.05,1)+IF(AND(VLOOKUP($E64,武器奇术!$A:$R,15,FALSE)="武器",VLOOKUP($E64,武器奇术!$A:$R,17,FALSE)="牵丝"),$E$3*(1+$E$15),0),BY64))</f>
        <v>0</v>
      </c>
      <c r="CB64" s="93">
        <f>IF(($D$11+IF(VLOOKUP($E64,武器奇术!$A:$R,17,FALSE)="牵丝",$D$15,0)-VLOOKUP($F$7,目标属性!$A:$R,6,FALSE))&gt;0,($D$11+IF(VLOOKUP($E64,武器奇术!$A:$R,17,FALSE)="牵丝",$D$15,0)-VLOOKUP($F$7,目标属性!$A:$R,6,FALSE))/200,($D$11+IF(VLOOKUP($E64,武器奇术!$A:$R,17,FALSE)="牵丝",$D$15,0)-VLOOKUP($F$7,目标属性!$A:$R,6,FALSE))/100)</f>
        <v>-0.24</v>
      </c>
      <c r="CC64" s="100">
        <f t="shared" si="57"/>
        <v>0</v>
      </c>
      <c r="CD64" s="91">
        <v>1</v>
      </c>
      <c r="CE64" s="92">
        <f>BY64*IF(VLOOKUP($E64,武器奇术!$A:$R,17,FALSE)="牵丝",VLOOKUP($E64,武器奇术!$A:$R,4,FALSE),VLOOKUP($E64,武器奇术!$A:$R,2,FALSE))*(1+CB64)*(1+CC64)*CD64</f>
        <v>0</v>
      </c>
      <c r="CF64" s="93">
        <f>(1-IF(VLOOKUP($E64,武器奇术!$A:$R,16,FALSE)="陌刀",1,$N64))*(1-$M64)</f>
        <v>0</v>
      </c>
      <c r="CG64" s="92">
        <f>BZ64*IF(VLOOKUP($E64,武器奇术!$A:$R,17,FALSE)="牵丝",VLOOKUP($E64,武器奇术!$A:$R,4,FALSE),VLOOKUP($E64,武器奇术!$A:$R,2,FALSE))*(1+CB64)*(1+CC64)*CD64*(1+$E$16+VLOOKUP($E64,武器奇术!$A:$R,8,FALSE))</f>
        <v>0</v>
      </c>
      <c r="CH64" s="93">
        <f t="shared" si="7"/>
        <v>0.887</v>
      </c>
      <c r="CI64" s="92">
        <f>CA64*IF(VLOOKUP($E64,武器奇术!$A:$R,17,FALSE)="牵丝",VLOOKUP($E64,武器奇术!$A:$R,4,FALSE),VLOOKUP($E64,武器奇术!$A:$R,2,FALSE))*(1+CB64)*(1+CC64)*CD64*(1+$E$17+VLOOKUP($E64,武器奇术!$A:$R,10,FALSE))</f>
        <v>0</v>
      </c>
      <c r="CJ64" s="93">
        <f t="shared" si="8"/>
        <v>0.0986</v>
      </c>
      <c r="CK64" s="92">
        <f>BZ64*IF(VLOOKUP($E64,武器奇术!$A:$R,17,FALSE)="牵丝",VLOOKUP($E64,武器奇术!$A:$R,4,FALSE),VLOOKUP($E64,武器奇术!$A:$R,2,FALSE))*(1+CB64)*(1+CC64)*CD64</f>
        <v>0</v>
      </c>
      <c r="CL64" s="93">
        <f t="shared" si="77"/>
        <v>0.0144</v>
      </c>
      <c r="CM64" s="101">
        <f t="shared" si="78"/>
        <v>0</v>
      </c>
      <c r="CN64" s="99">
        <f>IF(VLOOKUP($E64,武器奇术!$A:$R,18,FALSE)="极乐",0,$B$13*IF($G$5="撼天",1.05,1)+IF(AND(VLOOKUP($E64,武器奇术!$A:$R,15,FALSE)="武器",VLOOKUP($E64,武器奇术!$A:$R,17,FALSE)="破竹"),$E$3*(1+$E$15),0))</f>
        <v>490.8</v>
      </c>
      <c r="CO64" s="91">
        <f t="shared" si="79"/>
        <v>856.3</v>
      </c>
      <c r="CP64" s="91">
        <f>IF(VLOOKUP($E64,武器奇术!$A:$R,18,FALSE)="极乐",0,MAX($C$13*IF($G$5="撼天",1.05,1)+IF(AND(VLOOKUP($E64,武器奇术!$A:$R,15,FALSE)="武器",VLOOKUP($E64,武器奇术!$A:$R,17,FALSE)="破竹"),$E$3*(1+$E$15),0),CN64))</f>
        <v>1221.8</v>
      </c>
      <c r="CQ64" s="93">
        <f>IF(($D$13+IF(VLOOKUP($E64,武器奇术!$A:$R,17,FALSE)="破竹",$D$15,0)-VLOOKUP($F$7,目标属性!$A:$R,6,FALSE)+IF(VLOOKUP($E64,武器奇术!$A:$V,22,FALSE)=1,4,0)+IF(VLOOKUP($E64,武器奇术!$A:$T,20,FALSE)=1,10,0))&gt;0,($D$13+IF(VLOOKUP($E64,武器奇术!$A:$R,17,FALSE)="破竹",$D$15,0)-VLOOKUP($F$7,目标属性!$A:$R,6,FALSE)+IF(VLOOKUP($E64,武器奇术!$A:$V,22,FALSE)=1,4,0)+IF(VLOOKUP($E64,武器奇术!$A:$T,20,FALSE)=1,10,0))/200,($D$13+IF(VLOOKUP($E64,武器奇术!$A:$R,17,FALSE)="破竹",$D$15,0)-VLOOKUP($F$7,目标属性!$A:$R,6,FALSE)+IF(VLOOKUP($E64,武器奇术!$A:$V,22,FALSE)=1,4,0)+IF(VLOOKUP($E64,武器奇术!$A:$T,20,FALSE)=1,10,0))/100)</f>
        <v>0.028</v>
      </c>
      <c r="CR64" s="120">
        <f>$E$13+IF(期望!$G$5="燕归",6%,0)</f>
        <v>0.208</v>
      </c>
      <c r="CS64" s="91">
        <v>1</v>
      </c>
      <c r="CT64" s="92">
        <f>CN64*IF(VLOOKUP($E64,武器奇术!$A:$R,17,FALSE)="破竹",VLOOKUP($E64,武器奇术!$A:$R,4,FALSE),VLOOKUP($E64,武器奇术!$A:$R,2,FALSE))*(1+CQ64)*(1+CR64)*CS64</f>
        <v>319.98079008</v>
      </c>
      <c r="CU64" s="93">
        <f>(1-IF(VLOOKUP($E64,武器奇术!$A:$R,16,FALSE)="陌刀",1,$N64))*(1-$M64)</f>
        <v>0</v>
      </c>
      <c r="CV64" s="92">
        <f>CO64*IF(VLOOKUP($E64,武器奇术!$A:$R,17,FALSE)="破竹",VLOOKUP($E64,武器奇术!$A:$R,4,FALSE),VLOOKUP($E64,武器奇术!$A:$R,2,FALSE))*(1+CQ64)*(1+CR64)*CS64*(1+$E$16+VLOOKUP($E64,武器奇术!$A:$R,8,FALSE))</f>
        <v>1336.50147515472</v>
      </c>
      <c r="CW64" s="93">
        <f t="shared" si="9"/>
        <v>0.887</v>
      </c>
      <c r="CX64" s="92">
        <f>CP64*IF(VLOOKUP($E64,武器奇术!$A:$R,17,FALSE)="破竹",VLOOKUP($E64,武器奇术!$A:$R,4,FALSE),VLOOKUP($E64,武器奇术!$A:$R,2,FALSE))*(1+CQ64)*(1+CR64)*CS64*(1+$E$17+VLOOKUP($E64,武器奇术!$A:$R,10,FALSE))</f>
        <v>1075.358424168</v>
      </c>
      <c r="CY64" s="93">
        <f t="shared" si="10"/>
        <v>0.0986</v>
      </c>
      <c r="CZ64" s="92">
        <f>CO64*IF(VLOOKUP($E64,武器奇术!$A:$R,17,FALSE)="破竹",VLOOKUP($E64,武器奇术!$A:$R,4,FALSE),VLOOKUP($E64,武器奇术!$A:$R,2,FALSE))*(1+CQ64)*(1+CR64)*CS64</f>
        <v>558.27129288</v>
      </c>
      <c r="DA64" s="93">
        <f t="shared" si="80"/>
        <v>0.0144</v>
      </c>
      <c r="DB64" s="101">
        <f t="shared" si="81"/>
        <v>1299.54625570267</v>
      </c>
      <c r="DC64" s="99">
        <f>IF(VLOOKUP($E64,武器奇术!$A:$R,18,FALSE)="极乐",0,$B$15)</f>
        <v>66</v>
      </c>
      <c r="DD64" s="91">
        <f t="shared" si="82"/>
        <v>95.9</v>
      </c>
      <c r="DE64" s="91">
        <f>IF(VLOOKUP($E64,武器奇术!$A:$R,18,FALSE)="极乐",0,$C$15)</f>
        <v>125.8</v>
      </c>
      <c r="DF64" s="93">
        <f>IF((IF(VLOOKUP($E64,武器奇术!$A:$R,17,FALSE)="鸣金",$D$7,0)+IF(VLOOKUP($E64,武器奇术!$A:$R,17,FALSE)="裂石",$D$9,0)+IF(VLOOKUP($E64,武器奇术!$A:$R,17,FALSE)="牵丝",$D$11,0)+IF(VLOOKUP($E64,武器奇术!$A:$R,17,FALSE)="破竹",$D$13,0)+$D$15-VLOOKUP($F$7,目标属性!$A:$R,6,FALSE)+IF(VLOOKUP($E64,武器奇术!$A:$V,22,FALSE)=1,4,0)+IF(VLOOKUP($E64,武器奇术!$A:$T,20,FALSE)=1,10,0))&gt;0,(IF(VLOOKUP($E64,武器奇术!$A:$R,17,FALSE)="鸣金",$D$7,0)+IF(VLOOKUP($E64,武器奇术!$A:$R,17,FALSE)="裂石",$D$9,0)+IF(VLOOKUP($E64,武器奇术!$A:$R,17,FALSE)="牵丝",$D$11,0)+IF(VLOOKUP($E64,武器奇术!$A:$R,17,FALSE)="破竹",$D$13,0)+$D$15-VLOOKUP($F$7,目标属性!$A:$R,6,FALSE)+IF(VLOOKUP($E64,武器奇术!$A:$V,22,FALSE)=1,4,0)+IF(VLOOKUP($E64,武器奇术!$A:$T,20,FALSE)=1,10,0))/200,(IF(VLOOKUP($E64,武器奇术!$A:$R,17,FALSE)="鸣金",$D$7,0)+IF(VLOOKUP($E64,武器奇术!$A:$R,17,FALSE)="裂石",$D$9,0)+IF(VLOOKUP($E64,武器奇术!$A:$R,17,FALSE)="牵丝",$D$11,0)+IF(VLOOKUP($E64,武器奇术!$A:$R,17,FALSE)="破竹",$D$13,0)+$D$15-VLOOKUP($F$7,目标属性!$A:$R,6,FALSE)+IF(VLOOKUP($E64,武器奇术!$A:$V,22,FALSE)=1,4,0)+IF(VLOOKUP($E64,武器奇术!$A:$T,20,FALSE)=1,10,0))/100)</f>
        <v>0.028</v>
      </c>
      <c r="DG64" s="120">
        <f>$E$13+IF(期望!$G$5="燕归",6%,0)</f>
        <v>0.208</v>
      </c>
      <c r="DH64" s="91">
        <v>1</v>
      </c>
      <c r="DI64" s="92">
        <f>DC64*IF(VLOOKUP($E64,武器奇术!$A:$R,17,FALSE)="破竹",VLOOKUP($E64,武器奇术!$A:$R,4,FALSE),VLOOKUP($E64,武器奇术!$A:$R,2,FALSE))*(1+DF64)*(1+DG64)*DH64</f>
        <v>43.0292016</v>
      </c>
      <c r="DJ64" s="93">
        <f>(1-IF(VLOOKUP($E64,武器奇术!$A:$R,16,FALSE)="陌刀",1,$N64))*(1-$M64)</f>
        <v>0</v>
      </c>
      <c r="DK64" s="92">
        <f>DD64*IF(VLOOKUP($E64,武器奇术!$A:$R,17,FALSE)="破竹",VLOOKUP($E64,武器奇术!$A:$R,4,FALSE),VLOOKUP($E64,武器奇术!$A:$R,2,FALSE))*(1+DF64)*(1+DG64)*DH64*(1+$E$16+VLOOKUP($E64,武器奇术!$A:$R,8,FALSE))</f>
        <v>149.67942481296</v>
      </c>
      <c r="DL64" s="93">
        <f t="shared" si="12"/>
        <v>0.887</v>
      </c>
      <c r="DM64" s="92">
        <f>DE64*IF(VLOOKUP($E64,武器奇术!$A:$R,17,FALSE)="破竹",VLOOKUP($E64,武器奇术!$A:$R,4,FALSE),VLOOKUP($E64,武器奇术!$A:$R,2,FALSE))*(1+DF64)*(1+DG64)*DH64*(1+$E$17+VLOOKUP($E64,武器奇术!$A:$R,10,FALSE))</f>
        <v>110.721959208</v>
      </c>
      <c r="DN64" s="93">
        <f t="shared" si="13"/>
        <v>0.0986</v>
      </c>
      <c r="DO64" s="92">
        <f>DD64*IF(VLOOKUP($E64,武器奇术!$A:$R,17,FALSE)="破竹",VLOOKUP($E64,武器奇术!$A:$R,4,FALSE),VLOOKUP($E64,武器奇术!$A:$R,2,FALSE))*(1+DF64)*(1+DG64)*DH64</f>
        <v>62.52273384</v>
      </c>
      <c r="DP64" s="93">
        <f t="shared" si="14"/>
        <v>0.0144</v>
      </c>
      <c r="DQ64" s="101">
        <f t="shared" si="15"/>
        <v>144.5831623543</v>
      </c>
    </row>
    <row r="65" customFormat="1" spans="1:121">
      <c r="E65" s="105" t="s">
        <v>141</v>
      </c>
      <c r="F65" s="123">
        <f>IF($K$3="×",0,(F62*5+F63*5+F64)*0.15/3.5)</f>
        <v>0</v>
      </c>
      <c r="G65" s="107"/>
      <c r="H65" s="92">
        <f>IF(VLOOKUP($E65,武器奇术!$A:$R,18,FALSE)="天工",AE65,(AE65+AT65+BI65+BX65+CM65+DB65+DQ65))*(1+J65)*F65*K65*(1+G65)</f>
        <v>0</v>
      </c>
      <c r="I65" s="93">
        <f t="shared" si="58"/>
        <v>0</v>
      </c>
      <c r="J65" s="93">
        <f>$F$3+VLOOKUP($E65,武器奇术!$A:$R,12,FALSE)+VLOOKUP($E65,武器奇术!$A:$R,14,FALSE)*$G$3+$P65</f>
        <v>0.503</v>
      </c>
      <c r="K65" s="94">
        <f>VLOOKUP($E65,武器奇术!$A:$R,11,FALSE)</f>
        <v>1</v>
      </c>
      <c r="L65" s="109">
        <f>IF(VLOOKUP($E65,武器奇术!$A:$R,15,FALSE)="天工",0%,IF($C$17+VLOOKUP($E65,武器奇术!$A:$R,7,FALSE)&gt;80%,80%,$C$17+VLOOKUP($E65,武器奇术!$A:$R,7,FALSE))+IF($C$19&gt;20%,20%,$C$19))</f>
        <v>0.887</v>
      </c>
      <c r="M65" s="110">
        <f>IF(VLOOKUP($E65,武器奇术!$A:$R,15,FALSE)="天工",0%,IF($C$18+VLOOKUP($E65,武器奇术!$A:$R,9,FALSE)&gt;40%,40%,$C$18+VLOOKUP($E65,武器奇术!$A:$R,9,FALSE))+IF($C$20&gt;10%,10%,$C$20))</f>
        <v>0.0986</v>
      </c>
      <c r="N65" s="111">
        <f>IF(VLOOKUP($E65,武器奇术!$A:$R,15,FALSE)="天工",100%,MIN($C$16,1))</f>
        <v>1</v>
      </c>
      <c r="O65" s="112" t="str">
        <f>VLOOKUP($E65,武器奇术!$A:$R,16,FALSE)</f>
        <v>N/A</v>
      </c>
      <c r="P65" s="113">
        <f t="shared" si="59"/>
        <v>0</v>
      </c>
      <c r="Q65" s="99">
        <f>$B$5*(1+VLOOKUP($E65,武器奇术!$A:$R,5,FALSE)+IF($G$5="飞隼",0.1,0)+IF($G$5="撼天",0.05,0))-$F$9*IF(VLOOKUP($E65,武器奇术!$A:$S,19,FALSE)=1,0.9,1)+IF($I$5="√",160,0)</f>
        <v>2848.3</v>
      </c>
      <c r="R65" s="91">
        <f t="shared" si="60"/>
        <v>2848.3</v>
      </c>
      <c r="S65" s="91">
        <f>MAX($C$5,$B$5)*(1+VLOOKUP($E65,武器奇术!$A:$R,5,FALSE)+IF($G$5="飞隼",0.1,0)+IF($G$5="撼天",0.05,0))-$F$9*IF(VLOOKUP($E65,武器奇术!$A:$S,19,FALSE)=1,0.9,1)+IF($I$5="√",320,0)</f>
        <v>2848.3</v>
      </c>
      <c r="T65" s="93">
        <f>IF(($D$5+VLOOKUP($E65,武器奇术!$A:$R,13,FALSE)+IF($I$3="√",10,0)-VLOOKUP($F$7,目标属性!$A:$R,5,FALSE))&gt;0,($D$5+VLOOKUP($E65,武器奇术!$A:$R,13,FALSE)+IF($I$3="√",10,0)-VLOOKUP($F$7,目标属性!$A:$R,5,FALSE))/200,($D$5+VLOOKUP($E65,武器奇术!$A:$R,13,FALSE)+IF($I$3="√",10,0)-VLOOKUP($F$7,目标属性!$A:$R,5,FALSE))/100)</f>
        <v>0.3925</v>
      </c>
      <c r="U65" s="100">
        <f>$E$5+IF(VLOOKUP($E65,武器奇术!$A:$R,18,FALSE)="鼠鼠",0.24,0)</f>
        <v>0</v>
      </c>
      <c r="V65" s="91">
        <v>1</v>
      </c>
      <c r="W65" s="92">
        <f>Q65*VLOOKUP($E65,武器奇术!$A:$R,2,FALSE)*(1+T65)*(1+U65)*V65</f>
        <v>7932.5155</v>
      </c>
      <c r="X65" s="93">
        <f>(1-IF(VLOOKUP($E65,武器奇术!$A:$R,16,FALSE)="陌刀",1,$N65))*(1-$M65)</f>
        <v>0</v>
      </c>
      <c r="Y65" s="92">
        <f>R65*VLOOKUP($E65,武器奇术!$A:$R,2,FALSE)*(1+T65)*(1+U65)*V65*(1+$E$16+VLOOKUP($E65,武器奇术!$A:$R,8,FALSE))</f>
        <v>18990.442107</v>
      </c>
      <c r="Z65" s="93">
        <f t="shared" si="61"/>
        <v>0.887</v>
      </c>
      <c r="AA65" s="92">
        <f>S65*VLOOKUP($E65,武器奇术!$A:$R,2,FALSE)*(1+T65)*(1+U65)*V65*(1+$E$17+VLOOKUP($E65,武器奇术!$A:$R,10,FALSE))</f>
        <v>10708.895925</v>
      </c>
      <c r="AB65" s="93">
        <f t="shared" si="62"/>
        <v>0.0986</v>
      </c>
      <c r="AC65" s="92">
        <f>R65*VLOOKUP($E65,武器奇术!$A:$R,2,FALSE)*(1+T65)*(1+U65)*V65</f>
        <v>7932.5155</v>
      </c>
      <c r="AD65" s="93">
        <f t="shared" si="63"/>
        <v>0.0144</v>
      </c>
      <c r="AE65" s="101">
        <f t="shared" si="64"/>
        <v>18014.647510314</v>
      </c>
      <c r="AF65" s="102">
        <f>VLOOKUP($E65,武器奇术!$A:$R,3,FALSE)*(1+IF(VLOOKUP($E65,武器奇术!$A:$R,15,FALSE)="武器",$E$15,0))</f>
        <v>0</v>
      </c>
      <c r="AG65" s="92">
        <f t="shared" si="65"/>
        <v>0</v>
      </c>
      <c r="AH65" s="92">
        <f>VLOOKUP($E65,武器奇术!$A:$R,3,FALSE)*(1+IF(VLOOKUP($E65,武器奇术!$A:$R,15,FALSE)="武器",$E$15,0))</f>
        <v>0</v>
      </c>
      <c r="AI65" s="93">
        <f>IF(($D$5+VLOOKUP($E65,武器奇术!$A:$R,13,FALSE)+IF($I$3="√",10,0)-VLOOKUP($F$7,目标属性!$A:$R,5,FALSE))&gt;0,($D$5+VLOOKUP($E65,武器奇术!$A:$R,13,FALSE)+IF($I$3="√",10,0)-VLOOKUP($F$7,目标属性!$A:$R,5,FALSE))/200,($D$5+VLOOKUP($E65,武器奇术!$A:$R,13,FALSE)+IF($I$3="√",10,0)-VLOOKUP($F$7,目标属性!$A:$R,5,FALSE))/100)</f>
        <v>0.3925</v>
      </c>
      <c r="AJ65" s="100">
        <f>$E$5+IF(VLOOKUP($E65,武器奇术!$A:$R,18,FALSE)="鼠鼠",0.24,0)</f>
        <v>0</v>
      </c>
      <c r="AK65" s="91">
        <v>1</v>
      </c>
      <c r="AL65" s="92">
        <f t="shared" si="66"/>
        <v>0</v>
      </c>
      <c r="AM65" s="93">
        <f>(1-IF(VLOOKUP($E65,武器奇术!$A:$R,16,FALSE)="陌刀",1,$N65))*(1-$M65)</f>
        <v>0</v>
      </c>
      <c r="AN65" s="92">
        <f>AG65*(1+AI65)*(1+AJ65)*AK65*(1+$E$16+VLOOKUP($E65,武器奇术!$A:$R,8,FALSE))</f>
        <v>0</v>
      </c>
      <c r="AO65" s="93">
        <f t="shared" si="1"/>
        <v>0.887</v>
      </c>
      <c r="AP65" s="92">
        <f>AH65*(1+AI65)*(1+AJ65)*AK65*(1+$E$17+VLOOKUP($E65,武器奇术!$A:$R,10,FALSE))</f>
        <v>0</v>
      </c>
      <c r="AQ65" s="93">
        <f t="shared" si="2"/>
        <v>0.0986</v>
      </c>
      <c r="AR65" s="92">
        <f t="shared" si="67"/>
        <v>0</v>
      </c>
      <c r="AS65" s="93">
        <f t="shared" si="68"/>
        <v>0.0144</v>
      </c>
      <c r="AT65" s="101">
        <f t="shared" si="69"/>
        <v>0</v>
      </c>
      <c r="AU65" s="99">
        <f>IF(VLOOKUP($E65,武器奇术!$A:$R,18,FALSE)="极乐",0,$B$7*IF($G$5="撼天",1.05,1)+IF(AND(VLOOKUP($E65,武器奇术!$A:$R,15,FALSE)="武器",VLOOKUP($E65,武器奇术!$A:$R,17,FALSE)="鸣金"),$E$3*(1+$E$15),0))</f>
        <v>0</v>
      </c>
      <c r="AV65" s="91">
        <f t="shared" si="70"/>
        <v>0</v>
      </c>
      <c r="AW65" s="91">
        <f>IF(VLOOKUP($E65,武器奇术!$A:$R,18,FALSE)="极乐",0,MAX($C$7*IF($G$5="撼天",1.05,1)+IF(AND(VLOOKUP($E65,武器奇术!$A:$R,15,FALSE)="武器",VLOOKUP($E65,武器奇术!$A:$R,17,FALSE)="鸣金"),$E$3*(1+$E$15),0),AU65))</f>
        <v>0</v>
      </c>
      <c r="AX65" s="93">
        <f>IF(($D$7+IF(VLOOKUP($E65,武器奇术!$A:$R,17,FALSE)="鸣金",$D$15,0)-VLOOKUP($F$7,目标属性!$A:$R,6,FALSE))&gt;0,($D$7+IF(VLOOKUP($E65,武器奇术!$A:$R,17,FALSE)="鸣金",$D$15,0)-VLOOKUP($F$7,目标属性!$A:$R,6,FALSE))/200,($D$7+IF(VLOOKUP($E65,武器奇术!$A:$R,17,FALSE)="鸣金",$D$15,0)-VLOOKUP($F$7,目标属性!$A:$R,6,FALSE))/100)</f>
        <v>-0.24</v>
      </c>
      <c r="AY65" s="100">
        <f t="shared" si="55"/>
        <v>0</v>
      </c>
      <c r="AZ65" s="91">
        <v>1</v>
      </c>
      <c r="BA65" s="92">
        <f>AU65*IF(VLOOKUP($E65,武器奇术!$A:$R,17,FALSE)="鸣金",VLOOKUP($E65,武器奇术!$A:$R,4,FALSE),VLOOKUP($E65,武器奇术!$A:$R,2,FALSE))*(1+AX65)*(1+AY65)*AZ65</f>
        <v>0</v>
      </c>
      <c r="BB65" s="93">
        <f>(1-IF(VLOOKUP($E65,武器奇术!$A:$R,16,FALSE)="陌刀",1,$N65))*(1-$M65)</f>
        <v>0</v>
      </c>
      <c r="BC65" s="92">
        <f>AV65*IF(VLOOKUP($E65,武器奇术!$A:$R,17,FALSE)="鸣金",VLOOKUP($E65,武器奇术!$A:$R,4,FALSE),VLOOKUP($E65,武器奇术!$A:$R,2,FALSE))*(1+AX65)*(1+AY65)*AZ65*(1+$E$16+VLOOKUP($E65,武器奇术!$A:$R,8,FALSE))</f>
        <v>0</v>
      </c>
      <c r="BD65" s="93">
        <f t="shared" si="3"/>
        <v>0.887</v>
      </c>
      <c r="BE65" s="92">
        <f>AW65*IF(VLOOKUP($E65,武器奇术!$A:$R,17,FALSE)="鸣金",VLOOKUP($E65,武器奇术!$A:$R,4,FALSE),VLOOKUP($E65,武器奇术!$A:$R,2,FALSE))*(1+AX65)*(1+AY65)*AZ65*(1+$E$17+VLOOKUP($E65,武器奇术!$A:$R,10,FALSE))</f>
        <v>0</v>
      </c>
      <c r="BF65" s="93">
        <f t="shared" si="4"/>
        <v>0.0986</v>
      </c>
      <c r="BG65" s="92">
        <f>AV65*IF(VLOOKUP($E65,武器奇术!$A:$R,17,FALSE)="鸣金",VLOOKUP($E65,武器奇术!$A:$R,4,FALSE),VLOOKUP($E65,武器奇术!$A:$R,2,FALSE))*(1+AX65)*(1+AY65)*AZ65</f>
        <v>0</v>
      </c>
      <c r="BH65" s="93">
        <f t="shared" si="71"/>
        <v>0.0144</v>
      </c>
      <c r="BI65" s="101">
        <f t="shared" si="72"/>
        <v>0</v>
      </c>
      <c r="BJ65" s="99">
        <f>IF(VLOOKUP($E65,武器奇术!$A:$R,18,FALSE)="极乐",0,$B$9*IF($G$5="撼天",1.05,1)+IF(AND(VLOOKUP($E65,武器奇术!$A:$R,15,FALSE)="武器",VLOOKUP($E65,武器奇术!$A:$R,17,FALSE)="裂石"),$E$3*(1+$E$15),0))</f>
        <v>0</v>
      </c>
      <c r="BK65" s="91">
        <f t="shared" si="73"/>
        <v>0</v>
      </c>
      <c r="BL65" s="91">
        <f>IF(VLOOKUP($E65,武器奇术!$A:$R,18,FALSE)="极乐",0,MAX($C$9*IF($G$5="撼天",1.05,1)+IF(AND(VLOOKUP($E65,武器奇术!$A:$R,15,FALSE)="武器",VLOOKUP($E65,武器奇术!$A:$R,17,FALSE)="裂石"),$E$3*(1+$E$15),0),BJ65))</f>
        <v>0</v>
      </c>
      <c r="BM65" s="93">
        <f>IF(($D$9+IF(VLOOKUP($E65,武器奇术!$A:$R,17,FALSE)="裂石",$D$15,0)-VLOOKUP($F$7,目标属性!$A:$R,6,FALSE))&gt;0,($D$9+IF(VLOOKUP($E65,武器奇术!$A:$R,17,FALSE)="裂石",$D$15,0)-VLOOKUP($F$7,目标属性!$A:$R,6,FALSE))/200,($D$9+IF(VLOOKUP($E65,武器奇术!$A:$R,17,FALSE)="裂石",$D$15,0)-VLOOKUP($F$7,目标属性!$A:$R,6,FALSE))/100)</f>
        <v>-0.24</v>
      </c>
      <c r="BN65" s="100">
        <f t="shared" si="56"/>
        <v>0</v>
      </c>
      <c r="BO65" s="91">
        <v>1</v>
      </c>
      <c r="BP65" s="92">
        <f>BJ65*IF(VLOOKUP($E65,武器奇术!$A:$R,17,FALSE)="裂石",VLOOKUP($E65,武器奇术!$A:$R,4,FALSE),VLOOKUP($E65,武器奇术!$A:$R,2,FALSE))*(1+BM65)*(1+BN65)*BO65</f>
        <v>0</v>
      </c>
      <c r="BQ65" s="93">
        <f>(1-IF(VLOOKUP($E65,武器奇术!$A:$R,16,FALSE)="陌刀",1,$N65))*(1-$M65)</f>
        <v>0</v>
      </c>
      <c r="BR65" s="92">
        <f>BK65*IF(VLOOKUP($E65,武器奇术!$A:$R,17,FALSE)="裂石",VLOOKUP($E65,武器奇术!$A:$R,4,FALSE),VLOOKUP($E65,武器奇术!$A:$R,2,FALSE))*(1+BM65)*(1+BN65)*BO65*(1+$E$16+VLOOKUP($E65,武器奇术!$A:$R,8,FALSE))</f>
        <v>0</v>
      </c>
      <c r="BS65" s="93">
        <f t="shared" si="5"/>
        <v>0.887</v>
      </c>
      <c r="BT65" s="92">
        <f>BL65*IF(VLOOKUP($E65,武器奇术!$A:$R,17,FALSE)="裂石",VLOOKUP($E65,武器奇术!$A:$R,4,FALSE),VLOOKUP($E65,武器奇术!$A:$R,2,FALSE))*(1+BM65)*(1+BN65)*BO65*(1+$E$17+VLOOKUP($E65,武器奇术!$A:$R,10,FALSE))</f>
        <v>0</v>
      </c>
      <c r="BU65" s="93">
        <f t="shared" si="6"/>
        <v>0.0986</v>
      </c>
      <c r="BV65" s="92">
        <f>BK65*IF(VLOOKUP($E65,武器奇术!$A:$R,17,FALSE)="裂石",VLOOKUP($E65,武器奇术!$A:$R,4,FALSE),VLOOKUP($E65,武器奇术!$A:$R,2,FALSE))*(1+BM65)*(1+BN65)*BO65</f>
        <v>0</v>
      </c>
      <c r="BW65" s="93">
        <f t="shared" si="74"/>
        <v>0.0144</v>
      </c>
      <c r="BX65" s="101">
        <f t="shared" si="75"/>
        <v>0</v>
      </c>
      <c r="BY65" s="99">
        <f>IF(VLOOKUP($E65,武器奇术!$A:$R,18,FALSE)="极乐",0,$B$11*IF($G$5="撼天",1.05,1)+IF(AND(VLOOKUP($E65,武器奇术!$A:$R,15,FALSE)="武器",VLOOKUP($E65,武器奇术!$A:$R,17,FALSE)="牵丝"),$E$3*(1+$E$15),0))</f>
        <v>0</v>
      </c>
      <c r="BZ65" s="91">
        <f t="shared" si="76"/>
        <v>0</v>
      </c>
      <c r="CA65" s="91">
        <f>IF(VLOOKUP($E65,武器奇术!$A:$R,18,FALSE)="极乐",0,MAX($C$11*IF($G$5="撼天",1.05,1)+IF(AND(VLOOKUP($E65,武器奇术!$A:$R,15,FALSE)="武器",VLOOKUP($E65,武器奇术!$A:$R,17,FALSE)="牵丝"),$E$3*(1+$E$15),0),BY65))</f>
        <v>0</v>
      </c>
      <c r="CB65" s="93">
        <f>IF(($D$11+IF(VLOOKUP($E65,武器奇术!$A:$R,17,FALSE)="牵丝",$D$15,0)-VLOOKUP($F$7,目标属性!$A:$R,6,FALSE))&gt;0,($D$11+IF(VLOOKUP($E65,武器奇术!$A:$R,17,FALSE)="牵丝",$D$15,0)-VLOOKUP($F$7,目标属性!$A:$R,6,FALSE))/200,($D$11+IF(VLOOKUP($E65,武器奇术!$A:$R,17,FALSE)="牵丝",$D$15,0)-VLOOKUP($F$7,目标属性!$A:$R,6,FALSE))/100)</f>
        <v>-0.24</v>
      </c>
      <c r="CC65" s="100">
        <f t="shared" si="57"/>
        <v>0</v>
      </c>
      <c r="CD65" s="91">
        <v>1</v>
      </c>
      <c r="CE65" s="92">
        <f>BY65*IF(VLOOKUP($E65,武器奇术!$A:$R,17,FALSE)="牵丝",VLOOKUP($E65,武器奇术!$A:$R,4,FALSE),VLOOKUP($E65,武器奇术!$A:$R,2,FALSE))*(1+CB65)*(1+CC65)*CD65</f>
        <v>0</v>
      </c>
      <c r="CF65" s="93">
        <f>(1-IF(VLOOKUP($E65,武器奇术!$A:$R,16,FALSE)="陌刀",1,$N65))*(1-$M65)</f>
        <v>0</v>
      </c>
      <c r="CG65" s="92">
        <f>BZ65*IF(VLOOKUP($E65,武器奇术!$A:$R,17,FALSE)="牵丝",VLOOKUP($E65,武器奇术!$A:$R,4,FALSE),VLOOKUP($E65,武器奇术!$A:$R,2,FALSE))*(1+CB65)*(1+CC65)*CD65*(1+$E$16+VLOOKUP($E65,武器奇术!$A:$R,8,FALSE))</f>
        <v>0</v>
      </c>
      <c r="CH65" s="93">
        <f t="shared" si="7"/>
        <v>0.887</v>
      </c>
      <c r="CI65" s="92">
        <f>CA65*IF(VLOOKUP($E65,武器奇术!$A:$R,17,FALSE)="牵丝",VLOOKUP($E65,武器奇术!$A:$R,4,FALSE),VLOOKUP($E65,武器奇术!$A:$R,2,FALSE))*(1+CB65)*(1+CC65)*CD65*(1+$E$17+VLOOKUP($E65,武器奇术!$A:$R,10,FALSE))</f>
        <v>0</v>
      </c>
      <c r="CJ65" s="93">
        <f t="shared" si="8"/>
        <v>0.0986</v>
      </c>
      <c r="CK65" s="92">
        <f>BZ65*IF(VLOOKUP($E65,武器奇术!$A:$R,17,FALSE)="牵丝",VLOOKUP($E65,武器奇术!$A:$R,4,FALSE),VLOOKUP($E65,武器奇术!$A:$R,2,FALSE))*(1+CB65)*(1+CC65)*CD65</f>
        <v>0</v>
      </c>
      <c r="CL65" s="93">
        <f t="shared" si="77"/>
        <v>0.0144</v>
      </c>
      <c r="CM65" s="101">
        <f t="shared" si="78"/>
        <v>0</v>
      </c>
      <c r="CN65" s="99">
        <f>IF(VLOOKUP($E65,武器奇术!$A:$R,18,FALSE)="极乐",0,$B$13*IF($G$5="撼天",1.05,1)+IF(AND(VLOOKUP($E65,武器奇术!$A:$R,15,FALSE)="武器",VLOOKUP($E65,武器奇术!$A:$R,17,FALSE)="破竹"),$E$3*(1+$E$15),0))</f>
        <v>0</v>
      </c>
      <c r="CO65" s="91">
        <f t="shared" si="79"/>
        <v>0</v>
      </c>
      <c r="CP65" s="91">
        <f>IF(VLOOKUP($E65,武器奇术!$A:$R,18,FALSE)="极乐",0,MAX($C$13*IF($G$5="撼天",1.05,1)+IF(AND(VLOOKUP($E65,武器奇术!$A:$R,15,FALSE)="武器",VLOOKUP($E65,武器奇术!$A:$R,17,FALSE)="破竹"),$E$3*(1+$E$15),0),CN65))</f>
        <v>0</v>
      </c>
      <c r="CQ65" s="93">
        <f>IF(($D$13+IF(VLOOKUP($E65,武器奇术!$A:$R,17,FALSE)="破竹",$D$15,0)-VLOOKUP($F$7,目标属性!$A:$R,6,FALSE)+IF(VLOOKUP($E65,武器奇术!$A:$V,22,FALSE)=1,4,0)+IF(VLOOKUP($E65,武器奇术!$A:$T,20,FALSE)=1,10,0))&gt;0,($D$13+IF(VLOOKUP($E65,武器奇术!$A:$R,17,FALSE)="破竹",$D$15,0)-VLOOKUP($F$7,目标属性!$A:$R,6,FALSE)+IF(VLOOKUP($E65,武器奇术!$A:$V,22,FALSE)=1,4,0)+IF(VLOOKUP($E65,武器奇术!$A:$T,20,FALSE)=1,10,0))/200,($D$13+IF(VLOOKUP($E65,武器奇术!$A:$R,17,FALSE)="破竹",$D$15,0)-VLOOKUP($F$7,目标属性!$A:$R,6,FALSE)+IF(VLOOKUP($E65,武器奇术!$A:$V,22,FALSE)=1,4,0)+IF(VLOOKUP($E65,武器奇术!$A:$T,20,FALSE)=1,10,0))/100)</f>
        <v>0.028</v>
      </c>
      <c r="CR65" s="100">
        <f t="shared" ref="CR62:CR132" si="83">$E$13</f>
        <v>0.148</v>
      </c>
      <c r="CS65" s="91">
        <v>1</v>
      </c>
      <c r="CT65" s="92">
        <f>CN65*IF(VLOOKUP($E65,武器奇术!$A:$R,17,FALSE)="破竹",VLOOKUP($E65,武器奇术!$A:$R,4,FALSE),VLOOKUP($E65,武器奇术!$A:$R,2,FALSE))*(1+CQ65)*(1+CR65)*CS65</f>
        <v>0</v>
      </c>
      <c r="CU65" s="93">
        <f>(1-IF(VLOOKUP($E65,武器奇术!$A:$R,16,FALSE)="陌刀",1,$N65))*(1-$M65)</f>
        <v>0</v>
      </c>
      <c r="CV65" s="92">
        <f>CO65*IF(VLOOKUP($E65,武器奇术!$A:$R,17,FALSE)="破竹",VLOOKUP($E65,武器奇术!$A:$R,4,FALSE),VLOOKUP($E65,武器奇术!$A:$R,2,FALSE))*(1+CQ65)*(1+CR65)*CS65*(1+$E$16+VLOOKUP($E65,武器奇术!$A:$R,8,FALSE))</f>
        <v>0</v>
      </c>
      <c r="CW65" s="93">
        <f t="shared" si="9"/>
        <v>0.887</v>
      </c>
      <c r="CX65" s="92">
        <f>CP65*IF(VLOOKUP($E65,武器奇术!$A:$R,17,FALSE)="破竹",VLOOKUP($E65,武器奇术!$A:$R,4,FALSE),VLOOKUP($E65,武器奇术!$A:$R,2,FALSE))*(1+CQ65)*(1+CR65)*CS65*(1+$E$17+VLOOKUP($E65,武器奇术!$A:$R,10,FALSE))</f>
        <v>0</v>
      </c>
      <c r="CY65" s="93">
        <f t="shared" si="10"/>
        <v>0.0986</v>
      </c>
      <c r="CZ65" s="92">
        <f>CO65*IF(VLOOKUP($E65,武器奇术!$A:$R,17,FALSE)="破竹",VLOOKUP($E65,武器奇术!$A:$R,4,FALSE),VLOOKUP($E65,武器奇术!$A:$R,2,FALSE))*(1+CQ65)*(1+CR65)*CS65</f>
        <v>0</v>
      </c>
      <c r="DA65" s="93">
        <f t="shared" si="80"/>
        <v>0.0144</v>
      </c>
      <c r="DB65" s="101">
        <f t="shared" si="81"/>
        <v>0</v>
      </c>
      <c r="DC65" s="99">
        <f>IF(VLOOKUP($E65,武器奇术!$A:$R,18,FALSE)="极乐",0,$B$15)</f>
        <v>0</v>
      </c>
      <c r="DD65" s="91">
        <f t="shared" si="82"/>
        <v>0</v>
      </c>
      <c r="DE65" s="91">
        <f>IF(VLOOKUP($E65,武器奇术!$A:$R,18,FALSE)="极乐",0,$C$15)</f>
        <v>0</v>
      </c>
      <c r="DF65" s="93">
        <f>IF((IF(VLOOKUP($E65,武器奇术!$A:$R,17,FALSE)="鸣金",$D$7,0)+IF(VLOOKUP($E65,武器奇术!$A:$R,17,FALSE)="裂石",$D$9,0)+IF(VLOOKUP($E65,武器奇术!$A:$R,17,FALSE)="牵丝",$D$11,0)+IF(VLOOKUP($E65,武器奇术!$A:$R,17,FALSE)="破竹",$D$13,0)+$D$15-VLOOKUP($F$7,目标属性!$A:$R,6,FALSE)+IF(VLOOKUP($E65,武器奇术!$A:$V,22,FALSE)=1,4,0)+IF(VLOOKUP($E65,武器奇术!$A:$T,20,FALSE)=1,10,0))&gt;0,(IF(VLOOKUP($E65,武器奇术!$A:$R,17,FALSE)="鸣金",$D$7,0)+IF(VLOOKUP($E65,武器奇术!$A:$R,17,FALSE)="裂石",$D$9,0)+IF(VLOOKUP($E65,武器奇术!$A:$R,17,FALSE)="牵丝",$D$11,0)+IF(VLOOKUP($E65,武器奇术!$A:$R,17,FALSE)="破竹",$D$13,0)+$D$15-VLOOKUP($F$7,目标属性!$A:$R,6,FALSE)+IF(VLOOKUP($E65,武器奇术!$A:$V,22,FALSE)=1,4,0)+IF(VLOOKUP($E65,武器奇术!$A:$T,20,FALSE)=1,10,0))/200,(IF(VLOOKUP($E65,武器奇术!$A:$R,17,FALSE)="鸣金",$D$7,0)+IF(VLOOKUP($E65,武器奇术!$A:$R,17,FALSE)="裂石",$D$9,0)+IF(VLOOKUP($E65,武器奇术!$A:$R,17,FALSE)="牵丝",$D$11,0)+IF(VLOOKUP($E65,武器奇术!$A:$R,17,FALSE)="破竹",$D$13,0)+$D$15-VLOOKUP($F$7,目标属性!$A:$R,6,FALSE)+IF(VLOOKUP($E65,武器奇术!$A:$V,22,FALSE)=1,4,0)+IF(VLOOKUP($E65,武器奇术!$A:$T,20,FALSE)=1,10,0))/100)</f>
        <v>0.028</v>
      </c>
      <c r="DG65" s="100">
        <f t="shared" si="54"/>
        <v>0.148</v>
      </c>
      <c r="DH65" s="91">
        <v>1</v>
      </c>
      <c r="DI65" s="92">
        <f>DC65*IF(VLOOKUP($E65,武器奇术!$A:$R,17,FALSE)="破竹",VLOOKUP($E65,武器奇术!$A:$R,4,FALSE),VLOOKUP($E65,武器奇术!$A:$R,2,FALSE))*(1+DF65)*(1+DG65)*DH65</f>
        <v>0</v>
      </c>
      <c r="DJ65" s="93">
        <f>(1-IF(VLOOKUP($E65,武器奇术!$A:$R,16,FALSE)="陌刀",1,$N65))*(1-$M65)</f>
        <v>0</v>
      </c>
      <c r="DK65" s="92">
        <f>DD65*IF(VLOOKUP($E65,武器奇术!$A:$R,17,FALSE)="破竹",VLOOKUP($E65,武器奇术!$A:$R,4,FALSE),VLOOKUP($E65,武器奇术!$A:$R,2,FALSE))*(1+DF65)*(1+DG65)*DH65*(1+$E$16+VLOOKUP($E65,武器奇术!$A:$R,8,FALSE))</f>
        <v>0</v>
      </c>
      <c r="DL65" s="93">
        <f t="shared" si="12"/>
        <v>0.887</v>
      </c>
      <c r="DM65" s="92">
        <f>DE65*IF(VLOOKUP($E65,武器奇术!$A:$R,17,FALSE)="破竹",VLOOKUP($E65,武器奇术!$A:$R,4,FALSE),VLOOKUP($E65,武器奇术!$A:$R,2,FALSE))*(1+DF65)*(1+DG65)*DH65*(1+$E$17+VLOOKUP($E65,武器奇术!$A:$R,10,FALSE))</f>
        <v>0</v>
      </c>
      <c r="DN65" s="93">
        <f t="shared" si="13"/>
        <v>0.0986</v>
      </c>
      <c r="DO65" s="92">
        <f>DD65*IF(VLOOKUP($E65,武器奇术!$A:$R,17,FALSE)="破竹",VLOOKUP($E65,武器奇术!$A:$R,4,FALSE),VLOOKUP($E65,武器奇术!$A:$R,2,FALSE))*(1+DF65)*(1+DG65)*DH65</f>
        <v>0</v>
      </c>
      <c r="DP65" s="93">
        <f t="shared" si="14"/>
        <v>0.0144</v>
      </c>
      <c r="DQ65" s="101">
        <f t="shared" si="15"/>
        <v>0</v>
      </c>
    </row>
    <row r="66" customFormat="1" spans="1:121">
      <c r="E66" s="105" t="s">
        <v>142</v>
      </c>
      <c r="F66" s="106">
        <v>1</v>
      </c>
      <c r="G66" s="107">
        <f>$E$24</f>
        <v>0</v>
      </c>
      <c r="H66" s="92">
        <f>IF(VLOOKUP($E66,武器奇术!$A:$R,18,FALSE)="天工",AE66,(AE66+AT66+BI66+BX66+CM66+DB66+DQ66))*(1+J66)*F66*K66*(1+G66)</f>
        <v>18398.8804343454</v>
      </c>
      <c r="I66" s="93">
        <f t="shared" si="58"/>
        <v>0.00236025840210173</v>
      </c>
      <c r="J66" s="93">
        <f>$F$3+VLOOKUP($E66,武器奇术!$A:$R,12,FALSE)+VLOOKUP($E66,武器奇术!$A:$R,14,FALSE)*$G$3+$P66</f>
        <v>0.693</v>
      </c>
      <c r="K66" s="94">
        <f>VLOOKUP($E66,武器奇术!$A:$R,11,FALSE)</f>
        <v>1</v>
      </c>
      <c r="L66" s="109">
        <f>IF(VLOOKUP($E66,武器奇术!$A:$R,15,FALSE)="天工",0%,IF($C$17+VLOOKUP($E66,武器奇术!$A:$R,7,FALSE)&gt;80%,80%,$C$17+VLOOKUP($E66,武器奇术!$A:$R,7,FALSE))+IF($C$19&gt;20%,20%,$C$19))</f>
        <v>0.887</v>
      </c>
      <c r="M66" s="110">
        <f>IF(VLOOKUP($E66,武器奇术!$A:$R,15,FALSE)="天工",0%,IF($C$18+VLOOKUP($E66,武器奇术!$A:$R,9,FALSE)&gt;40%,40%,$C$18+VLOOKUP($E66,武器奇术!$A:$R,9,FALSE))+IF($C$20&gt;10%,10%,$C$20))</f>
        <v>0.0986</v>
      </c>
      <c r="N66" s="111">
        <f>IF(VLOOKUP($E66,武器奇术!$A:$R,15,FALSE)="天工",100%,MIN($C$16,1))</f>
        <v>1</v>
      </c>
      <c r="O66" s="112" t="str">
        <f>VLOOKUP($E66,武器奇术!$A:$R,16,FALSE)</f>
        <v>双刀</v>
      </c>
      <c r="P66" s="113">
        <f t="shared" si="59"/>
        <v>0.17</v>
      </c>
      <c r="Q66" s="99">
        <f>$B$5*(1+VLOOKUP($E66,武器奇术!$A:$R,5,FALSE)+IF($G$5="飞隼",0.1,0)+IF($G$5="撼天",0.05,0))-$F$9*IF(VLOOKUP($E66,武器奇术!$A:$S,19,FALSE)=1,0.9,1)+IF($I$5="√",160,0)</f>
        <v>2904.2</v>
      </c>
      <c r="R66" s="91">
        <f t="shared" si="60"/>
        <v>2904.2</v>
      </c>
      <c r="S66" s="91">
        <f>MAX($C$5,$B$5)*(1+VLOOKUP($E66,武器奇术!$A:$R,5,FALSE)+IF($G$5="飞隼",0.1,0)+IF($G$5="撼天",0.05,0))-$F$9*IF(VLOOKUP($E66,武器奇术!$A:$S,19,FALSE)=1,0.9,1)+IF($I$5="√",320,0)</f>
        <v>2904.2</v>
      </c>
      <c r="T66" s="93">
        <f>IF(($D$5+VLOOKUP($E66,武器奇术!$A:$R,13,FALSE)+IF($I$3="√",10,0)-VLOOKUP($F$7,目标属性!$A:$R,5,FALSE))&gt;0,($D$5+VLOOKUP($E66,武器奇术!$A:$R,13,FALSE)+IF($I$3="√",10,0)-VLOOKUP($F$7,目标属性!$A:$R,5,FALSE))/200,($D$5+VLOOKUP($E66,武器奇术!$A:$R,13,FALSE)+IF($I$3="√",10,0)-VLOOKUP($F$7,目标属性!$A:$R,5,FALSE))/100)</f>
        <v>0.3925</v>
      </c>
      <c r="U66" s="100">
        <f>$E$5+IF(VLOOKUP($E66,武器奇术!$A:$R,18,FALSE)="鼠鼠",0.24,0)</f>
        <v>0</v>
      </c>
      <c r="V66" s="91">
        <v>1</v>
      </c>
      <c r="W66" s="92">
        <f>Q66*VLOOKUP($E66,武器奇术!$A:$R,2,FALSE)*(1+T66)*(1+U66)*V66</f>
        <v>2879.07460412</v>
      </c>
      <c r="X66" s="93">
        <f>(1-IF(VLOOKUP($E66,武器奇术!$A:$R,16,FALSE)="陌刀",1,$N66))*(1-$M66)</f>
        <v>0</v>
      </c>
      <c r="Y66" s="92">
        <f>R66*VLOOKUP($E66,武器奇术!$A:$R,2,FALSE)*(1+T66)*(1+U66)*V66*(1+$E$16+VLOOKUP($E66,武器奇术!$A:$R,8,FALSE))</f>
        <v>6892.50460226328</v>
      </c>
      <c r="Z66" s="93">
        <f t="shared" si="61"/>
        <v>0.887</v>
      </c>
      <c r="AA66" s="92">
        <f>S66*VLOOKUP($E66,武器奇术!$A:$R,2,FALSE)*(1+T66)*(1+U66)*V66*(1+$E$17+VLOOKUP($E66,武器奇术!$A:$R,10,FALSE))</f>
        <v>3886.750715562</v>
      </c>
      <c r="AB66" s="93">
        <f t="shared" si="62"/>
        <v>0.0986</v>
      </c>
      <c r="AC66" s="92">
        <f>R66*VLOOKUP($E66,武器奇术!$A:$R,2,FALSE)*(1+T66)*(1+U66)*V66</f>
        <v>2879.07460412</v>
      </c>
      <c r="AD66" s="93">
        <f t="shared" si="63"/>
        <v>0.0144</v>
      </c>
      <c r="AE66" s="101">
        <f t="shared" si="64"/>
        <v>6538.34387706127</v>
      </c>
      <c r="AF66" s="102">
        <f>VLOOKUP($E66,武器奇术!$A:$R,3,FALSE)*(1+IF(VLOOKUP($E66,武器奇术!$A:$R,15,FALSE)="武器",$E$15,0))</f>
        <v>257.4</v>
      </c>
      <c r="AG66" s="92">
        <f t="shared" si="65"/>
        <v>257.4</v>
      </c>
      <c r="AH66" s="92">
        <f>VLOOKUP($E66,武器奇术!$A:$R,3,FALSE)*(1+IF(VLOOKUP($E66,武器奇术!$A:$R,15,FALSE)="武器",$E$15,0))</f>
        <v>257.4</v>
      </c>
      <c r="AI66" s="93">
        <f>IF(($D$5+VLOOKUP($E66,武器奇术!$A:$R,13,FALSE)+IF($I$3="√",10,0)-VLOOKUP($F$7,目标属性!$A:$R,5,FALSE))&gt;0,($D$5+VLOOKUP($E66,武器奇术!$A:$R,13,FALSE)+IF($I$3="√",10,0)-VLOOKUP($F$7,目标属性!$A:$R,5,FALSE))/200,($D$5+VLOOKUP($E66,武器奇术!$A:$R,13,FALSE)+IF($I$3="√",10,0)-VLOOKUP($F$7,目标属性!$A:$R,5,FALSE))/100)</f>
        <v>0.3925</v>
      </c>
      <c r="AJ66" s="100">
        <f>$E$5+IF(VLOOKUP($E66,武器奇术!$A:$R,18,FALSE)="鼠鼠",0.24,0)</f>
        <v>0</v>
      </c>
      <c r="AK66" s="91">
        <v>1</v>
      </c>
      <c r="AL66" s="92">
        <f t="shared" si="66"/>
        <v>358.4295</v>
      </c>
      <c r="AM66" s="93">
        <f>(1-IF(VLOOKUP($E66,武器奇术!$A:$R,16,FALSE)="陌刀",1,$N66))*(1-$M66)</f>
        <v>0</v>
      </c>
      <c r="AN66" s="92">
        <f>AG66*(1+AI66)*(1+AJ66)*AK66*(1+$E$16+VLOOKUP($E66,武器奇术!$A:$R,8,FALSE))</f>
        <v>858.080223</v>
      </c>
      <c r="AO66" s="93">
        <f t="shared" si="1"/>
        <v>0.887</v>
      </c>
      <c r="AP66" s="92">
        <f>AH66*(1+AI66)*(1+AJ66)*AK66*(1+$E$17+VLOOKUP($E66,武器奇术!$A:$R,10,FALSE))</f>
        <v>483.879825</v>
      </c>
      <c r="AQ66" s="93">
        <f t="shared" si="2"/>
        <v>0.0986</v>
      </c>
      <c r="AR66" s="92">
        <f t="shared" si="67"/>
        <v>358.4295</v>
      </c>
      <c r="AS66" s="93">
        <f t="shared" si="68"/>
        <v>0.0144</v>
      </c>
      <c r="AT66" s="101">
        <f t="shared" si="69"/>
        <v>813.989093346</v>
      </c>
      <c r="AU66" s="99">
        <f>IF(VLOOKUP($E66,武器奇术!$A:$R,18,FALSE)="极乐",0,$B$7*IF($G$5="撼天",1.05,1)+IF(AND(VLOOKUP($E66,武器奇术!$A:$R,15,FALSE)="武器",VLOOKUP($E66,武器奇术!$A:$R,17,FALSE)="鸣金"),$E$3*(1+$E$15),0))</f>
        <v>0</v>
      </c>
      <c r="AV66" s="91">
        <f t="shared" si="70"/>
        <v>0</v>
      </c>
      <c r="AW66" s="91">
        <f>IF(VLOOKUP($E66,武器奇术!$A:$R,18,FALSE)="极乐",0,MAX($C$7*IF($G$5="撼天",1.05,1)+IF(AND(VLOOKUP($E66,武器奇术!$A:$R,15,FALSE)="武器",VLOOKUP($E66,武器奇术!$A:$R,17,FALSE)="鸣金"),$E$3*(1+$E$15),0),AU66))</f>
        <v>0</v>
      </c>
      <c r="AX66" s="93">
        <f>IF(($D$7+IF(VLOOKUP($E66,武器奇术!$A:$R,17,FALSE)="鸣金",$D$15,0)-VLOOKUP($F$7,目标属性!$A:$R,6,FALSE))&gt;0,($D$7+IF(VLOOKUP($E66,武器奇术!$A:$R,17,FALSE)="鸣金",$D$15,0)-VLOOKUP($F$7,目标属性!$A:$R,6,FALSE))/200,($D$7+IF(VLOOKUP($E66,武器奇术!$A:$R,17,FALSE)="鸣金",$D$15,0)-VLOOKUP($F$7,目标属性!$A:$R,6,FALSE))/100)</f>
        <v>-0.24</v>
      </c>
      <c r="AY66" s="100">
        <f t="shared" si="55"/>
        <v>0</v>
      </c>
      <c r="AZ66" s="91">
        <v>1</v>
      </c>
      <c r="BA66" s="92">
        <f>AU66*IF(VLOOKUP($E66,武器奇术!$A:$R,17,FALSE)="鸣金",VLOOKUP($E66,武器奇术!$A:$R,4,FALSE),VLOOKUP($E66,武器奇术!$A:$R,2,FALSE))*(1+AX66)*(1+AY66)*AZ66</f>
        <v>0</v>
      </c>
      <c r="BB66" s="93">
        <f>(1-IF(VLOOKUP($E66,武器奇术!$A:$R,16,FALSE)="陌刀",1,$N66))*(1-$M66)</f>
        <v>0</v>
      </c>
      <c r="BC66" s="92">
        <f>AV66*IF(VLOOKUP($E66,武器奇术!$A:$R,17,FALSE)="鸣金",VLOOKUP($E66,武器奇术!$A:$R,4,FALSE),VLOOKUP($E66,武器奇术!$A:$R,2,FALSE))*(1+AX66)*(1+AY66)*AZ66*(1+$E$16+VLOOKUP($E66,武器奇术!$A:$R,8,FALSE))</f>
        <v>0</v>
      </c>
      <c r="BD66" s="93">
        <f t="shared" si="3"/>
        <v>0.887</v>
      </c>
      <c r="BE66" s="92">
        <f>AW66*IF(VLOOKUP($E66,武器奇术!$A:$R,17,FALSE)="鸣金",VLOOKUP($E66,武器奇术!$A:$R,4,FALSE),VLOOKUP($E66,武器奇术!$A:$R,2,FALSE))*(1+AX66)*(1+AY66)*AZ66*(1+$E$17+VLOOKUP($E66,武器奇术!$A:$R,10,FALSE))</f>
        <v>0</v>
      </c>
      <c r="BF66" s="93">
        <f t="shared" si="4"/>
        <v>0.0986</v>
      </c>
      <c r="BG66" s="92">
        <f>AV66*IF(VLOOKUP($E66,武器奇术!$A:$R,17,FALSE)="鸣金",VLOOKUP($E66,武器奇术!$A:$R,4,FALSE),VLOOKUP($E66,武器奇术!$A:$R,2,FALSE))*(1+AX66)*(1+AY66)*AZ66</f>
        <v>0</v>
      </c>
      <c r="BH66" s="93">
        <f t="shared" si="71"/>
        <v>0.0144</v>
      </c>
      <c r="BI66" s="101">
        <f t="shared" si="72"/>
        <v>0</v>
      </c>
      <c r="BJ66" s="99">
        <f>IF(VLOOKUP($E66,武器奇术!$A:$R,18,FALSE)="极乐",0,$B$9*IF($G$5="撼天",1.05,1)+IF(AND(VLOOKUP($E66,武器奇术!$A:$R,15,FALSE)="武器",VLOOKUP($E66,武器奇术!$A:$R,17,FALSE)="裂石"),$E$3*(1+$E$15),0))</f>
        <v>0</v>
      </c>
      <c r="BK66" s="91">
        <f t="shared" si="73"/>
        <v>0</v>
      </c>
      <c r="BL66" s="91">
        <f>IF(VLOOKUP($E66,武器奇术!$A:$R,18,FALSE)="极乐",0,MAX($C$9*IF($G$5="撼天",1.05,1)+IF(AND(VLOOKUP($E66,武器奇术!$A:$R,15,FALSE)="武器",VLOOKUP($E66,武器奇术!$A:$R,17,FALSE)="裂石"),$E$3*(1+$E$15),0),BJ66))</f>
        <v>0</v>
      </c>
      <c r="BM66" s="93">
        <f>IF(($D$9+IF(VLOOKUP($E66,武器奇术!$A:$R,17,FALSE)="裂石",$D$15,0)-VLOOKUP($F$7,目标属性!$A:$R,6,FALSE))&gt;0,($D$9+IF(VLOOKUP($E66,武器奇术!$A:$R,17,FALSE)="裂石",$D$15,0)-VLOOKUP($F$7,目标属性!$A:$R,6,FALSE))/200,($D$9+IF(VLOOKUP($E66,武器奇术!$A:$R,17,FALSE)="裂石",$D$15,0)-VLOOKUP($F$7,目标属性!$A:$R,6,FALSE))/100)</f>
        <v>-0.24</v>
      </c>
      <c r="BN66" s="100">
        <f t="shared" si="56"/>
        <v>0</v>
      </c>
      <c r="BO66" s="91">
        <v>1</v>
      </c>
      <c r="BP66" s="92">
        <f>BJ66*IF(VLOOKUP($E66,武器奇术!$A:$R,17,FALSE)="裂石",VLOOKUP($E66,武器奇术!$A:$R,4,FALSE),VLOOKUP($E66,武器奇术!$A:$R,2,FALSE))*(1+BM66)*(1+BN66)*BO66</f>
        <v>0</v>
      </c>
      <c r="BQ66" s="93">
        <f>(1-IF(VLOOKUP($E66,武器奇术!$A:$R,16,FALSE)="陌刀",1,$N66))*(1-$M66)</f>
        <v>0</v>
      </c>
      <c r="BR66" s="92">
        <f>BK66*IF(VLOOKUP($E66,武器奇术!$A:$R,17,FALSE)="裂石",VLOOKUP($E66,武器奇术!$A:$R,4,FALSE),VLOOKUP($E66,武器奇术!$A:$R,2,FALSE))*(1+BM66)*(1+BN66)*BO66*(1+$E$16+VLOOKUP($E66,武器奇术!$A:$R,8,FALSE))</f>
        <v>0</v>
      </c>
      <c r="BS66" s="93">
        <f t="shared" si="5"/>
        <v>0.887</v>
      </c>
      <c r="BT66" s="92">
        <f>BL66*IF(VLOOKUP($E66,武器奇术!$A:$R,17,FALSE)="裂石",VLOOKUP($E66,武器奇术!$A:$R,4,FALSE),VLOOKUP($E66,武器奇术!$A:$R,2,FALSE))*(1+BM66)*(1+BN66)*BO66*(1+$E$17+VLOOKUP($E66,武器奇术!$A:$R,10,FALSE))</f>
        <v>0</v>
      </c>
      <c r="BU66" s="93">
        <f t="shared" si="6"/>
        <v>0.0986</v>
      </c>
      <c r="BV66" s="92">
        <f>BK66*IF(VLOOKUP($E66,武器奇术!$A:$R,17,FALSE)="裂石",VLOOKUP($E66,武器奇术!$A:$R,4,FALSE),VLOOKUP($E66,武器奇术!$A:$R,2,FALSE))*(1+BM66)*(1+BN66)*BO66</f>
        <v>0</v>
      </c>
      <c r="BW66" s="93">
        <f t="shared" si="74"/>
        <v>0.0144</v>
      </c>
      <c r="BX66" s="101">
        <f t="shared" si="75"/>
        <v>0</v>
      </c>
      <c r="BY66" s="99">
        <f>IF(VLOOKUP($E66,武器奇术!$A:$R,18,FALSE)="极乐",0,$B$11*IF($G$5="撼天",1.05,1)+IF(AND(VLOOKUP($E66,武器奇术!$A:$R,15,FALSE)="武器",VLOOKUP($E66,武器奇术!$A:$R,17,FALSE)="牵丝"),$E$3*(1+$E$15),0))</f>
        <v>0</v>
      </c>
      <c r="BZ66" s="91">
        <f t="shared" si="76"/>
        <v>0</v>
      </c>
      <c r="CA66" s="91">
        <f>IF(VLOOKUP($E66,武器奇术!$A:$R,18,FALSE)="极乐",0,MAX($C$11*IF($G$5="撼天",1.05,1)+IF(AND(VLOOKUP($E66,武器奇术!$A:$R,15,FALSE)="武器",VLOOKUP($E66,武器奇术!$A:$R,17,FALSE)="牵丝"),$E$3*(1+$E$15),0),BY66))</f>
        <v>0</v>
      </c>
      <c r="CB66" s="93">
        <f>IF(($D$11+IF(VLOOKUP($E66,武器奇术!$A:$R,17,FALSE)="牵丝",$D$15,0)-VLOOKUP($F$7,目标属性!$A:$R,6,FALSE))&gt;0,($D$11+IF(VLOOKUP($E66,武器奇术!$A:$R,17,FALSE)="牵丝",$D$15,0)-VLOOKUP($F$7,目标属性!$A:$R,6,FALSE))/200,($D$11+IF(VLOOKUP($E66,武器奇术!$A:$R,17,FALSE)="牵丝",$D$15,0)-VLOOKUP($F$7,目标属性!$A:$R,6,FALSE))/100)</f>
        <v>-0.24</v>
      </c>
      <c r="CC66" s="100">
        <f t="shared" si="57"/>
        <v>0</v>
      </c>
      <c r="CD66" s="91">
        <v>1</v>
      </c>
      <c r="CE66" s="92">
        <f>BY66*IF(VLOOKUP($E66,武器奇术!$A:$R,17,FALSE)="牵丝",VLOOKUP($E66,武器奇术!$A:$R,4,FALSE),VLOOKUP($E66,武器奇术!$A:$R,2,FALSE))*(1+CB66)*(1+CC66)*CD66</f>
        <v>0</v>
      </c>
      <c r="CF66" s="93">
        <f>(1-IF(VLOOKUP($E66,武器奇术!$A:$R,16,FALSE)="陌刀",1,$N66))*(1-$M66)</f>
        <v>0</v>
      </c>
      <c r="CG66" s="92">
        <f>BZ66*IF(VLOOKUP($E66,武器奇术!$A:$R,17,FALSE)="牵丝",VLOOKUP($E66,武器奇术!$A:$R,4,FALSE),VLOOKUP($E66,武器奇术!$A:$R,2,FALSE))*(1+CB66)*(1+CC66)*CD66*(1+$E$16+VLOOKUP($E66,武器奇术!$A:$R,8,FALSE))</f>
        <v>0</v>
      </c>
      <c r="CH66" s="93">
        <f t="shared" si="7"/>
        <v>0.887</v>
      </c>
      <c r="CI66" s="92">
        <f>CA66*IF(VLOOKUP($E66,武器奇术!$A:$R,17,FALSE)="牵丝",VLOOKUP($E66,武器奇术!$A:$R,4,FALSE),VLOOKUP($E66,武器奇术!$A:$R,2,FALSE))*(1+CB66)*(1+CC66)*CD66*(1+$E$17+VLOOKUP($E66,武器奇术!$A:$R,10,FALSE))</f>
        <v>0</v>
      </c>
      <c r="CJ66" s="93">
        <f t="shared" si="8"/>
        <v>0.0986</v>
      </c>
      <c r="CK66" s="92">
        <f>BZ66*IF(VLOOKUP($E66,武器奇术!$A:$R,17,FALSE)="牵丝",VLOOKUP($E66,武器奇术!$A:$R,4,FALSE),VLOOKUP($E66,武器奇术!$A:$R,2,FALSE))*(1+CB66)*(1+CC66)*CD66</f>
        <v>0</v>
      </c>
      <c r="CL66" s="93">
        <f t="shared" si="77"/>
        <v>0.0144</v>
      </c>
      <c r="CM66" s="101">
        <f t="shared" si="78"/>
        <v>0</v>
      </c>
      <c r="CN66" s="99">
        <f>IF(VLOOKUP($E66,武器奇术!$A:$R,18,FALSE)="极乐",0,$B$13*IF($G$5="撼天",1.05,1)+IF(AND(VLOOKUP($E66,武器奇术!$A:$R,15,FALSE)="武器",VLOOKUP($E66,武器奇术!$A:$R,17,FALSE)="破竹"),$E$3*(1+$E$15),0))</f>
        <v>686.71</v>
      </c>
      <c r="CO66" s="91">
        <f t="shared" si="79"/>
        <v>1052.21</v>
      </c>
      <c r="CP66" s="91">
        <f>IF(VLOOKUP($E66,武器奇术!$A:$R,18,FALSE)="极乐",0,MAX($C$13*IF($G$5="撼天",1.05,1)+IF(AND(VLOOKUP($E66,武器奇术!$A:$R,15,FALSE)="武器",VLOOKUP($E66,武器奇术!$A:$R,17,FALSE)="破竹"),$E$3*(1+$E$15),0),CN66))</f>
        <v>1417.71</v>
      </c>
      <c r="CQ66" s="93">
        <f>IF(($D$13+IF(VLOOKUP($E66,武器奇术!$A:$R,17,FALSE)="破竹",$D$15,0)-VLOOKUP($F$7,目标属性!$A:$R,6,FALSE)+IF(VLOOKUP($E66,武器奇术!$A:$V,22,FALSE)=1,4,0)+IF(VLOOKUP($E66,武器奇术!$A:$T,20,FALSE)=1,10,0))&gt;0,($D$13+IF(VLOOKUP($E66,武器奇术!$A:$R,17,FALSE)="破竹",$D$15,0)-VLOOKUP($F$7,目标属性!$A:$R,6,FALSE)+IF(VLOOKUP($E66,武器奇术!$A:$V,22,FALSE)=1,4,0)+IF(VLOOKUP($E66,武器奇术!$A:$T,20,FALSE)=1,10,0))/200,($D$13+IF(VLOOKUP($E66,武器奇术!$A:$R,17,FALSE)="破竹",$D$15,0)-VLOOKUP($F$7,目标属性!$A:$R,6,FALSE)+IF(VLOOKUP($E66,武器奇术!$A:$V,22,FALSE)=1,4,0)+IF(VLOOKUP($E66,武器奇术!$A:$T,20,FALSE)=1,10,0))/100)</f>
        <v>0.078</v>
      </c>
      <c r="CR66" s="100">
        <f t="shared" si="83"/>
        <v>0.148</v>
      </c>
      <c r="CS66" s="91">
        <v>1</v>
      </c>
      <c r="CT66" s="92">
        <f>CN66*IF(VLOOKUP($E66,武器奇术!$A:$R,17,FALSE)="破竹",VLOOKUP($E66,武器奇术!$A:$R,4,FALSE),VLOOKUP($E66,武器奇术!$A:$R,2,FALSE))*(1+CQ66)*(1+CR66)*CS66</f>
        <v>907.520561315491</v>
      </c>
      <c r="CU66" s="93">
        <f>(1-IF(VLOOKUP($E66,武器奇术!$A:$R,16,FALSE)="陌刀",1,$N66))*(1-$M66)</f>
        <v>0</v>
      </c>
      <c r="CV66" s="92">
        <f>CO66*IF(VLOOKUP($E66,武器奇术!$A:$R,17,FALSE)="破竹",VLOOKUP($E66,武器奇术!$A:$R,4,FALSE),VLOOKUP($E66,武器奇术!$A:$R,2,FALSE))*(1+CQ66)*(1+CR66)*CS66*(1+$E$16+VLOOKUP($E66,武器奇术!$A:$R,8,FALSE))</f>
        <v>3328.96840050869</v>
      </c>
      <c r="CW66" s="93">
        <f t="shared" si="9"/>
        <v>0.887</v>
      </c>
      <c r="CX66" s="92">
        <f>CP66*IF(VLOOKUP($E66,武器奇术!$A:$R,17,FALSE)="破竹",VLOOKUP($E66,武器奇术!$A:$R,4,FALSE),VLOOKUP($E66,武器奇术!$A:$R,2,FALSE))*(1+CQ66)*(1+CR66)*CS66*(1+$E$17+VLOOKUP($E66,武器奇术!$A:$R,10,FALSE))</f>
        <v>2529.32288189555</v>
      </c>
      <c r="CY66" s="93">
        <f t="shared" si="10"/>
        <v>0.0986</v>
      </c>
      <c r="CZ66" s="92">
        <f>CO66*IF(VLOOKUP($E66,武器奇术!$A:$R,17,FALSE)="破竹",VLOOKUP($E66,武器奇术!$A:$R,4,FALSE),VLOOKUP($E66,武器奇术!$A:$R,2,FALSE))*(1+CQ66)*(1+CR66)*CS66</f>
        <v>1390.54653321165</v>
      </c>
      <c r="DA66" s="93">
        <f t="shared" si="80"/>
        <v>0.0144</v>
      </c>
      <c r="DB66" s="101">
        <f t="shared" si="81"/>
        <v>3222.21007748436</v>
      </c>
      <c r="DC66" s="99">
        <f>IF(VLOOKUP($E66,武器奇术!$A:$R,18,FALSE)="极乐",0,$B$15)</f>
        <v>66</v>
      </c>
      <c r="DD66" s="91">
        <f t="shared" si="82"/>
        <v>95.9</v>
      </c>
      <c r="DE66" s="91">
        <f>IF(VLOOKUP($E66,武器奇术!$A:$R,18,FALSE)="极乐",0,$C$15)</f>
        <v>125.8</v>
      </c>
      <c r="DF66" s="93">
        <f>IF((IF(VLOOKUP($E66,武器奇术!$A:$R,17,FALSE)="鸣金",$D$7,0)+IF(VLOOKUP($E66,武器奇术!$A:$R,17,FALSE)="裂石",$D$9,0)+IF(VLOOKUP($E66,武器奇术!$A:$R,17,FALSE)="牵丝",$D$11,0)+IF(VLOOKUP($E66,武器奇术!$A:$R,17,FALSE)="破竹",$D$13,0)+$D$15-VLOOKUP($F$7,目标属性!$A:$R,6,FALSE)+IF(VLOOKUP($E66,武器奇术!$A:$V,22,FALSE)=1,4,0)+IF(VLOOKUP($E66,武器奇术!$A:$T,20,FALSE)=1,10,0))&gt;0,(IF(VLOOKUP($E66,武器奇术!$A:$R,17,FALSE)="鸣金",$D$7,0)+IF(VLOOKUP($E66,武器奇术!$A:$R,17,FALSE)="裂石",$D$9,0)+IF(VLOOKUP($E66,武器奇术!$A:$R,17,FALSE)="牵丝",$D$11,0)+IF(VLOOKUP($E66,武器奇术!$A:$R,17,FALSE)="破竹",$D$13,0)+$D$15-VLOOKUP($F$7,目标属性!$A:$R,6,FALSE)+IF(VLOOKUP($E66,武器奇术!$A:$V,22,FALSE)=1,4,0)+IF(VLOOKUP($E66,武器奇术!$A:$T,20,FALSE)=1,10,0))/200,(IF(VLOOKUP($E66,武器奇术!$A:$R,17,FALSE)="鸣金",$D$7,0)+IF(VLOOKUP($E66,武器奇术!$A:$R,17,FALSE)="裂石",$D$9,0)+IF(VLOOKUP($E66,武器奇术!$A:$R,17,FALSE)="牵丝",$D$11,0)+IF(VLOOKUP($E66,武器奇术!$A:$R,17,FALSE)="破竹",$D$13,0)+$D$15-VLOOKUP($F$7,目标属性!$A:$R,6,FALSE)+IF(VLOOKUP($E66,武器奇术!$A:$V,22,FALSE)=1,4,0)+IF(VLOOKUP($E66,武器奇术!$A:$T,20,FALSE)=1,10,0))/100)</f>
        <v>0.078</v>
      </c>
      <c r="DG66" s="100">
        <f t="shared" si="54"/>
        <v>0.148</v>
      </c>
      <c r="DH66" s="91">
        <v>1</v>
      </c>
      <c r="DI66" s="92">
        <f>DC66*IF(VLOOKUP($E66,武器奇术!$A:$R,17,FALSE)="破竹",VLOOKUP($E66,武器奇术!$A:$R,4,FALSE),VLOOKUP($E66,武器奇术!$A:$R,2,FALSE))*(1+DF66)*(1+DG66)*DH66</f>
        <v>87.22220012352</v>
      </c>
      <c r="DJ66" s="93">
        <f>(1-IF(VLOOKUP($E66,武器奇术!$A:$R,16,FALSE)="陌刀",1,$N66))*(1-$M66)</f>
        <v>0</v>
      </c>
      <c r="DK66" s="92">
        <f>DD66*IF(VLOOKUP($E66,武器奇术!$A:$R,17,FALSE)="破竹",VLOOKUP($E66,武器奇术!$A:$R,4,FALSE),VLOOKUP($E66,武器奇术!$A:$R,2,FALSE))*(1+DF66)*(1+DG66)*DH66*(1+$E$16+VLOOKUP($E66,武器奇术!$A:$R,8,FALSE))</f>
        <v>303.407180704217</v>
      </c>
      <c r="DL66" s="93">
        <f t="shared" si="12"/>
        <v>0.887</v>
      </c>
      <c r="DM66" s="92">
        <f>DE66*IF(VLOOKUP($E66,武器奇术!$A:$R,17,FALSE)="破竹",VLOOKUP($E66,武器奇术!$A:$R,4,FALSE),VLOOKUP($E66,武器奇术!$A:$R,2,FALSE))*(1+DF66)*(1+DG66)*DH66*(1+$E$17+VLOOKUP($E66,武器奇术!$A:$R,10,FALSE))</f>
        <v>224.438579499658</v>
      </c>
      <c r="DN66" s="93">
        <f t="shared" si="13"/>
        <v>0.0986</v>
      </c>
      <c r="DO66" s="92">
        <f>DD66*IF(VLOOKUP($E66,武器奇术!$A:$R,17,FALSE)="破竹",VLOOKUP($E66,武器奇术!$A:$R,4,FALSE),VLOOKUP($E66,武器奇术!$A:$R,2,FALSE))*(1+DF66)*(1+DG66)*DH66</f>
        <v>126.736499876448</v>
      </c>
      <c r="DP66" s="93">
        <f t="shared" si="14"/>
        <v>0.0144</v>
      </c>
      <c r="DQ66" s="101">
        <f t="shared" si="15"/>
        <v>293.076818821528</v>
      </c>
    </row>
    <row r="67" customFormat="1" spans="1:121">
      <c r="A67" s="129"/>
      <c r="B67" t="s">
        <v>143</v>
      </c>
      <c r="C67">
        <v>1.3</v>
      </c>
      <c r="D67"/>
      <c r="E67" s="105" t="s">
        <v>144</v>
      </c>
      <c r="F67" s="106">
        <v>1</v>
      </c>
      <c r="G67" s="107">
        <f>$E$24</f>
        <v>0</v>
      </c>
      <c r="H67" s="92">
        <f>IF(VLOOKUP($E67,武器奇术!$A:$R,18,FALSE)="天工",AE67,(AE67+AT67+BI67+BX67+CM67+DB67+DQ67))*(1+J67)*F67*K67*(1+G67)</f>
        <v>25614.780814682</v>
      </c>
      <c r="I67" s="93">
        <f t="shared" si="58"/>
        <v>0.00328593372034696</v>
      </c>
      <c r="J67" s="93">
        <f>$F$3+VLOOKUP($E67,武器奇术!$A:$R,12,FALSE)+VLOOKUP($E67,武器奇术!$A:$R,14,FALSE)*$G$3+$P67</f>
        <v>0.693</v>
      </c>
      <c r="K67" s="94">
        <f>VLOOKUP($E67,武器奇术!$A:$R,11,FALSE)</f>
        <v>1</v>
      </c>
      <c r="L67" s="109">
        <f>IF(VLOOKUP($E67,武器奇术!$A:$R,15,FALSE)="天工",0%,IF($C$17+VLOOKUP($E67,武器奇术!$A:$R,7,FALSE)&gt;80%,80%,$C$17+VLOOKUP($E67,武器奇术!$A:$R,7,FALSE))+IF($C$19&gt;20%,20%,$C$19))</f>
        <v>0.887</v>
      </c>
      <c r="M67" s="110">
        <f>IF(VLOOKUP($E67,武器奇术!$A:$R,15,FALSE)="天工",0%,IF($C$18+VLOOKUP($E67,武器奇术!$A:$R,9,FALSE)&gt;40%,40%,$C$18+VLOOKUP($E67,武器奇术!$A:$R,9,FALSE))+IF($C$20&gt;10%,10%,$C$20))</f>
        <v>0.0986</v>
      </c>
      <c r="N67" s="111">
        <f>IF(VLOOKUP($E67,武器奇术!$A:$R,15,FALSE)="天工",100%,MIN($C$16,1))</f>
        <v>1</v>
      </c>
      <c r="O67" s="112" t="str">
        <f>VLOOKUP($E67,武器奇术!$A:$R,16,FALSE)</f>
        <v>双刀</v>
      </c>
      <c r="P67" s="113">
        <f t="shared" si="59"/>
        <v>0.17</v>
      </c>
      <c r="Q67" s="99">
        <f>$B$5*(1+VLOOKUP($E67,武器奇术!$A:$R,5,FALSE)+IF($G$5="飞隼",0.1,0)+IF($G$5="撼天",0.05,0))-$F$9*IF(VLOOKUP($E67,武器奇术!$A:$S,19,FALSE)=1,0.9,1)+IF($I$5="√",160,0)</f>
        <v>2904.2</v>
      </c>
      <c r="R67" s="91">
        <f t="shared" si="60"/>
        <v>2904.2</v>
      </c>
      <c r="S67" s="91">
        <f>MAX($C$5,$B$5)*(1+VLOOKUP($E67,武器奇术!$A:$R,5,FALSE)+IF($G$5="飞隼",0.1,0)+IF($G$5="撼天",0.05,0))-$F$9*IF(VLOOKUP($E67,武器奇术!$A:$S,19,FALSE)=1,0.9,1)+IF($I$5="√",320,0)</f>
        <v>2904.2</v>
      </c>
      <c r="T67" s="93">
        <f>IF(($D$5+VLOOKUP($E67,武器奇术!$A:$R,13,FALSE)+IF($I$3="√",10,0)-VLOOKUP($F$7,目标属性!$A:$R,5,FALSE))&gt;0,($D$5+VLOOKUP($E67,武器奇术!$A:$R,13,FALSE)+IF($I$3="√",10,0)-VLOOKUP($F$7,目标属性!$A:$R,5,FALSE))/200,($D$5+VLOOKUP($E67,武器奇术!$A:$R,13,FALSE)+IF($I$3="√",10,0)-VLOOKUP($F$7,目标属性!$A:$R,5,FALSE))/100)</f>
        <v>0.3925</v>
      </c>
      <c r="U67" s="100">
        <f>$E$5+IF(VLOOKUP($E67,武器奇术!$A:$R,18,FALSE)="鼠鼠",0.24,0)</f>
        <v>0</v>
      </c>
      <c r="V67" s="91">
        <v>1</v>
      </c>
      <c r="W67" s="92">
        <f>Q67*VLOOKUP($E67,武器奇术!$A:$R,2,FALSE)*(1+T67)*(1+U67)*V67</f>
        <v>4008.99572502</v>
      </c>
      <c r="X67" s="93">
        <f>(1-IF(VLOOKUP($E67,武器奇术!$A:$R,16,FALSE)="陌刀",1,$N67))*(1-$M67)</f>
        <v>0</v>
      </c>
      <c r="Y67" s="92">
        <f>R67*VLOOKUP($E67,武器奇术!$A:$R,2,FALSE)*(1+T67)*(1+U67)*V67*(1+$E$16+VLOOKUP($E67,武器奇术!$A:$R,8,FALSE))</f>
        <v>9597.53576569788</v>
      </c>
      <c r="Z67" s="93">
        <f t="shared" si="61"/>
        <v>0.887</v>
      </c>
      <c r="AA67" s="92">
        <f>S67*VLOOKUP($E67,武器奇术!$A:$R,2,FALSE)*(1+T67)*(1+U67)*V67*(1+$E$17+VLOOKUP($E67,武器奇术!$A:$R,10,FALSE))</f>
        <v>5412.144228777</v>
      </c>
      <c r="AB67" s="93">
        <f t="shared" si="62"/>
        <v>0.0986</v>
      </c>
      <c r="AC67" s="92">
        <f>R67*VLOOKUP($E67,武器奇术!$A:$R,2,FALSE)*(1+T67)*(1+U67)*V67</f>
        <v>4008.99572502</v>
      </c>
      <c r="AD67" s="93">
        <f t="shared" si="63"/>
        <v>0.0144</v>
      </c>
      <c r="AE67" s="101">
        <f t="shared" si="64"/>
        <v>9104.38118357172</v>
      </c>
      <c r="AF67" s="102">
        <f>VLOOKUP($E67,武器奇术!$A:$R,3,FALSE)*(1+IF(VLOOKUP($E67,武器奇术!$A:$R,15,FALSE)="武器",$E$15,0))</f>
        <v>357.5</v>
      </c>
      <c r="AG67" s="92">
        <f t="shared" si="65"/>
        <v>357.5</v>
      </c>
      <c r="AH67" s="92">
        <f>VLOOKUP($E67,武器奇术!$A:$R,3,FALSE)*(1+IF(VLOOKUP($E67,武器奇术!$A:$R,15,FALSE)="武器",$E$15,0))</f>
        <v>357.5</v>
      </c>
      <c r="AI67" s="93">
        <f>IF(($D$5+VLOOKUP($E67,武器奇术!$A:$R,13,FALSE)+IF($I$3="√",10,0)-VLOOKUP($F$7,目标属性!$A:$R,5,FALSE))&gt;0,($D$5+VLOOKUP($E67,武器奇术!$A:$R,13,FALSE)+IF($I$3="√",10,0)-VLOOKUP($F$7,目标属性!$A:$R,5,FALSE))/200,($D$5+VLOOKUP($E67,武器奇术!$A:$R,13,FALSE)+IF($I$3="√",10,0)-VLOOKUP($F$7,目标属性!$A:$R,5,FALSE))/100)</f>
        <v>0.3925</v>
      </c>
      <c r="AJ67" s="100">
        <f>$E$5+IF(VLOOKUP($E67,武器奇术!$A:$R,18,FALSE)="鼠鼠",0.24,0)</f>
        <v>0</v>
      </c>
      <c r="AK67" s="91">
        <v>1</v>
      </c>
      <c r="AL67" s="92">
        <f t="shared" si="66"/>
        <v>497.81875</v>
      </c>
      <c r="AM67" s="93">
        <f>(1-IF(VLOOKUP($E67,武器奇术!$A:$R,16,FALSE)="陌刀",1,$N67))*(1-$M67)</f>
        <v>0</v>
      </c>
      <c r="AN67" s="92">
        <f>AG67*(1+AI67)*(1+AJ67)*AK67*(1+$E$16+VLOOKUP($E67,武器奇术!$A:$R,8,FALSE))</f>
        <v>1191.7780875</v>
      </c>
      <c r="AO67" s="93">
        <f t="shared" si="1"/>
        <v>0.887</v>
      </c>
      <c r="AP67" s="92">
        <f>AH67*(1+AI67)*(1+AJ67)*AK67*(1+$E$17+VLOOKUP($E67,武器奇术!$A:$R,10,FALSE))</f>
        <v>672.0553125</v>
      </c>
      <c r="AQ67" s="93">
        <f t="shared" si="2"/>
        <v>0.0986</v>
      </c>
      <c r="AR67" s="92">
        <f t="shared" si="67"/>
        <v>497.81875</v>
      </c>
      <c r="AS67" s="93">
        <f t="shared" si="68"/>
        <v>0.0144</v>
      </c>
      <c r="AT67" s="101">
        <f t="shared" si="69"/>
        <v>1130.540407425</v>
      </c>
      <c r="AU67" s="99">
        <f>IF(VLOOKUP($E67,武器奇术!$A:$R,18,FALSE)="极乐",0,$B$7*IF($G$5="撼天",1.05,1)+IF(AND(VLOOKUP($E67,武器奇术!$A:$R,15,FALSE)="武器",VLOOKUP($E67,武器奇术!$A:$R,17,FALSE)="鸣金"),$E$3*(1+$E$15),0))</f>
        <v>0</v>
      </c>
      <c r="AV67" s="91">
        <f t="shared" si="70"/>
        <v>0</v>
      </c>
      <c r="AW67" s="91">
        <f>IF(VLOOKUP($E67,武器奇术!$A:$R,18,FALSE)="极乐",0,MAX($C$7*IF($G$5="撼天",1.05,1)+IF(AND(VLOOKUP($E67,武器奇术!$A:$R,15,FALSE)="武器",VLOOKUP($E67,武器奇术!$A:$R,17,FALSE)="鸣金"),$E$3*(1+$E$15),0),AU67))</f>
        <v>0</v>
      </c>
      <c r="AX67" s="93">
        <f>IF(($D$7+IF(VLOOKUP($E67,武器奇术!$A:$R,17,FALSE)="鸣金",$D$15,0)-VLOOKUP($F$7,目标属性!$A:$R,6,FALSE))&gt;0,($D$7+IF(VLOOKUP($E67,武器奇术!$A:$R,17,FALSE)="鸣金",$D$15,0)-VLOOKUP($F$7,目标属性!$A:$R,6,FALSE))/200,($D$7+IF(VLOOKUP($E67,武器奇术!$A:$R,17,FALSE)="鸣金",$D$15,0)-VLOOKUP($F$7,目标属性!$A:$R,6,FALSE))/100)</f>
        <v>-0.24</v>
      </c>
      <c r="AY67" s="100">
        <f t="shared" si="55"/>
        <v>0</v>
      </c>
      <c r="AZ67" s="91">
        <v>1</v>
      </c>
      <c r="BA67" s="92">
        <f>AU67*IF(VLOOKUP($E67,武器奇术!$A:$R,17,FALSE)="鸣金",VLOOKUP($E67,武器奇术!$A:$R,4,FALSE),VLOOKUP($E67,武器奇术!$A:$R,2,FALSE))*(1+AX67)*(1+AY67)*AZ67</f>
        <v>0</v>
      </c>
      <c r="BB67" s="93">
        <f>(1-IF(VLOOKUP($E67,武器奇术!$A:$R,16,FALSE)="陌刀",1,$N67))*(1-$M67)</f>
        <v>0</v>
      </c>
      <c r="BC67" s="92">
        <f>AV67*IF(VLOOKUP($E67,武器奇术!$A:$R,17,FALSE)="鸣金",VLOOKUP($E67,武器奇术!$A:$R,4,FALSE),VLOOKUP($E67,武器奇术!$A:$R,2,FALSE))*(1+AX67)*(1+AY67)*AZ67*(1+$E$16+VLOOKUP($E67,武器奇术!$A:$R,8,FALSE))</f>
        <v>0</v>
      </c>
      <c r="BD67" s="93">
        <f t="shared" si="3"/>
        <v>0.887</v>
      </c>
      <c r="BE67" s="92">
        <f>AW67*IF(VLOOKUP($E67,武器奇术!$A:$R,17,FALSE)="鸣金",VLOOKUP($E67,武器奇术!$A:$R,4,FALSE),VLOOKUP($E67,武器奇术!$A:$R,2,FALSE))*(1+AX67)*(1+AY67)*AZ67*(1+$E$17+VLOOKUP($E67,武器奇术!$A:$R,10,FALSE))</f>
        <v>0</v>
      </c>
      <c r="BF67" s="93">
        <f t="shared" si="4"/>
        <v>0.0986</v>
      </c>
      <c r="BG67" s="92">
        <f>AV67*IF(VLOOKUP($E67,武器奇术!$A:$R,17,FALSE)="鸣金",VLOOKUP($E67,武器奇术!$A:$R,4,FALSE),VLOOKUP($E67,武器奇术!$A:$R,2,FALSE))*(1+AX67)*(1+AY67)*AZ67</f>
        <v>0</v>
      </c>
      <c r="BH67" s="93">
        <f t="shared" si="71"/>
        <v>0.0144</v>
      </c>
      <c r="BI67" s="101">
        <f t="shared" si="72"/>
        <v>0</v>
      </c>
      <c r="BJ67" s="99">
        <f>IF(VLOOKUP($E67,武器奇术!$A:$R,18,FALSE)="极乐",0,$B$9*IF($G$5="撼天",1.05,1)+IF(AND(VLOOKUP($E67,武器奇术!$A:$R,15,FALSE)="武器",VLOOKUP($E67,武器奇术!$A:$R,17,FALSE)="裂石"),$E$3*(1+$E$15),0))</f>
        <v>0</v>
      </c>
      <c r="BK67" s="91">
        <f t="shared" si="73"/>
        <v>0</v>
      </c>
      <c r="BL67" s="91">
        <f>IF(VLOOKUP($E67,武器奇术!$A:$R,18,FALSE)="极乐",0,MAX($C$9*IF($G$5="撼天",1.05,1)+IF(AND(VLOOKUP($E67,武器奇术!$A:$R,15,FALSE)="武器",VLOOKUP($E67,武器奇术!$A:$R,17,FALSE)="裂石"),$E$3*(1+$E$15),0),BJ67))</f>
        <v>0</v>
      </c>
      <c r="BM67" s="93">
        <f>IF(($D$9+IF(VLOOKUP($E67,武器奇术!$A:$R,17,FALSE)="裂石",$D$15,0)-VLOOKUP($F$7,目标属性!$A:$R,6,FALSE))&gt;0,($D$9+IF(VLOOKUP($E67,武器奇术!$A:$R,17,FALSE)="裂石",$D$15,0)-VLOOKUP($F$7,目标属性!$A:$R,6,FALSE))/200,($D$9+IF(VLOOKUP($E67,武器奇术!$A:$R,17,FALSE)="裂石",$D$15,0)-VLOOKUP($F$7,目标属性!$A:$R,6,FALSE))/100)</f>
        <v>-0.24</v>
      </c>
      <c r="BN67" s="100">
        <f t="shared" si="56"/>
        <v>0</v>
      </c>
      <c r="BO67" s="91">
        <v>1</v>
      </c>
      <c r="BP67" s="92">
        <f>BJ67*IF(VLOOKUP($E67,武器奇术!$A:$R,17,FALSE)="裂石",VLOOKUP($E67,武器奇术!$A:$R,4,FALSE),VLOOKUP($E67,武器奇术!$A:$R,2,FALSE))*(1+BM67)*(1+BN67)*BO67</f>
        <v>0</v>
      </c>
      <c r="BQ67" s="93">
        <f>(1-IF(VLOOKUP($E67,武器奇术!$A:$R,16,FALSE)="陌刀",1,$N67))*(1-$M67)</f>
        <v>0</v>
      </c>
      <c r="BR67" s="92">
        <f>BK67*IF(VLOOKUP($E67,武器奇术!$A:$R,17,FALSE)="裂石",VLOOKUP($E67,武器奇术!$A:$R,4,FALSE),VLOOKUP($E67,武器奇术!$A:$R,2,FALSE))*(1+BM67)*(1+BN67)*BO67*(1+$E$16+VLOOKUP($E67,武器奇术!$A:$R,8,FALSE))</f>
        <v>0</v>
      </c>
      <c r="BS67" s="93">
        <f t="shared" si="5"/>
        <v>0.887</v>
      </c>
      <c r="BT67" s="92">
        <f>BL67*IF(VLOOKUP($E67,武器奇术!$A:$R,17,FALSE)="裂石",VLOOKUP($E67,武器奇术!$A:$R,4,FALSE),VLOOKUP($E67,武器奇术!$A:$R,2,FALSE))*(1+BM67)*(1+BN67)*BO67*(1+$E$17+VLOOKUP($E67,武器奇术!$A:$R,10,FALSE))</f>
        <v>0</v>
      </c>
      <c r="BU67" s="93">
        <f t="shared" si="6"/>
        <v>0.0986</v>
      </c>
      <c r="BV67" s="92">
        <f>BK67*IF(VLOOKUP($E67,武器奇术!$A:$R,17,FALSE)="裂石",VLOOKUP($E67,武器奇术!$A:$R,4,FALSE),VLOOKUP($E67,武器奇术!$A:$R,2,FALSE))*(1+BM67)*(1+BN67)*BO67</f>
        <v>0</v>
      </c>
      <c r="BW67" s="93">
        <f t="shared" si="74"/>
        <v>0.0144</v>
      </c>
      <c r="BX67" s="101">
        <f t="shared" si="75"/>
        <v>0</v>
      </c>
      <c r="BY67" s="99">
        <f>IF(VLOOKUP($E67,武器奇术!$A:$R,18,FALSE)="极乐",0,$B$11*IF($G$5="撼天",1.05,1)+IF(AND(VLOOKUP($E67,武器奇术!$A:$R,15,FALSE)="武器",VLOOKUP($E67,武器奇术!$A:$R,17,FALSE)="牵丝"),$E$3*(1+$E$15),0))</f>
        <v>0</v>
      </c>
      <c r="BZ67" s="91">
        <f t="shared" si="76"/>
        <v>0</v>
      </c>
      <c r="CA67" s="91">
        <f>IF(VLOOKUP($E67,武器奇术!$A:$R,18,FALSE)="极乐",0,MAX($C$11*IF($G$5="撼天",1.05,1)+IF(AND(VLOOKUP($E67,武器奇术!$A:$R,15,FALSE)="武器",VLOOKUP($E67,武器奇术!$A:$R,17,FALSE)="牵丝"),$E$3*(1+$E$15),0),BY67))</f>
        <v>0</v>
      </c>
      <c r="CB67" s="93">
        <f>IF(($D$11+IF(VLOOKUP($E67,武器奇术!$A:$R,17,FALSE)="牵丝",$D$15,0)-VLOOKUP($F$7,目标属性!$A:$R,6,FALSE))&gt;0,($D$11+IF(VLOOKUP($E67,武器奇术!$A:$R,17,FALSE)="牵丝",$D$15,0)-VLOOKUP($F$7,目标属性!$A:$R,6,FALSE))/200,($D$11+IF(VLOOKUP($E67,武器奇术!$A:$R,17,FALSE)="牵丝",$D$15,0)-VLOOKUP($F$7,目标属性!$A:$R,6,FALSE))/100)</f>
        <v>-0.24</v>
      </c>
      <c r="CC67" s="100">
        <f t="shared" si="57"/>
        <v>0</v>
      </c>
      <c r="CD67" s="91">
        <v>1</v>
      </c>
      <c r="CE67" s="92">
        <f>BY67*IF(VLOOKUP($E67,武器奇术!$A:$R,17,FALSE)="牵丝",VLOOKUP($E67,武器奇术!$A:$R,4,FALSE),VLOOKUP($E67,武器奇术!$A:$R,2,FALSE))*(1+CB67)*(1+CC67)*CD67</f>
        <v>0</v>
      </c>
      <c r="CF67" s="93">
        <f>(1-IF(VLOOKUP($E67,武器奇术!$A:$R,16,FALSE)="陌刀",1,$N67))*(1-$M67)</f>
        <v>0</v>
      </c>
      <c r="CG67" s="92">
        <f>BZ67*IF(VLOOKUP($E67,武器奇术!$A:$R,17,FALSE)="牵丝",VLOOKUP($E67,武器奇术!$A:$R,4,FALSE),VLOOKUP($E67,武器奇术!$A:$R,2,FALSE))*(1+CB67)*(1+CC67)*CD67*(1+$E$16+VLOOKUP($E67,武器奇术!$A:$R,8,FALSE))</f>
        <v>0</v>
      </c>
      <c r="CH67" s="93">
        <f t="shared" si="7"/>
        <v>0.887</v>
      </c>
      <c r="CI67" s="92">
        <f>CA67*IF(VLOOKUP($E67,武器奇术!$A:$R,17,FALSE)="牵丝",VLOOKUP($E67,武器奇术!$A:$R,4,FALSE),VLOOKUP($E67,武器奇术!$A:$R,2,FALSE))*(1+CB67)*(1+CC67)*CD67*(1+$E$17+VLOOKUP($E67,武器奇术!$A:$R,10,FALSE))</f>
        <v>0</v>
      </c>
      <c r="CJ67" s="93">
        <f t="shared" si="8"/>
        <v>0.0986</v>
      </c>
      <c r="CK67" s="92">
        <f>BZ67*IF(VLOOKUP($E67,武器奇术!$A:$R,17,FALSE)="牵丝",VLOOKUP($E67,武器奇术!$A:$R,4,FALSE),VLOOKUP($E67,武器奇术!$A:$R,2,FALSE))*(1+CB67)*(1+CC67)*CD67</f>
        <v>0</v>
      </c>
      <c r="CL67" s="93">
        <f t="shared" si="77"/>
        <v>0.0144</v>
      </c>
      <c r="CM67" s="101">
        <f t="shared" si="78"/>
        <v>0</v>
      </c>
      <c r="CN67" s="99">
        <f>IF(VLOOKUP($E67,武器奇术!$A:$R,18,FALSE)="极乐",0,$B$13*IF($G$5="撼天",1.05,1)+IF(AND(VLOOKUP($E67,武器奇术!$A:$R,15,FALSE)="武器",VLOOKUP($E67,武器奇术!$A:$R,17,FALSE)="破竹"),$E$3*(1+$E$15),0))</f>
        <v>686.71</v>
      </c>
      <c r="CO67" s="91">
        <f t="shared" si="79"/>
        <v>1052.21</v>
      </c>
      <c r="CP67" s="91">
        <f>IF(VLOOKUP($E67,武器奇术!$A:$R,18,FALSE)="极乐",0,MAX($C$13*IF($G$5="撼天",1.05,1)+IF(AND(VLOOKUP($E67,武器奇术!$A:$R,15,FALSE)="武器",VLOOKUP($E67,武器奇术!$A:$R,17,FALSE)="破竹"),$E$3*(1+$E$15),0),CN67))</f>
        <v>1417.71</v>
      </c>
      <c r="CQ67" s="93">
        <f>IF(($D$13+IF(VLOOKUP($E67,武器奇术!$A:$R,17,FALSE)="破竹",$D$15,0)-VLOOKUP($F$7,目标属性!$A:$R,6,FALSE)+IF(VLOOKUP($E67,武器奇术!$A:$V,22,FALSE)=1,4,0)+IF(VLOOKUP($E67,武器奇术!$A:$T,20,FALSE)=1,10,0))&gt;0,($D$13+IF(VLOOKUP($E67,武器奇术!$A:$R,17,FALSE)="破竹",$D$15,0)-VLOOKUP($F$7,目标属性!$A:$R,6,FALSE)+IF(VLOOKUP($E67,武器奇术!$A:$V,22,FALSE)=1,4,0)+IF(VLOOKUP($E67,武器奇术!$A:$T,20,FALSE)=1,10,0))/200,($D$13+IF(VLOOKUP($E67,武器奇术!$A:$R,17,FALSE)="破竹",$D$15,0)-VLOOKUP($F$7,目标属性!$A:$R,6,FALSE)+IF(VLOOKUP($E67,武器奇术!$A:$V,22,FALSE)=1,4,0)+IF(VLOOKUP($E67,武器奇术!$A:$T,20,FALSE)=1,10,0))/100)</f>
        <v>0.078</v>
      </c>
      <c r="CR67" s="100">
        <f t="shared" si="83"/>
        <v>0.148</v>
      </c>
      <c r="CS67" s="91">
        <v>1</v>
      </c>
      <c r="CT67" s="92">
        <f>CN67*IF(VLOOKUP($E67,武器奇术!$A:$R,17,FALSE)="破竹",VLOOKUP($E67,武器奇术!$A:$R,4,FALSE),VLOOKUP($E67,武器奇术!$A:$R,2,FALSE))*(1+CQ67)*(1+CR67)*CS67</f>
        <v>1263.68592376008</v>
      </c>
      <c r="CU67" s="93">
        <f>(1-IF(VLOOKUP($E67,武器奇术!$A:$R,16,FALSE)="陌刀",1,$N67))*(1-$M67)</f>
        <v>0</v>
      </c>
      <c r="CV67" s="92">
        <f>CO67*IF(VLOOKUP($E67,武器奇术!$A:$R,17,FALSE)="破竹",VLOOKUP($E67,武器奇术!$A:$R,4,FALSE),VLOOKUP($E67,武器奇术!$A:$R,2,FALSE))*(1+CQ67)*(1+CR67)*CS67*(1+$E$16+VLOOKUP($E67,武器奇术!$A:$R,8,FALSE))</f>
        <v>4635.45476288386</v>
      </c>
      <c r="CW67" s="93">
        <f t="shared" si="9"/>
        <v>0.887</v>
      </c>
      <c r="CX67" s="92">
        <f>CP67*IF(VLOOKUP($E67,武器奇术!$A:$R,17,FALSE)="破竹",VLOOKUP($E67,武器奇术!$A:$R,4,FALSE),VLOOKUP($E67,武器奇术!$A:$R,2,FALSE))*(1+CQ67)*(1+CR67)*CS67*(1+$E$17+VLOOKUP($E67,武器奇术!$A:$R,10,FALSE))</f>
        <v>3521.98050241697</v>
      </c>
      <c r="CY67" s="93">
        <f t="shared" si="10"/>
        <v>0.0986</v>
      </c>
      <c r="CZ67" s="92">
        <f>CO67*IF(VLOOKUP($E67,武器奇术!$A:$R,17,FALSE)="破竹",VLOOKUP($E67,武器奇术!$A:$R,4,FALSE),VLOOKUP($E67,武器奇术!$A:$R,2,FALSE))*(1+CQ67)*(1+CR67)*CS67</f>
        <v>1936.28018499744</v>
      </c>
      <c r="DA67" s="93">
        <f t="shared" si="80"/>
        <v>0.0144</v>
      </c>
      <c r="DB67" s="101">
        <f t="shared" si="81"/>
        <v>4486.79808688026</v>
      </c>
      <c r="DC67" s="99">
        <f>IF(VLOOKUP($E67,武器奇术!$A:$R,18,FALSE)="极乐",0,$B$15)</f>
        <v>66</v>
      </c>
      <c r="DD67" s="91">
        <f t="shared" si="82"/>
        <v>95.9</v>
      </c>
      <c r="DE67" s="91">
        <f>IF(VLOOKUP($E67,武器奇术!$A:$R,18,FALSE)="极乐",0,$C$15)</f>
        <v>125.8</v>
      </c>
      <c r="DF67" s="93">
        <f>IF((IF(VLOOKUP($E67,武器奇术!$A:$R,17,FALSE)="鸣金",$D$7,0)+IF(VLOOKUP($E67,武器奇术!$A:$R,17,FALSE)="裂石",$D$9,0)+IF(VLOOKUP($E67,武器奇术!$A:$R,17,FALSE)="牵丝",$D$11,0)+IF(VLOOKUP($E67,武器奇术!$A:$R,17,FALSE)="破竹",$D$13,0)+$D$15-VLOOKUP($F$7,目标属性!$A:$R,6,FALSE)+IF(VLOOKUP($E67,武器奇术!$A:$V,22,FALSE)=1,4,0)+IF(VLOOKUP($E67,武器奇术!$A:$T,20,FALSE)=1,10,0))&gt;0,(IF(VLOOKUP($E67,武器奇术!$A:$R,17,FALSE)="鸣金",$D$7,0)+IF(VLOOKUP($E67,武器奇术!$A:$R,17,FALSE)="裂石",$D$9,0)+IF(VLOOKUP($E67,武器奇术!$A:$R,17,FALSE)="牵丝",$D$11,0)+IF(VLOOKUP($E67,武器奇术!$A:$R,17,FALSE)="破竹",$D$13,0)+$D$15-VLOOKUP($F$7,目标属性!$A:$R,6,FALSE)+IF(VLOOKUP($E67,武器奇术!$A:$V,22,FALSE)=1,4,0)+IF(VLOOKUP($E67,武器奇术!$A:$T,20,FALSE)=1,10,0))/200,(IF(VLOOKUP($E67,武器奇术!$A:$R,17,FALSE)="鸣金",$D$7,0)+IF(VLOOKUP($E67,武器奇术!$A:$R,17,FALSE)="裂石",$D$9,0)+IF(VLOOKUP($E67,武器奇术!$A:$R,17,FALSE)="牵丝",$D$11,0)+IF(VLOOKUP($E67,武器奇术!$A:$R,17,FALSE)="破竹",$D$13,0)+$D$15-VLOOKUP($F$7,目标属性!$A:$R,6,FALSE)+IF(VLOOKUP($E67,武器奇术!$A:$V,22,FALSE)=1,4,0)+IF(VLOOKUP($E67,武器奇术!$A:$T,20,FALSE)=1,10,0))/100)</f>
        <v>0.078</v>
      </c>
      <c r="DG67" s="100">
        <f t="shared" si="54"/>
        <v>0.148</v>
      </c>
      <c r="DH67" s="91">
        <v>1</v>
      </c>
      <c r="DI67" s="92">
        <f>DC67*IF(VLOOKUP($E67,武器奇术!$A:$R,17,FALSE)="破竹",VLOOKUP($E67,武器奇术!$A:$R,4,FALSE),VLOOKUP($E67,武器奇术!$A:$R,2,FALSE))*(1+DF67)*(1+DG67)*DH67</f>
        <v>121.45340968992</v>
      </c>
      <c r="DJ67" s="93">
        <f>(1-IF(VLOOKUP($E67,武器奇术!$A:$R,16,FALSE)="陌刀",1,$N67))*(1-$M67)</f>
        <v>0</v>
      </c>
      <c r="DK67" s="92">
        <f>DD67*IF(VLOOKUP($E67,武器奇术!$A:$R,17,FALSE)="破竹",VLOOKUP($E67,武器奇术!$A:$R,4,FALSE),VLOOKUP($E67,武器奇术!$A:$R,2,FALSE))*(1+DF67)*(1+DG67)*DH67*(1+$E$16+VLOOKUP($E67,武器奇术!$A:$R,8,FALSE))</f>
        <v>422.482310337825</v>
      </c>
      <c r="DL67" s="93">
        <f t="shared" si="12"/>
        <v>0.887</v>
      </c>
      <c r="DM67" s="92">
        <f>DE67*IF(VLOOKUP($E67,武器奇术!$A:$R,17,FALSE)="破竹",VLOOKUP($E67,武器奇术!$A:$R,4,FALSE),VLOOKUP($E67,武器奇术!$A:$R,2,FALSE))*(1+DF67)*(1+DG67)*DH67*(1+$E$17+VLOOKUP($E67,武器奇术!$A:$R,10,FALSE))</f>
        <v>312.52170557029</v>
      </c>
      <c r="DN67" s="93">
        <f t="shared" si="13"/>
        <v>0.0986</v>
      </c>
      <c r="DO67" s="92">
        <f>DD67*IF(VLOOKUP($E67,武器奇术!$A:$R,17,FALSE)="破竹",VLOOKUP($E67,武器奇术!$A:$R,4,FALSE),VLOOKUP($E67,武器奇术!$A:$R,2,FALSE))*(1+DF67)*(1+DG67)*DH67</f>
        <v>176.475484685808</v>
      </c>
      <c r="DP67" s="93">
        <f t="shared" si="14"/>
        <v>0.0144</v>
      </c>
      <c r="DQ67" s="101">
        <f t="shared" si="15"/>
        <v>408.097696418357</v>
      </c>
    </row>
    <row r="68" spans="1:121">
      <c r="A68" s="129"/>
      <c r="B68" t="s">
        <v>145</v>
      </c>
      <c r="C68">
        <v>1</v>
      </c>
      <c r="E68" s="105" t="s">
        <v>146</v>
      </c>
      <c r="F68" s="106">
        <v>1</v>
      </c>
      <c r="G68" s="107">
        <f t="shared" ref="G68:G74" si="84">$E$24</f>
        <v>0</v>
      </c>
      <c r="H68" s="92">
        <f>IF(VLOOKUP($E68,武器奇术!$A:$R,18,FALSE)="天工",AE68,(AE68+AT68+BI68+BX68+CM68+DB68+DQ68))*(1+J68)*F68*K68*(1+G68)</f>
        <v>41085.7627277297</v>
      </c>
      <c r="I68" s="93">
        <f t="shared" si="58"/>
        <v>0.00527059334022638</v>
      </c>
      <c r="J68" s="93">
        <f>$F$3+VLOOKUP($E68,武器奇术!$A:$R,12,FALSE)+VLOOKUP($E68,武器奇术!$A:$R,14,FALSE)*$G$3+$P68</f>
        <v>0.693</v>
      </c>
      <c r="K68" s="94">
        <f>VLOOKUP($E68,武器奇术!$A:$R,11,FALSE)</f>
        <v>1</v>
      </c>
      <c r="L68" s="109">
        <f>IF(VLOOKUP($E68,武器奇术!$A:$R,15,FALSE)="天工",0%,IF($C$17+VLOOKUP($E68,武器奇术!$A:$R,7,FALSE)&gt;80%,80%,$C$17+VLOOKUP($E68,武器奇术!$A:$R,7,FALSE))+IF($C$19&gt;20%,20%,$C$19))</f>
        <v>0.887</v>
      </c>
      <c r="M68" s="110">
        <f>IF(VLOOKUP($E68,武器奇术!$A:$R,15,FALSE)="天工",0%,IF($C$18+VLOOKUP($E68,武器奇术!$A:$R,9,FALSE)&gt;40%,40%,$C$18+VLOOKUP($E68,武器奇术!$A:$R,9,FALSE))+IF($C$20&gt;10%,10%,$C$20))</f>
        <v>0.0986</v>
      </c>
      <c r="N68" s="111">
        <f>IF(VLOOKUP($E68,武器奇术!$A:$R,15,FALSE)="天工",100%,MIN($C$16,1))</f>
        <v>1</v>
      </c>
      <c r="O68" s="112" t="str">
        <f>VLOOKUP($E68,武器奇术!$A:$R,16,FALSE)</f>
        <v>双刀</v>
      </c>
      <c r="P68" s="113">
        <f t="shared" si="59"/>
        <v>0.17</v>
      </c>
      <c r="Q68" s="99">
        <f>$B$5*(1+VLOOKUP($E68,武器奇术!$A:$R,5,FALSE)+IF($G$5="飞隼",0.1,0)+IF($G$5="撼天",0.05,0))-$F$9*IF(VLOOKUP($E68,武器奇术!$A:$S,19,FALSE)=1,0.9,1)+IF($I$5="√",160,0)</f>
        <v>2904.2</v>
      </c>
      <c r="R68" s="91">
        <f t="shared" si="60"/>
        <v>2904.2</v>
      </c>
      <c r="S68" s="91">
        <f>MAX($C$5,$B$5)*(1+VLOOKUP($E68,武器奇术!$A:$R,5,FALSE)+IF($G$5="飞隼",0.1,0)+IF($G$5="撼天",0.05,0))-$F$9*IF(VLOOKUP($E68,武器奇术!$A:$S,19,FALSE)=1,0.9,1)+IF($I$5="√",320,0)</f>
        <v>2904.2</v>
      </c>
      <c r="T68" s="93">
        <f>IF(($D$5+VLOOKUP($E68,武器奇术!$A:$R,13,FALSE)+IF($I$3="√",10,0)-VLOOKUP($F$7,目标属性!$A:$R,5,FALSE))&gt;0,($D$5+VLOOKUP($E68,武器奇术!$A:$R,13,FALSE)+IF($I$3="√",10,0)-VLOOKUP($F$7,目标属性!$A:$R,5,FALSE))/200,($D$5+VLOOKUP($E68,武器奇术!$A:$R,13,FALSE)+IF($I$3="√",10,0)-VLOOKUP($F$7,目标属性!$A:$R,5,FALSE))/100)</f>
        <v>0.3925</v>
      </c>
      <c r="U68" s="100">
        <f>$E$5+IF(VLOOKUP($E68,武器奇术!$A:$R,18,FALSE)="鼠鼠",0.24,0)</f>
        <v>0</v>
      </c>
      <c r="V68" s="91">
        <v>1</v>
      </c>
      <c r="W68" s="92">
        <f>Q68*VLOOKUP($E68,武器奇术!$A:$R,2,FALSE)*(1+T68)*(1+U68)*V68</f>
        <v>6430.318819925</v>
      </c>
      <c r="X68" s="93">
        <f>(1-IF(VLOOKUP($E68,武器奇术!$A:$R,16,FALSE)="陌刀",1,$N68))*(1-$M68)</f>
        <v>0</v>
      </c>
      <c r="Y68" s="92">
        <f>R68*VLOOKUP($E68,武器奇术!$A:$R,2,FALSE)*(1+T68)*(1+U68)*V68*(1+$E$16+VLOOKUP($E68,武器奇术!$A:$R,8,FALSE))</f>
        <v>15394.1832549005</v>
      </c>
      <c r="Z68" s="93">
        <f t="shared" si="61"/>
        <v>0.887</v>
      </c>
      <c r="AA68" s="92">
        <f>S68*VLOOKUP($E68,武器奇术!$A:$R,2,FALSE)*(1+T68)*(1+U68)*V68*(1+$E$17+VLOOKUP($E68,武器奇术!$A:$R,10,FALSE))</f>
        <v>8680.93040689875</v>
      </c>
      <c r="AB68" s="93">
        <f t="shared" si="62"/>
        <v>0.0986</v>
      </c>
      <c r="AC68" s="92">
        <f>R68*VLOOKUP($E68,武器奇术!$A:$R,2,FALSE)*(1+T68)*(1+U68)*V68</f>
        <v>6430.318819925</v>
      </c>
      <c r="AD68" s="93">
        <f t="shared" si="63"/>
        <v>0.0144</v>
      </c>
      <c r="AE68" s="101">
        <f t="shared" si="64"/>
        <v>14603.1768762239</v>
      </c>
      <c r="AF68" s="102">
        <f>VLOOKUP($E68,武器奇术!$A:$R,3,FALSE)*(1+IF(VLOOKUP($E68,武器奇术!$A:$R,15,FALSE)="武器",$E$15,0))</f>
        <v>573.43</v>
      </c>
      <c r="AG68" s="92">
        <f t="shared" si="65"/>
        <v>573.43</v>
      </c>
      <c r="AH68" s="92">
        <f>VLOOKUP($E68,武器奇术!$A:$R,3,FALSE)*(1+IF(VLOOKUP($E68,武器奇术!$A:$R,15,FALSE)="武器",$E$15,0))</f>
        <v>573.43</v>
      </c>
      <c r="AI68" s="93">
        <f>IF(($D$5+VLOOKUP($E68,武器奇术!$A:$R,13,FALSE)+IF($I$3="√",10,0)-VLOOKUP($F$7,目标属性!$A:$R,5,FALSE))&gt;0,($D$5+VLOOKUP($E68,武器奇术!$A:$R,13,FALSE)+IF($I$3="√",10,0)-VLOOKUP($F$7,目标属性!$A:$R,5,FALSE))/200,($D$5+VLOOKUP($E68,武器奇术!$A:$R,13,FALSE)+IF($I$3="√",10,0)-VLOOKUP($F$7,目标属性!$A:$R,5,FALSE))/100)</f>
        <v>0.3925</v>
      </c>
      <c r="AJ68" s="100">
        <f>$E$5+IF(VLOOKUP($E68,武器奇术!$A:$R,18,FALSE)="鼠鼠",0.24,0)</f>
        <v>0</v>
      </c>
      <c r="AK68" s="91">
        <v>1</v>
      </c>
      <c r="AL68" s="92">
        <f t="shared" si="66"/>
        <v>798.501275</v>
      </c>
      <c r="AM68" s="93">
        <f>(1-IF(VLOOKUP($E68,武器奇术!$A:$R,16,FALSE)="陌刀",1,$N68))*(1-$M68)</f>
        <v>0</v>
      </c>
      <c r="AN68" s="92">
        <f>AG68*(1+AI68)*(1+AJ68)*AK68*(1+$E$16+VLOOKUP($E68,武器奇术!$A:$R,8,FALSE))</f>
        <v>1911.61205235</v>
      </c>
      <c r="AO68" s="93">
        <f t="shared" si="1"/>
        <v>0.887</v>
      </c>
      <c r="AP68" s="92">
        <f>AH68*(1+AI68)*(1+AJ68)*AK68*(1+$E$17+VLOOKUP($E68,武器奇术!$A:$R,10,FALSE))</f>
        <v>1077.97672125</v>
      </c>
      <c r="AQ68" s="93">
        <f t="shared" si="2"/>
        <v>0.0986</v>
      </c>
      <c r="AR68" s="92">
        <f t="shared" si="67"/>
        <v>798.501275</v>
      </c>
      <c r="AS68" s="93">
        <f t="shared" si="68"/>
        <v>0.0144</v>
      </c>
      <c r="AT68" s="101">
        <f t="shared" si="69"/>
        <v>1813.3868135097</v>
      </c>
      <c r="AU68" s="99">
        <f>IF(VLOOKUP($E68,武器奇术!$A:$R,18,FALSE)="极乐",0,$B$7*IF($G$5="撼天",1.05,1)+IF(AND(VLOOKUP($E68,武器奇术!$A:$R,15,FALSE)="武器",VLOOKUP($E68,武器奇术!$A:$R,17,FALSE)="鸣金"),$E$3*(1+$E$15),0))</f>
        <v>0</v>
      </c>
      <c r="AV68" s="91">
        <f t="shared" si="70"/>
        <v>0</v>
      </c>
      <c r="AW68" s="91">
        <f>IF(VLOOKUP($E68,武器奇术!$A:$R,18,FALSE)="极乐",0,MAX($C$7*IF($G$5="撼天",1.05,1)+IF(AND(VLOOKUP($E68,武器奇术!$A:$R,15,FALSE)="武器",VLOOKUP($E68,武器奇术!$A:$R,17,FALSE)="鸣金"),$E$3*(1+$E$15),0),AU68))</f>
        <v>0</v>
      </c>
      <c r="AX68" s="93">
        <f>IF(($D$7+IF(VLOOKUP($E68,武器奇术!$A:$R,17,FALSE)="鸣金",$D$15,0)-VLOOKUP($F$7,目标属性!$A:$R,6,FALSE))&gt;0,($D$7+IF(VLOOKUP($E68,武器奇术!$A:$R,17,FALSE)="鸣金",$D$15,0)-VLOOKUP($F$7,目标属性!$A:$R,6,FALSE))/200,($D$7+IF(VLOOKUP($E68,武器奇术!$A:$R,17,FALSE)="鸣金",$D$15,0)-VLOOKUP($F$7,目标属性!$A:$R,6,FALSE))/100)</f>
        <v>-0.24</v>
      </c>
      <c r="AY68" s="100">
        <f t="shared" si="55"/>
        <v>0</v>
      </c>
      <c r="AZ68" s="91">
        <v>1</v>
      </c>
      <c r="BA68" s="92">
        <f>AU68*IF(VLOOKUP($E68,武器奇术!$A:$R,17,FALSE)="鸣金",VLOOKUP($E68,武器奇术!$A:$R,4,FALSE),VLOOKUP($E68,武器奇术!$A:$R,2,FALSE))*(1+AX68)*(1+AY68)*AZ68</f>
        <v>0</v>
      </c>
      <c r="BB68" s="93">
        <f>(1-IF(VLOOKUP($E68,武器奇术!$A:$R,16,FALSE)="陌刀",1,$N68))*(1-$M68)</f>
        <v>0</v>
      </c>
      <c r="BC68" s="92">
        <f>AV68*IF(VLOOKUP($E68,武器奇术!$A:$R,17,FALSE)="鸣金",VLOOKUP($E68,武器奇术!$A:$R,4,FALSE),VLOOKUP($E68,武器奇术!$A:$R,2,FALSE))*(1+AX68)*(1+AY68)*AZ68*(1+$E$16+VLOOKUP($E68,武器奇术!$A:$R,8,FALSE))</f>
        <v>0</v>
      </c>
      <c r="BD68" s="93">
        <f t="shared" si="3"/>
        <v>0.887</v>
      </c>
      <c r="BE68" s="92">
        <f>AW68*IF(VLOOKUP($E68,武器奇术!$A:$R,17,FALSE)="鸣金",VLOOKUP($E68,武器奇术!$A:$R,4,FALSE),VLOOKUP($E68,武器奇术!$A:$R,2,FALSE))*(1+AX68)*(1+AY68)*AZ68*(1+$E$17+VLOOKUP($E68,武器奇术!$A:$R,10,FALSE))</f>
        <v>0</v>
      </c>
      <c r="BF68" s="93">
        <f t="shared" si="4"/>
        <v>0.0986</v>
      </c>
      <c r="BG68" s="92">
        <f>AV68*IF(VLOOKUP($E68,武器奇术!$A:$R,17,FALSE)="鸣金",VLOOKUP($E68,武器奇术!$A:$R,4,FALSE),VLOOKUP($E68,武器奇术!$A:$R,2,FALSE))*(1+AX68)*(1+AY68)*AZ68</f>
        <v>0</v>
      </c>
      <c r="BH68" s="93">
        <f t="shared" si="71"/>
        <v>0.0144</v>
      </c>
      <c r="BI68" s="101">
        <f t="shared" si="72"/>
        <v>0</v>
      </c>
      <c r="BJ68" s="99">
        <f>IF(VLOOKUP($E68,武器奇术!$A:$R,18,FALSE)="极乐",0,$B$9*IF($G$5="撼天",1.05,1)+IF(AND(VLOOKUP($E68,武器奇术!$A:$R,15,FALSE)="武器",VLOOKUP($E68,武器奇术!$A:$R,17,FALSE)="裂石"),$E$3*(1+$E$15),0))</f>
        <v>0</v>
      </c>
      <c r="BK68" s="91">
        <f t="shared" si="73"/>
        <v>0</v>
      </c>
      <c r="BL68" s="91">
        <f>IF(VLOOKUP($E68,武器奇术!$A:$R,18,FALSE)="极乐",0,MAX($C$9*IF($G$5="撼天",1.05,1)+IF(AND(VLOOKUP($E68,武器奇术!$A:$R,15,FALSE)="武器",VLOOKUP($E68,武器奇术!$A:$R,17,FALSE)="裂石"),$E$3*(1+$E$15),0),BJ68))</f>
        <v>0</v>
      </c>
      <c r="BM68" s="93">
        <f>IF(($D$9+IF(VLOOKUP($E68,武器奇术!$A:$R,17,FALSE)="裂石",$D$15,0)-VLOOKUP($F$7,目标属性!$A:$R,6,FALSE))&gt;0,($D$9+IF(VLOOKUP($E68,武器奇术!$A:$R,17,FALSE)="裂石",$D$15,0)-VLOOKUP($F$7,目标属性!$A:$R,6,FALSE))/200,($D$9+IF(VLOOKUP($E68,武器奇术!$A:$R,17,FALSE)="裂石",$D$15,0)-VLOOKUP($F$7,目标属性!$A:$R,6,FALSE))/100)</f>
        <v>-0.24</v>
      </c>
      <c r="BN68" s="100">
        <f t="shared" si="56"/>
        <v>0</v>
      </c>
      <c r="BO68" s="91">
        <v>1</v>
      </c>
      <c r="BP68" s="92">
        <f>BJ68*IF(VLOOKUP($E68,武器奇术!$A:$R,17,FALSE)="裂石",VLOOKUP($E68,武器奇术!$A:$R,4,FALSE),VLOOKUP($E68,武器奇术!$A:$R,2,FALSE))*(1+BM68)*(1+BN68)*BO68</f>
        <v>0</v>
      </c>
      <c r="BQ68" s="93">
        <f>(1-IF(VLOOKUP($E68,武器奇术!$A:$R,16,FALSE)="陌刀",1,$N68))*(1-$M68)</f>
        <v>0</v>
      </c>
      <c r="BR68" s="92">
        <f>BK68*IF(VLOOKUP($E68,武器奇术!$A:$R,17,FALSE)="裂石",VLOOKUP($E68,武器奇术!$A:$R,4,FALSE),VLOOKUP($E68,武器奇术!$A:$R,2,FALSE))*(1+BM68)*(1+BN68)*BO68*(1+$E$16+VLOOKUP($E68,武器奇术!$A:$R,8,FALSE))</f>
        <v>0</v>
      </c>
      <c r="BS68" s="93">
        <f t="shared" si="5"/>
        <v>0.887</v>
      </c>
      <c r="BT68" s="92">
        <f>BL68*IF(VLOOKUP($E68,武器奇术!$A:$R,17,FALSE)="裂石",VLOOKUP($E68,武器奇术!$A:$R,4,FALSE),VLOOKUP($E68,武器奇术!$A:$R,2,FALSE))*(1+BM68)*(1+BN68)*BO68*(1+$E$17+VLOOKUP($E68,武器奇术!$A:$R,10,FALSE))</f>
        <v>0</v>
      </c>
      <c r="BU68" s="93">
        <f t="shared" si="6"/>
        <v>0.0986</v>
      </c>
      <c r="BV68" s="92">
        <f>BK68*IF(VLOOKUP($E68,武器奇术!$A:$R,17,FALSE)="裂石",VLOOKUP($E68,武器奇术!$A:$R,4,FALSE),VLOOKUP($E68,武器奇术!$A:$R,2,FALSE))*(1+BM68)*(1+BN68)*BO68</f>
        <v>0</v>
      </c>
      <c r="BW68" s="93">
        <f t="shared" si="74"/>
        <v>0.0144</v>
      </c>
      <c r="BX68" s="101">
        <f t="shared" si="75"/>
        <v>0</v>
      </c>
      <c r="BY68" s="99">
        <f>IF(VLOOKUP($E68,武器奇术!$A:$R,18,FALSE)="极乐",0,$B$11*IF($G$5="撼天",1.05,1)+IF(AND(VLOOKUP($E68,武器奇术!$A:$R,15,FALSE)="武器",VLOOKUP($E68,武器奇术!$A:$R,17,FALSE)="牵丝"),$E$3*(1+$E$15),0))</f>
        <v>0</v>
      </c>
      <c r="BZ68" s="91">
        <f t="shared" si="76"/>
        <v>0</v>
      </c>
      <c r="CA68" s="91">
        <f>IF(VLOOKUP($E68,武器奇术!$A:$R,18,FALSE)="极乐",0,MAX($C$11*IF($G$5="撼天",1.05,1)+IF(AND(VLOOKUP($E68,武器奇术!$A:$R,15,FALSE)="武器",VLOOKUP($E68,武器奇术!$A:$R,17,FALSE)="牵丝"),$E$3*(1+$E$15),0),BY68))</f>
        <v>0</v>
      </c>
      <c r="CB68" s="93">
        <f>IF(($D$11+IF(VLOOKUP($E68,武器奇术!$A:$R,17,FALSE)="牵丝",$D$15,0)-VLOOKUP($F$7,目标属性!$A:$R,6,FALSE))&gt;0,($D$11+IF(VLOOKUP($E68,武器奇术!$A:$R,17,FALSE)="牵丝",$D$15,0)-VLOOKUP($F$7,目标属性!$A:$R,6,FALSE))/200,($D$11+IF(VLOOKUP($E68,武器奇术!$A:$R,17,FALSE)="牵丝",$D$15,0)-VLOOKUP($F$7,目标属性!$A:$R,6,FALSE))/100)</f>
        <v>-0.24</v>
      </c>
      <c r="CC68" s="100">
        <f t="shared" si="57"/>
        <v>0</v>
      </c>
      <c r="CD68" s="91">
        <v>1</v>
      </c>
      <c r="CE68" s="92">
        <f>BY68*IF(VLOOKUP($E68,武器奇术!$A:$R,17,FALSE)="牵丝",VLOOKUP($E68,武器奇术!$A:$R,4,FALSE),VLOOKUP($E68,武器奇术!$A:$R,2,FALSE))*(1+CB68)*(1+CC68)*CD68</f>
        <v>0</v>
      </c>
      <c r="CF68" s="93">
        <f>(1-IF(VLOOKUP($E68,武器奇术!$A:$R,16,FALSE)="陌刀",1,$N68))*(1-$M68)</f>
        <v>0</v>
      </c>
      <c r="CG68" s="92">
        <f>BZ68*IF(VLOOKUP($E68,武器奇术!$A:$R,17,FALSE)="牵丝",VLOOKUP($E68,武器奇术!$A:$R,4,FALSE),VLOOKUP($E68,武器奇术!$A:$R,2,FALSE))*(1+CB68)*(1+CC68)*CD68*(1+$E$16+VLOOKUP($E68,武器奇术!$A:$R,8,FALSE))</f>
        <v>0</v>
      </c>
      <c r="CH68" s="93">
        <f t="shared" si="7"/>
        <v>0.887</v>
      </c>
      <c r="CI68" s="92">
        <f>CA68*IF(VLOOKUP($E68,武器奇术!$A:$R,17,FALSE)="牵丝",VLOOKUP($E68,武器奇术!$A:$R,4,FALSE),VLOOKUP($E68,武器奇术!$A:$R,2,FALSE))*(1+CB68)*(1+CC68)*CD68*(1+$E$17+VLOOKUP($E68,武器奇术!$A:$R,10,FALSE))</f>
        <v>0</v>
      </c>
      <c r="CJ68" s="93">
        <f t="shared" si="8"/>
        <v>0.0986</v>
      </c>
      <c r="CK68" s="92">
        <f>BZ68*IF(VLOOKUP($E68,武器奇术!$A:$R,17,FALSE)="牵丝",VLOOKUP($E68,武器奇术!$A:$R,4,FALSE),VLOOKUP($E68,武器奇术!$A:$R,2,FALSE))*(1+CB68)*(1+CC68)*CD68</f>
        <v>0</v>
      </c>
      <c r="CL68" s="93">
        <f t="shared" si="77"/>
        <v>0.0144</v>
      </c>
      <c r="CM68" s="101">
        <f t="shared" si="78"/>
        <v>0</v>
      </c>
      <c r="CN68" s="99">
        <f>IF(VLOOKUP($E68,武器奇术!$A:$R,18,FALSE)="极乐",0,$B$13*IF($G$5="撼天",1.05,1)+IF(AND(VLOOKUP($E68,武器奇术!$A:$R,15,FALSE)="武器",VLOOKUP($E68,武器奇术!$A:$R,17,FALSE)="破竹"),$E$3*(1+$E$15),0))</f>
        <v>686.71</v>
      </c>
      <c r="CO68" s="91">
        <f t="shared" si="79"/>
        <v>1052.21</v>
      </c>
      <c r="CP68" s="91">
        <f>IF(VLOOKUP($E68,武器奇术!$A:$R,18,FALSE)="极乐",0,MAX($C$13*IF($G$5="撼天",1.05,1)+IF(AND(VLOOKUP($E68,武器奇术!$A:$R,15,FALSE)="武器",VLOOKUP($E68,武器奇术!$A:$R,17,FALSE)="破竹"),$E$3*(1+$E$15),0),CN68))</f>
        <v>1417.71</v>
      </c>
      <c r="CQ68" s="93">
        <f>IF(($D$13+IF(VLOOKUP($E68,武器奇术!$A:$R,17,FALSE)="破竹",$D$15,0)-VLOOKUP($F$7,目标属性!$A:$R,6,FALSE)+IF(VLOOKUP($E68,武器奇术!$A:$V,22,FALSE)=1,4,0)+IF(VLOOKUP($E68,武器奇术!$A:$T,20,FALSE)=1,10,0))&gt;0,($D$13+IF(VLOOKUP($E68,武器奇术!$A:$R,17,FALSE)="破竹",$D$15,0)-VLOOKUP($F$7,目标属性!$A:$R,6,FALSE)+IF(VLOOKUP($E68,武器奇术!$A:$V,22,FALSE)=1,4,0)+IF(VLOOKUP($E68,武器奇术!$A:$T,20,FALSE)=1,10,0))/200,($D$13+IF(VLOOKUP($E68,武器奇术!$A:$R,17,FALSE)="破竹",$D$15,0)-VLOOKUP($F$7,目标属性!$A:$R,6,FALSE)+IF(VLOOKUP($E68,武器奇术!$A:$V,22,FALSE)=1,4,0)+IF(VLOOKUP($E68,武器奇术!$A:$T,20,FALSE)=1,10,0))/100)</f>
        <v>0.078</v>
      </c>
      <c r="CR68" s="100">
        <f t="shared" si="83"/>
        <v>0.148</v>
      </c>
      <c r="CS68" s="91">
        <v>1</v>
      </c>
      <c r="CT68" s="92">
        <f>CN68*IF(VLOOKUP($E68,武器奇术!$A:$R,17,FALSE)="破竹",VLOOKUP($E68,武器奇术!$A:$R,4,FALSE),VLOOKUP($E68,武器奇术!$A:$R,2,FALSE))*(1+CQ68)*(1+CR68)*CS68</f>
        <v>2026.96418737163</v>
      </c>
      <c r="CU68" s="93">
        <f>(1-IF(VLOOKUP($E68,武器奇术!$A:$R,16,FALSE)="陌刀",1,$N68))*(1-$M68)</f>
        <v>0</v>
      </c>
      <c r="CV68" s="92">
        <f>CO68*IF(VLOOKUP($E68,武器奇术!$A:$R,17,FALSE)="破竹",VLOOKUP($E68,武器奇术!$A:$R,4,FALSE),VLOOKUP($E68,武器奇术!$A:$R,2,FALSE))*(1+CQ68)*(1+CR68)*CS68*(1+$E$16+VLOOKUP($E68,武器奇术!$A:$R,8,FALSE))</f>
        <v>7435.31333212093</v>
      </c>
      <c r="CW68" s="93">
        <f t="shared" si="9"/>
        <v>0.887</v>
      </c>
      <c r="CX68" s="92">
        <f>CP68*IF(VLOOKUP($E68,武器奇术!$A:$R,17,FALSE)="破竹",VLOOKUP($E68,武器奇术!$A:$R,4,FALSE),VLOOKUP($E68,武器奇术!$A:$R,2,FALSE))*(1+CQ68)*(1+CR68)*CS68*(1+$E$17+VLOOKUP($E68,武器奇术!$A:$R,10,FALSE))</f>
        <v>5649.29007500423</v>
      </c>
      <c r="CY68" s="93">
        <f t="shared" si="10"/>
        <v>0.0986</v>
      </c>
      <c r="CZ68" s="92">
        <f>CO68*IF(VLOOKUP($E68,武器奇术!$A:$R,17,FALSE)="破竹",VLOOKUP($E68,武器奇术!$A:$R,4,FALSE),VLOOKUP($E68,武器奇术!$A:$R,2,FALSE))*(1+CQ68)*(1+CR68)*CS68</f>
        <v>3105.81175109479</v>
      </c>
      <c r="DA68" s="93">
        <f t="shared" si="80"/>
        <v>0.0144</v>
      </c>
      <c r="DB68" s="101">
        <f t="shared" si="81"/>
        <v>7196.86661620245</v>
      </c>
      <c r="DC68" s="99">
        <f>IF(VLOOKUP($E68,武器奇术!$A:$R,18,FALSE)="极乐",0,$B$15)</f>
        <v>66</v>
      </c>
      <c r="DD68" s="91">
        <f t="shared" si="82"/>
        <v>95.9</v>
      </c>
      <c r="DE68" s="91">
        <f>IF(VLOOKUP($E68,武器奇术!$A:$R,18,FALSE)="极乐",0,$C$15)</f>
        <v>125.8</v>
      </c>
      <c r="DF68" s="93">
        <f>IF((IF(VLOOKUP($E68,武器奇术!$A:$R,17,FALSE)="鸣金",$D$7,0)+IF(VLOOKUP($E68,武器奇术!$A:$R,17,FALSE)="裂石",$D$9,0)+IF(VLOOKUP($E68,武器奇术!$A:$R,17,FALSE)="牵丝",$D$11,0)+IF(VLOOKUP($E68,武器奇术!$A:$R,17,FALSE)="破竹",$D$13,0)+$D$15-VLOOKUP($F$7,目标属性!$A:$R,6,FALSE)+IF(VLOOKUP($E68,武器奇术!$A:$V,22,FALSE)=1,4,0)+IF(VLOOKUP($E68,武器奇术!$A:$T,20,FALSE)=1,10,0))&gt;0,(IF(VLOOKUP($E68,武器奇术!$A:$R,17,FALSE)="鸣金",$D$7,0)+IF(VLOOKUP($E68,武器奇术!$A:$R,17,FALSE)="裂石",$D$9,0)+IF(VLOOKUP($E68,武器奇术!$A:$R,17,FALSE)="牵丝",$D$11,0)+IF(VLOOKUP($E68,武器奇术!$A:$R,17,FALSE)="破竹",$D$13,0)+$D$15-VLOOKUP($F$7,目标属性!$A:$R,6,FALSE)+IF(VLOOKUP($E68,武器奇术!$A:$V,22,FALSE)=1,4,0)+IF(VLOOKUP($E68,武器奇术!$A:$T,20,FALSE)=1,10,0))/200,(IF(VLOOKUP($E68,武器奇术!$A:$R,17,FALSE)="鸣金",$D$7,0)+IF(VLOOKUP($E68,武器奇术!$A:$R,17,FALSE)="裂石",$D$9,0)+IF(VLOOKUP($E68,武器奇术!$A:$R,17,FALSE)="牵丝",$D$11,0)+IF(VLOOKUP($E68,武器奇术!$A:$R,17,FALSE)="破竹",$D$13,0)+$D$15-VLOOKUP($F$7,目标属性!$A:$R,6,FALSE)+IF(VLOOKUP($E68,武器奇术!$A:$V,22,FALSE)=1,4,0)+IF(VLOOKUP($E68,武器奇术!$A:$T,20,FALSE)=1,10,0))/100)</f>
        <v>0.078</v>
      </c>
      <c r="DG68" s="100">
        <f t="shared" si="54"/>
        <v>0.148</v>
      </c>
      <c r="DH68" s="91">
        <v>1</v>
      </c>
      <c r="DI68" s="92">
        <f>DC68*IF(VLOOKUP($E68,武器奇术!$A:$R,17,FALSE)="破竹",VLOOKUP($E68,武器奇术!$A:$R,4,FALSE),VLOOKUP($E68,武器奇术!$A:$R,2,FALSE))*(1+DF68)*(1+DG68)*DH68</f>
        <v>194.81241916752</v>
      </c>
      <c r="DJ68" s="93">
        <f>(1-IF(VLOOKUP($E68,武器奇术!$A:$R,16,FALSE)="陌刀",1,$N68))*(1-$M68)</f>
        <v>0</v>
      </c>
      <c r="DK68" s="92">
        <f>DD68*IF(VLOOKUP($E68,武器奇术!$A:$R,17,FALSE)="破竹",VLOOKUP($E68,武器奇术!$A:$R,4,FALSE),VLOOKUP($E68,武器奇术!$A:$R,2,FALSE))*(1+DF68)*(1+DG68)*DH68*(1+$E$16+VLOOKUP($E68,武器奇术!$A:$R,8,FALSE))</f>
        <v>677.665626206173</v>
      </c>
      <c r="DL68" s="93">
        <f t="shared" si="12"/>
        <v>0.887</v>
      </c>
      <c r="DM68" s="92">
        <f>DE68*IF(VLOOKUP($E68,武器奇术!$A:$R,17,FALSE)="破竹",VLOOKUP($E68,武器奇术!$A:$R,4,FALSE),VLOOKUP($E68,武器奇术!$A:$R,2,FALSE))*(1+DF68)*(1+DG68)*DH68*(1+$E$17+VLOOKUP($E68,武器奇术!$A:$R,10,FALSE))</f>
        <v>501.287774957878</v>
      </c>
      <c r="DN68" s="93">
        <f t="shared" si="13"/>
        <v>0.0986</v>
      </c>
      <c r="DO68" s="92">
        <f>DD68*IF(VLOOKUP($E68,武器奇术!$A:$R,17,FALSE)="破竹",VLOOKUP($E68,武器奇术!$A:$R,4,FALSE),VLOOKUP($E68,武器奇术!$A:$R,2,FALSE))*(1+DF68)*(1+DG68)*DH68</f>
        <v>283.068348457048</v>
      </c>
      <c r="DP68" s="93">
        <f t="shared" si="14"/>
        <v>0.0144</v>
      </c>
      <c r="DQ68" s="101">
        <f t="shared" si="15"/>
        <v>654.592569273504</v>
      </c>
    </row>
    <row r="69" spans="1:121">
      <c r="A69" s="129"/>
      <c r="B69" t="s">
        <v>147</v>
      </c>
      <c r="C69">
        <v>1</v>
      </c>
      <c r="E69" s="105" t="s">
        <v>148</v>
      </c>
      <c r="F69" s="106">
        <f>IF($E$26&gt;=32,0,1)</f>
        <v>1</v>
      </c>
      <c r="G69" s="107">
        <f t="shared" si="84"/>
        <v>0</v>
      </c>
      <c r="H69" s="92">
        <f>IF(VLOOKUP($E69,武器奇术!$A:$R,18,FALSE)="天工",AE69,(AE69+AT69+BI69+BX69+CM69+DB69+DQ69))*(1+J69)*F69*K69*(1+G69)</f>
        <v>49332.5752019969</v>
      </c>
      <c r="I69" s="93">
        <f t="shared" si="58"/>
        <v>0.00632851686456277</v>
      </c>
      <c r="J69" s="93">
        <f>$F$3+VLOOKUP($E69,武器奇术!$A:$R,12,FALSE)+VLOOKUP($E69,武器奇术!$A:$R,14,FALSE)*$G$3+$P69</f>
        <v>0.693</v>
      </c>
      <c r="K69" s="94">
        <f>VLOOKUP($E69,武器奇术!$A:$R,11,FALSE)</f>
        <v>1</v>
      </c>
      <c r="L69" s="109">
        <f>IF(VLOOKUP($E69,武器奇术!$A:$R,15,FALSE)="天工",0%,IF($C$17+VLOOKUP($E69,武器奇术!$A:$R,7,FALSE)&gt;80%,80%,$C$17+VLOOKUP($E69,武器奇术!$A:$R,7,FALSE))+IF($C$19&gt;20%,20%,$C$19))</f>
        <v>0.887</v>
      </c>
      <c r="M69" s="110">
        <f>IF(VLOOKUP($E69,武器奇术!$A:$R,15,FALSE)="天工",0%,IF($C$18+VLOOKUP($E69,武器奇术!$A:$R,9,FALSE)&gt;40%,40%,$C$18+VLOOKUP($E69,武器奇术!$A:$R,9,FALSE))+IF($C$20&gt;10%,10%,$C$20))</f>
        <v>0.0986</v>
      </c>
      <c r="N69" s="111">
        <f>IF(VLOOKUP($E69,武器奇术!$A:$R,15,FALSE)="天工",100%,MIN($C$16,1))</f>
        <v>1</v>
      </c>
      <c r="O69" s="112" t="str">
        <f>VLOOKUP($E69,武器奇术!$A:$R,16,FALSE)</f>
        <v>双刀</v>
      </c>
      <c r="P69" s="113">
        <f t="shared" si="59"/>
        <v>0.17</v>
      </c>
      <c r="Q69" s="99">
        <f>$B$5*(1+VLOOKUP($E69,武器奇术!$A:$R,5,FALSE)+IF($G$5="飞隼",0.1,0)+IF($G$5="撼天",0.05,0))-$F$9*IF(VLOOKUP($E69,武器奇术!$A:$S,19,FALSE)=1,0.9,1)+IF($I$5="√",160,0)</f>
        <v>2904.2</v>
      </c>
      <c r="R69" s="91">
        <f t="shared" si="60"/>
        <v>2904.2</v>
      </c>
      <c r="S69" s="91">
        <f>MAX($C$5,$B$5)*(1+VLOOKUP($E69,武器奇术!$A:$R,5,FALSE)+IF($G$5="飞隼",0.1,0)+IF($G$5="撼天",0.05,0))-$F$9*IF(VLOOKUP($E69,武器奇术!$A:$S,19,FALSE)=1,0.9,1)+IF($I$5="√",320,0)</f>
        <v>2904.2</v>
      </c>
      <c r="T69" s="93">
        <f>IF(($D$5+VLOOKUP($E69,武器奇术!$A:$R,13,FALSE)+IF($I$3="√",10,0)-VLOOKUP($F$7,目标属性!$A:$R,5,FALSE))&gt;0,($D$5+VLOOKUP($E69,武器奇术!$A:$R,13,FALSE)+IF($I$3="√",10,0)-VLOOKUP($F$7,目标属性!$A:$R,5,FALSE))/200,($D$5+VLOOKUP($E69,武器奇术!$A:$R,13,FALSE)+IF($I$3="√",10,0)-VLOOKUP($F$7,目标属性!$A:$R,5,FALSE))/100)</f>
        <v>0.3925</v>
      </c>
      <c r="U69" s="100">
        <f>$E$5+IF(VLOOKUP($E69,武器奇术!$A:$R,18,FALSE)="鼠鼠",0.24,0)</f>
        <v>0</v>
      </c>
      <c r="V69" s="91">
        <v>1</v>
      </c>
      <c r="W69" s="92">
        <f>Q69*VLOOKUP($E69,武器奇术!$A:$R,2,FALSE)*(1+T69)*(1+U69)*V69</f>
        <v>7721.72079393</v>
      </c>
      <c r="X69" s="93">
        <f>(1-IF(VLOOKUP($E69,武器奇术!$A:$R,16,FALSE)="陌刀",1,$N69))*(1-$M69)</f>
        <v>0</v>
      </c>
      <c r="Y69" s="92">
        <f>R69*VLOOKUP($E69,武器奇术!$A:$R,2,FALSE)*(1+T69)*(1+U69)*V69*(1+$E$16+VLOOKUP($E69,武器奇术!$A:$R,8,FALSE))</f>
        <v>18485.7995806684</v>
      </c>
      <c r="Z69" s="93">
        <f t="shared" si="61"/>
        <v>0.887</v>
      </c>
      <c r="AA69" s="92">
        <f>S69*VLOOKUP($E69,武器奇术!$A:$R,2,FALSE)*(1+T69)*(1+U69)*V69*(1+$E$17+VLOOKUP($E69,武器奇术!$A:$R,10,FALSE))</f>
        <v>10424.3230718055</v>
      </c>
      <c r="AB69" s="93">
        <f t="shared" si="62"/>
        <v>0.0986</v>
      </c>
      <c r="AC69" s="92">
        <f>R69*VLOOKUP($E69,武器奇术!$A:$R,2,FALSE)*(1+T69)*(1+U69)*V69</f>
        <v>7721.72079393</v>
      </c>
      <c r="AD69" s="93">
        <f t="shared" si="63"/>
        <v>0.0144</v>
      </c>
      <c r="AE69" s="101">
        <f t="shared" si="64"/>
        <v>17535.9352623655</v>
      </c>
      <c r="AF69" s="102">
        <f>VLOOKUP($E69,武器奇术!$A:$R,3,FALSE)*(1+IF(VLOOKUP($E69,武器奇术!$A:$R,15,FALSE)="武器",$E$15,0))</f>
        <v>687.83</v>
      </c>
      <c r="AG69" s="92">
        <f t="shared" si="65"/>
        <v>687.83</v>
      </c>
      <c r="AH69" s="92">
        <f>VLOOKUP($E69,武器奇术!$A:$R,3,FALSE)*(1+IF(VLOOKUP($E69,武器奇术!$A:$R,15,FALSE)="武器",$E$15,0))</f>
        <v>687.83</v>
      </c>
      <c r="AI69" s="93">
        <f>IF(($D$5+VLOOKUP($E69,武器奇术!$A:$R,13,FALSE)+IF($I$3="√",10,0)-VLOOKUP($F$7,目标属性!$A:$R,5,FALSE))&gt;0,($D$5+VLOOKUP($E69,武器奇术!$A:$R,13,FALSE)+IF($I$3="√",10,0)-VLOOKUP($F$7,目标属性!$A:$R,5,FALSE))/200,($D$5+VLOOKUP($E69,武器奇术!$A:$R,13,FALSE)+IF($I$3="√",10,0)-VLOOKUP($F$7,目标属性!$A:$R,5,FALSE))/100)</f>
        <v>0.3925</v>
      </c>
      <c r="AJ69" s="100">
        <f>$E$5+IF(VLOOKUP($E69,武器奇术!$A:$R,18,FALSE)="鼠鼠",0.24,0)</f>
        <v>0</v>
      </c>
      <c r="AK69" s="91">
        <v>1</v>
      </c>
      <c r="AL69" s="92">
        <f t="shared" si="66"/>
        <v>957.803275</v>
      </c>
      <c r="AM69" s="93">
        <f>(1-IF(VLOOKUP($E69,武器奇术!$A:$R,16,FALSE)="陌刀",1,$N69))*(1-$M69)</f>
        <v>0</v>
      </c>
      <c r="AN69" s="92">
        <f>AG69*(1+AI69)*(1+AJ69)*AK69*(1+$E$16+VLOOKUP($E69,武器奇术!$A:$R,8,FALSE))</f>
        <v>2292.98104035</v>
      </c>
      <c r="AO69" s="93">
        <f t="shared" si="1"/>
        <v>0.887</v>
      </c>
      <c r="AP69" s="92">
        <f>AH69*(1+AI69)*(1+AJ69)*AK69*(1+$E$17+VLOOKUP($E69,武器奇术!$A:$R,10,FALSE))</f>
        <v>1293.03442125</v>
      </c>
      <c r="AQ69" s="93">
        <f t="shared" si="2"/>
        <v>0.0986</v>
      </c>
      <c r="AR69" s="92">
        <f t="shared" si="67"/>
        <v>957.803275</v>
      </c>
      <c r="AS69" s="93">
        <f t="shared" si="68"/>
        <v>0.0144</v>
      </c>
      <c r="AT69" s="101">
        <f t="shared" si="69"/>
        <v>2175.1597438857</v>
      </c>
      <c r="AU69" s="99">
        <f>IF(VLOOKUP($E69,武器奇术!$A:$R,18,FALSE)="极乐",0,$B$7*IF($G$5="撼天",1.05,1)+IF(AND(VLOOKUP($E69,武器奇术!$A:$R,15,FALSE)="武器",VLOOKUP($E69,武器奇术!$A:$R,17,FALSE)="鸣金"),$E$3*(1+$E$15),0))</f>
        <v>0</v>
      </c>
      <c r="AV69" s="91">
        <f t="shared" si="70"/>
        <v>0</v>
      </c>
      <c r="AW69" s="91">
        <f>IF(VLOOKUP($E69,武器奇术!$A:$R,18,FALSE)="极乐",0,MAX($C$7*IF($G$5="撼天",1.05,1)+IF(AND(VLOOKUP($E69,武器奇术!$A:$R,15,FALSE)="武器",VLOOKUP($E69,武器奇术!$A:$R,17,FALSE)="鸣金"),$E$3*(1+$E$15),0),AU69))</f>
        <v>0</v>
      </c>
      <c r="AX69" s="93">
        <f>IF(($D$7+IF(VLOOKUP($E69,武器奇术!$A:$R,17,FALSE)="鸣金",$D$15,0)-VLOOKUP($F$7,目标属性!$A:$R,6,FALSE))&gt;0,($D$7+IF(VLOOKUP($E69,武器奇术!$A:$R,17,FALSE)="鸣金",$D$15,0)-VLOOKUP($F$7,目标属性!$A:$R,6,FALSE))/200,($D$7+IF(VLOOKUP($E69,武器奇术!$A:$R,17,FALSE)="鸣金",$D$15,0)-VLOOKUP($F$7,目标属性!$A:$R,6,FALSE))/100)</f>
        <v>-0.24</v>
      </c>
      <c r="AY69" s="100">
        <f t="shared" si="55"/>
        <v>0</v>
      </c>
      <c r="AZ69" s="91">
        <v>1</v>
      </c>
      <c r="BA69" s="92">
        <f>AU69*IF(VLOOKUP($E69,武器奇术!$A:$R,17,FALSE)="鸣金",VLOOKUP($E69,武器奇术!$A:$R,4,FALSE),VLOOKUP($E69,武器奇术!$A:$R,2,FALSE))*(1+AX69)*(1+AY69)*AZ69</f>
        <v>0</v>
      </c>
      <c r="BB69" s="93">
        <f>(1-IF(VLOOKUP($E69,武器奇术!$A:$R,16,FALSE)="陌刀",1,$N69))*(1-$M69)</f>
        <v>0</v>
      </c>
      <c r="BC69" s="92">
        <f>AV69*IF(VLOOKUP($E69,武器奇术!$A:$R,17,FALSE)="鸣金",VLOOKUP($E69,武器奇术!$A:$R,4,FALSE),VLOOKUP($E69,武器奇术!$A:$R,2,FALSE))*(1+AX69)*(1+AY69)*AZ69*(1+$E$16+VLOOKUP($E69,武器奇术!$A:$R,8,FALSE))</f>
        <v>0</v>
      </c>
      <c r="BD69" s="93">
        <f t="shared" si="3"/>
        <v>0.887</v>
      </c>
      <c r="BE69" s="92">
        <f>AW69*IF(VLOOKUP($E69,武器奇术!$A:$R,17,FALSE)="鸣金",VLOOKUP($E69,武器奇术!$A:$R,4,FALSE),VLOOKUP($E69,武器奇术!$A:$R,2,FALSE))*(1+AX69)*(1+AY69)*AZ69*(1+$E$17+VLOOKUP($E69,武器奇术!$A:$R,10,FALSE))</f>
        <v>0</v>
      </c>
      <c r="BF69" s="93">
        <f t="shared" si="4"/>
        <v>0.0986</v>
      </c>
      <c r="BG69" s="92">
        <f>AV69*IF(VLOOKUP($E69,武器奇术!$A:$R,17,FALSE)="鸣金",VLOOKUP($E69,武器奇术!$A:$R,4,FALSE),VLOOKUP($E69,武器奇术!$A:$R,2,FALSE))*(1+AX69)*(1+AY69)*AZ69</f>
        <v>0</v>
      </c>
      <c r="BH69" s="93">
        <f t="shared" si="71"/>
        <v>0.0144</v>
      </c>
      <c r="BI69" s="101">
        <f t="shared" si="72"/>
        <v>0</v>
      </c>
      <c r="BJ69" s="99">
        <f>IF(VLOOKUP($E69,武器奇术!$A:$R,18,FALSE)="极乐",0,$B$9*IF($G$5="撼天",1.05,1)+IF(AND(VLOOKUP($E69,武器奇术!$A:$R,15,FALSE)="武器",VLOOKUP($E69,武器奇术!$A:$R,17,FALSE)="裂石"),$E$3*(1+$E$15),0))</f>
        <v>0</v>
      </c>
      <c r="BK69" s="91">
        <f t="shared" si="73"/>
        <v>0</v>
      </c>
      <c r="BL69" s="91">
        <f>IF(VLOOKUP($E69,武器奇术!$A:$R,18,FALSE)="极乐",0,MAX($C$9*IF($G$5="撼天",1.05,1)+IF(AND(VLOOKUP($E69,武器奇术!$A:$R,15,FALSE)="武器",VLOOKUP($E69,武器奇术!$A:$R,17,FALSE)="裂石"),$E$3*(1+$E$15),0),BJ69))</f>
        <v>0</v>
      </c>
      <c r="BM69" s="93">
        <f>IF(($D$9+IF(VLOOKUP($E69,武器奇术!$A:$R,17,FALSE)="裂石",$D$15,0)-VLOOKUP($F$7,目标属性!$A:$R,6,FALSE))&gt;0,($D$9+IF(VLOOKUP($E69,武器奇术!$A:$R,17,FALSE)="裂石",$D$15,0)-VLOOKUP($F$7,目标属性!$A:$R,6,FALSE))/200,($D$9+IF(VLOOKUP($E69,武器奇术!$A:$R,17,FALSE)="裂石",$D$15,0)-VLOOKUP($F$7,目标属性!$A:$R,6,FALSE))/100)</f>
        <v>-0.24</v>
      </c>
      <c r="BN69" s="100">
        <f t="shared" si="56"/>
        <v>0</v>
      </c>
      <c r="BO69" s="91">
        <v>1</v>
      </c>
      <c r="BP69" s="92">
        <f>BJ69*IF(VLOOKUP($E69,武器奇术!$A:$R,17,FALSE)="裂石",VLOOKUP($E69,武器奇术!$A:$R,4,FALSE),VLOOKUP($E69,武器奇术!$A:$R,2,FALSE))*(1+BM69)*(1+BN69)*BO69</f>
        <v>0</v>
      </c>
      <c r="BQ69" s="93">
        <f>(1-IF(VLOOKUP($E69,武器奇术!$A:$R,16,FALSE)="陌刀",1,$N69))*(1-$M69)</f>
        <v>0</v>
      </c>
      <c r="BR69" s="92">
        <f>BK69*IF(VLOOKUP($E69,武器奇术!$A:$R,17,FALSE)="裂石",VLOOKUP($E69,武器奇术!$A:$R,4,FALSE),VLOOKUP($E69,武器奇术!$A:$R,2,FALSE))*(1+BM69)*(1+BN69)*BO69*(1+$E$16+VLOOKUP($E69,武器奇术!$A:$R,8,FALSE))</f>
        <v>0</v>
      </c>
      <c r="BS69" s="93">
        <f t="shared" si="5"/>
        <v>0.887</v>
      </c>
      <c r="BT69" s="92">
        <f>BL69*IF(VLOOKUP($E69,武器奇术!$A:$R,17,FALSE)="裂石",VLOOKUP($E69,武器奇术!$A:$R,4,FALSE),VLOOKUP($E69,武器奇术!$A:$R,2,FALSE))*(1+BM69)*(1+BN69)*BO69*(1+$E$17+VLOOKUP($E69,武器奇术!$A:$R,10,FALSE))</f>
        <v>0</v>
      </c>
      <c r="BU69" s="93">
        <f t="shared" si="6"/>
        <v>0.0986</v>
      </c>
      <c r="BV69" s="92">
        <f>BK69*IF(VLOOKUP($E69,武器奇术!$A:$R,17,FALSE)="裂石",VLOOKUP($E69,武器奇术!$A:$R,4,FALSE),VLOOKUP($E69,武器奇术!$A:$R,2,FALSE))*(1+BM69)*(1+BN69)*BO69</f>
        <v>0</v>
      </c>
      <c r="BW69" s="93">
        <f t="shared" si="74"/>
        <v>0.0144</v>
      </c>
      <c r="BX69" s="101">
        <f t="shared" si="75"/>
        <v>0</v>
      </c>
      <c r="BY69" s="99">
        <f>IF(VLOOKUP($E69,武器奇术!$A:$R,18,FALSE)="极乐",0,$B$11*IF($G$5="撼天",1.05,1)+IF(AND(VLOOKUP($E69,武器奇术!$A:$R,15,FALSE)="武器",VLOOKUP($E69,武器奇术!$A:$R,17,FALSE)="牵丝"),$E$3*(1+$E$15),0))</f>
        <v>0</v>
      </c>
      <c r="BZ69" s="91">
        <f t="shared" si="76"/>
        <v>0</v>
      </c>
      <c r="CA69" s="91">
        <f>IF(VLOOKUP($E69,武器奇术!$A:$R,18,FALSE)="极乐",0,MAX($C$11*IF($G$5="撼天",1.05,1)+IF(AND(VLOOKUP($E69,武器奇术!$A:$R,15,FALSE)="武器",VLOOKUP($E69,武器奇术!$A:$R,17,FALSE)="牵丝"),$E$3*(1+$E$15),0),BY69))</f>
        <v>0</v>
      </c>
      <c r="CB69" s="93">
        <f>IF(($D$11+IF(VLOOKUP($E69,武器奇术!$A:$R,17,FALSE)="牵丝",$D$15,0)-VLOOKUP($F$7,目标属性!$A:$R,6,FALSE))&gt;0,($D$11+IF(VLOOKUP($E69,武器奇术!$A:$R,17,FALSE)="牵丝",$D$15,0)-VLOOKUP($F$7,目标属性!$A:$R,6,FALSE))/200,($D$11+IF(VLOOKUP($E69,武器奇术!$A:$R,17,FALSE)="牵丝",$D$15,0)-VLOOKUP($F$7,目标属性!$A:$R,6,FALSE))/100)</f>
        <v>-0.24</v>
      </c>
      <c r="CC69" s="100">
        <f t="shared" si="57"/>
        <v>0</v>
      </c>
      <c r="CD69" s="91">
        <v>1</v>
      </c>
      <c r="CE69" s="92">
        <f>BY69*IF(VLOOKUP($E69,武器奇术!$A:$R,17,FALSE)="牵丝",VLOOKUP($E69,武器奇术!$A:$R,4,FALSE),VLOOKUP($E69,武器奇术!$A:$R,2,FALSE))*(1+CB69)*(1+CC69)*CD69</f>
        <v>0</v>
      </c>
      <c r="CF69" s="93">
        <f>(1-IF(VLOOKUP($E69,武器奇术!$A:$R,16,FALSE)="陌刀",1,$N69))*(1-$M69)</f>
        <v>0</v>
      </c>
      <c r="CG69" s="92">
        <f>BZ69*IF(VLOOKUP($E69,武器奇术!$A:$R,17,FALSE)="牵丝",VLOOKUP($E69,武器奇术!$A:$R,4,FALSE),VLOOKUP($E69,武器奇术!$A:$R,2,FALSE))*(1+CB69)*(1+CC69)*CD69*(1+$E$16+VLOOKUP($E69,武器奇术!$A:$R,8,FALSE))</f>
        <v>0</v>
      </c>
      <c r="CH69" s="93">
        <f t="shared" si="7"/>
        <v>0.887</v>
      </c>
      <c r="CI69" s="92">
        <f>CA69*IF(VLOOKUP($E69,武器奇术!$A:$R,17,FALSE)="牵丝",VLOOKUP($E69,武器奇术!$A:$R,4,FALSE),VLOOKUP($E69,武器奇术!$A:$R,2,FALSE))*(1+CB69)*(1+CC69)*CD69*(1+$E$17+VLOOKUP($E69,武器奇术!$A:$R,10,FALSE))</f>
        <v>0</v>
      </c>
      <c r="CJ69" s="93">
        <f t="shared" si="8"/>
        <v>0.0986</v>
      </c>
      <c r="CK69" s="92">
        <f>BZ69*IF(VLOOKUP($E69,武器奇术!$A:$R,17,FALSE)="牵丝",VLOOKUP($E69,武器奇术!$A:$R,4,FALSE),VLOOKUP($E69,武器奇术!$A:$R,2,FALSE))*(1+CB69)*(1+CC69)*CD69</f>
        <v>0</v>
      </c>
      <c r="CL69" s="93">
        <f t="shared" si="77"/>
        <v>0.0144</v>
      </c>
      <c r="CM69" s="101">
        <f t="shared" si="78"/>
        <v>0</v>
      </c>
      <c r="CN69" s="99">
        <f>IF(VLOOKUP($E69,武器奇术!$A:$R,18,FALSE)="极乐",0,$B$13*IF($G$5="撼天",1.05,1)+IF(AND(VLOOKUP($E69,武器奇术!$A:$R,15,FALSE)="武器",VLOOKUP($E69,武器奇术!$A:$R,17,FALSE)="破竹"),$E$3*(1+$E$15),0))</f>
        <v>686.71</v>
      </c>
      <c r="CO69" s="91">
        <f t="shared" si="79"/>
        <v>1052.21</v>
      </c>
      <c r="CP69" s="91">
        <f>IF(VLOOKUP($E69,武器奇术!$A:$R,18,FALSE)="极乐",0,MAX($C$13*IF($G$5="撼天",1.05,1)+IF(AND(VLOOKUP($E69,武器奇术!$A:$R,15,FALSE)="武器",VLOOKUP($E69,武器奇术!$A:$R,17,FALSE)="破竹"),$E$3*(1+$E$15),0),CN69))</f>
        <v>1417.71</v>
      </c>
      <c r="CQ69" s="93">
        <f>IF(($D$13+IF(VLOOKUP($E69,武器奇术!$A:$R,17,FALSE)="破竹",$D$15,0)-VLOOKUP($F$7,目标属性!$A:$R,6,FALSE)+IF(VLOOKUP($E69,武器奇术!$A:$V,22,FALSE)=1,4,0)+IF(VLOOKUP($E69,武器奇术!$A:$T,20,FALSE)=1,10,0))&gt;0,($D$13+IF(VLOOKUP($E69,武器奇术!$A:$R,17,FALSE)="破竹",$D$15,0)-VLOOKUP($F$7,目标属性!$A:$R,6,FALSE)+IF(VLOOKUP($E69,武器奇术!$A:$V,22,FALSE)=1,4,0)+IF(VLOOKUP($E69,武器奇术!$A:$T,20,FALSE)=1,10,0))/200,($D$13+IF(VLOOKUP($E69,武器奇术!$A:$R,17,FALSE)="破竹",$D$15,0)-VLOOKUP($F$7,目标属性!$A:$R,6,FALSE)+IF(VLOOKUP($E69,武器奇术!$A:$V,22,FALSE)=1,4,0)+IF(VLOOKUP($E69,武器奇术!$A:$T,20,FALSE)=1,10,0))/100)</f>
        <v>0.078</v>
      </c>
      <c r="CR69" s="100">
        <f t="shared" si="83"/>
        <v>0.148</v>
      </c>
      <c r="CS69" s="91">
        <v>1</v>
      </c>
      <c r="CT69" s="92">
        <f>CN69*IF(VLOOKUP($E69,武器奇术!$A:$R,17,FALSE)="破竹",VLOOKUP($E69,武器奇术!$A:$R,4,FALSE),VLOOKUP($E69,武器奇术!$A:$R,2,FALSE))*(1+CQ69)*(1+CR69)*CS69</f>
        <v>2433.98360681618</v>
      </c>
      <c r="CU69" s="93">
        <f>(1-IF(VLOOKUP($E69,武器奇术!$A:$R,16,FALSE)="陌刀",1,$N69))*(1-$M69)</f>
        <v>0</v>
      </c>
      <c r="CV69" s="92">
        <f>CO69*IF(VLOOKUP($E69,武器奇术!$A:$R,17,FALSE)="破竹",VLOOKUP($E69,武器奇术!$A:$R,4,FALSE),VLOOKUP($E69,武器奇术!$A:$R,2,FALSE))*(1+CQ69)*(1+CR69)*CS69*(1+$E$16+VLOOKUP($E69,武器奇术!$A:$R,8,FALSE))</f>
        <v>8928.34262917644</v>
      </c>
      <c r="CW69" s="93">
        <f t="shared" si="9"/>
        <v>0.887</v>
      </c>
      <c r="CX69" s="92">
        <f>CP69*IF(VLOOKUP($E69,武器奇术!$A:$R,17,FALSE)="破竹",VLOOKUP($E69,武器奇术!$A:$R,4,FALSE),VLOOKUP($E69,武器奇术!$A:$R,2,FALSE))*(1+CQ69)*(1+CR69)*CS69*(1+$E$17+VLOOKUP($E69,武器奇术!$A:$R,10,FALSE))</f>
        <v>6783.68148701219</v>
      </c>
      <c r="CY69" s="93">
        <f t="shared" si="10"/>
        <v>0.0986</v>
      </c>
      <c r="CZ69" s="92">
        <f>CO69*IF(VLOOKUP($E69,武器奇术!$A:$R,17,FALSE)="破竹",VLOOKUP($E69,武器奇术!$A:$R,4,FALSE),VLOOKUP($E69,武器奇术!$A:$R,2,FALSE))*(1+CQ69)*(1+CR69)*CS69</f>
        <v>3729.46642822742</v>
      </c>
      <c r="DA69" s="93">
        <f t="shared" si="80"/>
        <v>0.0144</v>
      </c>
      <c r="DB69" s="101">
        <f t="shared" si="81"/>
        <v>8642.01522326537</v>
      </c>
      <c r="DC69" s="99">
        <f>IF(VLOOKUP($E69,武器奇术!$A:$R,18,FALSE)="极乐",0,$B$15)</f>
        <v>66</v>
      </c>
      <c r="DD69" s="91">
        <f t="shared" si="82"/>
        <v>95.9</v>
      </c>
      <c r="DE69" s="91">
        <f>IF(VLOOKUP($E69,武器奇术!$A:$R,18,FALSE)="极乐",0,$C$15)</f>
        <v>125.8</v>
      </c>
      <c r="DF69" s="93">
        <f>IF((IF(VLOOKUP($E69,武器奇术!$A:$R,17,FALSE)="鸣金",$D$7,0)+IF(VLOOKUP($E69,武器奇术!$A:$R,17,FALSE)="裂石",$D$9,0)+IF(VLOOKUP($E69,武器奇术!$A:$R,17,FALSE)="牵丝",$D$11,0)+IF(VLOOKUP($E69,武器奇术!$A:$R,17,FALSE)="破竹",$D$13,0)+$D$15-VLOOKUP($F$7,目标属性!$A:$R,6,FALSE)+IF(VLOOKUP($E69,武器奇术!$A:$V,22,FALSE)=1,4,0)+IF(VLOOKUP($E69,武器奇术!$A:$T,20,FALSE)=1,10,0))&gt;0,(IF(VLOOKUP($E69,武器奇术!$A:$R,17,FALSE)="鸣金",$D$7,0)+IF(VLOOKUP($E69,武器奇术!$A:$R,17,FALSE)="裂石",$D$9,0)+IF(VLOOKUP($E69,武器奇术!$A:$R,17,FALSE)="牵丝",$D$11,0)+IF(VLOOKUP($E69,武器奇术!$A:$R,17,FALSE)="破竹",$D$13,0)+$D$15-VLOOKUP($F$7,目标属性!$A:$R,6,FALSE)+IF(VLOOKUP($E69,武器奇术!$A:$V,22,FALSE)=1,4,0)+IF(VLOOKUP($E69,武器奇术!$A:$T,20,FALSE)=1,10,0))/200,(IF(VLOOKUP($E69,武器奇术!$A:$R,17,FALSE)="鸣金",$D$7,0)+IF(VLOOKUP($E69,武器奇术!$A:$R,17,FALSE)="裂石",$D$9,0)+IF(VLOOKUP($E69,武器奇术!$A:$R,17,FALSE)="牵丝",$D$11,0)+IF(VLOOKUP($E69,武器奇术!$A:$R,17,FALSE)="破竹",$D$13,0)+$D$15-VLOOKUP($F$7,目标属性!$A:$R,6,FALSE)+IF(VLOOKUP($E69,武器奇术!$A:$V,22,FALSE)=1,4,0)+IF(VLOOKUP($E69,武器奇术!$A:$T,20,FALSE)=1,10,0))/100)</f>
        <v>0.078</v>
      </c>
      <c r="DG69" s="100">
        <f t="shared" si="54"/>
        <v>0.148</v>
      </c>
      <c r="DH69" s="91">
        <v>1</v>
      </c>
      <c r="DI69" s="92">
        <f>DC69*IF(VLOOKUP($E69,武器奇术!$A:$R,17,FALSE)="破竹",VLOOKUP($E69,武器奇术!$A:$R,4,FALSE),VLOOKUP($E69,武器奇术!$A:$R,2,FALSE))*(1+DF69)*(1+DG69)*DH69</f>
        <v>233.93123450928</v>
      </c>
      <c r="DJ69" s="93">
        <f>(1-IF(VLOOKUP($E69,武器奇术!$A:$R,16,FALSE)="陌刀",1,$N69))*(1-$M69)</f>
        <v>0</v>
      </c>
      <c r="DK69" s="92">
        <f>DD69*IF(VLOOKUP($E69,武器奇术!$A:$R,17,FALSE)="破竹",VLOOKUP($E69,武器奇术!$A:$R,4,FALSE),VLOOKUP($E69,武器奇术!$A:$R,2,FALSE))*(1+DF69)*(1+DG69)*DH69*(1+$E$16+VLOOKUP($E69,武器奇术!$A:$R,8,FALSE))</f>
        <v>813.742559126049</v>
      </c>
      <c r="DL69" s="93">
        <f t="shared" si="12"/>
        <v>0.887</v>
      </c>
      <c r="DM69" s="92">
        <f>DE69*IF(VLOOKUP($E69,武器奇术!$A:$R,17,FALSE)="破竹",VLOOKUP($E69,武器奇术!$A:$R,4,FALSE),VLOOKUP($E69,武器奇术!$A:$R,2,FALSE))*(1+DF69)*(1+DG69)*DH69*(1+$E$17+VLOOKUP($E69,武器奇术!$A:$R,10,FALSE))</f>
        <v>601.947599344107</v>
      </c>
      <c r="DN69" s="93">
        <f t="shared" si="13"/>
        <v>0.0986</v>
      </c>
      <c r="DO69" s="92">
        <f>DD69*IF(VLOOKUP($E69,武器奇术!$A:$R,17,FALSE)="破竹",VLOOKUP($E69,武器奇术!$A:$R,4,FALSE),VLOOKUP($E69,武器奇术!$A:$R,2,FALSE))*(1+DF69)*(1+DG69)*DH69</f>
        <v>339.909172567272</v>
      </c>
      <c r="DP69" s="93">
        <f t="shared" si="14"/>
        <v>0.0144</v>
      </c>
      <c r="DQ69" s="101">
        <f t="shared" si="15"/>
        <v>786.036375325103</v>
      </c>
    </row>
    <row r="70" customFormat="1" spans="1:121">
      <c r="A70" s="33" t="s">
        <v>143</v>
      </c>
      <c r="B70" t="s">
        <v>149</v>
      </c>
      <c r="C70">
        <v>0.2</v>
      </c>
      <c r="D70"/>
      <c r="E70" s="105" t="s">
        <v>150</v>
      </c>
      <c r="F70" s="106">
        <f>SUM(F66:F69)+3</f>
        <v>7</v>
      </c>
      <c r="G70" s="107">
        <f>$E$23</f>
        <v>0.32</v>
      </c>
      <c r="H70" s="92">
        <f>IF(VLOOKUP($E70,武器奇术!$A:$R,18,FALSE)="天工",AE70,(AE70+AT70+BI70+BX70+CM70+DB70+DQ70))*(1+J70)*F70*K70*(1+G70)</f>
        <v>121662.877238227</v>
      </c>
      <c r="I70" s="93">
        <f t="shared" si="58"/>
        <v>0.0156072446500255</v>
      </c>
      <c r="J70" s="93">
        <f>$F$3+VLOOKUP($E70,武器奇术!$A:$R,12,FALSE)+VLOOKUP($E70,武器奇术!$A:$R,14,FALSE)*$G$3+$P70</f>
        <v>1.493</v>
      </c>
      <c r="K70" s="94">
        <f>VLOOKUP($E70,武器奇术!$A:$R,11,FALSE)</f>
        <v>1</v>
      </c>
      <c r="L70" s="109">
        <f>IF(VLOOKUP($E70,武器奇术!$A:$R,15,FALSE)="天工",0%,IF($C$17+VLOOKUP($E70,武器奇术!$A:$R,7,FALSE)&gt;80%,80%,$C$17+VLOOKUP($E70,武器奇术!$A:$R,7,FALSE))+IF($C$19&gt;20%,20%,$C$19))</f>
        <v>0.887</v>
      </c>
      <c r="M70" s="110">
        <f>IF(VLOOKUP($E70,武器奇术!$A:$R,15,FALSE)="天工",0%,IF($C$18+VLOOKUP($E70,武器奇术!$A:$R,9,FALSE)&gt;40%,40%,$C$18+VLOOKUP($E70,武器奇术!$A:$R,9,FALSE))+IF($C$20&gt;10%,10%,$C$20))</f>
        <v>0.0986</v>
      </c>
      <c r="N70" s="111">
        <f>IF(VLOOKUP($E70,武器奇术!$A:$R,15,FALSE)="天工",100%,MIN($C$16,1))</f>
        <v>1</v>
      </c>
      <c r="O70" s="112" t="str">
        <f>VLOOKUP($E70,武器奇术!$A:$R,16,FALSE)</f>
        <v>绳标</v>
      </c>
      <c r="P70" s="113">
        <f t="shared" si="59"/>
        <v>0.17</v>
      </c>
      <c r="Q70" s="99">
        <f>$B$5*(1+VLOOKUP($E70,武器奇术!$A:$R,5,FALSE)+IF($G$5="飞隼",0.1,0)+IF($G$5="撼天",0.05,0))-$F$9*IF(VLOOKUP($E70,武器奇术!$A:$S,19,FALSE)=1,0.9,1)+IF($I$5="√",160,0)</f>
        <v>2848.3</v>
      </c>
      <c r="R70" s="91">
        <f t="shared" si="60"/>
        <v>2848.3</v>
      </c>
      <c r="S70" s="91">
        <f>MAX($C$5,$B$5)*(1+VLOOKUP($E70,武器奇术!$A:$R,5,FALSE)+IF($G$5="飞隼",0.1,0)+IF($G$5="撼天",0.05,0))-$F$9*IF(VLOOKUP($E70,武器奇术!$A:$S,19,FALSE)=1,0.9,1)+IF($I$5="√",320,0)</f>
        <v>2848.3</v>
      </c>
      <c r="T70" s="93">
        <f>IF(($D$5+VLOOKUP($E70,武器奇术!$A:$R,13,FALSE)+IF($I$3="√",10,0)-VLOOKUP($F$7,目标属性!$A:$R,5,FALSE))&gt;0,($D$5+VLOOKUP($E70,武器奇术!$A:$R,13,FALSE)+IF($I$3="√",10,0)-VLOOKUP($F$7,目标属性!$A:$R,5,FALSE))/200,($D$5+VLOOKUP($E70,武器奇术!$A:$R,13,FALSE)+IF($I$3="√",10,0)-VLOOKUP($F$7,目标属性!$A:$R,5,FALSE))/100)</f>
        <v>0.3925</v>
      </c>
      <c r="U70" s="100">
        <f>$E$5+IF(VLOOKUP($E70,武器奇术!$A:$R,18,FALSE)="鼠鼠",0.24,0)</f>
        <v>0.24</v>
      </c>
      <c r="V70" s="91">
        <v>1</v>
      </c>
      <c r="W70" s="92">
        <f>Q70*VLOOKUP($E70,武器奇术!$A:$R,2,FALSE)*(1+T70)*(1+U70)*V70</f>
        <v>1721.3558635</v>
      </c>
      <c r="X70" s="93">
        <f>(1-IF(VLOOKUP($E70,武器奇术!$A:$R,16,FALSE)="陌刀",1,$N70))*(1-$M70)</f>
        <v>0</v>
      </c>
      <c r="Y70" s="92">
        <f>R70*VLOOKUP($E70,武器奇术!$A:$R,2,FALSE)*(1+T70)*(1+U70)*V70*(1+$E$16+VLOOKUP($E70,武器奇术!$A:$R,8,FALSE))</f>
        <v>4120.925937219</v>
      </c>
      <c r="Z70" s="93">
        <f t="shared" si="61"/>
        <v>0.887</v>
      </c>
      <c r="AA70" s="92">
        <f>S70*VLOOKUP($E70,武器奇术!$A:$R,2,FALSE)*(1+T70)*(1+U70)*V70*(1+$E$17+VLOOKUP($E70,武器奇术!$A:$R,10,FALSE))</f>
        <v>2323.830415725</v>
      </c>
      <c r="AB70" s="93">
        <f t="shared" si="62"/>
        <v>0.0986</v>
      </c>
      <c r="AC70" s="92">
        <f>R70*VLOOKUP($E70,武器奇术!$A:$R,2,FALSE)*(1+T70)*(1+U70)*V70</f>
        <v>1721.3558635</v>
      </c>
      <c r="AD70" s="93">
        <f t="shared" si="63"/>
        <v>0.0144</v>
      </c>
      <c r="AE70" s="101">
        <f t="shared" si="64"/>
        <v>3909.17850973814</v>
      </c>
      <c r="AF70" s="102">
        <f>VLOOKUP($E70,武器奇术!$A:$R,3,FALSE)*(1+IF(VLOOKUP($E70,武器奇术!$A:$R,15,FALSE)="武器",$E$15,0))</f>
        <v>0</v>
      </c>
      <c r="AG70" s="92">
        <f t="shared" si="65"/>
        <v>0</v>
      </c>
      <c r="AH70" s="92">
        <f>VLOOKUP($E70,武器奇术!$A:$R,3,FALSE)*(1+IF(VLOOKUP($E70,武器奇术!$A:$R,15,FALSE)="武器",$E$15,0))</f>
        <v>0</v>
      </c>
      <c r="AI70" s="93">
        <f>IF(($D$5+VLOOKUP($E70,武器奇术!$A:$R,13,FALSE)+IF($I$3="√",10,0)-VLOOKUP($F$7,目标属性!$A:$R,5,FALSE))&gt;0,($D$5+VLOOKUP($E70,武器奇术!$A:$R,13,FALSE)+IF($I$3="√",10,0)-VLOOKUP($F$7,目标属性!$A:$R,5,FALSE))/200,($D$5+VLOOKUP($E70,武器奇术!$A:$R,13,FALSE)+IF($I$3="√",10,0)-VLOOKUP($F$7,目标属性!$A:$R,5,FALSE))/100)</f>
        <v>0.3925</v>
      </c>
      <c r="AJ70" s="100">
        <f>$E$5+IF(VLOOKUP($E70,武器奇术!$A:$R,18,FALSE)="鼠鼠",0.24,0)</f>
        <v>0.24</v>
      </c>
      <c r="AK70" s="91">
        <v>1</v>
      </c>
      <c r="AL70" s="92">
        <f t="shared" si="66"/>
        <v>0</v>
      </c>
      <c r="AM70" s="93">
        <f>(1-IF(VLOOKUP($E70,武器奇术!$A:$R,16,FALSE)="陌刀",1,$N70))*(1-$M70)</f>
        <v>0</v>
      </c>
      <c r="AN70" s="92">
        <f>AG70*(1+AI70)*(1+AJ70)*AK70*(1+$E$16+VLOOKUP($E70,武器奇术!$A:$R,8,FALSE))</f>
        <v>0</v>
      </c>
      <c r="AO70" s="93">
        <f t="shared" si="1"/>
        <v>0.887</v>
      </c>
      <c r="AP70" s="92">
        <f>AH70*(1+AI70)*(1+AJ70)*AK70*(1+$E$17+VLOOKUP($E70,武器奇术!$A:$R,10,FALSE))</f>
        <v>0</v>
      </c>
      <c r="AQ70" s="93">
        <f t="shared" si="2"/>
        <v>0.0986</v>
      </c>
      <c r="AR70" s="92">
        <f t="shared" si="67"/>
        <v>0</v>
      </c>
      <c r="AS70" s="93">
        <f t="shared" si="68"/>
        <v>0.0144</v>
      </c>
      <c r="AT70" s="101">
        <f t="shared" si="69"/>
        <v>0</v>
      </c>
      <c r="AU70" s="99">
        <f>IF(VLOOKUP($E70,武器奇术!$A:$R,18,FALSE)="极乐",0,$B$7*IF($G$5="撼天",1.05,1)+IF(AND(VLOOKUP($E70,武器奇术!$A:$R,15,FALSE)="武器",VLOOKUP($E70,武器奇术!$A:$R,17,FALSE)="鸣金"),$E$3*(1+$E$15),0))</f>
        <v>0</v>
      </c>
      <c r="AV70" s="91">
        <f t="shared" si="70"/>
        <v>0</v>
      </c>
      <c r="AW70" s="91">
        <f>IF(VLOOKUP($E70,武器奇术!$A:$R,18,FALSE)="极乐",0,MAX($C$7*IF($G$5="撼天",1.05,1)+IF(AND(VLOOKUP($E70,武器奇术!$A:$R,15,FALSE)="武器",VLOOKUP($E70,武器奇术!$A:$R,17,FALSE)="鸣金"),$E$3*(1+$E$15),0),AU70))</f>
        <v>0</v>
      </c>
      <c r="AX70" s="93">
        <f>IF(($D$7+IF(VLOOKUP($E70,武器奇术!$A:$R,17,FALSE)="鸣金",$D$15,0)-VLOOKUP($F$7,目标属性!$A:$R,6,FALSE))&gt;0,($D$7+IF(VLOOKUP($E70,武器奇术!$A:$R,17,FALSE)="鸣金",$D$15,0)-VLOOKUP($F$7,目标属性!$A:$R,6,FALSE))/200,($D$7+IF(VLOOKUP($E70,武器奇术!$A:$R,17,FALSE)="鸣金",$D$15,0)-VLOOKUP($F$7,目标属性!$A:$R,6,FALSE))/100)</f>
        <v>-0.24</v>
      </c>
      <c r="AY70" s="100">
        <f t="shared" si="55"/>
        <v>0</v>
      </c>
      <c r="AZ70" s="91">
        <v>1</v>
      </c>
      <c r="BA70" s="92">
        <f>AU70*IF(VLOOKUP($E70,武器奇术!$A:$R,17,FALSE)="鸣金",VLOOKUP($E70,武器奇术!$A:$R,4,FALSE),VLOOKUP($E70,武器奇术!$A:$R,2,FALSE))*(1+AX70)*(1+AY70)*AZ70</f>
        <v>0</v>
      </c>
      <c r="BB70" s="93">
        <f>(1-IF(VLOOKUP($E70,武器奇术!$A:$R,16,FALSE)="陌刀",1,$N70))*(1-$M70)</f>
        <v>0</v>
      </c>
      <c r="BC70" s="92">
        <f>AV70*IF(VLOOKUP($E70,武器奇术!$A:$R,17,FALSE)="鸣金",VLOOKUP($E70,武器奇术!$A:$R,4,FALSE),VLOOKUP($E70,武器奇术!$A:$R,2,FALSE))*(1+AX70)*(1+AY70)*AZ70*(1+$E$16+VLOOKUP($E70,武器奇术!$A:$R,8,FALSE))</f>
        <v>0</v>
      </c>
      <c r="BD70" s="93">
        <f t="shared" si="3"/>
        <v>0.887</v>
      </c>
      <c r="BE70" s="92">
        <f>AW70*IF(VLOOKUP($E70,武器奇术!$A:$R,17,FALSE)="鸣金",VLOOKUP($E70,武器奇术!$A:$R,4,FALSE),VLOOKUP($E70,武器奇术!$A:$R,2,FALSE))*(1+AX70)*(1+AY70)*AZ70*(1+$E$17+VLOOKUP($E70,武器奇术!$A:$R,10,FALSE))</f>
        <v>0</v>
      </c>
      <c r="BF70" s="93">
        <f t="shared" si="4"/>
        <v>0.0986</v>
      </c>
      <c r="BG70" s="92">
        <f>AV70*IF(VLOOKUP($E70,武器奇术!$A:$R,17,FALSE)="鸣金",VLOOKUP($E70,武器奇术!$A:$R,4,FALSE),VLOOKUP($E70,武器奇术!$A:$R,2,FALSE))*(1+AX70)*(1+AY70)*AZ70</f>
        <v>0</v>
      </c>
      <c r="BH70" s="93">
        <f t="shared" si="71"/>
        <v>0.0144</v>
      </c>
      <c r="BI70" s="101">
        <f t="shared" si="72"/>
        <v>0</v>
      </c>
      <c r="BJ70" s="99">
        <f>IF(VLOOKUP($E70,武器奇术!$A:$R,18,FALSE)="极乐",0,$B$9*IF($G$5="撼天",1.05,1)+IF(AND(VLOOKUP($E70,武器奇术!$A:$R,15,FALSE)="武器",VLOOKUP($E70,武器奇术!$A:$R,17,FALSE)="裂石"),$E$3*(1+$E$15),0))</f>
        <v>0</v>
      </c>
      <c r="BK70" s="91">
        <f t="shared" si="73"/>
        <v>0</v>
      </c>
      <c r="BL70" s="91">
        <f>IF(VLOOKUP($E70,武器奇术!$A:$R,18,FALSE)="极乐",0,MAX($C$9*IF($G$5="撼天",1.05,1)+IF(AND(VLOOKUP($E70,武器奇术!$A:$R,15,FALSE)="武器",VLOOKUP($E70,武器奇术!$A:$R,17,FALSE)="裂石"),$E$3*(1+$E$15),0),BJ70))</f>
        <v>0</v>
      </c>
      <c r="BM70" s="93">
        <f>IF(($D$9+IF(VLOOKUP($E70,武器奇术!$A:$R,17,FALSE)="裂石",$D$15,0)-VLOOKUP($F$7,目标属性!$A:$R,6,FALSE))&gt;0,($D$9+IF(VLOOKUP($E70,武器奇术!$A:$R,17,FALSE)="裂石",$D$15,0)-VLOOKUP($F$7,目标属性!$A:$R,6,FALSE))/200,($D$9+IF(VLOOKUP($E70,武器奇术!$A:$R,17,FALSE)="裂石",$D$15,0)-VLOOKUP($F$7,目标属性!$A:$R,6,FALSE))/100)</f>
        <v>-0.24</v>
      </c>
      <c r="BN70" s="100">
        <f t="shared" si="56"/>
        <v>0</v>
      </c>
      <c r="BO70" s="91">
        <v>1</v>
      </c>
      <c r="BP70" s="92">
        <f>BJ70*IF(VLOOKUP($E70,武器奇术!$A:$R,17,FALSE)="裂石",VLOOKUP($E70,武器奇术!$A:$R,4,FALSE),VLOOKUP($E70,武器奇术!$A:$R,2,FALSE))*(1+BM70)*(1+BN70)*BO70</f>
        <v>0</v>
      </c>
      <c r="BQ70" s="93">
        <f>(1-IF(VLOOKUP($E70,武器奇术!$A:$R,16,FALSE)="陌刀",1,$N70))*(1-$M70)</f>
        <v>0</v>
      </c>
      <c r="BR70" s="92">
        <f>BK70*IF(VLOOKUP($E70,武器奇术!$A:$R,17,FALSE)="裂石",VLOOKUP($E70,武器奇术!$A:$R,4,FALSE),VLOOKUP($E70,武器奇术!$A:$R,2,FALSE))*(1+BM70)*(1+BN70)*BO70*(1+$E$16+VLOOKUP($E70,武器奇术!$A:$R,8,FALSE))</f>
        <v>0</v>
      </c>
      <c r="BS70" s="93">
        <f t="shared" si="5"/>
        <v>0.887</v>
      </c>
      <c r="BT70" s="92">
        <f>BL70*IF(VLOOKUP($E70,武器奇术!$A:$R,17,FALSE)="裂石",VLOOKUP($E70,武器奇术!$A:$R,4,FALSE),VLOOKUP($E70,武器奇术!$A:$R,2,FALSE))*(1+BM70)*(1+BN70)*BO70*(1+$E$17+VLOOKUP($E70,武器奇术!$A:$R,10,FALSE))</f>
        <v>0</v>
      </c>
      <c r="BU70" s="93">
        <f t="shared" si="6"/>
        <v>0.0986</v>
      </c>
      <c r="BV70" s="92">
        <f>BK70*IF(VLOOKUP($E70,武器奇术!$A:$R,17,FALSE)="裂石",VLOOKUP($E70,武器奇术!$A:$R,4,FALSE),VLOOKUP($E70,武器奇术!$A:$R,2,FALSE))*(1+BM70)*(1+BN70)*BO70</f>
        <v>0</v>
      </c>
      <c r="BW70" s="93">
        <f t="shared" si="74"/>
        <v>0.0144</v>
      </c>
      <c r="BX70" s="101">
        <f t="shared" si="75"/>
        <v>0</v>
      </c>
      <c r="BY70" s="99">
        <f>IF(VLOOKUP($E70,武器奇术!$A:$R,18,FALSE)="极乐",0,$B$11*IF($G$5="撼天",1.05,1)+IF(AND(VLOOKUP($E70,武器奇术!$A:$R,15,FALSE)="武器",VLOOKUP($E70,武器奇术!$A:$R,17,FALSE)="牵丝"),$E$3*(1+$E$15),0))</f>
        <v>0</v>
      </c>
      <c r="BZ70" s="91">
        <f t="shared" si="76"/>
        <v>0</v>
      </c>
      <c r="CA70" s="91">
        <f>IF(VLOOKUP($E70,武器奇术!$A:$R,18,FALSE)="极乐",0,MAX($C$11*IF($G$5="撼天",1.05,1)+IF(AND(VLOOKUP($E70,武器奇术!$A:$R,15,FALSE)="武器",VLOOKUP($E70,武器奇术!$A:$R,17,FALSE)="牵丝"),$E$3*(1+$E$15),0),BY70))</f>
        <v>0</v>
      </c>
      <c r="CB70" s="93">
        <f>IF(($D$11+IF(VLOOKUP($E70,武器奇术!$A:$R,17,FALSE)="牵丝",$D$15,0)-VLOOKUP($F$7,目标属性!$A:$R,6,FALSE))&gt;0,($D$11+IF(VLOOKUP($E70,武器奇术!$A:$R,17,FALSE)="牵丝",$D$15,0)-VLOOKUP($F$7,目标属性!$A:$R,6,FALSE))/200,($D$11+IF(VLOOKUP($E70,武器奇术!$A:$R,17,FALSE)="牵丝",$D$15,0)-VLOOKUP($F$7,目标属性!$A:$R,6,FALSE))/100)</f>
        <v>-0.24</v>
      </c>
      <c r="CC70" s="100">
        <f t="shared" si="57"/>
        <v>0</v>
      </c>
      <c r="CD70" s="91">
        <v>1</v>
      </c>
      <c r="CE70" s="92">
        <f>BY70*IF(VLOOKUP($E70,武器奇术!$A:$R,17,FALSE)="牵丝",VLOOKUP($E70,武器奇术!$A:$R,4,FALSE),VLOOKUP($E70,武器奇术!$A:$R,2,FALSE))*(1+CB70)*(1+CC70)*CD70</f>
        <v>0</v>
      </c>
      <c r="CF70" s="93">
        <f>(1-IF(VLOOKUP($E70,武器奇术!$A:$R,16,FALSE)="陌刀",1,$N70))*(1-$M70)</f>
        <v>0</v>
      </c>
      <c r="CG70" s="92">
        <f>BZ70*IF(VLOOKUP($E70,武器奇术!$A:$R,17,FALSE)="牵丝",VLOOKUP($E70,武器奇术!$A:$R,4,FALSE),VLOOKUP($E70,武器奇术!$A:$R,2,FALSE))*(1+CB70)*(1+CC70)*CD70*(1+$E$16+VLOOKUP($E70,武器奇术!$A:$R,8,FALSE))</f>
        <v>0</v>
      </c>
      <c r="CH70" s="93">
        <f t="shared" si="7"/>
        <v>0.887</v>
      </c>
      <c r="CI70" s="92">
        <f>CA70*IF(VLOOKUP($E70,武器奇术!$A:$R,17,FALSE)="牵丝",VLOOKUP($E70,武器奇术!$A:$R,4,FALSE),VLOOKUP($E70,武器奇术!$A:$R,2,FALSE))*(1+CB70)*(1+CC70)*CD70*(1+$E$17+VLOOKUP($E70,武器奇术!$A:$R,10,FALSE))</f>
        <v>0</v>
      </c>
      <c r="CJ70" s="93">
        <f t="shared" si="8"/>
        <v>0.0986</v>
      </c>
      <c r="CK70" s="92">
        <f>BZ70*IF(VLOOKUP($E70,武器奇术!$A:$R,17,FALSE)="牵丝",VLOOKUP($E70,武器奇术!$A:$R,4,FALSE),VLOOKUP($E70,武器奇术!$A:$R,2,FALSE))*(1+CB70)*(1+CC70)*CD70</f>
        <v>0</v>
      </c>
      <c r="CL70" s="93">
        <f t="shared" si="77"/>
        <v>0.0144</v>
      </c>
      <c r="CM70" s="101">
        <f t="shared" si="78"/>
        <v>0</v>
      </c>
      <c r="CN70" s="99">
        <f>IF(VLOOKUP($E70,武器奇术!$A:$R,18,FALSE)="极乐",0,$B$13*IF($G$5="撼天",1.05,1)+IF(AND(VLOOKUP($E70,武器奇术!$A:$R,15,FALSE)="武器",VLOOKUP($E70,武器奇术!$A:$R,17,FALSE)="破竹"),$E$3*(1+$E$15),0))</f>
        <v>490.8</v>
      </c>
      <c r="CO70" s="91">
        <f t="shared" si="79"/>
        <v>856.3</v>
      </c>
      <c r="CP70" s="91">
        <f>IF(VLOOKUP($E70,武器奇术!$A:$R,18,FALSE)="极乐",0,MAX($C$13*IF($G$5="撼天",1.05,1)+IF(AND(VLOOKUP($E70,武器奇术!$A:$R,15,FALSE)="武器",VLOOKUP($E70,武器奇术!$A:$R,17,FALSE)="破竹"),$E$3*(1+$E$15),0),CN70))</f>
        <v>1221.8</v>
      </c>
      <c r="CQ70" s="93">
        <f>IF(($D$13+IF(VLOOKUP($E70,武器奇术!$A:$R,17,FALSE)="破竹",$D$15,0)-VLOOKUP($F$7,目标属性!$A:$R,6,FALSE)+IF(VLOOKUP($E70,武器奇术!$A:$V,22,FALSE)=1,4,0)+IF(VLOOKUP($E70,武器奇术!$A:$T,20,FALSE)=1,10,0))&gt;0,($D$13+IF(VLOOKUP($E70,武器奇术!$A:$R,17,FALSE)="破竹",$D$15,0)-VLOOKUP($F$7,目标属性!$A:$R,6,FALSE)+IF(VLOOKUP($E70,武器奇术!$A:$V,22,FALSE)=1,4,0)+IF(VLOOKUP($E70,武器奇术!$A:$T,20,FALSE)=1,10,0))/200,($D$13+IF(VLOOKUP($E70,武器奇术!$A:$R,17,FALSE)="破竹",$D$15,0)-VLOOKUP($F$7,目标属性!$A:$R,6,FALSE)+IF(VLOOKUP($E70,武器奇术!$A:$V,22,FALSE)=1,4,0)+IF(VLOOKUP($E70,武器奇术!$A:$T,20,FALSE)=1,10,0))/100)</f>
        <v>0.028</v>
      </c>
      <c r="CR70" s="100">
        <f t="shared" si="83"/>
        <v>0.148</v>
      </c>
      <c r="CS70" s="91">
        <v>1</v>
      </c>
      <c r="CT70" s="92">
        <f>CN70*IF(VLOOKUP($E70,武器奇术!$A:$R,17,FALSE)="破竹",VLOOKUP($E70,武器奇术!$A:$R,4,FALSE),VLOOKUP($E70,武器奇术!$A:$R,2,FALSE))*(1+CQ70)*(1+CR70)*CS70</f>
        <v>304.08770448</v>
      </c>
      <c r="CU70" s="93">
        <f>(1-IF(VLOOKUP($E70,武器奇术!$A:$R,16,FALSE)="陌刀",1,$N70))*(1-$M70)</f>
        <v>0</v>
      </c>
      <c r="CV70" s="92">
        <f>CO70*IF(VLOOKUP($E70,武器奇术!$A:$R,17,FALSE)="破竹",VLOOKUP($E70,武器奇术!$A:$R,4,FALSE),VLOOKUP($E70,武器奇术!$A:$R,2,FALSE))*(1+CQ70)*(1+CR70)*CS70*(1+$E$16+VLOOKUP($E70,武器奇术!$A:$R,8,FALSE))</f>
        <v>1270.11895155432</v>
      </c>
      <c r="CW70" s="93">
        <f t="shared" si="9"/>
        <v>0.887</v>
      </c>
      <c r="CX70" s="92">
        <f>CP70*IF(VLOOKUP($E70,武器奇术!$A:$R,17,FALSE)="破竹",VLOOKUP($E70,武器奇术!$A:$R,4,FALSE),VLOOKUP($E70,武器奇术!$A:$R,2,FALSE))*(1+CQ70)*(1+CR70)*CS70*(1+$E$17+VLOOKUP($E70,武器奇术!$A:$R,10,FALSE))</f>
        <v>1021.946581908</v>
      </c>
      <c r="CY70" s="93">
        <f t="shared" si="10"/>
        <v>0.0986</v>
      </c>
      <c r="CZ70" s="92">
        <f>CO70*IF(VLOOKUP($E70,武器奇术!$A:$R,17,FALSE)="破竹",VLOOKUP($E70,武器奇术!$A:$R,4,FALSE),VLOOKUP($E70,武器奇术!$A:$R,2,FALSE))*(1+CQ70)*(1+CR70)*CS70</f>
        <v>530.54258628</v>
      </c>
      <c r="DA70" s="93">
        <f t="shared" si="80"/>
        <v>0.0144</v>
      </c>
      <c r="DB70" s="101">
        <f t="shared" si="81"/>
        <v>1234.99925624724</v>
      </c>
      <c r="DC70" s="99">
        <f>IF(VLOOKUP($E70,武器奇术!$A:$R,18,FALSE)="极乐",0,$B$15)</f>
        <v>66</v>
      </c>
      <c r="DD70" s="91">
        <f t="shared" si="82"/>
        <v>95.9</v>
      </c>
      <c r="DE70" s="91">
        <f>IF(VLOOKUP($E70,武器奇术!$A:$R,18,FALSE)="极乐",0,$C$15)</f>
        <v>125.8</v>
      </c>
      <c r="DF70" s="93">
        <f>IF((IF(VLOOKUP($E70,武器奇术!$A:$R,17,FALSE)="鸣金",$D$7,0)+IF(VLOOKUP($E70,武器奇术!$A:$R,17,FALSE)="裂石",$D$9,0)+IF(VLOOKUP($E70,武器奇术!$A:$R,17,FALSE)="牵丝",$D$11,0)+IF(VLOOKUP($E70,武器奇术!$A:$R,17,FALSE)="破竹",$D$13,0)+$D$15-VLOOKUP($F$7,目标属性!$A:$R,6,FALSE)+IF(VLOOKUP($E70,武器奇术!$A:$V,22,FALSE)=1,4,0)+IF(VLOOKUP($E70,武器奇术!$A:$T,20,FALSE)=1,10,0))&gt;0,(IF(VLOOKUP($E70,武器奇术!$A:$R,17,FALSE)="鸣金",$D$7,0)+IF(VLOOKUP($E70,武器奇术!$A:$R,17,FALSE)="裂石",$D$9,0)+IF(VLOOKUP($E70,武器奇术!$A:$R,17,FALSE)="牵丝",$D$11,0)+IF(VLOOKUP($E70,武器奇术!$A:$R,17,FALSE)="破竹",$D$13,0)+$D$15-VLOOKUP($F$7,目标属性!$A:$R,6,FALSE)+IF(VLOOKUP($E70,武器奇术!$A:$V,22,FALSE)=1,4,0)+IF(VLOOKUP($E70,武器奇术!$A:$T,20,FALSE)=1,10,0))/200,(IF(VLOOKUP($E70,武器奇术!$A:$R,17,FALSE)="鸣金",$D$7,0)+IF(VLOOKUP($E70,武器奇术!$A:$R,17,FALSE)="裂石",$D$9,0)+IF(VLOOKUP($E70,武器奇术!$A:$R,17,FALSE)="牵丝",$D$11,0)+IF(VLOOKUP($E70,武器奇术!$A:$R,17,FALSE)="破竹",$D$13,0)+$D$15-VLOOKUP($F$7,目标属性!$A:$R,6,FALSE)+IF(VLOOKUP($E70,武器奇术!$A:$V,22,FALSE)=1,4,0)+IF(VLOOKUP($E70,武器奇术!$A:$T,20,FALSE)=1,10,0))/100)</f>
        <v>0.028</v>
      </c>
      <c r="DG70" s="100">
        <f t="shared" si="54"/>
        <v>0.148</v>
      </c>
      <c r="DH70" s="91">
        <v>1</v>
      </c>
      <c r="DI70" s="92">
        <f>DC70*IF(VLOOKUP($E70,武器奇术!$A:$R,17,FALSE)="破竹",VLOOKUP($E70,武器奇术!$A:$R,4,FALSE),VLOOKUP($E70,武器奇术!$A:$R,2,FALSE))*(1+DF70)*(1+DG70)*DH70</f>
        <v>40.8919896</v>
      </c>
      <c r="DJ70" s="93">
        <f>(1-IF(VLOOKUP($E70,武器奇术!$A:$R,16,FALSE)="陌刀",1,$N70))*(1-$M70)</f>
        <v>0</v>
      </c>
      <c r="DK70" s="92">
        <f>DD70*IF(VLOOKUP($E70,武器奇术!$A:$R,17,FALSE)="破竹",VLOOKUP($E70,武器奇术!$A:$R,4,FALSE),VLOOKUP($E70,武器奇术!$A:$R,2,FALSE))*(1+DF70)*(1+DG70)*DH70*(1+$E$16+VLOOKUP($E70,武器奇术!$A:$R,8,FALSE))</f>
        <v>142.24501629576</v>
      </c>
      <c r="DL70" s="93">
        <f t="shared" si="12"/>
        <v>0.887</v>
      </c>
      <c r="DM70" s="92">
        <f>DE70*IF(VLOOKUP($E70,武器奇术!$A:$R,17,FALSE)="破竹",VLOOKUP($E70,武器奇术!$A:$R,4,FALSE),VLOOKUP($E70,武器奇术!$A:$R,2,FALSE))*(1+DF70)*(1+DG70)*DH70*(1+$E$17+VLOOKUP($E70,武器奇术!$A:$R,10,FALSE))</f>
        <v>105.222524148</v>
      </c>
      <c r="DN70" s="93">
        <f t="shared" si="13"/>
        <v>0.0986</v>
      </c>
      <c r="DO70" s="92">
        <f>DD70*IF(VLOOKUP($E70,武器奇术!$A:$R,17,FALSE)="破竹",VLOOKUP($E70,武器奇术!$A:$R,4,FALSE),VLOOKUP($E70,武器奇术!$A:$R,2,FALSE))*(1+DF70)*(1+DG70)*DH70</f>
        <v>59.41730004</v>
      </c>
      <c r="DP70" s="93">
        <f t="shared" si="14"/>
        <v>0.0144</v>
      </c>
      <c r="DQ70" s="101">
        <f t="shared" si="15"/>
        <v>137.401879455908</v>
      </c>
    </row>
    <row r="71" customFormat="1" spans="1:121">
      <c r="A71" s="33"/>
      <c r="B71" t="s">
        <v>151</v>
      </c>
      <c r="C71">
        <v>0.2</v>
      </c>
      <c r="D71"/>
      <c r="E71" s="105" t="s">
        <v>152</v>
      </c>
      <c r="F71" s="106">
        <v>1</v>
      </c>
      <c r="G71" s="107"/>
      <c r="H71" s="92">
        <f>IF(VLOOKUP($E71,武器奇术!$A:$R,18,FALSE)="天工",AE71,(AE71+AT71+BI71+BX71+CM71+DB71+DQ71))*(1+J71)*F71*K71*(1+G71)</f>
        <v>31661.766899633</v>
      </c>
      <c r="I71" s="93">
        <f t="shared" si="58"/>
        <v>0.00406165753491968</v>
      </c>
      <c r="J71" s="93">
        <f>$F$3+VLOOKUP($E71,武器奇术!$A:$R,12,FALSE)+VLOOKUP($E71,武器奇术!$A:$R,14,FALSE)*$G$3+$P71</f>
        <v>0.573</v>
      </c>
      <c r="K71" s="94">
        <f>VLOOKUP($E71,武器奇术!$A:$R,11,FALSE)</f>
        <v>1</v>
      </c>
      <c r="L71" s="109">
        <f>IF(VLOOKUP($E71,武器奇术!$A:$R,15,FALSE)="天工",0%,IF($C$17+VLOOKUP($E71,武器奇术!$A:$R,7,FALSE)&gt;80%,80%,$C$17+VLOOKUP($E71,武器奇术!$A:$R,7,FALSE))+IF($C$19&gt;20%,20%,$C$19))</f>
        <v>0.887</v>
      </c>
      <c r="M71" s="110">
        <f>IF(VLOOKUP($E71,武器奇术!$A:$R,15,FALSE)="天工",0%,IF($C$18+VLOOKUP($E71,武器奇术!$A:$R,9,FALSE)&gt;40%,40%,$C$18+VLOOKUP($E71,武器奇术!$A:$R,9,FALSE))+IF($C$20&gt;10%,10%,$C$20))</f>
        <v>0.0986</v>
      </c>
      <c r="N71" s="111">
        <f>IF(VLOOKUP($E71,武器奇术!$A:$R,15,FALSE)="天工",100%,MIN($C$16,1))</f>
        <v>1</v>
      </c>
      <c r="O71" s="112" t="str">
        <f>VLOOKUP($E71,武器奇术!$A:$R,16,FALSE)</f>
        <v>双刀</v>
      </c>
      <c r="P71" s="113">
        <f t="shared" si="59"/>
        <v>0.17</v>
      </c>
      <c r="Q71" s="99">
        <f>$B$5*(1+VLOOKUP($E71,武器奇术!$A:$R,5,FALSE)+IF($G$5="飞隼",0.1,0)+IF($G$5="撼天",0.05,0))-$F$9*IF(VLOOKUP($E71,武器奇术!$A:$S,19,FALSE)=1,0.9,1)+IF($I$5="√",160,0)</f>
        <v>2848.3</v>
      </c>
      <c r="R71" s="91">
        <f t="shared" si="60"/>
        <v>2848.3</v>
      </c>
      <c r="S71" s="91">
        <f>MAX($C$5,$B$5)*(1+VLOOKUP($E71,武器奇术!$A:$R,5,FALSE)+IF($G$5="飞隼",0.1,0)+IF($G$5="撼天",0.05,0))-$F$9*IF(VLOOKUP($E71,武器奇术!$A:$S,19,FALSE)=1,0.9,1)+IF($I$5="√",320,0)</f>
        <v>2848.3</v>
      </c>
      <c r="T71" s="93">
        <f>IF(($D$5+VLOOKUP($E71,武器奇术!$A:$R,13,FALSE)+IF($I$3="√",10,0)-VLOOKUP($F$7,目标属性!$A:$R,5,FALSE))&gt;0,($D$5+VLOOKUP($E71,武器奇术!$A:$R,13,FALSE)+IF($I$3="√",10,0)-VLOOKUP($F$7,目标属性!$A:$R,5,FALSE))/200,($D$5+VLOOKUP($E71,武器奇术!$A:$R,13,FALSE)+IF($I$3="√",10,0)-VLOOKUP($F$7,目标属性!$A:$R,5,FALSE))/100)</f>
        <v>0.3925</v>
      </c>
      <c r="U71" s="100">
        <f>$E$5+IF(VLOOKUP($E71,武器奇术!$A:$R,18,FALSE)="鼠鼠",0.24,0)</f>
        <v>0</v>
      </c>
      <c r="V71" s="91">
        <v>1</v>
      </c>
      <c r="W71" s="92">
        <f>Q71*VLOOKUP($E71,武器奇术!$A:$R,2,FALSE)*(1+T71)*(1+U71)*V71</f>
        <v>5373.4859997</v>
      </c>
      <c r="X71" s="93">
        <f>(1-IF(VLOOKUP($E71,武器奇术!$A:$R,16,FALSE)="陌刀",1,$N71))*(1-$M71)</f>
        <v>0</v>
      </c>
      <c r="Y71" s="92">
        <f>R71*VLOOKUP($E71,武器奇术!$A:$R,2,FALSE)*(1+T71)*(1+U71)*V71*(1+$E$16+VLOOKUP($E71,武器奇术!$A:$R,8,FALSE))</f>
        <v>12864.1254832818</v>
      </c>
      <c r="Z71" s="93">
        <f t="shared" si="61"/>
        <v>0.887</v>
      </c>
      <c r="AA71" s="92">
        <f>S71*VLOOKUP($E71,武器奇术!$A:$R,2,FALSE)*(1+T71)*(1+U71)*V71*(1+$E$17+VLOOKUP($E71,武器奇术!$A:$R,10,FALSE))</f>
        <v>7254.206099595</v>
      </c>
      <c r="AB71" s="93">
        <f t="shared" si="62"/>
        <v>0.0986</v>
      </c>
      <c r="AC71" s="92">
        <f>R71*VLOOKUP($E71,武器奇术!$A:$R,2,FALSE)*(1+T71)*(1+U71)*V71</f>
        <v>5373.4859997</v>
      </c>
      <c r="AD71" s="93">
        <f t="shared" si="63"/>
        <v>0.0144</v>
      </c>
      <c r="AE71" s="101">
        <f t="shared" si="64"/>
        <v>12203.1222234867</v>
      </c>
      <c r="AF71" s="102">
        <f>VLOOKUP($E71,武器奇术!$A:$R,3,FALSE)*(1+IF(VLOOKUP($E71,武器奇术!$A:$R,15,FALSE)="武器",$E$15,0))</f>
        <v>488.8</v>
      </c>
      <c r="AG71" s="92">
        <f t="shared" si="65"/>
        <v>488.8</v>
      </c>
      <c r="AH71" s="92">
        <f>VLOOKUP($E71,武器奇术!$A:$R,3,FALSE)*(1+IF(VLOOKUP($E71,武器奇术!$A:$R,15,FALSE)="武器",$E$15,0))</f>
        <v>488.8</v>
      </c>
      <c r="AI71" s="93">
        <f>IF(($D$5+VLOOKUP($E71,武器奇术!$A:$R,13,FALSE)+IF($I$3="√",10,0)-VLOOKUP($F$7,目标属性!$A:$R,5,FALSE))&gt;0,($D$5+VLOOKUP($E71,武器奇术!$A:$R,13,FALSE)+IF($I$3="√",10,0)-VLOOKUP($F$7,目标属性!$A:$R,5,FALSE))/200,($D$5+VLOOKUP($E71,武器奇术!$A:$R,13,FALSE)+IF($I$3="√",10,0)-VLOOKUP($F$7,目标属性!$A:$R,5,FALSE))/100)</f>
        <v>0.3925</v>
      </c>
      <c r="AJ71" s="100">
        <f>$E$5+IF(VLOOKUP($E71,武器奇术!$A:$R,18,FALSE)="鼠鼠",0.24,0)</f>
        <v>0</v>
      </c>
      <c r="AK71" s="91">
        <v>1</v>
      </c>
      <c r="AL71" s="92">
        <f t="shared" si="66"/>
        <v>680.654</v>
      </c>
      <c r="AM71" s="93">
        <f>(1-IF(VLOOKUP($E71,武器奇术!$A:$R,16,FALSE)="陌刀",1,$N71))*(1-$M71)</f>
        <v>0</v>
      </c>
      <c r="AN71" s="92">
        <f>AG71*(1+AI71)*(1+AJ71)*AK71*(1+$E$16+VLOOKUP($E71,武器奇术!$A:$R,8,FALSE))</f>
        <v>1629.485676</v>
      </c>
      <c r="AO71" s="93">
        <f t="shared" si="1"/>
        <v>0.887</v>
      </c>
      <c r="AP71" s="92">
        <f>AH71*(1+AI71)*(1+AJ71)*AK71*(1+$E$17+VLOOKUP($E71,武器奇术!$A:$R,10,FALSE))</f>
        <v>918.8829</v>
      </c>
      <c r="AQ71" s="93">
        <f t="shared" si="2"/>
        <v>0.0986</v>
      </c>
      <c r="AR71" s="92">
        <f t="shared" si="67"/>
        <v>680.654</v>
      </c>
      <c r="AS71" s="93">
        <f t="shared" si="68"/>
        <v>0.0144</v>
      </c>
      <c r="AT71" s="101">
        <f t="shared" si="69"/>
        <v>1545.757066152</v>
      </c>
      <c r="AU71" s="99">
        <f>IF(VLOOKUP($E71,武器奇术!$A:$R,18,FALSE)="极乐",0,$B$7*IF($G$5="撼天",1.05,1)+IF(AND(VLOOKUP($E71,武器奇术!$A:$R,15,FALSE)="武器",VLOOKUP($E71,武器奇术!$A:$R,17,FALSE)="鸣金"),$E$3*(1+$E$15),0))</f>
        <v>0</v>
      </c>
      <c r="AV71" s="91">
        <f t="shared" si="70"/>
        <v>0</v>
      </c>
      <c r="AW71" s="91">
        <f>IF(VLOOKUP($E71,武器奇术!$A:$R,18,FALSE)="极乐",0,MAX($C$7*IF($G$5="撼天",1.05,1)+IF(AND(VLOOKUP($E71,武器奇术!$A:$R,15,FALSE)="武器",VLOOKUP($E71,武器奇术!$A:$R,17,FALSE)="鸣金"),$E$3*(1+$E$15),0),AU71))</f>
        <v>0</v>
      </c>
      <c r="AX71" s="93">
        <f>IF(($D$7+IF(VLOOKUP($E71,武器奇术!$A:$R,17,FALSE)="鸣金",$D$15,0)-VLOOKUP($F$7,目标属性!$A:$R,6,FALSE))&gt;0,($D$7+IF(VLOOKUP($E71,武器奇术!$A:$R,17,FALSE)="鸣金",$D$15,0)-VLOOKUP($F$7,目标属性!$A:$R,6,FALSE))/200,($D$7+IF(VLOOKUP($E71,武器奇术!$A:$R,17,FALSE)="鸣金",$D$15,0)-VLOOKUP($F$7,目标属性!$A:$R,6,FALSE))/100)</f>
        <v>-0.24</v>
      </c>
      <c r="AY71" s="100">
        <f t="shared" ref="AY71:AY80" si="85">$E$7</f>
        <v>0</v>
      </c>
      <c r="AZ71" s="91">
        <v>1</v>
      </c>
      <c r="BA71" s="92">
        <f>AU71*IF(VLOOKUP($E71,武器奇术!$A:$R,17,FALSE)="鸣金",VLOOKUP($E71,武器奇术!$A:$R,4,FALSE),VLOOKUP($E71,武器奇术!$A:$R,2,FALSE))*(1+AX71)*(1+AY71)*AZ71</f>
        <v>0</v>
      </c>
      <c r="BB71" s="93">
        <f>(1-IF(VLOOKUP($E71,武器奇术!$A:$R,16,FALSE)="陌刀",1,$N71))*(1-$M71)</f>
        <v>0</v>
      </c>
      <c r="BC71" s="92">
        <f>AV71*IF(VLOOKUP($E71,武器奇术!$A:$R,17,FALSE)="鸣金",VLOOKUP($E71,武器奇术!$A:$R,4,FALSE),VLOOKUP($E71,武器奇术!$A:$R,2,FALSE))*(1+AX71)*(1+AY71)*AZ71*(1+$E$16+VLOOKUP($E71,武器奇术!$A:$R,8,FALSE))</f>
        <v>0</v>
      </c>
      <c r="BD71" s="93">
        <f t="shared" si="3"/>
        <v>0.887</v>
      </c>
      <c r="BE71" s="92">
        <f>AW71*IF(VLOOKUP($E71,武器奇术!$A:$R,17,FALSE)="鸣金",VLOOKUP($E71,武器奇术!$A:$R,4,FALSE),VLOOKUP($E71,武器奇术!$A:$R,2,FALSE))*(1+AX71)*(1+AY71)*AZ71*(1+$E$17+VLOOKUP($E71,武器奇术!$A:$R,10,FALSE))</f>
        <v>0</v>
      </c>
      <c r="BF71" s="93">
        <f t="shared" si="4"/>
        <v>0.0986</v>
      </c>
      <c r="BG71" s="92">
        <f>AV71*IF(VLOOKUP($E71,武器奇术!$A:$R,17,FALSE)="鸣金",VLOOKUP($E71,武器奇术!$A:$R,4,FALSE),VLOOKUP($E71,武器奇术!$A:$R,2,FALSE))*(1+AX71)*(1+AY71)*AZ71</f>
        <v>0</v>
      </c>
      <c r="BH71" s="93">
        <f t="shared" si="71"/>
        <v>0.0144</v>
      </c>
      <c r="BI71" s="101">
        <f t="shared" si="72"/>
        <v>0</v>
      </c>
      <c r="BJ71" s="99">
        <f>IF(VLOOKUP($E71,武器奇术!$A:$R,18,FALSE)="极乐",0,$B$9*IF($G$5="撼天",1.05,1)+IF(AND(VLOOKUP($E71,武器奇术!$A:$R,15,FALSE)="武器",VLOOKUP($E71,武器奇术!$A:$R,17,FALSE)="裂石"),$E$3*(1+$E$15),0))</f>
        <v>0</v>
      </c>
      <c r="BK71" s="91">
        <f t="shared" si="73"/>
        <v>0</v>
      </c>
      <c r="BL71" s="91">
        <f>IF(VLOOKUP($E71,武器奇术!$A:$R,18,FALSE)="极乐",0,MAX($C$9*IF($G$5="撼天",1.05,1)+IF(AND(VLOOKUP($E71,武器奇术!$A:$R,15,FALSE)="武器",VLOOKUP($E71,武器奇术!$A:$R,17,FALSE)="裂石"),$E$3*(1+$E$15),0),BJ71))</f>
        <v>0</v>
      </c>
      <c r="BM71" s="93">
        <f>IF(($D$9+IF(VLOOKUP($E71,武器奇术!$A:$R,17,FALSE)="裂石",$D$15,0)-VLOOKUP($F$7,目标属性!$A:$R,6,FALSE))&gt;0,($D$9+IF(VLOOKUP($E71,武器奇术!$A:$R,17,FALSE)="裂石",$D$15,0)-VLOOKUP($F$7,目标属性!$A:$R,6,FALSE))/200,($D$9+IF(VLOOKUP($E71,武器奇术!$A:$R,17,FALSE)="裂石",$D$15,0)-VLOOKUP($F$7,目标属性!$A:$R,6,FALSE))/100)</f>
        <v>-0.24</v>
      </c>
      <c r="BN71" s="100">
        <f t="shared" ref="BN71:BN80" si="86">$E$9</f>
        <v>0</v>
      </c>
      <c r="BO71" s="91">
        <v>1</v>
      </c>
      <c r="BP71" s="92">
        <f>BJ71*IF(VLOOKUP($E71,武器奇术!$A:$R,17,FALSE)="裂石",VLOOKUP($E71,武器奇术!$A:$R,4,FALSE),VLOOKUP($E71,武器奇术!$A:$R,2,FALSE))*(1+BM71)*(1+BN71)*BO71</f>
        <v>0</v>
      </c>
      <c r="BQ71" s="93">
        <f>(1-IF(VLOOKUP($E71,武器奇术!$A:$R,16,FALSE)="陌刀",1,$N71))*(1-$M71)</f>
        <v>0</v>
      </c>
      <c r="BR71" s="92">
        <f>BK71*IF(VLOOKUP($E71,武器奇术!$A:$R,17,FALSE)="裂石",VLOOKUP($E71,武器奇术!$A:$R,4,FALSE),VLOOKUP($E71,武器奇术!$A:$R,2,FALSE))*(1+BM71)*(1+BN71)*BO71*(1+$E$16+VLOOKUP($E71,武器奇术!$A:$R,8,FALSE))</f>
        <v>0</v>
      </c>
      <c r="BS71" s="93">
        <f t="shared" si="5"/>
        <v>0.887</v>
      </c>
      <c r="BT71" s="92">
        <f>BL71*IF(VLOOKUP($E71,武器奇术!$A:$R,17,FALSE)="裂石",VLOOKUP($E71,武器奇术!$A:$R,4,FALSE),VLOOKUP($E71,武器奇术!$A:$R,2,FALSE))*(1+BM71)*(1+BN71)*BO71*(1+$E$17+VLOOKUP($E71,武器奇术!$A:$R,10,FALSE))</f>
        <v>0</v>
      </c>
      <c r="BU71" s="93">
        <f t="shared" si="6"/>
        <v>0.0986</v>
      </c>
      <c r="BV71" s="92">
        <f>BK71*IF(VLOOKUP($E71,武器奇术!$A:$R,17,FALSE)="裂石",VLOOKUP($E71,武器奇术!$A:$R,4,FALSE),VLOOKUP($E71,武器奇术!$A:$R,2,FALSE))*(1+BM71)*(1+BN71)*BO71</f>
        <v>0</v>
      </c>
      <c r="BW71" s="93">
        <f t="shared" si="74"/>
        <v>0.0144</v>
      </c>
      <c r="BX71" s="101">
        <f t="shared" si="75"/>
        <v>0</v>
      </c>
      <c r="BY71" s="99">
        <f>IF(VLOOKUP($E71,武器奇术!$A:$R,18,FALSE)="极乐",0,$B$11*IF($G$5="撼天",1.05,1)+IF(AND(VLOOKUP($E71,武器奇术!$A:$R,15,FALSE)="武器",VLOOKUP($E71,武器奇术!$A:$R,17,FALSE)="牵丝"),$E$3*(1+$E$15),0))</f>
        <v>0</v>
      </c>
      <c r="BZ71" s="91">
        <f t="shared" si="76"/>
        <v>0</v>
      </c>
      <c r="CA71" s="91">
        <f>IF(VLOOKUP($E71,武器奇术!$A:$R,18,FALSE)="极乐",0,MAX($C$11*IF($G$5="撼天",1.05,1)+IF(AND(VLOOKUP($E71,武器奇术!$A:$R,15,FALSE)="武器",VLOOKUP($E71,武器奇术!$A:$R,17,FALSE)="牵丝"),$E$3*(1+$E$15),0),BY71))</f>
        <v>0</v>
      </c>
      <c r="CB71" s="93">
        <f>IF(($D$11+IF(VLOOKUP($E71,武器奇术!$A:$R,17,FALSE)="牵丝",$D$15,0)-VLOOKUP($F$7,目标属性!$A:$R,6,FALSE))&gt;0,($D$11+IF(VLOOKUP($E71,武器奇术!$A:$R,17,FALSE)="牵丝",$D$15,0)-VLOOKUP($F$7,目标属性!$A:$R,6,FALSE))/200,($D$11+IF(VLOOKUP($E71,武器奇术!$A:$R,17,FALSE)="牵丝",$D$15,0)-VLOOKUP($F$7,目标属性!$A:$R,6,FALSE))/100)</f>
        <v>-0.24</v>
      </c>
      <c r="CC71" s="100">
        <f t="shared" ref="CC71:CC80" si="87">$E$11</f>
        <v>0</v>
      </c>
      <c r="CD71" s="91">
        <v>1</v>
      </c>
      <c r="CE71" s="92">
        <f>BY71*IF(VLOOKUP($E71,武器奇术!$A:$R,17,FALSE)="牵丝",VLOOKUP($E71,武器奇术!$A:$R,4,FALSE),VLOOKUP($E71,武器奇术!$A:$R,2,FALSE))*(1+CB71)*(1+CC71)*CD71</f>
        <v>0</v>
      </c>
      <c r="CF71" s="93">
        <f>(1-IF(VLOOKUP($E71,武器奇术!$A:$R,16,FALSE)="陌刀",1,$N71))*(1-$M71)</f>
        <v>0</v>
      </c>
      <c r="CG71" s="92">
        <f>BZ71*IF(VLOOKUP($E71,武器奇术!$A:$R,17,FALSE)="牵丝",VLOOKUP($E71,武器奇术!$A:$R,4,FALSE),VLOOKUP($E71,武器奇术!$A:$R,2,FALSE))*(1+CB71)*(1+CC71)*CD71*(1+$E$16+VLOOKUP($E71,武器奇术!$A:$R,8,FALSE))</f>
        <v>0</v>
      </c>
      <c r="CH71" s="93">
        <f t="shared" si="7"/>
        <v>0.887</v>
      </c>
      <c r="CI71" s="92">
        <f>CA71*IF(VLOOKUP($E71,武器奇术!$A:$R,17,FALSE)="牵丝",VLOOKUP($E71,武器奇术!$A:$R,4,FALSE),VLOOKUP($E71,武器奇术!$A:$R,2,FALSE))*(1+CB71)*(1+CC71)*CD71*(1+$E$17+VLOOKUP($E71,武器奇术!$A:$R,10,FALSE))</f>
        <v>0</v>
      </c>
      <c r="CJ71" s="93">
        <f t="shared" si="8"/>
        <v>0.0986</v>
      </c>
      <c r="CK71" s="92">
        <f>BZ71*IF(VLOOKUP($E71,武器奇术!$A:$R,17,FALSE)="牵丝",VLOOKUP($E71,武器奇术!$A:$R,4,FALSE),VLOOKUP($E71,武器奇术!$A:$R,2,FALSE))*(1+CB71)*(1+CC71)*CD71</f>
        <v>0</v>
      </c>
      <c r="CL71" s="93">
        <f t="shared" si="77"/>
        <v>0.0144</v>
      </c>
      <c r="CM71" s="101">
        <f t="shared" si="78"/>
        <v>0</v>
      </c>
      <c r="CN71" s="99">
        <f>IF(VLOOKUP($E71,武器奇术!$A:$R,18,FALSE)="极乐",0,$B$13*IF($G$5="撼天",1.05,1)+IF(AND(VLOOKUP($E71,武器奇术!$A:$R,15,FALSE)="武器",VLOOKUP($E71,武器奇术!$A:$R,17,FALSE)="破竹"),$E$3*(1+$E$15),0))</f>
        <v>686.71</v>
      </c>
      <c r="CO71" s="91">
        <f t="shared" si="79"/>
        <v>1052.21</v>
      </c>
      <c r="CP71" s="91">
        <f>IF(VLOOKUP($E71,武器奇术!$A:$R,18,FALSE)="极乐",0,MAX($C$13*IF($G$5="撼天",1.05,1)+IF(AND(VLOOKUP($E71,武器奇术!$A:$R,15,FALSE)="武器",VLOOKUP($E71,武器奇术!$A:$R,17,FALSE)="破竹"),$E$3*(1+$E$15),0),CN71))</f>
        <v>1417.71</v>
      </c>
      <c r="CQ71" s="93">
        <f>IF(($D$13+IF(VLOOKUP($E71,武器奇术!$A:$R,17,FALSE)="破竹",$D$15,0)-VLOOKUP($F$7,目标属性!$A:$R,6,FALSE)+IF(VLOOKUP($E71,武器奇术!$A:$V,22,FALSE)=1,4,0)+IF(VLOOKUP($E71,武器奇术!$A:$T,20,FALSE)=1,10,0))&gt;0,($D$13+IF(VLOOKUP($E71,武器奇术!$A:$R,17,FALSE)="破竹",$D$15,0)-VLOOKUP($F$7,目标属性!$A:$R,6,FALSE)+IF(VLOOKUP($E71,武器奇术!$A:$V,22,FALSE)=1,4,0)+IF(VLOOKUP($E71,武器奇术!$A:$T,20,FALSE)=1,10,0))/200,($D$13+IF(VLOOKUP($E71,武器奇术!$A:$R,17,FALSE)="破竹",$D$15,0)-VLOOKUP($F$7,目标属性!$A:$R,6,FALSE)+IF(VLOOKUP($E71,武器奇术!$A:$V,22,FALSE)=1,4,0)+IF(VLOOKUP($E71,武器奇术!$A:$T,20,FALSE)=1,10,0))/100)</f>
        <v>0.028</v>
      </c>
      <c r="CR71" s="100">
        <f t="shared" si="83"/>
        <v>0.148</v>
      </c>
      <c r="CS71" s="91">
        <v>1</v>
      </c>
      <c r="CT71" s="92">
        <f>CN71*IF(VLOOKUP($E71,武器奇术!$A:$R,17,FALSE)="破竹",VLOOKUP($E71,武器奇术!$A:$R,4,FALSE),VLOOKUP($E71,武器奇术!$A:$R,2,FALSE))*(1+CQ71)*(1+CR71)*CS71</f>
        <v>1646.92878977693</v>
      </c>
      <c r="CU71" s="93">
        <f>(1-IF(VLOOKUP($E71,武器奇术!$A:$R,16,FALSE)="陌刀",1,$N71))*(1-$M71)</f>
        <v>0</v>
      </c>
      <c r="CV71" s="92">
        <f>CO71*IF(VLOOKUP($E71,武器奇术!$A:$R,17,FALSE)="破竹",VLOOKUP($E71,武器奇术!$A:$R,4,FALSE),VLOOKUP($E71,武器奇术!$A:$R,2,FALSE))*(1+CQ71)*(1+CR71)*CS71*(1+$E$16+VLOOKUP($E71,武器奇术!$A:$R,8,FALSE))</f>
        <v>6041.26686794642</v>
      </c>
      <c r="CW71" s="93">
        <f t="shared" si="9"/>
        <v>0.887</v>
      </c>
      <c r="CX71" s="92">
        <f>CP71*IF(VLOOKUP($E71,武器奇术!$A:$R,17,FALSE)="破竹",VLOOKUP($E71,武器奇术!$A:$R,4,FALSE),VLOOKUP($E71,武器奇术!$A:$R,2,FALSE))*(1+CQ71)*(1+CR71)*CS71*(1+$E$17+VLOOKUP($E71,武器奇术!$A:$R,10,FALSE))</f>
        <v>4590.10500742493</v>
      </c>
      <c r="CY71" s="93">
        <f t="shared" si="10"/>
        <v>0.0986</v>
      </c>
      <c r="CZ71" s="92">
        <f>CO71*IF(VLOOKUP($E71,武器奇术!$A:$R,17,FALSE)="破竹",VLOOKUP($E71,武器奇术!$A:$R,4,FALSE),VLOOKUP($E71,武器奇术!$A:$R,2,FALSE))*(1+CQ71)*(1+CR71)*CS71</f>
        <v>2523.50328652733</v>
      </c>
      <c r="DA71" s="93">
        <f t="shared" si="80"/>
        <v>0.0144</v>
      </c>
      <c r="DB71" s="101">
        <f t="shared" si="81"/>
        <v>5847.52651292657</v>
      </c>
      <c r="DC71" s="99">
        <f>IF(VLOOKUP($E71,武器奇术!$A:$R,18,FALSE)="极乐",0,$B$15)</f>
        <v>66</v>
      </c>
      <c r="DD71" s="91">
        <f t="shared" si="82"/>
        <v>95.9</v>
      </c>
      <c r="DE71" s="91">
        <f>IF(VLOOKUP($E71,武器奇术!$A:$R,18,FALSE)="极乐",0,$C$15)</f>
        <v>125.8</v>
      </c>
      <c r="DF71" s="93">
        <f>IF((IF(VLOOKUP($E71,武器奇术!$A:$R,17,FALSE)="鸣金",$D$7,0)+IF(VLOOKUP($E71,武器奇术!$A:$R,17,FALSE)="裂石",$D$9,0)+IF(VLOOKUP($E71,武器奇术!$A:$R,17,FALSE)="牵丝",$D$11,0)+IF(VLOOKUP($E71,武器奇术!$A:$R,17,FALSE)="破竹",$D$13,0)+$D$15-VLOOKUP($F$7,目标属性!$A:$R,6,FALSE)+IF(VLOOKUP($E71,武器奇术!$A:$V,22,FALSE)=1,4,0)+IF(VLOOKUP($E71,武器奇术!$A:$T,20,FALSE)=1,10,0))&gt;0,(IF(VLOOKUP($E71,武器奇术!$A:$R,17,FALSE)="鸣金",$D$7,0)+IF(VLOOKUP($E71,武器奇术!$A:$R,17,FALSE)="裂石",$D$9,0)+IF(VLOOKUP($E71,武器奇术!$A:$R,17,FALSE)="牵丝",$D$11,0)+IF(VLOOKUP($E71,武器奇术!$A:$R,17,FALSE)="破竹",$D$13,0)+$D$15-VLOOKUP($F$7,目标属性!$A:$R,6,FALSE)+IF(VLOOKUP($E71,武器奇术!$A:$V,22,FALSE)=1,4,0)+IF(VLOOKUP($E71,武器奇术!$A:$T,20,FALSE)=1,10,0))/200,(IF(VLOOKUP($E71,武器奇术!$A:$R,17,FALSE)="鸣金",$D$7,0)+IF(VLOOKUP($E71,武器奇术!$A:$R,17,FALSE)="裂石",$D$9,0)+IF(VLOOKUP($E71,武器奇术!$A:$R,17,FALSE)="牵丝",$D$11,0)+IF(VLOOKUP($E71,武器奇术!$A:$R,17,FALSE)="破竹",$D$13,0)+$D$15-VLOOKUP($F$7,目标属性!$A:$R,6,FALSE)+IF(VLOOKUP($E71,武器奇术!$A:$V,22,FALSE)=1,4,0)+IF(VLOOKUP($E71,武器奇术!$A:$T,20,FALSE)=1,10,0))/100)</f>
        <v>0.028</v>
      </c>
      <c r="DG71" s="100">
        <f t="shared" si="54"/>
        <v>0.148</v>
      </c>
      <c r="DH71" s="91">
        <v>1</v>
      </c>
      <c r="DI71" s="92">
        <f>DC71*IF(VLOOKUP($E71,武器奇术!$A:$R,17,FALSE)="破竹",VLOOKUP($E71,武器奇术!$A:$R,4,FALSE),VLOOKUP($E71,武器奇术!$A:$R,2,FALSE))*(1+DF71)*(1+DG71)*DH71</f>
        <v>158.2870500288</v>
      </c>
      <c r="DJ71" s="93">
        <f>(1-IF(VLOOKUP($E71,武器奇术!$A:$R,16,FALSE)="陌刀",1,$N71))*(1-$M71)</f>
        <v>0</v>
      </c>
      <c r="DK71" s="92">
        <f>DD71*IF(VLOOKUP($E71,武器奇术!$A:$R,17,FALSE)="破竹",VLOOKUP($E71,武器奇术!$A:$R,4,FALSE),VLOOKUP($E71,武器奇术!$A:$R,2,FALSE))*(1+DF71)*(1+DG71)*DH71*(1+$E$16+VLOOKUP($E71,武器奇术!$A:$R,8,FALSE))</f>
        <v>550.610137364273</v>
      </c>
      <c r="DL71" s="93">
        <f t="shared" si="12"/>
        <v>0.887</v>
      </c>
      <c r="DM71" s="92">
        <f>DE71*IF(VLOOKUP($E71,武器奇术!$A:$R,17,FALSE)="破竹",VLOOKUP($E71,武器奇术!$A:$R,4,FALSE),VLOOKUP($E71,武器奇术!$A:$R,2,FALSE))*(1+DF71)*(1+DG71)*DH71*(1+$E$17+VLOOKUP($E71,武器奇术!$A:$R,10,FALSE))</f>
        <v>407.301359187744</v>
      </c>
      <c r="DN71" s="93">
        <f t="shared" si="13"/>
        <v>0.0986</v>
      </c>
      <c r="DO71" s="92">
        <f>DD71*IF(VLOOKUP($E71,武器奇术!$A:$R,17,FALSE)="破竹",VLOOKUP($E71,武器奇术!$A:$R,4,FALSE),VLOOKUP($E71,武器奇术!$A:$R,2,FALSE))*(1+DF71)*(1+DG71)*DH71</f>
        <v>229.99588026912</v>
      </c>
      <c r="DP71" s="93">
        <f t="shared" si="14"/>
        <v>0.0144</v>
      </c>
      <c r="DQ71" s="101">
        <f t="shared" si="15"/>
        <v>531.863046533897</v>
      </c>
    </row>
    <row r="72" customFormat="1" spans="1:121">
      <c r="A72" s="33"/>
      <c r="B72" s="130" t="s">
        <v>153</v>
      </c>
      <c r="C72">
        <v>0.166</v>
      </c>
      <c r="D72"/>
      <c r="E72" s="105" t="s">
        <v>154</v>
      </c>
      <c r="F72" s="123">
        <f>IF($K$3="×",0,(F66*2+F67+F68*8+F69*5+F70+F71*6)*0.15/3.5)</f>
        <v>0</v>
      </c>
      <c r="G72" s="107"/>
      <c r="H72" s="92">
        <f>IF(VLOOKUP($E72,武器奇术!$A:$R,18,FALSE)="天工",AE72,(AE72+AT72+BI72+BX72+CM72+DB72+DQ72))*(1+J72)*F72*K72*(1+G72)</f>
        <v>0</v>
      </c>
      <c r="I72" s="93">
        <f t="shared" si="58"/>
        <v>0</v>
      </c>
      <c r="J72" s="93">
        <f>$F$3+VLOOKUP($E72,武器奇术!$A:$R,12,FALSE)+VLOOKUP($E72,武器奇术!$A:$R,14,FALSE)*$G$3+$P72</f>
        <v>0.403</v>
      </c>
      <c r="K72" s="94">
        <f>VLOOKUP($E72,武器奇术!$A:$R,11,FALSE)</f>
        <v>1</v>
      </c>
      <c r="L72" s="109">
        <f>IF(VLOOKUP($E72,武器奇术!$A:$R,15,FALSE)="天工",0%,IF($C$17+VLOOKUP($E72,武器奇术!$A:$R,7,FALSE)&gt;80%,80%,$C$17+VLOOKUP($E72,武器奇术!$A:$R,7,FALSE))+IF($C$19&gt;20%,20%,$C$19))</f>
        <v>0.887</v>
      </c>
      <c r="M72" s="110">
        <f>IF(VLOOKUP($E72,武器奇术!$A:$R,15,FALSE)="天工",0%,IF($C$18+VLOOKUP($E72,武器奇术!$A:$R,9,FALSE)&gt;40%,40%,$C$18+VLOOKUP($E72,武器奇术!$A:$R,9,FALSE))+IF($C$20&gt;10%,10%,$C$20))</f>
        <v>0.0986</v>
      </c>
      <c r="N72" s="111">
        <f>IF(VLOOKUP($E72,武器奇术!$A:$R,15,FALSE)="天工",100%,MIN($C$16,1))</f>
        <v>1</v>
      </c>
      <c r="O72" s="112" t="str">
        <f>VLOOKUP($E72,武器奇术!$A:$R,16,FALSE)</f>
        <v>N/A</v>
      </c>
      <c r="P72" s="113">
        <f t="shared" si="59"/>
        <v>0</v>
      </c>
      <c r="Q72" s="99">
        <f>$B$5*(1+VLOOKUP($E72,武器奇术!$A:$R,5,FALSE)+IF($G$5="飞隼",0.1,0)+IF($G$5="撼天",0.05,0))-$F$9*IF(VLOOKUP($E72,武器奇术!$A:$S,19,FALSE)=1,0.9,1)+IF($I$5="√",160,0)</f>
        <v>2848.3</v>
      </c>
      <c r="R72" s="91">
        <f t="shared" si="60"/>
        <v>2848.3</v>
      </c>
      <c r="S72" s="91">
        <f>MAX($C$5,$B$5)*(1+VLOOKUP($E72,武器奇术!$A:$R,5,FALSE)+IF($G$5="飞隼",0.1,0)+IF($G$5="撼天",0.05,0))-$F$9*IF(VLOOKUP($E72,武器奇术!$A:$S,19,FALSE)=1,0.9,1)+IF($I$5="√",320,0)</f>
        <v>2848.3</v>
      </c>
      <c r="T72" s="93">
        <f>IF(($D$5+VLOOKUP($E72,武器奇术!$A:$R,13,FALSE)+IF($I$3="√",10,0)-VLOOKUP($F$7,目标属性!$A:$R,5,FALSE))&gt;0,($D$5+VLOOKUP($E72,武器奇术!$A:$R,13,FALSE)+IF($I$3="√",10,0)-VLOOKUP($F$7,目标属性!$A:$R,5,FALSE))/200,($D$5+VLOOKUP($E72,武器奇术!$A:$R,13,FALSE)+IF($I$3="√",10,0)-VLOOKUP($F$7,目标属性!$A:$R,5,FALSE))/100)</f>
        <v>0.3925</v>
      </c>
      <c r="U72" s="100">
        <f>$E$5+IF(VLOOKUP($E72,武器奇术!$A:$R,18,FALSE)="鼠鼠",0.24,0)</f>
        <v>0</v>
      </c>
      <c r="V72" s="91">
        <v>1</v>
      </c>
      <c r="W72" s="92">
        <f>Q72*VLOOKUP($E72,武器奇术!$A:$R,2,FALSE)*(1+T72)*(1+U72)*V72</f>
        <v>7932.5155</v>
      </c>
      <c r="X72" s="93">
        <f>(1-IF(VLOOKUP($E72,武器奇术!$A:$R,16,FALSE)="陌刀",1,$N72))*(1-$M72)</f>
        <v>0</v>
      </c>
      <c r="Y72" s="92">
        <f>R72*VLOOKUP($E72,武器奇术!$A:$R,2,FALSE)*(1+T72)*(1+U72)*V72*(1+$E$16+VLOOKUP($E72,武器奇术!$A:$R,8,FALSE))</f>
        <v>18990.442107</v>
      </c>
      <c r="Z72" s="93">
        <f t="shared" si="61"/>
        <v>0.887</v>
      </c>
      <c r="AA72" s="92">
        <f>S72*VLOOKUP($E72,武器奇术!$A:$R,2,FALSE)*(1+T72)*(1+U72)*V72*(1+$E$17+VLOOKUP($E72,武器奇术!$A:$R,10,FALSE))</f>
        <v>10708.895925</v>
      </c>
      <c r="AB72" s="93">
        <f t="shared" si="62"/>
        <v>0.0986</v>
      </c>
      <c r="AC72" s="92">
        <f>R72*VLOOKUP($E72,武器奇术!$A:$R,2,FALSE)*(1+T72)*(1+U72)*V72</f>
        <v>7932.5155</v>
      </c>
      <c r="AD72" s="93">
        <f t="shared" si="63"/>
        <v>0.0144</v>
      </c>
      <c r="AE72" s="101">
        <f t="shared" si="64"/>
        <v>18014.647510314</v>
      </c>
      <c r="AF72" s="102">
        <f>VLOOKUP($E72,武器奇术!$A:$R,3,FALSE)*(1+IF(VLOOKUP($E72,武器奇术!$A:$R,15,FALSE)="武器",$E$15,0))</f>
        <v>0</v>
      </c>
      <c r="AG72" s="92">
        <f t="shared" si="65"/>
        <v>0</v>
      </c>
      <c r="AH72" s="92">
        <f>VLOOKUP($E72,武器奇术!$A:$R,3,FALSE)*(1+IF(VLOOKUP($E72,武器奇术!$A:$R,15,FALSE)="武器",$E$15,0))</f>
        <v>0</v>
      </c>
      <c r="AI72" s="93">
        <f>IF(($D$5+VLOOKUP($E72,武器奇术!$A:$R,13,FALSE)+IF($I$3="√",10,0)-VLOOKUP($F$7,目标属性!$A:$R,5,FALSE))&gt;0,($D$5+VLOOKUP($E72,武器奇术!$A:$R,13,FALSE)+IF($I$3="√",10,0)-VLOOKUP($F$7,目标属性!$A:$R,5,FALSE))/200,($D$5+VLOOKUP($E72,武器奇术!$A:$R,13,FALSE)+IF($I$3="√",10,0)-VLOOKUP($F$7,目标属性!$A:$R,5,FALSE))/100)</f>
        <v>0.3925</v>
      </c>
      <c r="AJ72" s="100">
        <f>$E$5+IF(VLOOKUP($E72,武器奇术!$A:$R,18,FALSE)="鼠鼠",0.24,0)</f>
        <v>0</v>
      </c>
      <c r="AK72" s="91">
        <v>1</v>
      </c>
      <c r="AL72" s="92">
        <f t="shared" si="66"/>
        <v>0</v>
      </c>
      <c r="AM72" s="93">
        <f>(1-IF(VLOOKUP($E72,武器奇术!$A:$R,16,FALSE)="陌刀",1,$N72))*(1-$M72)</f>
        <v>0</v>
      </c>
      <c r="AN72" s="92">
        <f>AG72*(1+AI72)*(1+AJ72)*AK72*(1+$E$16+VLOOKUP($E72,武器奇术!$A:$R,8,FALSE))</f>
        <v>0</v>
      </c>
      <c r="AO72" s="93">
        <f t="shared" si="1"/>
        <v>0.887</v>
      </c>
      <c r="AP72" s="92">
        <f>AH72*(1+AI72)*(1+AJ72)*AK72*(1+$E$17+VLOOKUP($E72,武器奇术!$A:$R,10,FALSE))</f>
        <v>0</v>
      </c>
      <c r="AQ72" s="93">
        <f t="shared" si="2"/>
        <v>0.0986</v>
      </c>
      <c r="AR72" s="92">
        <f t="shared" si="67"/>
        <v>0</v>
      </c>
      <c r="AS72" s="93">
        <f t="shared" si="68"/>
        <v>0.0144</v>
      </c>
      <c r="AT72" s="101">
        <f t="shared" si="69"/>
        <v>0</v>
      </c>
      <c r="AU72" s="99">
        <f>IF(VLOOKUP($E72,武器奇术!$A:$R,18,FALSE)="极乐",0,$B$7*IF($G$5="撼天",1.05,1)+IF(AND(VLOOKUP($E72,武器奇术!$A:$R,15,FALSE)="武器",VLOOKUP($E72,武器奇术!$A:$R,17,FALSE)="鸣金"),$E$3*(1+$E$15),0))</f>
        <v>0</v>
      </c>
      <c r="AV72" s="91">
        <f t="shared" si="70"/>
        <v>0</v>
      </c>
      <c r="AW72" s="91">
        <f>IF(VLOOKUP($E72,武器奇术!$A:$R,18,FALSE)="极乐",0,MAX($C$7*IF($G$5="撼天",1.05,1)+IF(AND(VLOOKUP($E72,武器奇术!$A:$R,15,FALSE)="武器",VLOOKUP($E72,武器奇术!$A:$R,17,FALSE)="鸣金"),$E$3*(1+$E$15),0),AU72))</f>
        <v>0</v>
      </c>
      <c r="AX72" s="93">
        <f>IF(($D$7+IF(VLOOKUP($E72,武器奇术!$A:$R,17,FALSE)="鸣金",$D$15,0)-VLOOKUP($F$7,目标属性!$A:$R,6,FALSE))&gt;0,($D$7+IF(VLOOKUP($E72,武器奇术!$A:$R,17,FALSE)="鸣金",$D$15,0)-VLOOKUP($F$7,目标属性!$A:$R,6,FALSE))/200,($D$7+IF(VLOOKUP($E72,武器奇术!$A:$R,17,FALSE)="鸣金",$D$15,0)-VLOOKUP($F$7,目标属性!$A:$R,6,FALSE))/100)</f>
        <v>-0.24</v>
      </c>
      <c r="AY72" s="100">
        <f t="shared" si="85"/>
        <v>0</v>
      </c>
      <c r="AZ72" s="91">
        <v>1</v>
      </c>
      <c r="BA72" s="92">
        <f>AU72*IF(VLOOKUP($E72,武器奇术!$A:$R,17,FALSE)="鸣金",VLOOKUP($E72,武器奇术!$A:$R,4,FALSE),VLOOKUP($E72,武器奇术!$A:$R,2,FALSE))*(1+AX72)*(1+AY72)*AZ72</f>
        <v>0</v>
      </c>
      <c r="BB72" s="93">
        <f>(1-IF(VLOOKUP($E72,武器奇术!$A:$R,16,FALSE)="陌刀",1,$N72))*(1-$M72)</f>
        <v>0</v>
      </c>
      <c r="BC72" s="92">
        <f>AV72*IF(VLOOKUP($E72,武器奇术!$A:$R,17,FALSE)="鸣金",VLOOKUP($E72,武器奇术!$A:$R,4,FALSE),VLOOKUP($E72,武器奇术!$A:$R,2,FALSE))*(1+AX72)*(1+AY72)*AZ72*(1+$E$16+VLOOKUP($E72,武器奇术!$A:$R,8,FALSE))</f>
        <v>0</v>
      </c>
      <c r="BD72" s="93">
        <f t="shared" si="3"/>
        <v>0.887</v>
      </c>
      <c r="BE72" s="92">
        <f>AW72*IF(VLOOKUP($E72,武器奇术!$A:$R,17,FALSE)="鸣金",VLOOKUP($E72,武器奇术!$A:$R,4,FALSE),VLOOKUP($E72,武器奇术!$A:$R,2,FALSE))*(1+AX72)*(1+AY72)*AZ72*(1+$E$17+VLOOKUP($E72,武器奇术!$A:$R,10,FALSE))</f>
        <v>0</v>
      </c>
      <c r="BF72" s="93">
        <f t="shared" si="4"/>
        <v>0.0986</v>
      </c>
      <c r="BG72" s="92">
        <f>AV72*IF(VLOOKUP($E72,武器奇术!$A:$R,17,FALSE)="鸣金",VLOOKUP($E72,武器奇术!$A:$R,4,FALSE),VLOOKUP($E72,武器奇术!$A:$R,2,FALSE))*(1+AX72)*(1+AY72)*AZ72</f>
        <v>0</v>
      </c>
      <c r="BH72" s="93">
        <f t="shared" si="71"/>
        <v>0.0144</v>
      </c>
      <c r="BI72" s="101">
        <f t="shared" si="72"/>
        <v>0</v>
      </c>
      <c r="BJ72" s="99">
        <f>IF(VLOOKUP($E72,武器奇术!$A:$R,18,FALSE)="极乐",0,$B$9*IF($G$5="撼天",1.05,1)+IF(AND(VLOOKUP($E72,武器奇术!$A:$R,15,FALSE)="武器",VLOOKUP($E72,武器奇术!$A:$R,17,FALSE)="裂石"),$E$3*(1+$E$15),0))</f>
        <v>0</v>
      </c>
      <c r="BK72" s="91">
        <f t="shared" si="73"/>
        <v>0</v>
      </c>
      <c r="BL72" s="91">
        <f>IF(VLOOKUP($E72,武器奇术!$A:$R,18,FALSE)="极乐",0,MAX($C$9*IF($G$5="撼天",1.05,1)+IF(AND(VLOOKUP($E72,武器奇术!$A:$R,15,FALSE)="武器",VLOOKUP($E72,武器奇术!$A:$R,17,FALSE)="裂石"),$E$3*(1+$E$15),0),BJ72))</f>
        <v>0</v>
      </c>
      <c r="BM72" s="93">
        <f>IF(($D$9+IF(VLOOKUP($E72,武器奇术!$A:$R,17,FALSE)="裂石",$D$15,0)-VLOOKUP($F$7,目标属性!$A:$R,6,FALSE))&gt;0,($D$9+IF(VLOOKUP($E72,武器奇术!$A:$R,17,FALSE)="裂石",$D$15,0)-VLOOKUP($F$7,目标属性!$A:$R,6,FALSE))/200,($D$9+IF(VLOOKUP($E72,武器奇术!$A:$R,17,FALSE)="裂石",$D$15,0)-VLOOKUP($F$7,目标属性!$A:$R,6,FALSE))/100)</f>
        <v>-0.24</v>
      </c>
      <c r="BN72" s="100">
        <f t="shared" si="86"/>
        <v>0</v>
      </c>
      <c r="BO72" s="91">
        <v>1</v>
      </c>
      <c r="BP72" s="92">
        <f>BJ72*IF(VLOOKUP($E72,武器奇术!$A:$R,17,FALSE)="裂石",VLOOKUP($E72,武器奇术!$A:$R,4,FALSE),VLOOKUP($E72,武器奇术!$A:$R,2,FALSE))*(1+BM72)*(1+BN72)*BO72</f>
        <v>0</v>
      </c>
      <c r="BQ72" s="93">
        <f>(1-IF(VLOOKUP($E72,武器奇术!$A:$R,16,FALSE)="陌刀",1,$N72))*(1-$M72)</f>
        <v>0</v>
      </c>
      <c r="BR72" s="92">
        <f>BK72*IF(VLOOKUP($E72,武器奇术!$A:$R,17,FALSE)="裂石",VLOOKUP($E72,武器奇术!$A:$R,4,FALSE),VLOOKUP($E72,武器奇术!$A:$R,2,FALSE))*(1+BM72)*(1+BN72)*BO72*(1+$E$16+VLOOKUP($E72,武器奇术!$A:$R,8,FALSE))</f>
        <v>0</v>
      </c>
      <c r="BS72" s="93">
        <f t="shared" si="5"/>
        <v>0.887</v>
      </c>
      <c r="BT72" s="92">
        <f>BL72*IF(VLOOKUP($E72,武器奇术!$A:$R,17,FALSE)="裂石",VLOOKUP($E72,武器奇术!$A:$R,4,FALSE),VLOOKUP($E72,武器奇术!$A:$R,2,FALSE))*(1+BM72)*(1+BN72)*BO72*(1+$E$17+VLOOKUP($E72,武器奇术!$A:$R,10,FALSE))</f>
        <v>0</v>
      </c>
      <c r="BU72" s="93">
        <f t="shared" si="6"/>
        <v>0.0986</v>
      </c>
      <c r="BV72" s="92">
        <f>BK72*IF(VLOOKUP($E72,武器奇术!$A:$R,17,FALSE)="裂石",VLOOKUP($E72,武器奇术!$A:$R,4,FALSE),VLOOKUP($E72,武器奇术!$A:$R,2,FALSE))*(1+BM72)*(1+BN72)*BO72</f>
        <v>0</v>
      </c>
      <c r="BW72" s="93">
        <f t="shared" si="74"/>
        <v>0.0144</v>
      </c>
      <c r="BX72" s="101">
        <f t="shared" si="75"/>
        <v>0</v>
      </c>
      <c r="BY72" s="99">
        <f>IF(VLOOKUP($E72,武器奇术!$A:$R,18,FALSE)="极乐",0,$B$11*IF($G$5="撼天",1.05,1)+IF(AND(VLOOKUP($E72,武器奇术!$A:$R,15,FALSE)="武器",VLOOKUP($E72,武器奇术!$A:$R,17,FALSE)="牵丝"),$E$3*(1+$E$15),0))</f>
        <v>0</v>
      </c>
      <c r="BZ72" s="91">
        <f t="shared" si="76"/>
        <v>0</v>
      </c>
      <c r="CA72" s="91">
        <f>IF(VLOOKUP($E72,武器奇术!$A:$R,18,FALSE)="极乐",0,MAX($C$11*IF($G$5="撼天",1.05,1)+IF(AND(VLOOKUP($E72,武器奇术!$A:$R,15,FALSE)="武器",VLOOKUP($E72,武器奇术!$A:$R,17,FALSE)="牵丝"),$E$3*(1+$E$15),0),BY72))</f>
        <v>0</v>
      </c>
      <c r="CB72" s="93">
        <f>IF(($D$11+IF(VLOOKUP($E72,武器奇术!$A:$R,17,FALSE)="牵丝",$D$15,0)-VLOOKUP($F$7,目标属性!$A:$R,6,FALSE))&gt;0,($D$11+IF(VLOOKUP($E72,武器奇术!$A:$R,17,FALSE)="牵丝",$D$15,0)-VLOOKUP($F$7,目标属性!$A:$R,6,FALSE))/200,($D$11+IF(VLOOKUP($E72,武器奇术!$A:$R,17,FALSE)="牵丝",$D$15,0)-VLOOKUP($F$7,目标属性!$A:$R,6,FALSE))/100)</f>
        <v>-0.24</v>
      </c>
      <c r="CC72" s="100">
        <f t="shared" si="87"/>
        <v>0</v>
      </c>
      <c r="CD72" s="91">
        <v>1</v>
      </c>
      <c r="CE72" s="92">
        <f>BY72*IF(VLOOKUP($E72,武器奇术!$A:$R,17,FALSE)="牵丝",VLOOKUP($E72,武器奇术!$A:$R,4,FALSE),VLOOKUP($E72,武器奇术!$A:$R,2,FALSE))*(1+CB72)*(1+CC72)*CD72</f>
        <v>0</v>
      </c>
      <c r="CF72" s="93">
        <f>(1-IF(VLOOKUP($E72,武器奇术!$A:$R,16,FALSE)="陌刀",1,$N72))*(1-$M72)</f>
        <v>0</v>
      </c>
      <c r="CG72" s="92">
        <f>BZ72*IF(VLOOKUP($E72,武器奇术!$A:$R,17,FALSE)="牵丝",VLOOKUP($E72,武器奇术!$A:$R,4,FALSE),VLOOKUP($E72,武器奇术!$A:$R,2,FALSE))*(1+CB72)*(1+CC72)*CD72*(1+$E$16+VLOOKUP($E72,武器奇术!$A:$R,8,FALSE))</f>
        <v>0</v>
      </c>
      <c r="CH72" s="93">
        <f t="shared" si="7"/>
        <v>0.887</v>
      </c>
      <c r="CI72" s="92">
        <f>CA72*IF(VLOOKUP($E72,武器奇术!$A:$R,17,FALSE)="牵丝",VLOOKUP($E72,武器奇术!$A:$R,4,FALSE),VLOOKUP($E72,武器奇术!$A:$R,2,FALSE))*(1+CB72)*(1+CC72)*CD72*(1+$E$17+VLOOKUP($E72,武器奇术!$A:$R,10,FALSE))</f>
        <v>0</v>
      </c>
      <c r="CJ72" s="93">
        <f t="shared" si="8"/>
        <v>0.0986</v>
      </c>
      <c r="CK72" s="92">
        <f>BZ72*IF(VLOOKUP($E72,武器奇术!$A:$R,17,FALSE)="牵丝",VLOOKUP($E72,武器奇术!$A:$R,4,FALSE),VLOOKUP($E72,武器奇术!$A:$R,2,FALSE))*(1+CB72)*(1+CC72)*CD72</f>
        <v>0</v>
      </c>
      <c r="CL72" s="93">
        <f t="shared" si="77"/>
        <v>0.0144</v>
      </c>
      <c r="CM72" s="101">
        <f t="shared" si="78"/>
        <v>0</v>
      </c>
      <c r="CN72" s="99">
        <f>IF(VLOOKUP($E72,武器奇术!$A:$R,18,FALSE)="极乐",0,$B$13*IF($G$5="撼天",1.05,1)+IF(AND(VLOOKUP($E72,武器奇术!$A:$R,15,FALSE)="武器",VLOOKUP($E72,武器奇术!$A:$R,17,FALSE)="破竹"),$E$3*(1+$E$15),0))</f>
        <v>0</v>
      </c>
      <c r="CO72" s="91">
        <f t="shared" si="79"/>
        <v>0</v>
      </c>
      <c r="CP72" s="91">
        <f>IF(VLOOKUP($E72,武器奇术!$A:$R,18,FALSE)="极乐",0,MAX($C$13*IF($G$5="撼天",1.05,1)+IF(AND(VLOOKUP($E72,武器奇术!$A:$R,15,FALSE)="武器",VLOOKUP($E72,武器奇术!$A:$R,17,FALSE)="破竹"),$E$3*(1+$E$15),0),CN72))</f>
        <v>0</v>
      </c>
      <c r="CQ72" s="93">
        <f>IF(($D$13+IF(VLOOKUP($E72,武器奇术!$A:$R,17,FALSE)="破竹",$D$15,0)-VLOOKUP($F$7,目标属性!$A:$R,6,FALSE)+IF(VLOOKUP($E72,武器奇术!$A:$V,22,FALSE)=1,4,0)+IF(VLOOKUP($E72,武器奇术!$A:$T,20,FALSE)=1,10,0))&gt;0,($D$13+IF(VLOOKUP($E72,武器奇术!$A:$R,17,FALSE)="破竹",$D$15,0)-VLOOKUP($F$7,目标属性!$A:$R,6,FALSE)+IF(VLOOKUP($E72,武器奇术!$A:$V,22,FALSE)=1,4,0)+IF(VLOOKUP($E72,武器奇术!$A:$T,20,FALSE)=1,10,0))/200,($D$13+IF(VLOOKUP($E72,武器奇术!$A:$R,17,FALSE)="破竹",$D$15,0)-VLOOKUP($F$7,目标属性!$A:$R,6,FALSE)+IF(VLOOKUP($E72,武器奇术!$A:$V,22,FALSE)=1,4,0)+IF(VLOOKUP($E72,武器奇术!$A:$T,20,FALSE)=1,10,0))/100)</f>
        <v>0.028</v>
      </c>
      <c r="CR72" s="100">
        <f t="shared" si="83"/>
        <v>0.148</v>
      </c>
      <c r="CS72" s="91">
        <v>1</v>
      </c>
      <c r="CT72" s="92">
        <f>CN72*IF(VLOOKUP($E72,武器奇术!$A:$R,17,FALSE)="破竹",VLOOKUP($E72,武器奇术!$A:$R,4,FALSE),VLOOKUP($E72,武器奇术!$A:$R,2,FALSE))*(1+CQ72)*(1+CR72)*CS72</f>
        <v>0</v>
      </c>
      <c r="CU72" s="93">
        <f>(1-IF(VLOOKUP($E72,武器奇术!$A:$R,16,FALSE)="陌刀",1,$N72))*(1-$M72)</f>
        <v>0</v>
      </c>
      <c r="CV72" s="92">
        <f>CO72*IF(VLOOKUP($E72,武器奇术!$A:$R,17,FALSE)="破竹",VLOOKUP($E72,武器奇术!$A:$R,4,FALSE),VLOOKUP($E72,武器奇术!$A:$R,2,FALSE))*(1+CQ72)*(1+CR72)*CS72*(1+$E$16+VLOOKUP($E72,武器奇术!$A:$R,8,FALSE))</f>
        <v>0</v>
      </c>
      <c r="CW72" s="93">
        <f t="shared" si="9"/>
        <v>0.887</v>
      </c>
      <c r="CX72" s="92">
        <f>CP72*IF(VLOOKUP($E72,武器奇术!$A:$R,17,FALSE)="破竹",VLOOKUP($E72,武器奇术!$A:$R,4,FALSE),VLOOKUP($E72,武器奇术!$A:$R,2,FALSE))*(1+CQ72)*(1+CR72)*CS72*(1+$E$17+VLOOKUP($E72,武器奇术!$A:$R,10,FALSE))</f>
        <v>0</v>
      </c>
      <c r="CY72" s="93">
        <f t="shared" si="10"/>
        <v>0.0986</v>
      </c>
      <c r="CZ72" s="92">
        <f>CO72*IF(VLOOKUP($E72,武器奇术!$A:$R,17,FALSE)="破竹",VLOOKUP($E72,武器奇术!$A:$R,4,FALSE),VLOOKUP($E72,武器奇术!$A:$R,2,FALSE))*(1+CQ72)*(1+CR72)*CS72</f>
        <v>0</v>
      </c>
      <c r="DA72" s="93">
        <f t="shared" si="80"/>
        <v>0.0144</v>
      </c>
      <c r="DB72" s="101">
        <f t="shared" si="81"/>
        <v>0</v>
      </c>
      <c r="DC72" s="99">
        <f>IF(VLOOKUP($E72,武器奇术!$A:$R,18,FALSE)="极乐",0,$B$15)</f>
        <v>0</v>
      </c>
      <c r="DD72" s="91">
        <f t="shared" si="82"/>
        <v>0</v>
      </c>
      <c r="DE72" s="91">
        <f>IF(VLOOKUP($E72,武器奇术!$A:$R,18,FALSE)="极乐",0,$C$15)</f>
        <v>0</v>
      </c>
      <c r="DF72" s="93">
        <f>IF((IF(VLOOKUP($E72,武器奇术!$A:$R,17,FALSE)="鸣金",$D$7,0)+IF(VLOOKUP($E72,武器奇术!$A:$R,17,FALSE)="裂石",$D$9,0)+IF(VLOOKUP($E72,武器奇术!$A:$R,17,FALSE)="牵丝",$D$11,0)+IF(VLOOKUP($E72,武器奇术!$A:$R,17,FALSE)="破竹",$D$13,0)+$D$15-VLOOKUP($F$7,目标属性!$A:$R,6,FALSE)+IF(VLOOKUP($E72,武器奇术!$A:$V,22,FALSE)=1,4,0)+IF(VLOOKUP($E72,武器奇术!$A:$T,20,FALSE)=1,10,0))&gt;0,(IF(VLOOKUP($E72,武器奇术!$A:$R,17,FALSE)="鸣金",$D$7,0)+IF(VLOOKUP($E72,武器奇术!$A:$R,17,FALSE)="裂石",$D$9,0)+IF(VLOOKUP($E72,武器奇术!$A:$R,17,FALSE)="牵丝",$D$11,0)+IF(VLOOKUP($E72,武器奇术!$A:$R,17,FALSE)="破竹",$D$13,0)+$D$15-VLOOKUP($F$7,目标属性!$A:$R,6,FALSE)+IF(VLOOKUP($E72,武器奇术!$A:$V,22,FALSE)=1,4,0)+IF(VLOOKUP($E72,武器奇术!$A:$T,20,FALSE)=1,10,0))/200,(IF(VLOOKUP($E72,武器奇术!$A:$R,17,FALSE)="鸣金",$D$7,0)+IF(VLOOKUP($E72,武器奇术!$A:$R,17,FALSE)="裂石",$D$9,0)+IF(VLOOKUP($E72,武器奇术!$A:$R,17,FALSE)="牵丝",$D$11,0)+IF(VLOOKUP($E72,武器奇术!$A:$R,17,FALSE)="破竹",$D$13,0)+$D$15-VLOOKUP($F$7,目标属性!$A:$R,6,FALSE)+IF(VLOOKUP($E72,武器奇术!$A:$V,22,FALSE)=1,4,0)+IF(VLOOKUP($E72,武器奇术!$A:$T,20,FALSE)=1,10,0))/100)</f>
        <v>0.028</v>
      </c>
      <c r="DG72" s="100">
        <f t="shared" si="54"/>
        <v>0.148</v>
      </c>
      <c r="DH72" s="91">
        <v>1</v>
      </c>
      <c r="DI72" s="92">
        <f>DC72*IF(VLOOKUP($E72,武器奇术!$A:$R,17,FALSE)="破竹",VLOOKUP($E72,武器奇术!$A:$R,4,FALSE),VLOOKUP($E72,武器奇术!$A:$R,2,FALSE))*(1+DF72)*(1+DG72)*DH72</f>
        <v>0</v>
      </c>
      <c r="DJ72" s="93">
        <f>(1-IF(VLOOKUP($E72,武器奇术!$A:$R,16,FALSE)="陌刀",1,$N72))*(1-$M72)</f>
        <v>0</v>
      </c>
      <c r="DK72" s="92">
        <f>DD72*IF(VLOOKUP($E72,武器奇术!$A:$R,17,FALSE)="破竹",VLOOKUP($E72,武器奇术!$A:$R,4,FALSE),VLOOKUP($E72,武器奇术!$A:$R,2,FALSE))*(1+DF72)*(1+DG72)*DH72*(1+$E$16+VLOOKUP($E72,武器奇术!$A:$R,8,FALSE))</f>
        <v>0</v>
      </c>
      <c r="DL72" s="93">
        <f t="shared" si="12"/>
        <v>0.887</v>
      </c>
      <c r="DM72" s="92">
        <f>DE72*IF(VLOOKUP($E72,武器奇术!$A:$R,17,FALSE)="破竹",VLOOKUP($E72,武器奇术!$A:$R,4,FALSE),VLOOKUP($E72,武器奇术!$A:$R,2,FALSE))*(1+DF72)*(1+DG72)*DH72*(1+$E$17+VLOOKUP($E72,武器奇术!$A:$R,10,FALSE))</f>
        <v>0</v>
      </c>
      <c r="DN72" s="93">
        <f t="shared" si="13"/>
        <v>0.0986</v>
      </c>
      <c r="DO72" s="92">
        <f>DD72*IF(VLOOKUP($E72,武器奇术!$A:$R,17,FALSE)="破竹",VLOOKUP($E72,武器奇术!$A:$R,4,FALSE),VLOOKUP($E72,武器奇术!$A:$R,2,FALSE))*(1+DF72)*(1+DG72)*DH72</f>
        <v>0</v>
      </c>
      <c r="DP72" s="93">
        <f t="shared" si="14"/>
        <v>0.0144</v>
      </c>
      <c r="DQ72" s="101">
        <f t="shared" si="15"/>
        <v>0</v>
      </c>
    </row>
    <row r="73" customFormat="1" spans="1:121">
      <c r="A73" s="33"/>
      <c r="B73" s="130" t="s">
        <v>155</v>
      </c>
      <c r="C73">
        <v>0.633</v>
      </c>
      <c r="D73"/>
      <c r="E73" s="105" t="s">
        <v>156</v>
      </c>
      <c r="F73" s="106">
        <f>IF($E$26&gt;=12,0,1)</f>
        <v>1</v>
      </c>
      <c r="G73" s="107">
        <f t="shared" si="84"/>
        <v>0</v>
      </c>
      <c r="H73" s="92">
        <f>IF(VLOOKUP($E73,武器奇术!$A:$R,18,FALSE)="天工",AE73,(AE73+AT73+BI73+BX73+CM73+DB73+DQ73))*(1+J73)*F73*K73*(1+G73)</f>
        <v>55975.711136439</v>
      </c>
      <c r="I73" s="93">
        <f t="shared" si="58"/>
        <v>0.0071807164025467</v>
      </c>
      <c r="J73" s="93">
        <f>$F$3+VLOOKUP($E73,武器奇术!$A:$R,12,FALSE)+VLOOKUP($E73,武器奇术!$A:$R,14,FALSE)*$G$3+$P73</f>
        <v>0.693</v>
      </c>
      <c r="K73" s="94">
        <f>VLOOKUP($E73,武器奇术!$A:$R,11,FALSE)</f>
        <v>1</v>
      </c>
      <c r="L73" s="109">
        <f>IF(VLOOKUP($E73,武器奇术!$A:$R,15,FALSE)="天工",0%,IF($C$17+VLOOKUP($E73,武器奇术!$A:$R,7,FALSE)&gt;80%,80%,$C$17+VLOOKUP($E73,武器奇术!$A:$R,7,FALSE))+IF($C$19&gt;20%,20%,$C$19))</f>
        <v>0.8135</v>
      </c>
      <c r="M73" s="110">
        <f>IF(VLOOKUP($E73,武器奇术!$A:$R,15,FALSE)="天工",0%,IF($C$18+VLOOKUP($E73,武器奇术!$A:$R,9,FALSE)&gt;40%,40%,$C$18+VLOOKUP($E73,武器奇术!$A:$R,9,FALSE))+IF($C$20&gt;10%,10%,$C$20))</f>
        <v>0.0986</v>
      </c>
      <c r="N73" s="111">
        <f>IF(VLOOKUP($E73,武器奇术!$A:$R,15,FALSE)="天工",100%,MIN($C$16,1))</f>
        <v>1</v>
      </c>
      <c r="O73" s="112" t="str">
        <f>VLOOKUP($E73,武器奇术!$A:$R,16,FALSE)</f>
        <v>双刀</v>
      </c>
      <c r="P73" s="113">
        <f t="shared" si="59"/>
        <v>0.17</v>
      </c>
      <c r="Q73" s="99">
        <f>$B$5*(1+VLOOKUP($E73,武器奇术!$A:$R,5,FALSE)+IF($G$5="飞隼",0.1,0)+IF($G$5="撼天",0.05,0))-$F$9*IF(VLOOKUP($E73,武器奇术!$A:$S,19,FALSE)=1,0.9,1)+IF($I$5="√",160,0)</f>
        <v>2904.2</v>
      </c>
      <c r="R73" s="91">
        <f t="shared" si="60"/>
        <v>2904.2</v>
      </c>
      <c r="S73" s="91">
        <f>MAX($C$5,$B$5)*(1+VLOOKUP($E73,武器奇术!$A:$R,5,FALSE)+IF($G$5="飞隼",0.1,0)+IF($G$5="撼天",0.05,0))-$F$9*IF(VLOOKUP($E73,武器奇术!$A:$S,19,FALSE)=1,0.9,1)+IF($I$5="√",320,0)</f>
        <v>2904.2</v>
      </c>
      <c r="T73" s="93">
        <f>IF(($D$5+VLOOKUP($E73,武器奇术!$A:$R,13,FALSE)+IF($I$3="√",10,0)-VLOOKUP($F$7,目标属性!$A:$R,5,FALSE))&gt;0,($D$5+VLOOKUP($E73,武器奇术!$A:$R,13,FALSE)+IF($I$3="√",10,0)-VLOOKUP($F$7,目标属性!$A:$R,5,FALSE))/200,($D$5+VLOOKUP($E73,武器奇术!$A:$R,13,FALSE)+IF($I$3="√",10,0)-VLOOKUP($F$7,目标属性!$A:$R,5,FALSE))/100)</f>
        <v>0.3925</v>
      </c>
      <c r="U73" s="100">
        <f>$E$5+IF(VLOOKUP($E73,武器奇术!$A:$R,18,FALSE)="鼠鼠",0.24,0)</f>
        <v>0</v>
      </c>
      <c r="V73" s="91">
        <v>1</v>
      </c>
      <c r="W73" s="92">
        <f>Q73*VLOOKUP($E73,武器奇术!$A:$R,2,FALSE)*(1+T73)*(1+U73)*V73</f>
        <v>11273.40986057</v>
      </c>
      <c r="X73" s="93">
        <f>(1-IF(VLOOKUP($E73,武器奇术!$A:$R,16,FALSE)="陌刀",1,$N73))*(1-$M73)</f>
        <v>0</v>
      </c>
      <c r="Y73" s="92">
        <f>R73*VLOOKUP($E73,武器奇术!$A:$R,2,FALSE)*(1+T73)*(1+U73)*V73*(1+$E$16+VLOOKUP($E73,武器奇术!$A:$R,8,FALSE))</f>
        <v>21351.8382759196</v>
      </c>
      <c r="Z73" s="93">
        <f t="shared" si="61"/>
        <v>0.8135</v>
      </c>
      <c r="AA73" s="92">
        <f>S73*VLOOKUP($E73,武器奇术!$A:$R,2,FALSE)*(1+T73)*(1+U73)*V73*(1+$E$17+VLOOKUP($E73,武器奇术!$A:$R,10,FALSE))</f>
        <v>15219.1033117695</v>
      </c>
      <c r="AB73" s="93">
        <f t="shared" si="62"/>
        <v>0.0986</v>
      </c>
      <c r="AC73" s="92">
        <f>R73*VLOOKUP($E73,武器奇术!$A:$R,2,FALSE)*(1+T73)*(1+U73)*V73</f>
        <v>11273.40986057</v>
      </c>
      <c r="AD73" s="93">
        <f t="shared" si="63"/>
        <v>0.0879</v>
      </c>
      <c r="AE73" s="101">
        <f t="shared" si="64"/>
        <v>19861.2567507452</v>
      </c>
      <c r="AF73" s="102">
        <f>VLOOKUP($E73,武器奇术!$A:$R,3,FALSE)*(1+IF(VLOOKUP($E73,武器奇术!$A:$R,15,FALSE)="武器",$E$15,0))</f>
        <v>1003.86</v>
      </c>
      <c r="AG73" s="92">
        <f t="shared" si="65"/>
        <v>1003.86</v>
      </c>
      <c r="AH73" s="92">
        <f>VLOOKUP($E73,武器奇术!$A:$R,3,FALSE)*(1+IF(VLOOKUP($E73,武器奇术!$A:$R,15,FALSE)="武器",$E$15,0))</f>
        <v>1003.86</v>
      </c>
      <c r="AI73" s="93">
        <f>IF(($D$5+VLOOKUP($E73,武器奇术!$A:$R,13,FALSE)+IF($I$3="√",10,0)-VLOOKUP($F$7,目标属性!$A:$R,5,FALSE))&gt;0,($D$5+VLOOKUP($E73,武器奇术!$A:$R,13,FALSE)+IF($I$3="√",10,0)-VLOOKUP($F$7,目标属性!$A:$R,5,FALSE))/200,($D$5+VLOOKUP($E73,武器奇术!$A:$R,13,FALSE)+IF($I$3="√",10,0)-VLOOKUP($F$7,目标属性!$A:$R,5,FALSE))/100)</f>
        <v>0.3925</v>
      </c>
      <c r="AJ73" s="100">
        <f>$E$5+IF(VLOOKUP($E73,武器奇术!$A:$R,18,FALSE)="鼠鼠",0.24,0)</f>
        <v>0</v>
      </c>
      <c r="AK73" s="91">
        <v>1</v>
      </c>
      <c r="AL73" s="92">
        <f t="shared" si="66"/>
        <v>1397.87505</v>
      </c>
      <c r="AM73" s="93">
        <f>(1-IF(VLOOKUP($E73,武器奇术!$A:$R,16,FALSE)="陌刀",1,$N73))*(1-$M73)</f>
        <v>0</v>
      </c>
      <c r="AN73" s="92">
        <f>AG73*(1+AI73)*(1+AJ73)*AK73*(1+$E$16+VLOOKUP($E73,武器奇术!$A:$R,8,FALSE))</f>
        <v>2647.5753447</v>
      </c>
      <c r="AO73" s="93">
        <f t="shared" si="1"/>
        <v>0.8135</v>
      </c>
      <c r="AP73" s="92">
        <f>AH73*(1+AI73)*(1+AJ73)*AK73*(1+$E$17+VLOOKUP($E73,武器奇术!$A:$R,10,FALSE))</f>
        <v>1887.1313175</v>
      </c>
      <c r="AQ73" s="93">
        <f t="shared" si="2"/>
        <v>0.0986</v>
      </c>
      <c r="AR73" s="92">
        <f t="shared" si="67"/>
        <v>1397.87505</v>
      </c>
      <c r="AS73" s="93">
        <f t="shared" si="68"/>
        <v>0.0879</v>
      </c>
      <c r="AT73" s="101">
        <f t="shared" si="69"/>
        <v>2462.74690771395</v>
      </c>
      <c r="AU73" s="99">
        <f>IF(VLOOKUP($E73,武器奇术!$A:$R,18,FALSE)="极乐",0,$B$7*IF($G$5="撼天",1.05,1)+IF(AND(VLOOKUP($E73,武器奇术!$A:$R,15,FALSE)="武器",VLOOKUP($E73,武器奇术!$A:$R,17,FALSE)="鸣金"),$E$3*(1+$E$15),0))</f>
        <v>0</v>
      </c>
      <c r="AV73" s="91">
        <f t="shared" si="70"/>
        <v>0</v>
      </c>
      <c r="AW73" s="91">
        <f>IF(VLOOKUP($E73,武器奇术!$A:$R,18,FALSE)="极乐",0,MAX($C$7*IF($G$5="撼天",1.05,1)+IF(AND(VLOOKUP($E73,武器奇术!$A:$R,15,FALSE)="武器",VLOOKUP($E73,武器奇术!$A:$R,17,FALSE)="鸣金"),$E$3*(1+$E$15),0),AU73))</f>
        <v>0</v>
      </c>
      <c r="AX73" s="93">
        <f>IF(($D$7+IF(VLOOKUP($E73,武器奇术!$A:$R,17,FALSE)="鸣金",$D$15,0)-VLOOKUP($F$7,目标属性!$A:$R,6,FALSE))&gt;0,($D$7+IF(VLOOKUP($E73,武器奇术!$A:$R,17,FALSE)="鸣金",$D$15,0)-VLOOKUP($F$7,目标属性!$A:$R,6,FALSE))/200,($D$7+IF(VLOOKUP($E73,武器奇术!$A:$R,17,FALSE)="鸣金",$D$15,0)-VLOOKUP($F$7,目标属性!$A:$R,6,FALSE))/100)</f>
        <v>-0.24</v>
      </c>
      <c r="AY73" s="100">
        <f t="shared" si="85"/>
        <v>0</v>
      </c>
      <c r="AZ73" s="91">
        <v>1</v>
      </c>
      <c r="BA73" s="92">
        <f>AU73*IF(VLOOKUP($E73,武器奇术!$A:$R,17,FALSE)="鸣金",VLOOKUP($E73,武器奇术!$A:$R,4,FALSE),VLOOKUP($E73,武器奇术!$A:$R,2,FALSE))*(1+AX73)*(1+AY73)*AZ73</f>
        <v>0</v>
      </c>
      <c r="BB73" s="93">
        <f>(1-IF(VLOOKUP($E73,武器奇术!$A:$R,16,FALSE)="陌刀",1,$N73))*(1-$M73)</f>
        <v>0</v>
      </c>
      <c r="BC73" s="92">
        <f>AV73*IF(VLOOKUP($E73,武器奇术!$A:$R,17,FALSE)="鸣金",VLOOKUP($E73,武器奇术!$A:$R,4,FALSE),VLOOKUP($E73,武器奇术!$A:$R,2,FALSE))*(1+AX73)*(1+AY73)*AZ73*(1+$E$16+VLOOKUP($E73,武器奇术!$A:$R,8,FALSE))</f>
        <v>0</v>
      </c>
      <c r="BD73" s="93">
        <f t="shared" si="3"/>
        <v>0.8135</v>
      </c>
      <c r="BE73" s="92">
        <f>AW73*IF(VLOOKUP($E73,武器奇术!$A:$R,17,FALSE)="鸣金",VLOOKUP($E73,武器奇术!$A:$R,4,FALSE),VLOOKUP($E73,武器奇术!$A:$R,2,FALSE))*(1+AX73)*(1+AY73)*AZ73*(1+$E$17+VLOOKUP($E73,武器奇术!$A:$R,10,FALSE))</f>
        <v>0</v>
      </c>
      <c r="BF73" s="93">
        <f t="shared" si="4"/>
        <v>0.0986</v>
      </c>
      <c r="BG73" s="92">
        <f>AV73*IF(VLOOKUP($E73,武器奇术!$A:$R,17,FALSE)="鸣金",VLOOKUP($E73,武器奇术!$A:$R,4,FALSE),VLOOKUP($E73,武器奇术!$A:$R,2,FALSE))*(1+AX73)*(1+AY73)*AZ73</f>
        <v>0</v>
      </c>
      <c r="BH73" s="93">
        <f t="shared" si="71"/>
        <v>0.0879</v>
      </c>
      <c r="BI73" s="101">
        <f t="shared" si="72"/>
        <v>0</v>
      </c>
      <c r="BJ73" s="99">
        <f>IF(VLOOKUP($E73,武器奇术!$A:$R,18,FALSE)="极乐",0,$B$9*IF($G$5="撼天",1.05,1)+IF(AND(VLOOKUP($E73,武器奇术!$A:$R,15,FALSE)="武器",VLOOKUP($E73,武器奇术!$A:$R,17,FALSE)="裂石"),$E$3*(1+$E$15),0))</f>
        <v>0</v>
      </c>
      <c r="BK73" s="91">
        <f t="shared" si="73"/>
        <v>0</v>
      </c>
      <c r="BL73" s="91">
        <f>IF(VLOOKUP($E73,武器奇术!$A:$R,18,FALSE)="极乐",0,MAX($C$9*IF($G$5="撼天",1.05,1)+IF(AND(VLOOKUP($E73,武器奇术!$A:$R,15,FALSE)="武器",VLOOKUP($E73,武器奇术!$A:$R,17,FALSE)="裂石"),$E$3*(1+$E$15),0),BJ73))</f>
        <v>0</v>
      </c>
      <c r="BM73" s="93">
        <f>IF(($D$9+IF(VLOOKUP($E73,武器奇术!$A:$R,17,FALSE)="裂石",$D$15,0)-VLOOKUP($F$7,目标属性!$A:$R,6,FALSE))&gt;0,($D$9+IF(VLOOKUP($E73,武器奇术!$A:$R,17,FALSE)="裂石",$D$15,0)-VLOOKUP($F$7,目标属性!$A:$R,6,FALSE))/200,($D$9+IF(VLOOKUP($E73,武器奇术!$A:$R,17,FALSE)="裂石",$D$15,0)-VLOOKUP($F$7,目标属性!$A:$R,6,FALSE))/100)</f>
        <v>-0.24</v>
      </c>
      <c r="BN73" s="100">
        <f t="shared" si="86"/>
        <v>0</v>
      </c>
      <c r="BO73" s="91">
        <v>1</v>
      </c>
      <c r="BP73" s="92">
        <f>BJ73*IF(VLOOKUP($E73,武器奇术!$A:$R,17,FALSE)="裂石",VLOOKUP($E73,武器奇术!$A:$R,4,FALSE),VLOOKUP($E73,武器奇术!$A:$R,2,FALSE))*(1+BM73)*(1+BN73)*BO73</f>
        <v>0</v>
      </c>
      <c r="BQ73" s="93">
        <f>(1-IF(VLOOKUP($E73,武器奇术!$A:$R,16,FALSE)="陌刀",1,$N73))*(1-$M73)</f>
        <v>0</v>
      </c>
      <c r="BR73" s="92">
        <f>BK73*IF(VLOOKUP($E73,武器奇术!$A:$R,17,FALSE)="裂石",VLOOKUP($E73,武器奇术!$A:$R,4,FALSE),VLOOKUP($E73,武器奇术!$A:$R,2,FALSE))*(1+BM73)*(1+BN73)*BO73*(1+$E$16+VLOOKUP($E73,武器奇术!$A:$R,8,FALSE))</f>
        <v>0</v>
      </c>
      <c r="BS73" s="93">
        <f t="shared" si="5"/>
        <v>0.8135</v>
      </c>
      <c r="BT73" s="92">
        <f>BL73*IF(VLOOKUP($E73,武器奇术!$A:$R,17,FALSE)="裂石",VLOOKUP($E73,武器奇术!$A:$R,4,FALSE),VLOOKUP($E73,武器奇术!$A:$R,2,FALSE))*(1+BM73)*(1+BN73)*BO73*(1+$E$17+VLOOKUP($E73,武器奇术!$A:$R,10,FALSE))</f>
        <v>0</v>
      </c>
      <c r="BU73" s="93">
        <f t="shared" si="6"/>
        <v>0.0986</v>
      </c>
      <c r="BV73" s="92">
        <f>BK73*IF(VLOOKUP($E73,武器奇术!$A:$R,17,FALSE)="裂石",VLOOKUP($E73,武器奇术!$A:$R,4,FALSE),VLOOKUP($E73,武器奇术!$A:$R,2,FALSE))*(1+BM73)*(1+BN73)*BO73</f>
        <v>0</v>
      </c>
      <c r="BW73" s="93">
        <f t="shared" si="74"/>
        <v>0.0879</v>
      </c>
      <c r="BX73" s="101">
        <f t="shared" si="75"/>
        <v>0</v>
      </c>
      <c r="BY73" s="99">
        <f>IF(VLOOKUP($E73,武器奇术!$A:$R,18,FALSE)="极乐",0,$B$11*IF($G$5="撼天",1.05,1)+IF(AND(VLOOKUP($E73,武器奇术!$A:$R,15,FALSE)="武器",VLOOKUP($E73,武器奇术!$A:$R,17,FALSE)="牵丝"),$E$3*(1+$E$15),0))</f>
        <v>0</v>
      </c>
      <c r="BZ73" s="91">
        <f t="shared" si="76"/>
        <v>0</v>
      </c>
      <c r="CA73" s="91">
        <f>IF(VLOOKUP($E73,武器奇术!$A:$R,18,FALSE)="极乐",0,MAX($C$11*IF($G$5="撼天",1.05,1)+IF(AND(VLOOKUP($E73,武器奇术!$A:$R,15,FALSE)="武器",VLOOKUP($E73,武器奇术!$A:$R,17,FALSE)="牵丝"),$E$3*(1+$E$15),0),BY73))</f>
        <v>0</v>
      </c>
      <c r="CB73" s="93">
        <f>IF(($D$11+IF(VLOOKUP($E73,武器奇术!$A:$R,17,FALSE)="牵丝",$D$15,0)-VLOOKUP($F$7,目标属性!$A:$R,6,FALSE))&gt;0,($D$11+IF(VLOOKUP($E73,武器奇术!$A:$R,17,FALSE)="牵丝",$D$15,0)-VLOOKUP($F$7,目标属性!$A:$R,6,FALSE))/200,($D$11+IF(VLOOKUP($E73,武器奇术!$A:$R,17,FALSE)="牵丝",$D$15,0)-VLOOKUP($F$7,目标属性!$A:$R,6,FALSE))/100)</f>
        <v>-0.24</v>
      </c>
      <c r="CC73" s="100">
        <f t="shared" si="87"/>
        <v>0</v>
      </c>
      <c r="CD73" s="91">
        <v>1</v>
      </c>
      <c r="CE73" s="92">
        <f>BY73*IF(VLOOKUP($E73,武器奇术!$A:$R,17,FALSE)="牵丝",VLOOKUP($E73,武器奇术!$A:$R,4,FALSE),VLOOKUP($E73,武器奇术!$A:$R,2,FALSE))*(1+CB73)*(1+CC73)*CD73</f>
        <v>0</v>
      </c>
      <c r="CF73" s="93">
        <f>(1-IF(VLOOKUP($E73,武器奇术!$A:$R,16,FALSE)="陌刀",1,$N73))*(1-$M73)</f>
        <v>0</v>
      </c>
      <c r="CG73" s="92">
        <f>BZ73*IF(VLOOKUP($E73,武器奇术!$A:$R,17,FALSE)="牵丝",VLOOKUP($E73,武器奇术!$A:$R,4,FALSE),VLOOKUP($E73,武器奇术!$A:$R,2,FALSE))*(1+CB73)*(1+CC73)*CD73*(1+$E$16+VLOOKUP($E73,武器奇术!$A:$R,8,FALSE))</f>
        <v>0</v>
      </c>
      <c r="CH73" s="93">
        <f t="shared" si="7"/>
        <v>0.8135</v>
      </c>
      <c r="CI73" s="92">
        <f>CA73*IF(VLOOKUP($E73,武器奇术!$A:$R,17,FALSE)="牵丝",VLOOKUP($E73,武器奇术!$A:$R,4,FALSE),VLOOKUP($E73,武器奇术!$A:$R,2,FALSE))*(1+CB73)*(1+CC73)*CD73*(1+$E$17+VLOOKUP($E73,武器奇术!$A:$R,10,FALSE))</f>
        <v>0</v>
      </c>
      <c r="CJ73" s="93">
        <f t="shared" si="8"/>
        <v>0.0986</v>
      </c>
      <c r="CK73" s="92">
        <f>BZ73*IF(VLOOKUP($E73,武器奇术!$A:$R,17,FALSE)="牵丝",VLOOKUP($E73,武器奇术!$A:$R,4,FALSE),VLOOKUP($E73,武器奇术!$A:$R,2,FALSE))*(1+CB73)*(1+CC73)*CD73</f>
        <v>0</v>
      </c>
      <c r="CL73" s="93">
        <f t="shared" si="77"/>
        <v>0.0879</v>
      </c>
      <c r="CM73" s="101">
        <f t="shared" si="78"/>
        <v>0</v>
      </c>
      <c r="CN73" s="99">
        <f>IF(VLOOKUP($E73,武器奇术!$A:$R,18,FALSE)="极乐",0,$B$13*IF($G$5="撼天",1.05,1)+IF(AND(VLOOKUP($E73,武器奇术!$A:$R,15,FALSE)="武器",VLOOKUP($E73,武器奇术!$A:$R,17,FALSE)="破竹"),$E$3*(1+$E$15),0))</f>
        <v>686.71</v>
      </c>
      <c r="CO73" s="91">
        <f t="shared" si="79"/>
        <v>1052.21</v>
      </c>
      <c r="CP73" s="91">
        <f>IF(VLOOKUP($E73,武器奇术!$A:$R,18,FALSE)="极乐",0,MAX($C$13*IF($G$5="撼天",1.05,1)+IF(AND(VLOOKUP($E73,武器奇术!$A:$R,15,FALSE)="武器",VLOOKUP($E73,武器奇术!$A:$R,17,FALSE)="破竹"),$E$3*(1+$E$15),0),CN73))</f>
        <v>1417.71</v>
      </c>
      <c r="CQ73" s="93">
        <f>IF(($D$13+IF(VLOOKUP($E73,武器奇术!$A:$R,17,FALSE)="破竹",$D$15,0)-VLOOKUP($F$7,目标属性!$A:$R,6,FALSE)+IF(VLOOKUP($E73,武器奇术!$A:$V,22,FALSE)=1,4,0)+IF(VLOOKUP($E73,武器奇术!$A:$T,20,FALSE)=1,10,0))&gt;0,($D$13+IF(VLOOKUP($E73,武器奇术!$A:$R,17,FALSE)="破竹",$D$15,0)-VLOOKUP($F$7,目标属性!$A:$R,6,FALSE)+IF(VLOOKUP($E73,武器奇术!$A:$V,22,FALSE)=1,4,0)+IF(VLOOKUP($E73,武器奇术!$A:$T,20,FALSE)=1,10,0))/200,($D$13+IF(VLOOKUP($E73,武器奇术!$A:$R,17,FALSE)="破竹",$D$15,0)-VLOOKUP($F$7,目标属性!$A:$R,6,FALSE)+IF(VLOOKUP($E73,武器奇术!$A:$V,22,FALSE)=1,4,0)+IF(VLOOKUP($E73,武器奇术!$A:$T,20,FALSE)=1,10,0))/100)</f>
        <v>0.078</v>
      </c>
      <c r="CR73" s="100">
        <f t="shared" si="83"/>
        <v>0.148</v>
      </c>
      <c r="CS73" s="91">
        <v>1</v>
      </c>
      <c r="CT73" s="92">
        <f>CN73*IF(VLOOKUP($E73,武器奇术!$A:$R,17,FALSE)="破竹",VLOOKUP($E73,武器奇术!$A:$R,4,FALSE),VLOOKUP($E73,武器奇术!$A:$R,2,FALSE))*(1+CQ73)*(1+CR73)*CS73</f>
        <v>3553.42723287232</v>
      </c>
      <c r="CU73" s="93">
        <f>(1-IF(VLOOKUP($E73,武器奇术!$A:$R,16,FALSE)="陌刀",1,$N73))*(1-$M73)</f>
        <v>0</v>
      </c>
      <c r="CV73" s="92">
        <f>CO73*IF(VLOOKUP($E73,武器奇术!$A:$R,17,FALSE)="破竹",VLOOKUP($E73,武器奇术!$A:$R,4,FALSE),VLOOKUP($E73,武器奇术!$A:$R,2,FALSE))*(1+CQ73)*(1+CR73)*CS73*(1+$E$16+VLOOKUP($E73,武器奇术!$A:$R,8,FALSE))</f>
        <v>10312.3217377334</v>
      </c>
      <c r="CW73" s="93">
        <f t="shared" si="9"/>
        <v>0.8135</v>
      </c>
      <c r="CX73" s="92">
        <f>CP73*IF(VLOOKUP($E73,武器奇术!$A:$R,17,FALSE)="破竹",VLOOKUP($E73,武器奇术!$A:$R,4,FALSE),VLOOKUP($E73,武器奇术!$A:$R,2,FALSE))*(1+CQ73)*(1+CR73)*CS73*(1+$E$17+VLOOKUP($E73,武器奇术!$A:$R,10,FALSE))</f>
        <v>9903.64868012088</v>
      </c>
      <c r="CY73" s="93">
        <f t="shared" si="10"/>
        <v>0.0986</v>
      </c>
      <c r="CZ73" s="92">
        <f>CO73*IF(VLOOKUP($E73,武器奇术!$A:$R,17,FALSE)="破竹",VLOOKUP($E73,武器奇术!$A:$R,4,FALSE),VLOOKUP($E73,武器奇术!$A:$R,2,FALSE))*(1+CQ73)*(1+CR73)*CS73</f>
        <v>5444.73164611056</v>
      </c>
      <c r="DA73" s="93">
        <f t="shared" si="80"/>
        <v>0.0879</v>
      </c>
      <c r="DB73" s="101">
        <f t="shared" si="81"/>
        <v>9844.16540519916</v>
      </c>
      <c r="DC73" s="99">
        <f>IF(VLOOKUP($E73,武器奇术!$A:$R,18,FALSE)="极乐",0,$B$15)</f>
        <v>66</v>
      </c>
      <c r="DD73" s="91">
        <f t="shared" si="82"/>
        <v>95.9</v>
      </c>
      <c r="DE73" s="91">
        <f>IF(VLOOKUP($E73,武器奇术!$A:$R,18,FALSE)="极乐",0,$C$15)</f>
        <v>125.8</v>
      </c>
      <c r="DF73" s="93">
        <f>IF((IF(VLOOKUP($E73,武器奇术!$A:$R,17,FALSE)="鸣金",$D$7,0)+IF(VLOOKUP($E73,武器奇术!$A:$R,17,FALSE)="裂石",$D$9,0)+IF(VLOOKUP($E73,武器奇术!$A:$R,17,FALSE)="牵丝",$D$11,0)+IF(VLOOKUP($E73,武器奇术!$A:$R,17,FALSE)="破竹",$D$13,0)+$D$15-VLOOKUP($F$7,目标属性!$A:$R,6,FALSE)+IF(VLOOKUP($E73,武器奇术!$A:$V,22,FALSE)=1,4,0)+IF(VLOOKUP($E73,武器奇术!$A:$T,20,FALSE)=1,10,0))&gt;0,(IF(VLOOKUP($E73,武器奇术!$A:$R,17,FALSE)="鸣金",$D$7,0)+IF(VLOOKUP($E73,武器奇术!$A:$R,17,FALSE)="裂石",$D$9,0)+IF(VLOOKUP($E73,武器奇术!$A:$R,17,FALSE)="牵丝",$D$11,0)+IF(VLOOKUP($E73,武器奇术!$A:$R,17,FALSE)="破竹",$D$13,0)+$D$15-VLOOKUP($F$7,目标属性!$A:$R,6,FALSE)+IF(VLOOKUP($E73,武器奇术!$A:$V,22,FALSE)=1,4,0)+IF(VLOOKUP($E73,武器奇术!$A:$T,20,FALSE)=1,10,0))/200,(IF(VLOOKUP($E73,武器奇术!$A:$R,17,FALSE)="鸣金",$D$7,0)+IF(VLOOKUP($E73,武器奇术!$A:$R,17,FALSE)="裂石",$D$9,0)+IF(VLOOKUP($E73,武器奇术!$A:$R,17,FALSE)="牵丝",$D$11,0)+IF(VLOOKUP($E73,武器奇术!$A:$R,17,FALSE)="破竹",$D$13,0)+$D$15-VLOOKUP($F$7,目标属性!$A:$R,6,FALSE)+IF(VLOOKUP($E73,武器奇术!$A:$V,22,FALSE)=1,4,0)+IF(VLOOKUP($E73,武器奇术!$A:$T,20,FALSE)=1,10,0))/100)</f>
        <v>0.078</v>
      </c>
      <c r="DG73" s="100">
        <f t="shared" si="54"/>
        <v>0.148</v>
      </c>
      <c r="DH73" s="91">
        <v>1</v>
      </c>
      <c r="DI73" s="92">
        <f>DC73*IF(VLOOKUP($E73,武器奇术!$A:$R,17,FALSE)="破竹",VLOOKUP($E73,武器奇术!$A:$R,4,FALSE),VLOOKUP($E73,武器奇术!$A:$R,2,FALSE))*(1+DF73)*(1+DG73)*DH73</f>
        <v>341.52145355328</v>
      </c>
      <c r="DJ73" s="93">
        <f>(1-IF(VLOOKUP($E73,武器奇术!$A:$R,16,FALSE)="陌刀",1,$N73))*(1-$M73)</f>
        <v>0</v>
      </c>
      <c r="DK73" s="92">
        <f>DD73*IF(VLOOKUP($E73,武器奇术!$A:$R,17,FALSE)="破竹",VLOOKUP($E73,武器奇术!$A:$R,4,FALSE),VLOOKUP($E73,武器奇术!$A:$R,2,FALSE))*(1+DF73)*(1+DG73)*DH73*(1+$E$16+VLOOKUP($E73,武器奇术!$A:$R,8,FALSE))</f>
        <v>939.88049405407</v>
      </c>
      <c r="DL73" s="93">
        <f t="shared" si="12"/>
        <v>0.8135</v>
      </c>
      <c r="DM73" s="92">
        <f>DE73*IF(VLOOKUP($E73,武器奇术!$A:$R,17,FALSE)="破竹",VLOOKUP($E73,武器奇术!$A:$R,4,FALSE),VLOOKUP($E73,武器奇术!$A:$R,2,FALSE))*(1+DF73)*(1+DG73)*DH73*(1+$E$17+VLOOKUP($E73,武器奇术!$A:$R,10,FALSE))</f>
        <v>878.796794802327</v>
      </c>
      <c r="DN73" s="93">
        <f t="shared" si="13"/>
        <v>0.0986</v>
      </c>
      <c r="DO73" s="92">
        <f>DD73*IF(VLOOKUP($E73,武器奇术!$A:$R,17,FALSE)="破竹",VLOOKUP($E73,武器奇术!$A:$R,4,FALSE),VLOOKUP($E73,武器奇术!$A:$R,2,FALSE))*(1+DF73)*(1+DG73)*DH73</f>
        <v>496.241021147872</v>
      </c>
      <c r="DP73" s="93">
        <f t="shared" si="14"/>
        <v>0.0879</v>
      </c>
      <c r="DQ73" s="101">
        <f t="shared" si="15"/>
        <v>894.861731639393</v>
      </c>
    </row>
    <row r="74" customFormat="1" spans="1:121">
      <c r="A74" s="33"/>
      <c r="B74" s="130">
        <v>12345</v>
      </c>
      <c r="C74">
        <v>3.3</v>
      </c>
      <c r="D74"/>
      <c r="E74" s="105" t="s">
        <v>157</v>
      </c>
      <c r="F74" s="106">
        <v>1</v>
      </c>
      <c r="G74" s="107">
        <f t="shared" si="84"/>
        <v>0</v>
      </c>
      <c r="H74" s="92">
        <f>IF(VLOOKUP($E74,武器奇术!$A:$R,18,FALSE)="天工",AE74,(AE74+AT74+BI74+BX74+CM74+DB74+DQ74))*(1+J74)*F74*K74*(1+G74)</f>
        <v>9151.04687350574</v>
      </c>
      <c r="I74" s="93">
        <f t="shared" si="58"/>
        <v>0.00117392117136105</v>
      </c>
      <c r="J74" s="93">
        <f>$F$3+VLOOKUP($E74,武器奇术!$A:$R,12,FALSE)+VLOOKUP($E74,武器奇术!$A:$R,14,FALSE)*$G$3+$P74</f>
        <v>0.693</v>
      </c>
      <c r="K74" s="94">
        <f>VLOOKUP($E74,武器奇术!$A:$R,11,FALSE)</f>
        <v>1</v>
      </c>
      <c r="L74" s="109">
        <f>IF(VLOOKUP($E74,武器奇术!$A:$R,15,FALSE)="天工",0%,IF($C$17+VLOOKUP($E74,武器奇术!$A:$R,7,FALSE)&gt;80%,80%,$C$17+VLOOKUP($E74,武器奇术!$A:$R,7,FALSE))+IF($C$19&gt;20%,20%,$C$19))</f>
        <v>0.8135</v>
      </c>
      <c r="M74" s="110">
        <f>IF(VLOOKUP($E74,武器奇术!$A:$R,15,FALSE)="天工",0%,IF($C$18+VLOOKUP($E74,武器奇术!$A:$R,9,FALSE)&gt;40%,40%,$C$18+VLOOKUP($E74,武器奇术!$A:$R,9,FALSE))+IF($C$20&gt;10%,10%,$C$20))</f>
        <v>0.0986</v>
      </c>
      <c r="N74" s="111">
        <f>IF(VLOOKUP($E74,武器奇术!$A:$R,15,FALSE)="天工",100%,MIN($C$16,1))</f>
        <v>1</v>
      </c>
      <c r="O74" s="112" t="str">
        <f>VLOOKUP($E74,武器奇术!$A:$R,16,FALSE)</f>
        <v>双刀</v>
      </c>
      <c r="P74" s="113">
        <f t="shared" si="59"/>
        <v>0.17</v>
      </c>
      <c r="Q74" s="99">
        <f>$B$5*(1+VLOOKUP($E74,武器奇术!$A:$R,5,FALSE)+IF($G$5="飞隼",0.1,0)+IF($G$5="撼天",0.05,0))-$F$9*IF(VLOOKUP($E74,武器奇术!$A:$S,19,FALSE)=1,0.9,1)+IF($I$5="√",160,0)</f>
        <v>2904.2</v>
      </c>
      <c r="R74" s="91">
        <f t="shared" si="60"/>
        <v>2904.2</v>
      </c>
      <c r="S74" s="91">
        <f>MAX($C$5,$B$5)*(1+VLOOKUP($E74,武器奇术!$A:$R,5,FALSE)+IF($G$5="飞隼",0.1,0)+IF($G$5="撼天",0.05,0))-$F$9*IF(VLOOKUP($E74,武器奇术!$A:$S,19,FALSE)=1,0.9,1)+IF($I$5="√",320,0)</f>
        <v>2904.2</v>
      </c>
      <c r="T74" s="93">
        <f>IF(($D$5+VLOOKUP($E74,武器奇术!$A:$R,13,FALSE)+IF($I$3="√",10,0)-VLOOKUP($F$7,目标属性!$A:$R,5,FALSE))&gt;0,($D$5+VLOOKUP($E74,武器奇术!$A:$R,13,FALSE)+IF($I$3="√",10,0)-VLOOKUP($F$7,目标属性!$A:$R,5,FALSE))/200,($D$5+VLOOKUP($E74,武器奇术!$A:$R,13,FALSE)+IF($I$3="√",10,0)-VLOOKUP($F$7,目标属性!$A:$R,5,FALSE))/100)</f>
        <v>0.3925</v>
      </c>
      <c r="U74" s="100">
        <f>$E$5+IF(VLOOKUP($E74,武器奇术!$A:$R,18,FALSE)="鼠鼠",0.24,0)</f>
        <v>0</v>
      </c>
      <c r="V74" s="91">
        <v>1</v>
      </c>
      <c r="W74" s="92">
        <f>Q74*VLOOKUP($E74,武器奇术!$A:$R,2,FALSE)*(1+T74)*(1+U74)*V74</f>
        <v>1870.597761175</v>
      </c>
      <c r="X74" s="93">
        <f>(1-IF(VLOOKUP($E74,武器奇术!$A:$R,16,FALSE)="陌刀",1,$N74))*(1-$M74)</f>
        <v>0</v>
      </c>
      <c r="Y74" s="92">
        <f>R74*VLOOKUP($E74,武器奇术!$A:$R,2,FALSE)*(1+T74)*(1+U74)*V74*(1+$E$16+VLOOKUP($E74,武器奇术!$A:$R,8,FALSE))</f>
        <v>3542.91215966545</v>
      </c>
      <c r="Z74" s="93">
        <f t="shared" si="61"/>
        <v>0.8135</v>
      </c>
      <c r="AA74" s="92">
        <f>S74*VLOOKUP($E74,武器奇术!$A:$R,2,FALSE)*(1+T74)*(1+U74)*V74*(1+$E$17+VLOOKUP($E74,武器奇术!$A:$R,10,FALSE))</f>
        <v>2525.30697758625</v>
      </c>
      <c r="AB74" s="93">
        <f t="shared" si="62"/>
        <v>0.0986</v>
      </c>
      <c r="AC74" s="92">
        <f>R74*VLOOKUP($E74,武器奇术!$A:$R,2,FALSE)*(1+T74)*(1+U74)*V74</f>
        <v>1870.597761175</v>
      </c>
      <c r="AD74" s="93">
        <f t="shared" si="63"/>
        <v>0.0879</v>
      </c>
      <c r="AE74" s="101">
        <f t="shared" si="64"/>
        <v>3295.57985308513</v>
      </c>
      <c r="AF74" s="102">
        <f>VLOOKUP($E74,武器奇术!$A:$R,3,FALSE)*(1+IF(VLOOKUP($E74,武器奇术!$A:$R,15,FALSE)="武器",$E$15,0))</f>
        <v>167.31</v>
      </c>
      <c r="AG74" s="92">
        <f t="shared" si="65"/>
        <v>167.31</v>
      </c>
      <c r="AH74" s="92">
        <f>VLOOKUP($E74,武器奇术!$A:$R,3,FALSE)*(1+IF(VLOOKUP($E74,武器奇术!$A:$R,15,FALSE)="武器",$E$15,0))</f>
        <v>167.31</v>
      </c>
      <c r="AI74" s="93">
        <f>IF(($D$5+VLOOKUP($E74,武器奇术!$A:$R,13,FALSE)+IF($I$3="√",10,0)-VLOOKUP($F$7,目标属性!$A:$R,5,FALSE))&gt;0,($D$5+VLOOKUP($E74,武器奇术!$A:$R,13,FALSE)+IF($I$3="√",10,0)-VLOOKUP($F$7,目标属性!$A:$R,5,FALSE))/200,($D$5+VLOOKUP($E74,武器奇术!$A:$R,13,FALSE)+IF($I$3="√",10,0)-VLOOKUP($F$7,目标属性!$A:$R,5,FALSE))/100)</f>
        <v>0.3925</v>
      </c>
      <c r="AJ74" s="100">
        <f>$E$5+IF(VLOOKUP($E74,武器奇术!$A:$R,18,FALSE)="鼠鼠",0.24,0)</f>
        <v>0</v>
      </c>
      <c r="AK74" s="91">
        <v>1</v>
      </c>
      <c r="AL74" s="92">
        <f t="shared" si="66"/>
        <v>232.979175</v>
      </c>
      <c r="AM74" s="93">
        <f>(1-IF(VLOOKUP($E74,武器奇术!$A:$R,16,FALSE)="陌刀",1,$N74))*(1-$M74)</f>
        <v>0</v>
      </c>
      <c r="AN74" s="92">
        <f>AG74*(1+AI74)*(1+AJ74)*AK74*(1+$E$16+VLOOKUP($E74,武器奇术!$A:$R,8,FALSE))</f>
        <v>441.26255745</v>
      </c>
      <c r="AO74" s="93">
        <f t="shared" si="1"/>
        <v>0.8135</v>
      </c>
      <c r="AP74" s="92">
        <f>AH74*(1+AI74)*(1+AJ74)*AK74*(1+$E$17+VLOOKUP($E74,武器奇术!$A:$R,10,FALSE))</f>
        <v>314.52188625</v>
      </c>
      <c r="AQ74" s="93">
        <f t="shared" si="2"/>
        <v>0.0986</v>
      </c>
      <c r="AR74" s="92">
        <f t="shared" si="67"/>
        <v>232.979175</v>
      </c>
      <c r="AS74" s="93">
        <f t="shared" si="68"/>
        <v>0.0879</v>
      </c>
      <c r="AT74" s="101">
        <f t="shared" si="69"/>
        <v>410.457817952325</v>
      </c>
      <c r="AU74" s="99">
        <f>IF(VLOOKUP($E74,武器奇术!$A:$R,18,FALSE)="极乐",0,$B$7*IF($G$5="撼天",1.05,1)+IF(AND(VLOOKUP($E74,武器奇术!$A:$R,15,FALSE)="武器",VLOOKUP($E74,武器奇术!$A:$R,17,FALSE)="鸣金"),$E$3*(1+$E$15),0))</f>
        <v>0</v>
      </c>
      <c r="AV74" s="91">
        <f t="shared" si="70"/>
        <v>0</v>
      </c>
      <c r="AW74" s="91">
        <f>IF(VLOOKUP($E74,武器奇术!$A:$R,18,FALSE)="极乐",0,MAX($C$7*IF($G$5="撼天",1.05,1)+IF(AND(VLOOKUP($E74,武器奇术!$A:$R,15,FALSE)="武器",VLOOKUP($E74,武器奇术!$A:$R,17,FALSE)="鸣金"),$E$3*(1+$E$15),0),AU74))</f>
        <v>0</v>
      </c>
      <c r="AX74" s="93">
        <f>IF(($D$7+IF(VLOOKUP($E74,武器奇术!$A:$R,17,FALSE)="鸣金",$D$15,0)-VLOOKUP($F$7,目标属性!$A:$R,6,FALSE))&gt;0,($D$7+IF(VLOOKUP($E74,武器奇术!$A:$R,17,FALSE)="鸣金",$D$15,0)-VLOOKUP($F$7,目标属性!$A:$R,6,FALSE))/200,($D$7+IF(VLOOKUP($E74,武器奇术!$A:$R,17,FALSE)="鸣金",$D$15,0)-VLOOKUP($F$7,目标属性!$A:$R,6,FALSE))/100)</f>
        <v>-0.24</v>
      </c>
      <c r="AY74" s="100">
        <f t="shared" si="85"/>
        <v>0</v>
      </c>
      <c r="AZ74" s="91">
        <v>1</v>
      </c>
      <c r="BA74" s="92">
        <f>AU74*IF(VLOOKUP($E74,武器奇术!$A:$R,17,FALSE)="鸣金",VLOOKUP($E74,武器奇术!$A:$R,4,FALSE),VLOOKUP($E74,武器奇术!$A:$R,2,FALSE))*(1+AX74)*(1+AY74)*AZ74</f>
        <v>0</v>
      </c>
      <c r="BB74" s="93">
        <f>(1-IF(VLOOKUP($E74,武器奇术!$A:$R,16,FALSE)="陌刀",1,$N74))*(1-$M74)</f>
        <v>0</v>
      </c>
      <c r="BC74" s="92">
        <f>AV74*IF(VLOOKUP($E74,武器奇术!$A:$R,17,FALSE)="鸣金",VLOOKUP($E74,武器奇术!$A:$R,4,FALSE),VLOOKUP($E74,武器奇术!$A:$R,2,FALSE))*(1+AX74)*(1+AY74)*AZ74*(1+$E$16+VLOOKUP($E74,武器奇术!$A:$R,8,FALSE))</f>
        <v>0</v>
      </c>
      <c r="BD74" s="93">
        <f t="shared" si="3"/>
        <v>0.8135</v>
      </c>
      <c r="BE74" s="92">
        <f>AW74*IF(VLOOKUP($E74,武器奇术!$A:$R,17,FALSE)="鸣金",VLOOKUP($E74,武器奇术!$A:$R,4,FALSE),VLOOKUP($E74,武器奇术!$A:$R,2,FALSE))*(1+AX74)*(1+AY74)*AZ74*(1+$E$17+VLOOKUP($E74,武器奇术!$A:$R,10,FALSE))</f>
        <v>0</v>
      </c>
      <c r="BF74" s="93">
        <f t="shared" si="4"/>
        <v>0.0986</v>
      </c>
      <c r="BG74" s="92">
        <f>AV74*IF(VLOOKUP($E74,武器奇术!$A:$R,17,FALSE)="鸣金",VLOOKUP($E74,武器奇术!$A:$R,4,FALSE),VLOOKUP($E74,武器奇术!$A:$R,2,FALSE))*(1+AX74)*(1+AY74)*AZ74</f>
        <v>0</v>
      </c>
      <c r="BH74" s="93">
        <f t="shared" si="71"/>
        <v>0.0879</v>
      </c>
      <c r="BI74" s="101">
        <f t="shared" si="72"/>
        <v>0</v>
      </c>
      <c r="BJ74" s="99">
        <f>IF(VLOOKUP($E74,武器奇术!$A:$R,18,FALSE)="极乐",0,$B$9*IF($G$5="撼天",1.05,1)+IF(AND(VLOOKUP($E74,武器奇术!$A:$R,15,FALSE)="武器",VLOOKUP($E74,武器奇术!$A:$R,17,FALSE)="裂石"),$E$3*(1+$E$15),0))</f>
        <v>0</v>
      </c>
      <c r="BK74" s="91">
        <f t="shared" si="73"/>
        <v>0</v>
      </c>
      <c r="BL74" s="91">
        <f>IF(VLOOKUP($E74,武器奇术!$A:$R,18,FALSE)="极乐",0,MAX($C$9*IF($G$5="撼天",1.05,1)+IF(AND(VLOOKUP($E74,武器奇术!$A:$R,15,FALSE)="武器",VLOOKUP($E74,武器奇术!$A:$R,17,FALSE)="裂石"),$E$3*(1+$E$15),0),BJ74))</f>
        <v>0</v>
      </c>
      <c r="BM74" s="93">
        <f>IF(($D$9+IF(VLOOKUP($E74,武器奇术!$A:$R,17,FALSE)="裂石",$D$15,0)-VLOOKUP($F$7,目标属性!$A:$R,6,FALSE))&gt;0,($D$9+IF(VLOOKUP($E74,武器奇术!$A:$R,17,FALSE)="裂石",$D$15,0)-VLOOKUP($F$7,目标属性!$A:$R,6,FALSE))/200,($D$9+IF(VLOOKUP($E74,武器奇术!$A:$R,17,FALSE)="裂石",$D$15,0)-VLOOKUP($F$7,目标属性!$A:$R,6,FALSE))/100)</f>
        <v>-0.24</v>
      </c>
      <c r="BN74" s="100">
        <f t="shared" si="86"/>
        <v>0</v>
      </c>
      <c r="BO74" s="91">
        <v>1</v>
      </c>
      <c r="BP74" s="92">
        <f>BJ74*IF(VLOOKUP($E74,武器奇术!$A:$R,17,FALSE)="裂石",VLOOKUP($E74,武器奇术!$A:$R,4,FALSE),VLOOKUP($E74,武器奇术!$A:$R,2,FALSE))*(1+BM74)*(1+BN74)*BO74</f>
        <v>0</v>
      </c>
      <c r="BQ74" s="93">
        <f>(1-IF(VLOOKUP($E74,武器奇术!$A:$R,16,FALSE)="陌刀",1,$N74))*(1-$M74)</f>
        <v>0</v>
      </c>
      <c r="BR74" s="92">
        <f>BK74*IF(VLOOKUP($E74,武器奇术!$A:$R,17,FALSE)="裂石",VLOOKUP($E74,武器奇术!$A:$R,4,FALSE),VLOOKUP($E74,武器奇术!$A:$R,2,FALSE))*(1+BM74)*(1+BN74)*BO74*(1+$E$16+VLOOKUP($E74,武器奇术!$A:$R,8,FALSE))</f>
        <v>0</v>
      </c>
      <c r="BS74" s="93">
        <f t="shared" si="5"/>
        <v>0.8135</v>
      </c>
      <c r="BT74" s="92">
        <f>BL74*IF(VLOOKUP($E74,武器奇术!$A:$R,17,FALSE)="裂石",VLOOKUP($E74,武器奇术!$A:$R,4,FALSE),VLOOKUP($E74,武器奇术!$A:$R,2,FALSE))*(1+BM74)*(1+BN74)*BO74*(1+$E$17+VLOOKUP($E74,武器奇术!$A:$R,10,FALSE))</f>
        <v>0</v>
      </c>
      <c r="BU74" s="93">
        <f t="shared" si="6"/>
        <v>0.0986</v>
      </c>
      <c r="BV74" s="92">
        <f>BK74*IF(VLOOKUP($E74,武器奇术!$A:$R,17,FALSE)="裂石",VLOOKUP($E74,武器奇术!$A:$R,4,FALSE),VLOOKUP($E74,武器奇术!$A:$R,2,FALSE))*(1+BM74)*(1+BN74)*BO74</f>
        <v>0</v>
      </c>
      <c r="BW74" s="93">
        <f t="shared" si="74"/>
        <v>0.0879</v>
      </c>
      <c r="BX74" s="101">
        <f t="shared" si="75"/>
        <v>0</v>
      </c>
      <c r="BY74" s="99">
        <f>IF(VLOOKUP($E74,武器奇术!$A:$R,18,FALSE)="极乐",0,$B$11*IF($G$5="撼天",1.05,1)+IF(AND(VLOOKUP($E74,武器奇术!$A:$R,15,FALSE)="武器",VLOOKUP($E74,武器奇术!$A:$R,17,FALSE)="牵丝"),$E$3*(1+$E$15),0))</f>
        <v>0</v>
      </c>
      <c r="BZ74" s="91">
        <f t="shared" si="76"/>
        <v>0</v>
      </c>
      <c r="CA74" s="91">
        <f>IF(VLOOKUP($E74,武器奇术!$A:$R,18,FALSE)="极乐",0,MAX($C$11*IF($G$5="撼天",1.05,1)+IF(AND(VLOOKUP($E74,武器奇术!$A:$R,15,FALSE)="武器",VLOOKUP($E74,武器奇术!$A:$R,17,FALSE)="牵丝"),$E$3*(1+$E$15),0),BY74))</f>
        <v>0</v>
      </c>
      <c r="CB74" s="93">
        <f>IF(($D$11+IF(VLOOKUP($E74,武器奇术!$A:$R,17,FALSE)="牵丝",$D$15,0)-VLOOKUP($F$7,目标属性!$A:$R,6,FALSE))&gt;0,($D$11+IF(VLOOKUP($E74,武器奇术!$A:$R,17,FALSE)="牵丝",$D$15,0)-VLOOKUP($F$7,目标属性!$A:$R,6,FALSE))/200,($D$11+IF(VLOOKUP($E74,武器奇术!$A:$R,17,FALSE)="牵丝",$D$15,0)-VLOOKUP($F$7,目标属性!$A:$R,6,FALSE))/100)</f>
        <v>-0.24</v>
      </c>
      <c r="CC74" s="100">
        <f t="shared" si="87"/>
        <v>0</v>
      </c>
      <c r="CD74" s="91">
        <v>1</v>
      </c>
      <c r="CE74" s="92">
        <f>BY74*IF(VLOOKUP($E74,武器奇术!$A:$R,17,FALSE)="牵丝",VLOOKUP($E74,武器奇术!$A:$R,4,FALSE),VLOOKUP($E74,武器奇术!$A:$R,2,FALSE))*(1+CB74)*(1+CC74)*CD74</f>
        <v>0</v>
      </c>
      <c r="CF74" s="93">
        <f>(1-IF(VLOOKUP($E74,武器奇术!$A:$R,16,FALSE)="陌刀",1,$N74))*(1-$M74)</f>
        <v>0</v>
      </c>
      <c r="CG74" s="92">
        <f>BZ74*IF(VLOOKUP($E74,武器奇术!$A:$R,17,FALSE)="牵丝",VLOOKUP($E74,武器奇术!$A:$R,4,FALSE),VLOOKUP($E74,武器奇术!$A:$R,2,FALSE))*(1+CB74)*(1+CC74)*CD74*(1+$E$16+VLOOKUP($E74,武器奇术!$A:$R,8,FALSE))</f>
        <v>0</v>
      </c>
      <c r="CH74" s="93">
        <f t="shared" si="7"/>
        <v>0.8135</v>
      </c>
      <c r="CI74" s="92">
        <f>CA74*IF(VLOOKUP($E74,武器奇术!$A:$R,17,FALSE)="牵丝",VLOOKUP($E74,武器奇术!$A:$R,4,FALSE),VLOOKUP($E74,武器奇术!$A:$R,2,FALSE))*(1+CB74)*(1+CC74)*CD74*(1+$E$17+VLOOKUP($E74,武器奇术!$A:$R,10,FALSE))</f>
        <v>0</v>
      </c>
      <c r="CJ74" s="93">
        <f t="shared" si="8"/>
        <v>0.0986</v>
      </c>
      <c r="CK74" s="92">
        <f>BZ74*IF(VLOOKUP($E74,武器奇术!$A:$R,17,FALSE)="牵丝",VLOOKUP($E74,武器奇术!$A:$R,4,FALSE),VLOOKUP($E74,武器奇术!$A:$R,2,FALSE))*(1+CB74)*(1+CC74)*CD74</f>
        <v>0</v>
      </c>
      <c r="CL74" s="93">
        <f t="shared" si="77"/>
        <v>0.0879</v>
      </c>
      <c r="CM74" s="101">
        <f t="shared" si="78"/>
        <v>0</v>
      </c>
      <c r="CN74" s="99">
        <f>IF(VLOOKUP($E74,武器奇术!$A:$R,18,FALSE)="极乐",0,$B$13*IF($G$5="撼天",1.05,1)+IF(AND(VLOOKUP($E74,武器奇术!$A:$R,15,FALSE)="武器",VLOOKUP($E74,武器奇术!$A:$R,17,FALSE)="破竹"),$E$3*(1+$E$15),0))</f>
        <v>686.71</v>
      </c>
      <c r="CO74" s="91">
        <f t="shared" si="79"/>
        <v>1052.21</v>
      </c>
      <c r="CP74" s="91">
        <f>IF(VLOOKUP($E74,武器奇术!$A:$R,18,FALSE)="极乐",0,MAX($C$13*IF($G$5="撼天",1.05,1)+IF(AND(VLOOKUP($E74,武器奇术!$A:$R,15,FALSE)="武器",VLOOKUP($E74,武器奇术!$A:$R,17,FALSE)="破竹"),$E$3*(1+$E$15),0),CN74))</f>
        <v>1417.71</v>
      </c>
      <c r="CQ74" s="93">
        <f>IF(($D$13+IF(VLOOKUP($E74,武器奇术!$A:$R,17,FALSE)="破竹",$D$15,0)-VLOOKUP($F$7,目标属性!$A:$R,6,FALSE)+IF(VLOOKUP($E74,武器奇术!$A:$V,22,FALSE)=1,4,0)+IF(VLOOKUP($E74,武器奇术!$A:$T,20,FALSE)=1,10,0))&gt;0,($D$13+IF(VLOOKUP($E74,武器奇术!$A:$R,17,FALSE)="破竹",$D$15,0)-VLOOKUP($F$7,目标属性!$A:$R,6,FALSE)+IF(VLOOKUP($E74,武器奇术!$A:$V,22,FALSE)=1,4,0)+IF(VLOOKUP($E74,武器奇术!$A:$T,20,FALSE)=1,10,0))/200,($D$13+IF(VLOOKUP($E74,武器奇术!$A:$R,17,FALSE)="破竹",$D$15,0)-VLOOKUP($F$7,目标属性!$A:$R,6,FALSE)+IF(VLOOKUP($E74,武器奇术!$A:$V,22,FALSE)=1,4,0)+IF(VLOOKUP($E74,武器奇术!$A:$T,20,FALSE)=1,10,0))/100)</f>
        <v>0.028</v>
      </c>
      <c r="CR74" s="100">
        <f t="shared" si="83"/>
        <v>0.148</v>
      </c>
      <c r="CS74" s="91">
        <v>1</v>
      </c>
      <c r="CT74" s="92">
        <f>CN74*IF(VLOOKUP($E74,武器奇术!$A:$R,17,FALSE)="破竹",VLOOKUP($E74,武器奇术!$A:$R,4,FALSE),VLOOKUP($E74,武器奇术!$A:$R,2,FALSE))*(1+CQ74)*(1+CR74)*CS74</f>
        <v>562.242784412725</v>
      </c>
      <c r="CU74" s="93">
        <f>(1-IF(VLOOKUP($E74,武器奇术!$A:$R,16,FALSE)="陌刀",1,$N74))*(1-$M74)</f>
        <v>0</v>
      </c>
      <c r="CV74" s="92">
        <f>CO74*IF(VLOOKUP($E74,武器奇术!$A:$R,17,FALSE)="破竹",VLOOKUP($E74,武器奇术!$A:$R,4,FALSE),VLOOKUP($E74,武器奇术!$A:$R,2,FALSE))*(1+CQ74)*(1+CR74)*CS74*(1+$E$16+VLOOKUP($E74,武器奇术!$A:$R,8,FALSE))</f>
        <v>1631.6722160359</v>
      </c>
      <c r="CW74" s="93">
        <f t="shared" si="9"/>
        <v>0.8135</v>
      </c>
      <c r="CX74" s="92">
        <f>CP74*IF(VLOOKUP($E74,武器奇术!$A:$R,17,FALSE)="破竹",VLOOKUP($E74,武器奇术!$A:$R,4,FALSE),VLOOKUP($E74,武器奇术!$A:$R,2,FALSE))*(1+CQ74)*(1+CR74)*CS74*(1+$E$17+VLOOKUP($E74,武器奇术!$A:$R,10,FALSE))</f>
        <v>1567.00971902431</v>
      </c>
      <c r="CY74" s="93">
        <f t="shared" si="10"/>
        <v>0.0986</v>
      </c>
      <c r="CZ74" s="92">
        <f>CO74*IF(VLOOKUP($E74,武器奇术!$A:$R,17,FALSE)="破竹",VLOOKUP($E74,武器奇术!$A:$R,4,FALSE),VLOOKUP($E74,武器奇术!$A:$R,2,FALSE))*(1+CQ74)*(1+CR74)*CS74</f>
        <v>861.495362215365</v>
      </c>
      <c r="DA74" s="93">
        <f t="shared" si="80"/>
        <v>0.0879</v>
      </c>
      <c r="DB74" s="101">
        <f t="shared" si="81"/>
        <v>1557.59794837973</v>
      </c>
      <c r="DC74" s="99">
        <f>IF(VLOOKUP($E74,武器奇术!$A:$R,18,FALSE)="极乐",0,$B$15)</f>
        <v>66</v>
      </c>
      <c r="DD74" s="91">
        <f t="shared" si="82"/>
        <v>95.9</v>
      </c>
      <c r="DE74" s="91">
        <f>IF(VLOOKUP($E74,武器奇术!$A:$R,18,FALSE)="极乐",0,$C$15)</f>
        <v>125.8</v>
      </c>
      <c r="DF74" s="93">
        <f>IF((IF(VLOOKUP($E74,武器奇术!$A:$R,17,FALSE)="鸣金",$D$7,0)+IF(VLOOKUP($E74,武器奇术!$A:$R,17,FALSE)="裂石",$D$9,0)+IF(VLOOKUP($E74,武器奇术!$A:$R,17,FALSE)="牵丝",$D$11,0)+IF(VLOOKUP($E74,武器奇术!$A:$R,17,FALSE)="破竹",$D$13,0)+$D$15-VLOOKUP($F$7,目标属性!$A:$R,6,FALSE)+IF(VLOOKUP($E74,武器奇术!$A:$V,22,FALSE)=1,4,0)+IF(VLOOKUP($E74,武器奇术!$A:$T,20,FALSE)=1,10,0))&gt;0,(IF(VLOOKUP($E74,武器奇术!$A:$R,17,FALSE)="鸣金",$D$7,0)+IF(VLOOKUP($E74,武器奇术!$A:$R,17,FALSE)="裂石",$D$9,0)+IF(VLOOKUP($E74,武器奇术!$A:$R,17,FALSE)="牵丝",$D$11,0)+IF(VLOOKUP($E74,武器奇术!$A:$R,17,FALSE)="破竹",$D$13,0)+$D$15-VLOOKUP($F$7,目标属性!$A:$R,6,FALSE)+IF(VLOOKUP($E74,武器奇术!$A:$V,22,FALSE)=1,4,0)+IF(VLOOKUP($E74,武器奇术!$A:$T,20,FALSE)=1,10,0))/200,(IF(VLOOKUP($E74,武器奇术!$A:$R,17,FALSE)="鸣金",$D$7,0)+IF(VLOOKUP($E74,武器奇术!$A:$R,17,FALSE)="裂石",$D$9,0)+IF(VLOOKUP($E74,武器奇术!$A:$R,17,FALSE)="牵丝",$D$11,0)+IF(VLOOKUP($E74,武器奇术!$A:$R,17,FALSE)="破竹",$D$13,0)+$D$15-VLOOKUP($F$7,目标属性!$A:$R,6,FALSE)+IF(VLOOKUP($E74,武器奇术!$A:$V,22,FALSE)=1,4,0)+IF(VLOOKUP($E74,武器奇术!$A:$T,20,FALSE)=1,10,0))/100)</f>
        <v>0.028</v>
      </c>
      <c r="DG74" s="100">
        <f t="shared" si="54"/>
        <v>0.148</v>
      </c>
      <c r="DH74" s="91">
        <v>1</v>
      </c>
      <c r="DI74" s="92">
        <f>DC74*IF(VLOOKUP($E74,武器奇术!$A:$R,17,FALSE)="破竹",VLOOKUP($E74,武器奇术!$A:$R,4,FALSE),VLOOKUP($E74,武器奇术!$A:$R,2,FALSE))*(1+DF74)*(1+DG74)*DH74</f>
        <v>54.03740119008</v>
      </c>
      <c r="DJ74" s="93">
        <f>(1-IF(VLOOKUP($E74,武器奇术!$A:$R,16,FALSE)="陌刀",1,$N74))*(1-$M74)</f>
        <v>0</v>
      </c>
      <c r="DK74" s="92">
        <f>DD74*IF(VLOOKUP($E74,武器奇术!$A:$R,17,FALSE)="破竹",VLOOKUP($E74,武器奇术!$A:$R,4,FALSE),VLOOKUP($E74,武器奇术!$A:$R,2,FALSE))*(1+DF74)*(1+DG74)*DH74*(1+$E$16+VLOOKUP($E74,武器奇术!$A:$R,8,FALSE))</f>
        <v>148.713056821208</v>
      </c>
      <c r="DL74" s="93">
        <f t="shared" si="12"/>
        <v>0.8135</v>
      </c>
      <c r="DM74" s="92">
        <f>DE74*IF(VLOOKUP($E74,武器奇术!$A:$R,17,FALSE)="破竹",VLOOKUP($E74,武器奇术!$A:$R,4,FALSE),VLOOKUP($E74,武器奇术!$A:$R,2,FALSE))*(1+DF74)*(1+DG74)*DH74*(1+$E$17+VLOOKUP($E74,武器奇术!$A:$R,10,FALSE))</f>
        <v>139.04805824411</v>
      </c>
      <c r="DN74" s="93">
        <f t="shared" si="13"/>
        <v>0.0986</v>
      </c>
      <c r="DO74" s="92">
        <f>DD74*IF(VLOOKUP($E74,武器奇术!$A:$R,17,FALSE)="破竹",VLOOKUP($E74,武器奇术!$A:$R,4,FALSE),VLOOKUP($E74,武器奇术!$A:$R,2,FALSE))*(1+DF74)*(1+DG74)*DH74</f>
        <v>78.517981426192</v>
      </c>
      <c r="DP74" s="93">
        <f t="shared" si="14"/>
        <v>0.0879</v>
      </c>
      <c r="DQ74" s="101">
        <f t="shared" si="15"/>
        <v>141.589940834284</v>
      </c>
    </row>
    <row r="75" customFormat="1" spans="1:121">
      <c r="A75" s="33"/>
      <c r="B75" s="130" t="s">
        <v>158</v>
      </c>
      <c r="C75">
        <v>0.6</v>
      </c>
      <c r="D75"/>
      <c r="E75" s="105" t="s">
        <v>159</v>
      </c>
      <c r="F75" s="106">
        <v>1</v>
      </c>
      <c r="G75" s="107">
        <f t="shared" ref="G75:G80" si="88">$E$24</f>
        <v>0</v>
      </c>
      <c r="H75" s="92">
        <f>IF(VLOOKUP($E75,武器奇术!$A:$R,18,FALSE)="天工",AE75,(AE75+AT75+BI75+BX75+CM75+DB75+DQ75))*(1+J75)*F75*K75*(1+G75)</f>
        <v>9814.52656068209</v>
      </c>
      <c r="I75" s="93">
        <f t="shared" si="58"/>
        <v>0.00125903414939631</v>
      </c>
      <c r="J75" s="93">
        <f>$F$3+VLOOKUP($E75,武器奇术!$A:$R,12,FALSE)+VLOOKUP($E75,武器奇术!$A:$R,14,FALSE)*$G$3+$P75</f>
        <v>0.693</v>
      </c>
      <c r="K75" s="94">
        <f>VLOOKUP($E75,武器奇术!$A:$R,11,FALSE)</f>
        <v>1</v>
      </c>
      <c r="L75" s="109">
        <f>IF(VLOOKUP($E75,武器奇术!$A:$R,15,FALSE)="天工",0%,IF($C$17+VLOOKUP($E75,武器奇术!$A:$R,7,FALSE)&gt;80%,80%,$C$17+VLOOKUP($E75,武器奇术!$A:$R,7,FALSE))+IF($C$19&gt;20%,20%,$C$19))</f>
        <v>0.8135</v>
      </c>
      <c r="M75" s="110">
        <f>IF(VLOOKUP($E75,武器奇术!$A:$R,15,FALSE)="天工",0%,IF($C$18+VLOOKUP($E75,武器奇术!$A:$R,9,FALSE)&gt;40%,40%,$C$18+VLOOKUP($E75,武器奇术!$A:$R,9,FALSE))+IF($C$20&gt;10%,10%,$C$20))</f>
        <v>0.0986</v>
      </c>
      <c r="N75" s="111">
        <f>IF(VLOOKUP($E75,武器奇术!$A:$R,15,FALSE)="天工",100%,MIN($C$16,1))</f>
        <v>1</v>
      </c>
      <c r="O75" s="112" t="str">
        <f>VLOOKUP($E75,武器奇术!$A:$R,16,FALSE)</f>
        <v>双刀</v>
      </c>
      <c r="P75" s="113">
        <f t="shared" si="59"/>
        <v>0.17</v>
      </c>
      <c r="Q75" s="99">
        <f>$B$5*(1+VLOOKUP($E75,武器奇术!$A:$R,5,FALSE)+IF($G$5="飞隼",0.1,0)+IF($G$5="撼天",0.05,0))-$F$9*IF(VLOOKUP($E75,武器奇术!$A:$S,19,FALSE)=1,0.9,1)+IF($I$5="√",160,0)</f>
        <v>2904.2</v>
      </c>
      <c r="R75" s="91">
        <f t="shared" si="60"/>
        <v>2904.2</v>
      </c>
      <c r="S75" s="91">
        <f>MAX($C$5,$B$5)*(1+VLOOKUP($E75,武器奇术!$A:$R,5,FALSE)+IF($G$5="飞隼",0.1,0)+IF($G$5="撼天",0.05,0))-$F$9*IF(VLOOKUP($E75,武器奇术!$A:$S,19,FALSE)=1,0.9,1)+IF($I$5="√",320,0)</f>
        <v>2904.2</v>
      </c>
      <c r="T75" s="93">
        <f>IF(($D$5+VLOOKUP($E75,武器奇术!$A:$R,13,FALSE)+IF($I$3="√",10,0)-VLOOKUP($F$7,目标属性!$A:$R,5,FALSE))&gt;0,($D$5+VLOOKUP($E75,武器奇术!$A:$R,13,FALSE)+IF($I$3="√",10,0)-VLOOKUP($F$7,目标属性!$A:$R,5,FALSE))/200,($D$5+VLOOKUP($E75,武器奇术!$A:$R,13,FALSE)+IF($I$3="√",10,0)-VLOOKUP($F$7,目标属性!$A:$R,5,FALSE))/100)</f>
        <v>0.3925</v>
      </c>
      <c r="U75" s="100">
        <f>$E$5+IF(VLOOKUP($E75,武器奇术!$A:$R,18,FALSE)="鼠鼠",0.24,0)</f>
        <v>0</v>
      </c>
      <c r="V75" s="91">
        <v>1</v>
      </c>
      <c r="W75" s="92">
        <f>Q75*VLOOKUP($E75,武器奇术!$A:$R,2,FALSE)*(1+T75)*(1+U75)*V75</f>
        <v>2005.38756418</v>
      </c>
      <c r="X75" s="93">
        <f>(1-IF(VLOOKUP($E75,武器奇术!$A:$R,16,FALSE)="陌刀",1,$N75))*(1-$M75)</f>
        <v>0</v>
      </c>
      <c r="Y75" s="92">
        <f>R75*VLOOKUP($E75,武器奇术!$A:$R,2,FALSE)*(1+T75)*(1+U75)*V75*(1+$E$16+VLOOKUP($E75,武器奇术!$A:$R,8,FALSE))</f>
        <v>3798.20404655692</v>
      </c>
      <c r="Z75" s="93">
        <f t="shared" si="61"/>
        <v>0.8135</v>
      </c>
      <c r="AA75" s="92">
        <f>S75*VLOOKUP($E75,武器奇术!$A:$R,2,FALSE)*(1+T75)*(1+U75)*V75*(1+$E$17+VLOOKUP($E75,武器奇术!$A:$R,10,FALSE))</f>
        <v>2707.273211643</v>
      </c>
      <c r="AB75" s="93">
        <f t="shared" si="62"/>
        <v>0.0986</v>
      </c>
      <c r="AC75" s="92">
        <f>R75*VLOOKUP($E75,武器奇术!$A:$R,2,FALSE)*(1+T75)*(1+U75)*V75</f>
        <v>2005.38756418</v>
      </c>
      <c r="AD75" s="93">
        <f t="shared" si="63"/>
        <v>0.0879</v>
      </c>
      <c r="AE75" s="101">
        <f t="shared" si="64"/>
        <v>3533.04969743348</v>
      </c>
      <c r="AF75" s="102">
        <f>VLOOKUP($E75,武器奇术!$A:$R,3,FALSE)*(1+IF(VLOOKUP($E75,武器奇术!$A:$R,15,FALSE)="武器",$E$15,0))</f>
        <v>180.18</v>
      </c>
      <c r="AG75" s="92">
        <f t="shared" si="65"/>
        <v>180.18</v>
      </c>
      <c r="AH75" s="92">
        <f>VLOOKUP($E75,武器奇术!$A:$R,3,FALSE)*(1+IF(VLOOKUP($E75,武器奇术!$A:$R,15,FALSE)="武器",$E$15,0))</f>
        <v>180.18</v>
      </c>
      <c r="AI75" s="93">
        <f>IF(($D$5+VLOOKUP($E75,武器奇术!$A:$R,13,FALSE)+IF($I$3="√",10,0)-VLOOKUP($F$7,目标属性!$A:$R,5,FALSE))&gt;0,($D$5+VLOOKUP($E75,武器奇术!$A:$R,13,FALSE)+IF($I$3="√",10,0)-VLOOKUP($F$7,目标属性!$A:$R,5,FALSE))/200,($D$5+VLOOKUP($E75,武器奇术!$A:$R,13,FALSE)+IF($I$3="√",10,0)-VLOOKUP($F$7,目标属性!$A:$R,5,FALSE))/100)</f>
        <v>0.3925</v>
      </c>
      <c r="AJ75" s="100">
        <f>$E$5+IF(VLOOKUP($E75,武器奇术!$A:$R,18,FALSE)="鼠鼠",0.24,0)</f>
        <v>0</v>
      </c>
      <c r="AK75" s="91">
        <v>1</v>
      </c>
      <c r="AL75" s="92">
        <f t="shared" si="66"/>
        <v>250.90065</v>
      </c>
      <c r="AM75" s="93">
        <f>(1-IF(VLOOKUP($E75,武器奇术!$A:$R,16,FALSE)="陌刀",1,$N75))*(1-$M75)</f>
        <v>0</v>
      </c>
      <c r="AN75" s="92">
        <f>AG75*(1+AI75)*(1+AJ75)*AK75*(1+$E$16+VLOOKUP($E75,武器奇术!$A:$R,8,FALSE))</f>
        <v>475.2058311</v>
      </c>
      <c r="AO75" s="93">
        <f t="shared" si="1"/>
        <v>0.8135</v>
      </c>
      <c r="AP75" s="92">
        <f>AH75*(1+AI75)*(1+AJ75)*AK75*(1+$E$17+VLOOKUP($E75,武器奇术!$A:$R,10,FALSE))</f>
        <v>338.7158775</v>
      </c>
      <c r="AQ75" s="93">
        <f t="shared" si="2"/>
        <v>0.0986</v>
      </c>
      <c r="AR75" s="92">
        <f t="shared" si="67"/>
        <v>250.90065</v>
      </c>
      <c r="AS75" s="93">
        <f t="shared" si="68"/>
        <v>0.0879</v>
      </c>
      <c r="AT75" s="101">
        <f t="shared" si="69"/>
        <v>442.03149625635</v>
      </c>
      <c r="AU75" s="99">
        <f>IF(VLOOKUP($E75,武器奇术!$A:$R,18,FALSE)="极乐",0,$B$7*IF($G$5="撼天",1.05,1)+IF(AND(VLOOKUP($E75,武器奇术!$A:$R,15,FALSE)="武器",VLOOKUP($E75,武器奇术!$A:$R,17,FALSE)="鸣金"),$E$3*(1+$E$15),0))</f>
        <v>0</v>
      </c>
      <c r="AV75" s="91">
        <f t="shared" si="70"/>
        <v>0</v>
      </c>
      <c r="AW75" s="91">
        <f>IF(VLOOKUP($E75,武器奇术!$A:$R,18,FALSE)="极乐",0,MAX($C$7*IF($G$5="撼天",1.05,1)+IF(AND(VLOOKUP($E75,武器奇术!$A:$R,15,FALSE)="武器",VLOOKUP($E75,武器奇术!$A:$R,17,FALSE)="鸣金"),$E$3*(1+$E$15),0),AU75))</f>
        <v>0</v>
      </c>
      <c r="AX75" s="93">
        <f>IF(($D$7+IF(VLOOKUP($E75,武器奇术!$A:$R,17,FALSE)="鸣金",$D$15,0)-VLOOKUP($F$7,目标属性!$A:$R,6,FALSE))&gt;0,($D$7+IF(VLOOKUP($E75,武器奇术!$A:$R,17,FALSE)="鸣金",$D$15,0)-VLOOKUP($F$7,目标属性!$A:$R,6,FALSE))/200,($D$7+IF(VLOOKUP($E75,武器奇术!$A:$R,17,FALSE)="鸣金",$D$15,0)-VLOOKUP($F$7,目标属性!$A:$R,6,FALSE))/100)</f>
        <v>-0.24</v>
      </c>
      <c r="AY75" s="100">
        <f t="shared" si="85"/>
        <v>0</v>
      </c>
      <c r="AZ75" s="91">
        <v>1</v>
      </c>
      <c r="BA75" s="92">
        <f>AU75*IF(VLOOKUP($E75,武器奇术!$A:$R,17,FALSE)="鸣金",VLOOKUP($E75,武器奇术!$A:$R,4,FALSE),VLOOKUP($E75,武器奇术!$A:$R,2,FALSE))*(1+AX75)*(1+AY75)*AZ75</f>
        <v>0</v>
      </c>
      <c r="BB75" s="93">
        <f>(1-IF(VLOOKUP($E75,武器奇术!$A:$R,16,FALSE)="陌刀",1,$N75))*(1-$M75)</f>
        <v>0</v>
      </c>
      <c r="BC75" s="92">
        <f>AV75*IF(VLOOKUP($E75,武器奇术!$A:$R,17,FALSE)="鸣金",VLOOKUP($E75,武器奇术!$A:$R,4,FALSE),VLOOKUP($E75,武器奇术!$A:$R,2,FALSE))*(1+AX75)*(1+AY75)*AZ75*(1+$E$16+VLOOKUP($E75,武器奇术!$A:$R,8,FALSE))</f>
        <v>0</v>
      </c>
      <c r="BD75" s="93">
        <f t="shared" si="3"/>
        <v>0.8135</v>
      </c>
      <c r="BE75" s="92">
        <f>AW75*IF(VLOOKUP($E75,武器奇术!$A:$R,17,FALSE)="鸣金",VLOOKUP($E75,武器奇术!$A:$R,4,FALSE),VLOOKUP($E75,武器奇术!$A:$R,2,FALSE))*(1+AX75)*(1+AY75)*AZ75*(1+$E$17+VLOOKUP($E75,武器奇术!$A:$R,10,FALSE))</f>
        <v>0</v>
      </c>
      <c r="BF75" s="93">
        <f t="shared" si="4"/>
        <v>0.0986</v>
      </c>
      <c r="BG75" s="92">
        <f>AV75*IF(VLOOKUP($E75,武器奇术!$A:$R,17,FALSE)="鸣金",VLOOKUP($E75,武器奇术!$A:$R,4,FALSE),VLOOKUP($E75,武器奇术!$A:$R,2,FALSE))*(1+AX75)*(1+AY75)*AZ75</f>
        <v>0</v>
      </c>
      <c r="BH75" s="93">
        <f t="shared" si="71"/>
        <v>0.0879</v>
      </c>
      <c r="BI75" s="101">
        <f t="shared" si="72"/>
        <v>0</v>
      </c>
      <c r="BJ75" s="99">
        <f>IF(VLOOKUP($E75,武器奇术!$A:$R,18,FALSE)="极乐",0,$B$9*IF($G$5="撼天",1.05,1)+IF(AND(VLOOKUP($E75,武器奇术!$A:$R,15,FALSE)="武器",VLOOKUP($E75,武器奇术!$A:$R,17,FALSE)="裂石"),$E$3*(1+$E$15),0))</f>
        <v>0</v>
      </c>
      <c r="BK75" s="91">
        <f t="shared" si="73"/>
        <v>0</v>
      </c>
      <c r="BL75" s="91">
        <f>IF(VLOOKUP($E75,武器奇术!$A:$R,18,FALSE)="极乐",0,MAX($C$9*IF($G$5="撼天",1.05,1)+IF(AND(VLOOKUP($E75,武器奇术!$A:$R,15,FALSE)="武器",VLOOKUP($E75,武器奇术!$A:$R,17,FALSE)="裂石"),$E$3*(1+$E$15),0),BJ75))</f>
        <v>0</v>
      </c>
      <c r="BM75" s="93">
        <f>IF(($D$9+IF(VLOOKUP($E75,武器奇术!$A:$R,17,FALSE)="裂石",$D$15,0)-VLOOKUP($F$7,目标属性!$A:$R,6,FALSE))&gt;0,($D$9+IF(VLOOKUP($E75,武器奇术!$A:$R,17,FALSE)="裂石",$D$15,0)-VLOOKUP($F$7,目标属性!$A:$R,6,FALSE))/200,($D$9+IF(VLOOKUP($E75,武器奇术!$A:$R,17,FALSE)="裂石",$D$15,0)-VLOOKUP($F$7,目标属性!$A:$R,6,FALSE))/100)</f>
        <v>-0.24</v>
      </c>
      <c r="BN75" s="100">
        <f t="shared" si="86"/>
        <v>0</v>
      </c>
      <c r="BO75" s="91">
        <v>1</v>
      </c>
      <c r="BP75" s="92">
        <f>BJ75*IF(VLOOKUP($E75,武器奇术!$A:$R,17,FALSE)="裂石",VLOOKUP($E75,武器奇术!$A:$R,4,FALSE),VLOOKUP($E75,武器奇术!$A:$R,2,FALSE))*(1+BM75)*(1+BN75)*BO75</f>
        <v>0</v>
      </c>
      <c r="BQ75" s="93">
        <f>(1-IF(VLOOKUP($E75,武器奇术!$A:$R,16,FALSE)="陌刀",1,$N75))*(1-$M75)</f>
        <v>0</v>
      </c>
      <c r="BR75" s="92">
        <f>BK75*IF(VLOOKUP($E75,武器奇术!$A:$R,17,FALSE)="裂石",VLOOKUP($E75,武器奇术!$A:$R,4,FALSE),VLOOKUP($E75,武器奇术!$A:$R,2,FALSE))*(1+BM75)*(1+BN75)*BO75*(1+$E$16+VLOOKUP($E75,武器奇术!$A:$R,8,FALSE))</f>
        <v>0</v>
      </c>
      <c r="BS75" s="93">
        <f t="shared" si="5"/>
        <v>0.8135</v>
      </c>
      <c r="BT75" s="92">
        <f>BL75*IF(VLOOKUP($E75,武器奇术!$A:$R,17,FALSE)="裂石",VLOOKUP($E75,武器奇术!$A:$R,4,FALSE),VLOOKUP($E75,武器奇术!$A:$R,2,FALSE))*(1+BM75)*(1+BN75)*BO75*(1+$E$17+VLOOKUP($E75,武器奇术!$A:$R,10,FALSE))</f>
        <v>0</v>
      </c>
      <c r="BU75" s="93">
        <f t="shared" si="6"/>
        <v>0.0986</v>
      </c>
      <c r="BV75" s="92">
        <f>BK75*IF(VLOOKUP($E75,武器奇术!$A:$R,17,FALSE)="裂石",VLOOKUP($E75,武器奇术!$A:$R,4,FALSE),VLOOKUP($E75,武器奇术!$A:$R,2,FALSE))*(1+BM75)*(1+BN75)*BO75</f>
        <v>0</v>
      </c>
      <c r="BW75" s="93">
        <f t="shared" si="74"/>
        <v>0.0879</v>
      </c>
      <c r="BX75" s="101">
        <f t="shared" si="75"/>
        <v>0</v>
      </c>
      <c r="BY75" s="99">
        <f>IF(VLOOKUP($E75,武器奇术!$A:$R,18,FALSE)="极乐",0,$B$11*IF($G$5="撼天",1.05,1)+IF(AND(VLOOKUP($E75,武器奇术!$A:$R,15,FALSE)="武器",VLOOKUP($E75,武器奇术!$A:$R,17,FALSE)="牵丝"),$E$3*(1+$E$15),0))</f>
        <v>0</v>
      </c>
      <c r="BZ75" s="91">
        <f t="shared" si="76"/>
        <v>0</v>
      </c>
      <c r="CA75" s="91">
        <f>IF(VLOOKUP($E75,武器奇术!$A:$R,18,FALSE)="极乐",0,MAX($C$11*IF($G$5="撼天",1.05,1)+IF(AND(VLOOKUP($E75,武器奇术!$A:$R,15,FALSE)="武器",VLOOKUP($E75,武器奇术!$A:$R,17,FALSE)="牵丝"),$E$3*(1+$E$15),0),BY75))</f>
        <v>0</v>
      </c>
      <c r="CB75" s="93">
        <f>IF(($D$11+IF(VLOOKUP($E75,武器奇术!$A:$R,17,FALSE)="牵丝",$D$15,0)-VLOOKUP($F$7,目标属性!$A:$R,6,FALSE))&gt;0,($D$11+IF(VLOOKUP($E75,武器奇术!$A:$R,17,FALSE)="牵丝",$D$15,0)-VLOOKUP($F$7,目标属性!$A:$R,6,FALSE))/200,($D$11+IF(VLOOKUP($E75,武器奇术!$A:$R,17,FALSE)="牵丝",$D$15,0)-VLOOKUP($F$7,目标属性!$A:$R,6,FALSE))/100)</f>
        <v>-0.24</v>
      </c>
      <c r="CC75" s="100">
        <f t="shared" si="87"/>
        <v>0</v>
      </c>
      <c r="CD75" s="91">
        <v>1</v>
      </c>
      <c r="CE75" s="92">
        <f>BY75*IF(VLOOKUP($E75,武器奇术!$A:$R,17,FALSE)="牵丝",VLOOKUP($E75,武器奇术!$A:$R,4,FALSE),VLOOKUP($E75,武器奇术!$A:$R,2,FALSE))*(1+CB75)*(1+CC75)*CD75</f>
        <v>0</v>
      </c>
      <c r="CF75" s="93">
        <f>(1-IF(VLOOKUP($E75,武器奇术!$A:$R,16,FALSE)="陌刀",1,$N75))*(1-$M75)</f>
        <v>0</v>
      </c>
      <c r="CG75" s="92">
        <f>BZ75*IF(VLOOKUP($E75,武器奇术!$A:$R,17,FALSE)="牵丝",VLOOKUP($E75,武器奇术!$A:$R,4,FALSE),VLOOKUP($E75,武器奇术!$A:$R,2,FALSE))*(1+CB75)*(1+CC75)*CD75*(1+$E$16+VLOOKUP($E75,武器奇术!$A:$R,8,FALSE))</f>
        <v>0</v>
      </c>
      <c r="CH75" s="93">
        <f t="shared" si="7"/>
        <v>0.8135</v>
      </c>
      <c r="CI75" s="92">
        <f>CA75*IF(VLOOKUP($E75,武器奇术!$A:$R,17,FALSE)="牵丝",VLOOKUP($E75,武器奇术!$A:$R,4,FALSE),VLOOKUP($E75,武器奇术!$A:$R,2,FALSE))*(1+CB75)*(1+CC75)*CD75*(1+$E$17+VLOOKUP($E75,武器奇术!$A:$R,10,FALSE))</f>
        <v>0</v>
      </c>
      <c r="CJ75" s="93">
        <f t="shared" si="8"/>
        <v>0.0986</v>
      </c>
      <c r="CK75" s="92">
        <f>BZ75*IF(VLOOKUP($E75,武器奇术!$A:$R,17,FALSE)="牵丝",VLOOKUP($E75,武器奇术!$A:$R,4,FALSE),VLOOKUP($E75,武器奇术!$A:$R,2,FALSE))*(1+CB75)*(1+CC75)*CD75</f>
        <v>0</v>
      </c>
      <c r="CL75" s="93">
        <f t="shared" si="77"/>
        <v>0.0879</v>
      </c>
      <c r="CM75" s="101">
        <f t="shared" si="78"/>
        <v>0</v>
      </c>
      <c r="CN75" s="99">
        <f>IF(VLOOKUP($E75,武器奇术!$A:$R,18,FALSE)="极乐",0,$B$13*IF($G$5="撼天",1.05,1)+IF(AND(VLOOKUP($E75,武器奇术!$A:$R,15,FALSE)="武器",VLOOKUP($E75,武器奇术!$A:$R,17,FALSE)="破竹"),$E$3*(1+$E$15),0))</f>
        <v>686.71</v>
      </c>
      <c r="CO75" s="91">
        <f t="shared" si="79"/>
        <v>1052.21</v>
      </c>
      <c r="CP75" s="91">
        <f>IF(VLOOKUP($E75,武器奇术!$A:$R,18,FALSE)="极乐",0,MAX($C$13*IF($G$5="撼天",1.05,1)+IF(AND(VLOOKUP($E75,武器奇术!$A:$R,15,FALSE)="武器",VLOOKUP($E75,武器奇术!$A:$R,17,FALSE)="破竹"),$E$3*(1+$E$15),0),CN75))</f>
        <v>1417.71</v>
      </c>
      <c r="CQ75" s="93">
        <f>IF(($D$13+IF(VLOOKUP($E75,武器奇术!$A:$R,17,FALSE)="破竹",$D$15,0)-VLOOKUP($F$7,目标属性!$A:$R,6,FALSE)+IF(VLOOKUP($E75,武器奇术!$A:$V,22,FALSE)=1,4,0)+IF(VLOOKUP($E75,武器奇术!$A:$T,20,FALSE)=1,10,0))&gt;0,($D$13+IF(VLOOKUP($E75,武器奇术!$A:$R,17,FALSE)="破竹",$D$15,0)-VLOOKUP($F$7,目标属性!$A:$R,6,FALSE)+IF(VLOOKUP($E75,武器奇术!$A:$V,22,FALSE)=1,4,0)+IF(VLOOKUP($E75,武器奇术!$A:$T,20,FALSE)=1,10,0))/200,($D$13+IF(VLOOKUP($E75,武器奇术!$A:$R,17,FALSE)="破竹",$D$15,0)-VLOOKUP($F$7,目标属性!$A:$R,6,FALSE)+IF(VLOOKUP($E75,武器奇术!$A:$V,22,FALSE)=1,4,0)+IF(VLOOKUP($E75,武器奇术!$A:$T,20,FALSE)=1,10,0))/100)</f>
        <v>0.028</v>
      </c>
      <c r="CR75" s="100">
        <f t="shared" si="83"/>
        <v>0.148</v>
      </c>
      <c r="CS75" s="91">
        <v>1</v>
      </c>
      <c r="CT75" s="92">
        <f>CN75*IF(VLOOKUP($E75,武器奇术!$A:$R,17,FALSE)="破竹",VLOOKUP($E75,武器奇术!$A:$R,4,FALSE),VLOOKUP($E75,武器奇术!$A:$R,2,FALSE))*(1+CQ75)*(1+CR75)*CS75</f>
        <v>602.893285394523</v>
      </c>
      <c r="CU75" s="93">
        <f>(1-IF(VLOOKUP($E75,武器奇术!$A:$R,16,FALSE)="陌刀",1,$N75))*(1-$M75)</f>
        <v>0</v>
      </c>
      <c r="CV75" s="92">
        <f>CO75*IF(VLOOKUP($E75,武器奇术!$A:$R,17,FALSE)="破竹",VLOOKUP($E75,武器奇术!$A:$R,4,FALSE),VLOOKUP($E75,武器奇术!$A:$R,2,FALSE))*(1+CQ75)*(1+CR75)*CS75*(1+$E$16+VLOOKUP($E75,武器奇术!$A:$R,8,FALSE))</f>
        <v>1749.64312621703</v>
      </c>
      <c r="CW75" s="93">
        <f t="shared" si="9"/>
        <v>0.8135</v>
      </c>
      <c r="CX75" s="92">
        <f>CP75*IF(VLOOKUP($E75,武器奇术!$A:$R,17,FALSE)="破竹",VLOOKUP($E75,武器奇术!$A:$R,4,FALSE),VLOOKUP($E75,武器奇术!$A:$R,2,FALSE))*(1+CQ75)*(1+CR75)*CS75*(1+$E$17+VLOOKUP($E75,武器奇术!$A:$R,10,FALSE))</f>
        <v>1680.30549068676</v>
      </c>
      <c r="CY75" s="93">
        <f t="shared" si="10"/>
        <v>0.0986</v>
      </c>
      <c r="CZ75" s="92">
        <f>CO75*IF(VLOOKUP($E75,武器奇术!$A:$R,17,FALSE)="破竹",VLOOKUP($E75,武器奇术!$A:$R,4,FALSE),VLOOKUP($E75,武器奇术!$A:$R,2,FALSE))*(1+CQ75)*(1+CR75)*CS75</f>
        <v>923.782009618283</v>
      </c>
      <c r="DA75" s="93">
        <f t="shared" si="80"/>
        <v>0.0879</v>
      </c>
      <c r="DB75" s="101">
        <f t="shared" si="81"/>
        <v>1670.21324320471</v>
      </c>
      <c r="DC75" s="99">
        <f>IF(VLOOKUP($E75,武器奇术!$A:$R,18,FALSE)="极乐",0,$B$15)</f>
        <v>66</v>
      </c>
      <c r="DD75" s="91">
        <f t="shared" si="82"/>
        <v>95.9</v>
      </c>
      <c r="DE75" s="91">
        <f>IF(VLOOKUP($E75,武器奇术!$A:$R,18,FALSE)="极乐",0,$C$15)</f>
        <v>125.8</v>
      </c>
      <c r="DF75" s="93">
        <f>IF((IF(VLOOKUP($E75,武器奇术!$A:$R,17,FALSE)="鸣金",$D$7,0)+IF(VLOOKUP($E75,武器奇术!$A:$R,17,FALSE)="裂石",$D$9,0)+IF(VLOOKUP($E75,武器奇术!$A:$R,17,FALSE)="牵丝",$D$11,0)+IF(VLOOKUP($E75,武器奇术!$A:$R,17,FALSE)="破竹",$D$13,0)+$D$15-VLOOKUP($F$7,目标属性!$A:$R,6,FALSE)+IF(VLOOKUP($E75,武器奇术!$A:$V,22,FALSE)=1,4,0)+IF(VLOOKUP($E75,武器奇术!$A:$T,20,FALSE)=1,10,0))&gt;0,(IF(VLOOKUP($E75,武器奇术!$A:$R,17,FALSE)="鸣金",$D$7,0)+IF(VLOOKUP($E75,武器奇术!$A:$R,17,FALSE)="裂石",$D$9,0)+IF(VLOOKUP($E75,武器奇术!$A:$R,17,FALSE)="牵丝",$D$11,0)+IF(VLOOKUP($E75,武器奇术!$A:$R,17,FALSE)="破竹",$D$13,0)+$D$15-VLOOKUP($F$7,目标属性!$A:$R,6,FALSE)+IF(VLOOKUP($E75,武器奇术!$A:$V,22,FALSE)=1,4,0)+IF(VLOOKUP($E75,武器奇术!$A:$T,20,FALSE)=1,10,0))/200,(IF(VLOOKUP($E75,武器奇术!$A:$R,17,FALSE)="鸣金",$D$7,0)+IF(VLOOKUP($E75,武器奇术!$A:$R,17,FALSE)="裂石",$D$9,0)+IF(VLOOKUP($E75,武器奇术!$A:$R,17,FALSE)="牵丝",$D$11,0)+IF(VLOOKUP($E75,武器奇术!$A:$R,17,FALSE)="破竹",$D$13,0)+$D$15-VLOOKUP($F$7,目标属性!$A:$R,6,FALSE)+IF(VLOOKUP($E75,武器奇术!$A:$V,22,FALSE)=1,4,0)+IF(VLOOKUP($E75,武器奇术!$A:$T,20,FALSE)=1,10,0))/100)</f>
        <v>0.028</v>
      </c>
      <c r="DG75" s="100">
        <f t="shared" si="54"/>
        <v>0.148</v>
      </c>
      <c r="DH75" s="91">
        <v>1</v>
      </c>
      <c r="DI75" s="92">
        <f>DC75*IF(VLOOKUP($E75,武器奇术!$A:$R,17,FALSE)="破竹",VLOOKUP($E75,武器奇术!$A:$R,4,FALSE),VLOOKUP($E75,武器奇术!$A:$R,2,FALSE))*(1+DF75)*(1+DG75)*DH75</f>
        <v>57.94433871072</v>
      </c>
      <c r="DJ75" s="93">
        <f>(1-IF(VLOOKUP($E75,武器奇术!$A:$R,16,FALSE)="陌刀",1,$N75))*(1-$M75)</f>
        <v>0</v>
      </c>
      <c r="DK75" s="92">
        <f>DD75*IF(VLOOKUP($E75,武器奇术!$A:$R,17,FALSE)="破竹",VLOOKUP($E75,武器奇术!$A:$R,4,FALSE),VLOOKUP($E75,武器奇术!$A:$R,2,FALSE))*(1+DF75)*(1+DG75)*DH75*(1+$E$16+VLOOKUP($E75,武器奇术!$A:$R,8,FALSE))</f>
        <v>159.465102787669</v>
      </c>
      <c r="DL75" s="93">
        <f t="shared" si="12"/>
        <v>0.8135</v>
      </c>
      <c r="DM75" s="92">
        <f>DE75*IF(VLOOKUP($E75,武器奇术!$A:$R,17,FALSE)="破竹",VLOOKUP($E75,武器奇术!$A:$R,4,FALSE),VLOOKUP($E75,武器奇术!$A:$R,2,FALSE))*(1+DF75)*(1+DG75)*DH75*(1+$E$17+VLOOKUP($E75,武器奇术!$A:$R,10,FALSE))</f>
        <v>149.101318836994</v>
      </c>
      <c r="DN75" s="93">
        <f t="shared" si="13"/>
        <v>0.0986</v>
      </c>
      <c r="DO75" s="92">
        <f>DD75*IF(VLOOKUP($E75,武器奇术!$A:$R,17,FALSE)="破竹",VLOOKUP($E75,武器奇术!$A:$R,4,FALSE),VLOOKUP($E75,武器奇术!$A:$R,2,FALSE))*(1+DF75)*(1+DG75)*DH75</f>
        <v>84.194880035728</v>
      </c>
      <c r="DP75" s="93">
        <f t="shared" si="14"/>
        <v>0.0879</v>
      </c>
      <c r="DQ75" s="101">
        <f t="shared" si="15"/>
        <v>151.826981110237</v>
      </c>
    </row>
    <row r="76" customFormat="1" spans="1:121">
      <c r="A76" s="33"/>
      <c r="B76" s="130">
        <v>12345</v>
      </c>
      <c r="C76">
        <v>3.3</v>
      </c>
      <c r="D76"/>
      <c r="E76" s="105" t="s">
        <v>160</v>
      </c>
      <c r="F76" s="106">
        <f>F73*3+SUM(F74:F75)+2</f>
        <v>7</v>
      </c>
      <c r="G76" s="107">
        <f>$E$23</f>
        <v>0.32</v>
      </c>
      <c r="H76" s="92">
        <f>IF(VLOOKUP($E76,武器奇术!$A:$R,18,FALSE)="天工",AE76,(AE76+AT76+BI76+BX76+CM76+DB76+DQ76))*(1+J76)*F76*K76*(1+G76)</f>
        <v>94551.6236412266</v>
      </c>
      <c r="I76" s="93">
        <f t="shared" si="58"/>
        <v>0.0121293393327878</v>
      </c>
      <c r="J76" s="93">
        <f>$F$3+VLOOKUP($E76,武器奇术!$A:$R,12,FALSE)+VLOOKUP($E76,武器奇术!$A:$R,14,FALSE)*$G$3+$P76</f>
        <v>1.493</v>
      </c>
      <c r="K76" s="94">
        <f>VLOOKUP($E76,武器奇术!$A:$R,11,FALSE)</f>
        <v>1</v>
      </c>
      <c r="L76" s="109">
        <f>IF(VLOOKUP($E76,武器奇术!$A:$R,15,FALSE)="天工",0%,IF($C$17+VLOOKUP($E76,武器奇术!$A:$R,7,FALSE)&gt;80%,80%,$C$17+VLOOKUP($E76,武器奇术!$A:$R,7,FALSE))+IF($C$19&gt;20%,20%,$C$19))</f>
        <v>0.8135</v>
      </c>
      <c r="M76" s="110">
        <f>IF(VLOOKUP($E76,武器奇术!$A:$R,15,FALSE)="天工",0%,IF($C$18+VLOOKUP($E76,武器奇术!$A:$R,9,FALSE)&gt;40%,40%,$C$18+VLOOKUP($E76,武器奇术!$A:$R,9,FALSE))+IF($C$20&gt;10%,10%,$C$20))</f>
        <v>0.0986</v>
      </c>
      <c r="N76" s="111">
        <f>IF(VLOOKUP($E76,武器奇术!$A:$R,15,FALSE)="天工",100%,MIN($C$16,1))</f>
        <v>1</v>
      </c>
      <c r="O76" s="112" t="str">
        <f>VLOOKUP($E76,武器奇术!$A:$R,16,FALSE)</f>
        <v>绳标</v>
      </c>
      <c r="P76" s="113">
        <f t="shared" si="59"/>
        <v>0.17</v>
      </c>
      <c r="Q76" s="99">
        <f>$B$5*(1+VLOOKUP($E76,武器奇术!$A:$R,5,FALSE)+IF($G$5="飞隼",0.1,0)+IF($G$5="撼天",0.05,0))-$F$9*IF(VLOOKUP($E76,武器奇术!$A:$S,19,FALSE)=1,0.9,1)+IF($I$5="√",160,0)</f>
        <v>2848.3</v>
      </c>
      <c r="R76" s="91">
        <f t="shared" si="60"/>
        <v>2848.3</v>
      </c>
      <c r="S76" s="91">
        <f>MAX($C$5,$B$5)*(1+VLOOKUP($E76,武器奇术!$A:$R,5,FALSE)+IF($G$5="飞隼",0.1,0)+IF($G$5="撼天",0.05,0))-$F$9*IF(VLOOKUP($E76,武器奇术!$A:$S,19,FALSE)=1,0.9,1)+IF($I$5="√",320,0)</f>
        <v>2848.3</v>
      </c>
      <c r="T76" s="93">
        <f>IF(($D$5+VLOOKUP($E76,武器奇术!$A:$R,13,FALSE)+IF($I$3="√",10,0)-VLOOKUP($F$7,目标属性!$A:$R,5,FALSE))&gt;0,($D$5+VLOOKUP($E76,武器奇术!$A:$R,13,FALSE)+IF($I$3="√",10,0)-VLOOKUP($F$7,目标属性!$A:$R,5,FALSE))/200,($D$5+VLOOKUP($E76,武器奇术!$A:$R,13,FALSE)+IF($I$3="√",10,0)-VLOOKUP($F$7,目标属性!$A:$R,5,FALSE))/100)</f>
        <v>0.3925</v>
      </c>
      <c r="U76" s="100">
        <f>$E$5+IF(VLOOKUP($E76,武器奇术!$A:$R,18,FALSE)="鼠鼠",0.24,0)</f>
        <v>0.24</v>
      </c>
      <c r="V76" s="91">
        <v>1</v>
      </c>
      <c r="W76" s="92">
        <f>Q76*VLOOKUP($E76,武器奇术!$A:$R,2,FALSE)*(1+T76)*(1+U76)*V76</f>
        <v>1721.3558635</v>
      </c>
      <c r="X76" s="93">
        <f>(1-IF(VLOOKUP($E76,武器奇术!$A:$R,16,FALSE)="陌刀",1,$N76))*(1-$M76)</f>
        <v>0</v>
      </c>
      <c r="Y76" s="92">
        <f>R76*VLOOKUP($E76,武器奇术!$A:$R,2,FALSE)*(1+T76)*(1+U76)*V76*(1+$E$16+VLOOKUP($E76,武器奇术!$A:$R,8,FALSE))</f>
        <v>3260.248005469</v>
      </c>
      <c r="Z76" s="93">
        <f t="shared" si="61"/>
        <v>0.8135</v>
      </c>
      <c r="AA76" s="92">
        <f>S76*VLOOKUP($E76,武器奇术!$A:$R,2,FALSE)*(1+T76)*(1+U76)*V76*(1+$E$17+VLOOKUP($E76,武器奇术!$A:$R,10,FALSE))</f>
        <v>2323.830415725</v>
      </c>
      <c r="AB76" s="93">
        <f t="shared" si="62"/>
        <v>0.0986</v>
      </c>
      <c r="AC76" s="92">
        <f>R76*VLOOKUP($E76,武器奇术!$A:$R,2,FALSE)*(1+T76)*(1+U76)*V76</f>
        <v>1721.3558635</v>
      </c>
      <c r="AD76" s="93">
        <f t="shared" si="63"/>
        <v>0.0879</v>
      </c>
      <c r="AE76" s="101">
        <f t="shared" si="64"/>
        <v>3032.64861184117</v>
      </c>
      <c r="AF76" s="102">
        <f>VLOOKUP($E76,武器奇术!$A:$R,3,FALSE)*(1+IF(VLOOKUP($E76,武器奇术!$A:$R,15,FALSE)="武器",$E$15,0))</f>
        <v>0</v>
      </c>
      <c r="AG76" s="92">
        <f t="shared" si="65"/>
        <v>0</v>
      </c>
      <c r="AH76" s="92">
        <f>VLOOKUP($E76,武器奇术!$A:$R,3,FALSE)*(1+IF(VLOOKUP($E76,武器奇术!$A:$R,15,FALSE)="武器",$E$15,0))</f>
        <v>0</v>
      </c>
      <c r="AI76" s="93">
        <f>IF(($D$5+VLOOKUP($E76,武器奇术!$A:$R,13,FALSE)+IF($I$3="√",10,0)-VLOOKUP($F$7,目标属性!$A:$R,5,FALSE))&gt;0,($D$5+VLOOKUP($E76,武器奇术!$A:$R,13,FALSE)+IF($I$3="√",10,0)-VLOOKUP($F$7,目标属性!$A:$R,5,FALSE))/200,($D$5+VLOOKUP($E76,武器奇术!$A:$R,13,FALSE)+IF($I$3="√",10,0)-VLOOKUP($F$7,目标属性!$A:$R,5,FALSE))/100)</f>
        <v>0.3925</v>
      </c>
      <c r="AJ76" s="100">
        <f>$E$5+IF(VLOOKUP($E76,武器奇术!$A:$R,18,FALSE)="鼠鼠",0.24,0)</f>
        <v>0.24</v>
      </c>
      <c r="AK76" s="91">
        <v>1</v>
      </c>
      <c r="AL76" s="92">
        <f t="shared" si="66"/>
        <v>0</v>
      </c>
      <c r="AM76" s="93">
        <f>(1-IF(VLOOKUP($E76,武器奇术!$A:$R,16,FALSE)="陌刀",1,$N76))*(1-$M76)</f>
        <v>0</v>
      </c>
      <c r="AN76" s="92">
        <f>AG76*(1+AI76)*(1+AJ76)*AK76*(1+$E$16+VLOOKUP($E76,武器奇术!$A:$R,8,FALSE))</f>
        <v>0</v>
      </c>
      <c r="AO76" s="93">
        <f t="shared" si="1"/>
        <v>0.8135</v>
      </c>
      <c r="AP76" s="92">
        <f>AH76*(1+AI76)*(1+AJ76)*AK76*(1+$E$17+VLOOKUP($E76,武器奇术!$A:$R,10,FALSE))</f>
        <v>0</v>
      </c>
      <c r="AQ76" s="93">
        <f t="shared" si="2"/>
        <v>0.0986</v>
      </c>
      <c r="AR76" s="92">
        <f t="shared" si="67"/>
        <v>0</v>
      </c>
      <c r="AS76" s="93">
        <f t="shared" si="68"/>
        <v>0.0879</v>
      </c>
      <c r="AT76" s="101">
        <f t="shared" si="69"/>
        <v>0</v>
      </c>
      <c r="AU76" s="99">
        <f>IF(VLOOKUP($E76,武器奇术!$A:$R,18,FALSE)="极乐",0,$B$7*IF($G$5="撼天",1.05,1)+IF(AND(VLOOKUP($E76,武器奇术!$A:$R,15,FALSE)="武器",VLOOKUP($E76,武器奇术!$A:$R,17,FALSE)="鸣金"),$E$3*(1+$E$15),0))</f>
        <v>0</v>
      </c>
      <c r="AV76" s="91">
        <f t="shared" si="70"/>
        <v>0</v>
      </c>
      <c r="AW76" s="91">
        <f>IF(VLOOKUP($E76,武器奇术!$A:$R,18,FALSE)="极乐",0,MAX($C$7*IF($G$5="撼天",1.05,1)+IF(AND(VLOOKUP($E76,武器奇术!$A:$R,15,FALSE)="武器",VLOOKUP($E76,武器奇术!$A:$R,17,FALSE)="鸣金"),$E$3*(1+$E$15),0),AU76))</f>
        <v>0</v>
      </c>
      <c r="AX76" s="93">
        <f>IF(($D$7+IF(VLOOKUP($E76,武器奇术!$A:$R,17,FALSE)="鸣金",$D$15,0)-VLOOKUP($F$7,目标属性!$A:$R,6,FALSE))&gt;0,($D$7+IF(VLOOKUP($E76,武器奇术!$A:$R,17,FALSE)="鸣金",$D$15,0)-VLOOKUP($F$7,目标属性!$A:$R,6,FALSE))/200,($D$7+IF(VLOOKUP($E76,武器奇术!$A:$R,17,FALSE)="鸣金",$D$15,0)-VLOOKUP($F$7,目标属性!$A:$R,6,FALSE))/100)</f>
        <v>-0.24</v>
      </c>
      <c r="AY76" s="100">
        <f t="shared" si="85"/>
        <v>0</v>
      </c>
      <c r="AZ76" s="91">
        <v>1</v>
      </c>
      <c r="BA76" s="92">
        <f>AU76*IF(VLOOKUP($E76,武器奇术!$A:$R,17,FALSE)="鸣金",VLOOKUP($E76,武器奇术!$A:$R,4,FALSE),VLOOKUP($E76,武器奇术!$A:$R,2,FALSE))*(1+AX76)*(1+AY76)*AZ76</f>
        <v>0</v>
      </c>
      <c r="BB76" s="93">
        <f>(1-IF(VLOOKUP($E76,武器奇术!$A:$R,16,FALSE)="陌刀",1,$N76))*(1-$M76)</f>
        <v>0</v>
      </c>
      <c r="BC76" s="92">
        <f>AV76*IF(VLOOKUP($E76,武器奇术!$A:$R,17,FALSE)="鸣金",VLOOKUP($E76,武器奇术!$A:$R,4,FALSE),VLOOKUP($E76,武器奇术!$A:$R,2,FALSE))*(1+AX76)*(1+AY76)*AZ76*(1+$E$16+VLOOKUP($E76,武器奇术!$A:$R,8,FALSE))</f>
        <v>0</v>
      </c>
      <c r="BD76" s="93">
        <f t="shared" si="3"/>
        <v>0.8135</v>
      </c>
      <c r="BE76" s="92">
        <f>AW76*IF(VLOOKUP($E76,武器奇术!$A:$R,17,FALSE)="鸣金",VLOOKUP($E76,武器奇术!$A:$R,4,FALSE),VLOOKUP($E76,武器奇术!$A:$R,2,FALSE))*(1+AX76)*(1+AY76)*AZ76*(1+$E$17+VLOOKUP($E76,武器奇术!$A:$R,10,FALSE))</f>
        <v>0</v>
      </c>
      <c r="BF76" s="93">
        <f t="shared" si="4"/>
        <v>0.0986</v>
      </c>
      <c r="BG76" s="92">
        <f>AV76*IF(VLOOKUP($E76,武器奇术!$A:$R,17,FALSE)="鸣金",VLOOKUP($E76,武器奇术!$A:$R,4,FALSE),VLOOKUP($E76,武器奇术!$A:$R,2,FALSE))*(1+AX76)*(1+AY76)*AZ76</f>
        <v>0</v>
      </c>
      <c r="BH76" s="93">
        <f t="shared" si="71"/>
        <v>0.0879</v>
      </c>
      <c r="BI76" s="101">
        <f t="shared" si="72"/>
        <v>0</v>
      </c>
      <c r="BJ76" s="99">
        <f>IF(VLOOKUP($E76,武器奇术!$A:$R,18,FALSE)="极乐",0,$B$9*IF($G$5="撼天",1.05,1)+IF(AND(VLOOKUP($E76,武器奇术!$A:$R,15,FALSE)="武器",VLOOKUP($E76,武器奇术!$A:$R,17,FALSE)="裂石"),$E$3*(1+$E$15),0))</f>
        <v>0</v>
      </c>
      <c r="BK76" s="91">
        <f t="shared" si="73"/>
        <v>0</v>
      </c>
      <c r="BL76" s="91">
        <f>IF(VLOOKUP($E76,武器奇术!$A:$R,18,FALSE)="极乐",0,MAX($C$9*IF($G$5="撼天",1.05,1)+IF(AND(VLOOKUP($E76,武器奇术!$A:$R,15,FALSE)="武器",VLOOKUP($E76,武器奇术!$A:$R,17,FALSE)="裂石"),$E$3*(1+$E$15),0),BJ76))</f>
        <v>0</v>
      </c>
      <c r="BM76" s="93">
        <f>IF(($D$9+IF(VLOOKUP($E76,武器奇术!$A:$R,17,FALSE)="裂石",$D$15,0)-VLOOKUP($F$7,目标属性!$A:$R,6,FALSE))&gt;0,($D$9+IF(VLOOKUP($E76,武器奇术!$A:$R,17,FALSE)="裂石",$D$15,0)-VLOOKUP($F$7,目标属性!$A:$R,6,FALSE))/200,($D$9+IF(VLOOKUP($E76,武器奇术!$A:$R,17,FALSE)="裂石",$D$15,0)-VLOOKUP($F$7,目标属性!$A:$R,6,FALSE))/100)</f>
        <v>-0.24</v>
      </c>
      <c r="BN76" s="100">
        <f t="shared" si="86"/>
        <v>0</v>
      </c>
      <c r="BO76" s="91">
        <v>1</v>
      </c>
      <c r="BP76" s="92">
        <f>BJ76*IF(VLOOKUP($E76,武器奇术!$A:$R,17,FALSE)="裂石",VLOOKUP($E76,武器奇术!$A:$R,4,FALSE),VLOOKUP($E76,武器奇术!$A:$R,2,FALSE))*(1+BM76)*(1+BN76)*BO76</f>
        <v>0</v>
      </c>
      <c r="BQ76" s="93">
        <f>(1-IF(VLOOKUP($E76,武器奇术!$A:$R,16,FALSE)="陌刀",1,$N76))*(1-$M76)</f>
        <v>0</v>
      </c>
      <c r="BR76" s="92">
        <f>BK76*IF(VLOOKUP($E76,武器奇术!$A:$R,17,FALSE)="裂石",VLOOKUP($E76,武器奇术!$A:$R,4,FALSE),VLOOKUP($E76,武器奇术!$A:$R,2,FALSE))*(1+BM76)*(1+BN76)*BO76*(1+$E$16+VLOOKUP($E76,武器奇术!$A:$R,8,FALSE))</f>
        <v>0</v>
      </c>
      <c r="BS76" s="93">
        <f t="shared" si="5"/>
        <v>0.8135</v>
      </c>
      <c r="BT76" s="92">
        <f>BL76*IF(VLOOKUP($E76,武器奇术!$A:$R,17,FALSE)="裂石",VLOOKUP($E76,武器奇术!$A:$R,4,FALSE),VLOOKUP($E76,武器奇术!$A:$R,2,FALSE))*(1+BM76)*(1+BN76)*BO76*(1+$E$17+VLOOKUP($E76,武器奇术!$A:$R,10,FALSE))</f>
        <v>0</v>
      </c>
      <c r="BU76" s="93">
        <f t="shared" si="6"/>
        <v>0.0986</v>
      </c>
      <c r="BV76" s="92">
        <f>BK76*IF(VLOOKUP($E76,武器奇术!$A:$R,17,FALSE)="裂石",VLOOKUP($E76,武器奇术!$A:$R,4,FALSE),VLOOKUP($E76,武器奇术!$A:$R,2,FALSE))*(1+BM76)*(1+BN76)*BO76</f>
        <v>0</v>
      </c>
      <c r="BW76" s="93">
        <f t="shared" si="74"/>
        <v>0.0879</v>
      </c>
      <c r="BX76" s="101">
        <f t="shared" si="75"/>
        <v>0</v>
      </c>
      <c r="BY76" s="99">
        <f>IF(VLOOKUP($E76,武器奇术!$A:$R,18,FALSE)="极乐",0,$B$11*IF($G$5="撼天",1.05,1)+IF(AND(VLOOKUP($E76,武器奇术!$A:$R,15,FALSE)="武器",VLOOKUP($E76,武器奇术!$A:$R,17,FALSE)="牵丝"),$E$3*(1+$E$15),0))</f>
        <v>0</v>
      </c>
      <c r="BZ76" s="91">
        <f t="shared" si="76"/>
        <v>0</v>
      </c>
      <c r="CA76" s="91">
        <f>IF(VLOOKUP($E76,武器奇术!$A:$R,18,FALSE)="极乐",0,MAX($C$11*IF($G$5="撼天",1.05,1)+IF(AND(VLOOKUP($E76,武器奇术!$A:$R,15,FALSE)="武器",VLOOKUP($E76,武器奇术!$A:$R,17,FALSE)="牵丝"),$E$3*(1+$E$15),0),BY76))</f>
        <v>0</v>
      </c>
      <c r="CB76" s="93">
        <f>IF(($D$11+IF(VLOOKUP($E76,武器奇术!$A:$R,17,FALSE)="牵丝",$D$15,0)-VLOOKUP($F$7,目标属性!$A:$R,6,FALSE))&gt;0,($D$11+IF(VLOOKUP($E76,武器奇术!$A:$R,17,FALSE)="牵丝",$D$15,0)-VLOOKUP($F$7,目标属性!$A:$R,6,FALSE))/200,($D$11+IF(VLOOKUP($E76,武器奇术!$A:$R,17,FALSE)="牵丝",$D$15,0)-VLOOKUP($F$7,目标属性!$A:$R,6,FALSE))/100)</f>
        <v>-0.24</v>
      </c>
      <c r="CC76" s="100">
        <f t="shared" si="87"/>
        <v>0</v>
      </c>
      <c r="CD76" s="91">
        <v>1</v>
      </c>
      <c r="CE76" s="92">
        <f>BY76*IF(VLOOKUP($E76,武器奇术!$A:$R,17,FALSE)="牵丝",VLOOKUP($E76,武器奇术!$A:$R,4,FALSE),VLOOKUP($E76,武器奇术!$A:$R,2,FALSE))*(1+CB76)*(1+CC76)*CD76</f>
        <v>0</v>
      </c>
      <c r="CF76" s="93">
        <f>(1-IF(VLOOKUP($E76,武器奇术!$A:$R,16,FALSE)="陌刀",1,$N76))*(1-$M76)</f>
        <v>0</v>
      </c>
      <c r="CG76" s="92">
        <f>BZ76*IF(VLOOKUP($E76,武器奇术!$A:$R,17,FALSE)="牵丝",VLOOKUP($E76,武器奇术!$A:$R,4,FALSE),VLOOKUP($E76,武器奇术!$A:$R,2,FALSE))*(1+CB76)*(1+CC76)*CD76*(1+$E$16+VLOOKUP($E76,武器奇术!$A:$R,8,FALSE))</f>
        <v>0</v>
      </c>
      <c r="CH76" s="93">
        <f t="shared" si="7"/>
        <v>0.8135</v>
      </c>
      <c r="CI76" s="92">
        <f>CA76*IF(VLOOKUP($E76,武器奇术!$A:$R,17,FALSE)="牵丝",VLOOKUP($E76,武器奇术!$A:$R,4,FALSE),VLOOKUP($E76,武器奇术!$A:$R,2,FALSE))*(1+CB76)*(1+CC76)*CD76*(1+$E$17+VLOOKUP($E76,武器奇术!$A:$R,10,FALSE))</f>
        <v>0</v>
      </c>
      <c r="CJ76" s="93">
        <f t="shared" si="8"/>
        <v>0.0986</v>
      </c>
      <c r="CK76" s="92">
        <f>BZ76*IF(VLOOKUP($E76,武器奇术!$A:$R,17,FALSE)="牵丝",VLOOKUP($E76,武器奇术!$A:$R,4,FALSE),VLOOKUP($E76,武器奇术!$A:$R,2,FALSE))*(1+CB76)*(1+CC76)*CD76</f>
        <v>0</v>
      </c>
      <c r="CL76" s="93">
        <f t="shared" si="77"/>
        <v>0.0879</v>
      </c>
      <c r="CM76" s="101">
        <f t="shared" si="78"/>
        <v>0</v>
      </c>
      <c r="CN76" s="99">
        <f>IF(VLOOKUP($E76,武器奇术!$A:$R,18,FALSE)="极乐",0,$B$13*IF($G$5="撼天",1.05,1)+IF(AND(VLOOKUP($E76,武器奇术!$A:$R,15,FALSE)="武器",VLOOKUP($E76,武器奇术!$A:$R,17,FALSE)="破竹"),$E$3*(1+$E$15),0))</f>
        <v>490.8</v>
      </c>
      <c r="CO76" s="91">
        <f t="shared" si="79"/>
        <v>856.3</v>
      </c>
      <c r="CP76" s="91">
        <f>IF(VLOOKUP($E76,武器奇术!$A:$R,18,FALSE)="极乐",0,MAX($C$13*IF($G$5="撼天",1.05,1)+IF(AND(VLOOKUP($E76,武器奇术!$A:$R,15,FALSE)="武器",VLOOKUP($E76,武器奇术!$A:$R,17,FALSE)="破竹"),$E$3*(1+$E$15),0),CN76))</f>
        <v>1221.8</v>
      </c>
      <c r="CQ76" s="93">
        <f>IF(($D$13+IF(VLOOKUP($E76,武器奇术!$A:$R,17,FALSE)="破竹",$D$15,0)-VLOOKUP($F$7,目标属性!$A:$R,6,FALSE)+IF(VLOOKUP($E76,武器奇术!$A:$V,22,FALSE)=1,4,0)+IF(VLOOKUP($E76,武器奇术!$A:$T,20,FALSE)=1,10,0))&gt;0,($D$13+IF(VLOOKUP($E76,武器奇术!$A:$R,17,FALSE)="破竹",$D$15,0)-VLOOKUP($F$7,目标属性!$A:$R,6,FALSE)+IF(VLOOKUP($E76,武器奇术!$A:$V,22,FALSE)=1,4,0)+IF(VLOOKUP($E76,武器奇术!$A:$T,20,FALSE)=1,10,0))/200,($D$13+IF(VLOOKUP($E76,武器奇术!$A:$R,17,FALSE)="破竹",$D$15,0)-VLOOKUP($F$7,目标属性!$A:$R,6,FALSE)+IF(VLOOKUP($E76,武器奇术!$A:$V,22,FALSE)=1,4,0)+IF(VLOOKUP($E76,武器奇术!$A:$T,20,FALSE)=1,10,0))/100)</f>
        <v>0.028</v>
      </c>
      <c r="CR76" s="100">
        <f t="shared" si="83"/>
        <v>0.148</v>
      </c>
      <c r="CS76" s="91">
        <v>1</v>
      </c>
      <c r="CT76" s="92">
        <f>CN76*IF(VLOOKUP($E76,武器奇术!$A:$R,17,FALSE)="破竹",VLOOKUP($E76,武器奇术!$A:$R,4,FALSE),VLOOKUP($E76,武器奇术!$A:$R,2,FALSE))*(1+CQ76)*(1+CR76)*CS76</f>
        <v>304.08770448</v>
      </c>
      <c r="CU76" s="93">
        <f>(1-IF(VLOOKUP($E76,武器奇术!$A:$R,16,FALSE)="陌刀",1,$N76))*(1-$M76)</f>
        <v>0</v>
      </c>
      <c r="CV76" s="92">
        <f>CO76*IF(VLOOKUP($E76,武器奇术!$A:$R,17,FALSE)="破竹",VLOOKUP($E76,武器奇术!$A:$R,4,FALSE),VLOOKUP($E76,武器奇术!$A:$R,2,FALSE))*(1+CQ76)*(1+CR76)*CS76*(1+$E$16+VLOOKUP($E76,武器奇术!$A:$R,8,FALSE))</f>
        <v>1004.84765841432</v>
      </c>
      <c r="CW76" s="93">
        <f t="shared" si="9"/>
        <v>0.8135</v>
      </c>
      <c r="CX76" s="92">
        <f>CP76*IF(VLOOKUP($E76,武器奇术!$A:$R,17,FALSE)="破竹",VLOOKUP($E76,武器奇术!$A:$R,4,FALSE),VLOOKUP($E76,武器奇术!$A:$R,2,FALSE))*(1+CQ76)*(1+CR76)*CS76*(1+$E$17+VLOOKUP($E76,武器奇术!$A:$R,10,FALSE))</f>
        <v>1021.946581908</v>
      </c>
      <c r="CY76" s="93">
        <f t="shared" si="10"/>
        <v>0.0986</v>
      </c>
      <c r="CZ76" s="92">
        <f>CO76*IF(VLOOKUP($E76,武器奇术!$A:$R,17,FALSE)="破竹",VLOOKUP($E76,武器奇术!$A:$R,4,FALSE),VLOOKUP($E76,武器奇术!$A:$R,2,FALSE))*(1+CQ76)*(1+CR76)*CS76</f>
        <v>530.54258628</v>
      </c>
      <c r="DA76" s="93">
        <f t="shared" si="80"/>
        <v>0.0879</v>
      </c>
      <c r="DB76" s="101">
        <f t="shared" si="81"/>
        <v>964.84219643019</v>
      </c>
      <c r="DC76" s="99">
        <f>IF(VLOOKUP($E76,武器奇术!$A:$R,18,FALSE)="极乐",0,$B$15)</f>
        <v>66</v>
      </c>
      <c r="DD76" s="91">
        <f t="shared" si="82"/>
        <v>95.9</v>
      </c>
      <c r="DE76" s="91">
        <f>IF(VLOOKUP($E76,武器奇术!$A:$R,18,FALSE)="极乐",0,$C$15)</f>
        <v>125.8</v>
      </c>
      <c r="DF76" s="93">
        <f>IF((IF(VLOOKUP($E76,武器奇术!$A:$R,17,FALSE)="鸣金",$D$7,0)+IF(VLOOKUP($E76,武器奇术!$A:$R,17,FALSE)="裂石",$D$9,0)+IF(VLOOKUP($E76,武器奇术!$A:$R,17,FALSE)="牵丝",$D$11,0)+IF(VLOOKUP($E76,武器奇术!$A:$R,17,FALSE)="破竹",$D$13,0)+$D$15-VLOOKUP($F$7,目标属性!$A:$R,6,FALSE)+IF(VLOOKUP($E76,武器奇术!$A:$V,22,FALSE)=1,4,0)+IF(VLOOKUP($E76,武器奇术!$A:$T,20,FALSE)=1,10,0))&gt;0,(IF(VLOOKUP($E76,武器奇术!$A:$R,17,FALSE)="鸣金",$D$7,0)+IF(VLOOKUP($E76,武器奇术!$A:$R,17,FALSE)="裂石",$D$9,0)+IF(VLOOKUP($E76,武器奇术!$A:$R,17,FALSE)="牵丝",$D$11,0)+IF(VLOOKUP($E76,武器奇术!$A:$R,17,FALSE)="破竹",$D$13,0)+$D$15-VLOOKUP($F$7,目标属性!$A:$R,6,FALSE)+IF(VLOOKUP($E76,武器奇术!$A:$V,22,FALSE)=1,4,0)+IF(VLOOKUP($E76,武器奇术!$A:$T,20,FALSE)=1,10,0))/200,(IF(VLOOKUP($E76,武器奇术!$A:$R,17,FALSE)="鸣金",$D$7,0)+IF(VLOOKUP($E76,武器奇术!$A:$R,17,FALSE)="裂石",$D$9,0)+IF(VLOOKUP($E76,武器奇术!$A:$R,17,FALSE)="牵丝",$D$11,0)+IF(VLOOKUP($E76,武器奇术!$A:$R,17,FALSE)="破竹",$D$13,0)+$D$15-VLOOKUP($F$7,目标属性!$A:$R,6,FALSE)+IF(VLOOKUP($E76,武器奇术!$A:$V,22,FALSE)=1,4,0)+IF(VLOOKUP($E76,武器奇术!$A:$T,20,FALSE)=1,10,0))/100)</f>
        <v>0.028</v>
      </c>
      <c r="DG76" s="100">
        <f t="shared" si="54"/>
        <v>0.148</v>
      </c>
      <c r="DH76" s="91">
        <v>1</v>
      </c>
      <c r="DI76" s="92">
        <f>DC76*IF(VLOOKUP($E76,武器奇术!$A:$R,17,FALSE)="破竹",VLOOKUP($E76,武器奇术!$A:$R,4,FALSE),VLOOKUP($E76,武器奇术!$A:$R,2,FALSE))*(1+DF76)*(1+DG76)*DH76</f>
        <v>40.8919896</v>
      </c>
      <c r="DJ76" s="93">
        <f>(1-IF(VLOOKUP($E76,武器奇术!$A:$R,16,FALSE)="陌刀",1,$N76))*(1-$M76)</f>
        <v>0</v>
      </c>
      <c r="DK76" s="92">
        <f>DD76*IF(VLOOKUP($E76,武器奇术!$A:$R,17,FALSE)="破竹",VLOOKUP($E76,武器奇术!$A:$R,4,FALSE),VLOOKUP($E76,武器奇术!$A:$R,2,FALSE))*(1+DF76)*(1+DG76)*DH76*(1+$E$16+VLOOKUP($E76,武器奇术!$A:$R,8,FALSE))</f>
        <v>112.53636627576</v>
      </c>
      <c r="DL76" s="93">
        <f t="shared" si="12"/>
        <v>0.8135</v>
      </c>
      <c r="DM76" s="92">
        <f>DE76*IF(VLOOKUP($E76,武器奇术!$A:$R,17,FALSE)="破竹",VLOOKUP($E76,武器奇术!$A:$R,4,FALSE),VLOOKUP($E76,武器奇术!$A:$R,2,FALSE))*(1+DF76)*(1+DG76)*DH76*(1+$E$17+VLOOKUP($E76,武器奇术!$A:$R,10,FALSE))</f>
        <v>105.222524148</v>
      </c>
      <c r="DN76" s="93">
        <f t="shared" si="13"/>
        <v>0.0986</v>
      </c>
      <c r="DO76" s="92">
        <f>DD76*IF(VLOOKUP($E76,武器奇术!$A:$R,17,FALSE)="破竹",VLOOKUP($E76,武器奇术!$A:$R,4,FALSE),VLOOKUP($E76,武器奇术!$A:$R,2,FALSE))*(1+DF76)*(1+DG76)*DH76</f>
        <v>59.41730004</v>
      </c>
      <c r="DP76" s="93">
        <f t="shared" si="14"/>
        <v>0.0879</v>
      </c>
      <c r="DQ76" s="101">
        <f t="shared" si="15"/>
        <v>107.14605551984</v>
      </c>
    </row>
    <row r="77" customFormat="1" spans="1:121">
      <c r="A77" s="33"/>
      <c r="B77" s="130" t="s">
        <v>158</v>
      </c>
      <c r="C77">
        <v>0.6</v>
      </c>
      <c r="D77"/>
      <c r="E77" s="105" t="s">
        <v>161</v>
      </c>
      <c r="F77" s="123">
        <f>IF($K$3="×",0,(F73*5+F74+F75*2+F76)*0.15/3.5)</f>
        <v>0</v>
      </c>
      <c r="G77" s="107"/>
      <c r="H77" s="92">
        <f>IF(VLOOKUP($E77,武器奇术!$A:$R,18,FALSE)="天工",AE77,(AE77+AT77+BI77+BX77+CM77+DB77+DQ77))*(1+J77)*F77*K77*(1+G77)</f>
        <v>0</v>
      </c>
      <c r="I77" s="93">
        <f t="shared" si="58"/>
        <v>0</v>
      </c>
      <c r="J77" s="93">
        <f>$F$3+VLOOKUP($E77,武器奇术!$A:$R,12,FALSE)+VLOOKUP($E77,武器奇术!$A:$R,14,FALSE)*$G$3+$P77</f>
        <v>0.403</v>
      </c>
      <c r="K77" s="94">
        <f>VLOOKUP($E77,武器奇术!$A:$R,11,FALSE)</f>
        <v>1</v>
      </c>
      <c r="L77" s="109">
        <f>IF(VLOOKUP($E77,武器奇术!$A:$R,15,FALSE)="天工",0%,IF($C$17+VLOOKUP($E77,武器奇术!$A:$R,7,FALSE)&gt;80%,80%,$C$17+VLOOKUP($E77,武器奇术!$A:$R,7,FALSE))+IF($C$19&gt;20%,20%,$C$19))</f>
        <v>0.8135</v>
      </c>
      <c r="M77" s="110">
        <f>IF(VLOOKUP($E77,武器奇术!$A:$R,15,FALSE)="天工",0%,IF($C$18+VLOOKUP($E77,武器奇术!$A:$R,9,FALSE)&gt;40%,40%,$C$18+VLOOKUP($E77,武器奇术!$A:$R,9,FALSE))+IF($C$20&gt;10%,10%,$C$20))</f>
        <v>0.0986</v>
      </c>
      <c r="N77" s="111">
        <f>IF(VLOOKUP($E77,武器奇术!$A:$R,15,FALSE)="天工",100%,MIN($C$16,1))</f>
        <v>1</v>
      </c>
      <c r="O77" s="112" t="str">
        <f>VLOOKUP($E77,武器奇术!$A:$R,16,FALSE)</f>
        <v>N/A</v>
      </c>
      <c r="P77" s="113">
        <f t="shared" si="59"/>
        <v>0</v>
      </c>
      <c r="Q77" s="99">
        <f>$B$5*(1+VLOOKUP($E77,武器奇术!$A:$R,5,FALSE)+IF($G$5="飞隼",0.1,0)+IF($G$5="撼天",0.05,0))-$F$9*IF(VLOOKUP($E77,武器奇术!$A:$S,19,FALSE)=1,0.9,1)+IF($I$5="√",160,0)</f>
        <v>2848.3</v>
      </c>
      <c r="R77" s="91">
        <f t="shared" si="60"/>
        <v>2848.3</v>
      </c>
      <c r="S77" s="91">
        <f>MAX($C$5,$B$5)*(1+VLOOKUP($E77,武器奇术!$A:$R,5,FALSE)+IF($G$5="飞隼",0.1,0)+IF($G$5="撼天",0.05,0))-$F$9*IF(VLOOKUP($E77,武器奇术!$A:$S,19,FALSE)=1,0.9,1)+IF($I$5="√",320,0)</f>
        <v>2848.3</v>
      </c>
      <c r="T77" s="93">
        <f>IF(($D$5+VLOOKUP($E77,武器奇术!$A:$R,13,FALSE)+IF($I$3="√",10,0)-VLOOKUP($F$7,目标属性!$A:$R,5,FALSE))&gt;0,($D$5+VLOOKUP($E77,武器奇术!$A:$R,13,FALSE)+IF($I$3="√",10,0)-VLOOKUP($F$7,目标属性!$A:$R,5,FALSE))/200,($D$5+VLOOKUP($E77,武器奇术!$A:$R,13,FALSE)+IF($I$3="√",10,0)-VLOOKUP($F$7,目标属性!$A:$R,5,FALSE))/100)</f>
        <v>0.3925</v>
      </c>
      <c r="U77" s="100">
        <f>$E$5+IF(VLOOKUP($E77,武器奇术!$A:$R,18,FALSE)="鼠鼠",0.24,0)</f>
        <v>0</v>
      </c>
      <c r="V77" s="91">
        <v>1</v>
      </c>
      <c r="W77" s="92">
        <f>Q77*VLOOKUP($E77,武器奇术!$A:$R,2,FALSE)*(1+T77)*(1+U77)*V77</f>
        <v>7932.5155</v>
      </c>
      <c r="X77" s="93">
        <f>(1-IF(VLOOKUP($E77,武器奇术!$A:$R,16,FALSE)="陌刀",1,$N77))*(1-$M77)</f>
        <v>0</v>
      </c>
      <c r="Y77" s="92">
        <f>R77*VLOOKUP($E77,武器奇术!$A:$R,2,FALSE)*(1+T77)*(1+U77)*V77*(1+$E$16+VLOOKUP($E77,武器奇术!$A:$R,8,FALSE))</f>
        <v>15024.184357</v>
      </c>
      <c r="Z77" s="93">
        <f t="shared" si="61"/>
        <v>0.8135</v>
      </c>
      <c r="AA77" s="92">
        <f>S77*VLOOKUP($E77,武器奇术!$A:$R,2,FALSE)*(1+T77)*(1+U77)*V77*(1+$E$17+VLOOKUP($E77,武器奇术!$A:$R,10,FALSE))</f>
        <v>10708.895925</v>
      </c>
      <c r="AB77" s="93">
        <f t="shared" si="62"/>
        <v>0.0986</v>
      </c>
      <c r="AC77" s="92">
        <f>R77*VLOOKUP($E77,武器奇术!$A:$R,2,FALSE)*(1+T77)*(1+U77)*V77</f>
        <v>7932.5155</v>
      </c>
      <c r="AD77" s="93">
        <f t="shared" si="63"/>
        <v>0.0879</v>
      </c>
      <c r="AE77" s="101">
        <f t="shared" si="64"/>
        <v>13975.3392250745</v>
      </c>
      <c r="AF77" s="102">
        <f>VLOOKUP($E77,武器奇术!$A:$R,3,FALSE)*(1+IF(VLOOKUP($E77,武器奇术!$A:$R,15,FALSE)="武器",$E$15,0))</f>
        <v>0</v>
      </c>
      <c r="AG77" s="92">
        <f t="shared" si="65"/>
        <v>0</v>
      </c>
      <c r="AH77" s="92">
        <f>VLOOKUP($E77,武器奇术!$A:$R,3,FALSE)*(1+IF(VLOOKUP($E77,武器奇术!$A:$R,15,FALSE)="武器",$E$15,0))</f>
        <v>0</v>
      </c>
      <c r="AI77" s="93">
        <f>IF(($D$5+VLOOKUP($E77,武器奇术!$A:$R,13,FALSE)+IF($I$3="√",10,0)-VLOOKUP($F$7,目标属性!$A:$R,5,FALSE))&gt;0,($D$5+VLOOKUP($E77,武器奇术!$A:$R,13,FALSE)+IF($I$3="√",10,0)-VLOOKUP($F$7,目标属性!$A:$R,5,FALSE))/200,($D$5+VLOOKUP($E77,武器奇术!$A:$R,13,FALSE)+IF($I$3="√",10,0)-VLOOKUP($F$7,目标属性!$A:$R,5,FALSE))/100)</f>
        <v>0.3925</v>
      </c>
      <c r="AJ77" s="100">
        <f>$E$5+IF(VLOOKUP($E77,武器奇术!$A:$R,18,FALSE)="鼠鼠",0.24,0)</f>
        <v>0</v>
      </c>
      <c r="AK77" s="91">
        <v>1</v>
      </c>
      <c r="AL77" s="92">
        <f t="shared" si="66"/>
        <v>0</v>
      </c>
      <c r="AM77" s="93">
        <f>(1-IF(VLOOKUP($E77,武器奇术!$A:$R,16,FALSE)="陌刀",1,$N77))*(1-$M77)</f>
        <v>0</v>
      </c>
      <c r="AN77" s="92">
        <f>AG77*(1+AI77)*(1+AJ77)*AK77*(1+$E$16+VLOOKUP($E77,武器奇术!$A:$R,8,FALSE))</f>
        <v>0</v>
      </c>
      <c r="AO77" s="93">
        <f t="shared" si="1"/>
        <v>0.8135</v>
      </c>
      <c r="AP77" s="92">
        <f>AH77*(1+AI77)*(1+AJ77)*AK77*(1+$E$17+VLOOKUP($E77,武器奇术!$A:$R,10,FALSE))</f>
        <v>0</v>
      </c>
      <c r="AQ77" s="93">
        <f t="shared" si="2"/>
        <v>0.0986</v>
      </c>
      <c r="AR77" s="92">
        <f t="shared" si="67"/>
        <v>0</v>
      </c>
      <c r="AS77" s="93">
        <f t="shared" si="68"/>
        <v>0.0879</v>
      </c>
      <c r="AT77" s="101">
        <f t="shared" si="69"/>
        <v>0</v>
      </c>
      <c r="AU77" s="99">
        <f>IF(VLOOKUP($E77,武器奇术!$A:$R,18,FALSE)="极乐",0,$B$7*IF($G$5="撼天",1.05,1)+IF(AND(VLOOKUP($E77,武器奇术!$A:$R,15,FALSE)="武器",VLOOKUP($E77,武器奇术!$A:$R,17,FALSE)="鸣金"),$E$3*(1+$E$15),0))</f>
        <v>0</v>
      </c>
      <c r="AV77" s="91">
        <f t="shared" si="70"/>
        <v>0</v>
      </c>
      <c r="AW77" s="91">
        <f>IF(VLOOKUP($E77,武器奇术!$A:$R,18,FALSE)="极乐",0,MAX($C$7*IF($G$5="撼天",1.05,1)+IF(AND(VLOOKUP($E77,武器奇术!$A:$R,15,FALSE)="武器",VLOOKUP($E77,武器奇术!$A:$R,17,FALSE)="鸣金"),$E$3*(1+$E$15),0),AU77))</f>
        <v>0</v>
      </c>
      <c r="AX77" s="93">
        <f>IF(($D$7+IF(VLOOKUP($E77,武器奇术!$A:$R,17,FALSE)="鸣金",$D$15,0)-VLOOKUP($F$7,目标属性!$A:$R,6,FALSE))&gt;0,($D$7+IF(VLOOKUP($E77,武器奇术!$A:$R,17,FALSE)="鸣金",$D$15,0)-VLOOKUP($F$7,目标属性!$A:$R,6,FALSE))/200,($D$7+IF(VLOOKUP($E77,武器奇术!$A:$R,17,FALSE)="鸣金",$D$15,0)-VLOOKUP($F$7,目标属性!$A:$R,6,FALSE))/100)</f>
        <v>-0.24</v>
      </c>
      <c r="AY77" s="100">
        <f t="shared" si="85"/>
        <v>0</v>
      </c>
      <c r="AZ77" s="91">
        <v>1</v>
      </c>
      <c r="BA77" s="92">
        <f>AU77*IF(VLOOKUP($E77,武器奇术!$A:$R,17,FALSE)="鸣金",VLOOKUP($E77,武器奇术!$A:$R,4,FALSE),VLOOKUP($E77,武器奇术!$A:$R,2,FALSE))*(1+AX77)*(1+AY77)*AZ77</f>
        <v>0</v>
      </c>
      <c r="BB77" s="93">
        <f>(1-IF(VLOOKUP($E77,武器奇术!$A:$R,16,FALSE)="陌刀",1,$N77))*(1-$M77)</f>
        <v>0</v>
      </c>
      <c r="BC77" s="92">
        <f>AV77*IF(VLOOKUP($E77,武器奇术!$A:$R,17,FALSE)="鸣金",VLOOKUP($E77,武器奇术!$A:$R,4,FALSE),VLOOKUP($E77,武器奇术!$A:$R,2,FALSE))*(1+AX77)*(1+AY77)*AZ77*(1+$E$16+VLOOKUP($E77,武器奇术!$A:$R,8,FALSE))</f>
        <v>0</v>
      </c>
      <c r="BD77" s="93">
        <f t="shared" si="3"/>
        <v>0.8135</v>
      </c>
      <c r="BE77" s="92">
        <f>AW77*IF(VLOOKUP($E77,武器奇术!$A:$R,17,FALSE)="鸣金",VLOOKUP($E77,武器奇术!$A:$R,4,FALSE),VLOOKUP($E77,武器奇术!$A:$R,2,FALSE))*(1+AX77)*(1+AY77)*AZ77*(1+$E$17+VLOOKUP($E77,武器奇术!$A:$R,10,FALSE))</f>
        <v>0</v>
      </c>
      <c r="BF77" s="93">
        <f t="shared" si="4"/>
        <v>0.0986</v>
      </c>
      <c r="BG77" s="92">
        <f>AV77*IF(VLOOKUP($E77,武器奇术!$A:$R,17,FALSE)="鸣金",VLOOKUP($E77,武器奇术!$A:$R,4,FALSE),VLOOKUP($E77,武器奇术!$A:$R,2,FALSE))*(1+AX77)*(1+AY77)*AZ77</f>
        <v>0</v>
      </c>
      <c r="BH77" s="93">
        <f t="shared" si="71"/>
        <v>0.0879</v>
      </c>
      <c r="BI77" s="101">
        <f t="shared" si="72"/>
        <v>0</v>
      </c>
      <c r="BJ77" s="99">
        <f>IF(VLOOKUP($E77,武器奇术!$A:$R,18,FALSE)="极乐",0,$B$9*IF($G$5="撼天",1.05,1)+IF(AND(VLOOKUP($E77,武器奇术!$A:$R,15,FALSE)="武器",VLOOKUP($E77,武器奇术!$A:$R,17,FALSE)="裂石"),$E$3*(1+$E$15),0))</f>
        <v>0</v>
      </c>
      <c r="BK77" s="91">
        <f t="shared" si="73"/>
        <v>0</v>
      </c>
      <c r="BL77" s="91">
        <f>IF(VLOOKUP($E77,武器奇术!$A:$R,18,FALSE)="极乐",0,MAX($C$9*IF($G$5="撼天",1.05,1)+IF(AND(VLOOKUP($E77,武器奇术!$A:$R,15,FALSE)="武器",VLOOKUP($E77,武器奇术!$A:$R,17,FALSE)="裂石"),$E$3*(1+$E$15),0),BJ77))</f>
        <v>0</v>
      </c>
      <c r="BM77" s="93">
        <f>IF(($D$9+IF(VLOOKUP($E77,武器奇术!$A:$R,17,FALSE)="裂石",$D$15,0)-VLOOKUP($F$7,目标属性!$A:$R,6,FALSE))&gt;0,($D$9+IF(VLOOKUP($E77,武器奇术!$A:$R,17,FALSE)="裂石",$D$15,0)-VLOOKUP($F$7,目标属性!$A:$R,6,FALSE))/200,($D$9+IF(VLOOKUP($E77,武器奇术!$A:$R,17,FALSE)="裂石",$D$15,0)-VLOOKUP($F$7,目标属性!$A:$R,6,FALSE))/100)</f>
        <v>-0.24</v>
      </c>
      <c r="BN77" s="100">
        <f t="shared" si="86"/>
        <v>0</v>
      </c>
      <c r="BO77" s="91">
        <v>1</v>
      </c>
      <c r="BP77" s="92">
        <f>BJ77*IF(VLOOKUP($E77,武器奇术!$A:$R,17,FALSE)="裂石",VLOOKUP($E77,武器奇术!$A:$R,4,FALSE),VLOOKUP($E77,武器奇术!$A:$R,2,FALSE))*(1+BM77)*(1+BN77)*BO77</f>
        <v>0</v>
      </c>
      <c r="BQ77" s="93">
        <f>(1-IF(VLOOKUP($E77,武器奇术!$A:$R,16,FALSE)="陌刀",1,$N77))*(1-$M77)</f>
        <v>0</v>
      </c>
      <c r="BR77" s="92">
        <f>BK77*IF(VLOOKUP($E77,武器奇术!$A:$R,17,FALSE)="裂石",VLOOKUP($E77,武器奇术!$A:$R,4,FALSE),VLOOKUP($E77,武器奇术!$A:$R,2,FALSE))*(1+BM77)*(1+BN77)*BO77*(1+$E$16+VLOOKUP($E77,武器奇术!$A:$R,8,FALSE))</f>
        <v>0</v>
      </c>
      <c r="BS77" s="93">
        <f t="shared" si="5"/>
        <v>0.8135</v>
      </c>
      <c r="BT77" s="92">
        <f>BL77*IF(VLOOKUP($E77,武器奇术!$A:$R,17,FALSE)="裂石",VLOOKUP($E77,武器奇术!$A:$R,4,FALSE),VLOOKUP($E77,武器奇术!$A:$R,2,FALSE))*(1+BM77)*(1+BN77)*BO77*(1+$E$17+VLOOKUP($E77,武器奇术!$A:$R,10,FALSE))</f>
        <v>0</v>
      </c>
      <c r="BU77" s="93">
        <f t="shared" si="6"/>
        <v>0.0986</v>
      </c>
      <c r="BV77" s="92">
        <f>BK77*IF(VLOOKUP($E77,武器奇术!$A:$R,17,FALSE)="裂石",VLOOKUP($E77,武器奇术!$A:$R,4,FALSE),VLOOKUP($E77,武器奇术!$A:$R,2,FALSE))*(1+BM77)*(1+BN77)*BO77</f>
        <v>0</v>
      </c>
      <c r="BW77" s="93">
        <f t="shared" si="74"/>
        <v>0.0879</v>
      </c>
      <c r="BX77" s="101">
        <f t="shared" si="75"/>
        <v>0</v>
      </c>
      <c r="BY77" s="99">
        <f>IF(VLOOKUP($E77,武器奇术!$A:$R,18,FALSE)="极乐",0,$B$11*IF($G$5="撼天",1.05,1)+IF(AND(VLOOKUP($E77,武器奇术!$A:$R,15,FALSE)="武器",VLOOKUP($E77,武器奇术!$A:$R,17,FALSE)="牵丝"),$E$3*(1+$E$15),0))</f>
        <v>0</v>
      </c>
      <c r="BZ77" s="91">
        <f t="shared" si="76"/>
        <v>0</v>
      </c>
      <c r="CA77" s="91">
        <f>IF(VLOOKUP($E77,武器奇术!$A:$R,18,FALSE)="极乐",0,MAX($C$11*IF($G$5="撼天",1.05,1)+IF(AND(VLOOKUP($E77,武器奇术!$A:$R,15,FALSE)="武器",VLOOKUP($E77,武器奇术!$A:$R,17,FALSE)="牵丝"),$E$3*(1+$E$15),0),BY77))</f>
        <v>0</v>
      </c>
      <c r="CB77" s="93">
        <f>IF(($D$11+IF(VLOOKUP($E77,武器奇术!$A:$R,17,FALSE)="牵丝",$D$15,0)-VLOOKUP($F$7,目标属性!$A:$R,6,FALSE))&gt;0,($D$11+IF(VLOOKUP($E77,武器奇术!$A:$R,17,FALSE)="牵丝",$D$15,0)-VLOOKUP($F$7,目标属性!$A:$R,6,FALSE))/200,($D$11+IF(VLOOKUP($E77,武器奇术!$A:$R,17,FALSE)="牵丝",$D$15,0)-VLOOKUP($F$7,目标属性!$A:$R,6,FALSE))/100)</f>
        <v>-0.24</v>
      </c>
      <c r="CC77" s="100">
        <f t="shared" si="87"/>
        <v>0</v>
      </c>
      <c r="CD77" s="91">
        <v>1</v>
      </c>
      <c r="CE77" s="92">
        <f>BY77*IF(VLOOKUP($E77,武器奇术!$A:$R,17,FALSE)="牵丝",VLOOKUP($E77,武器奇术!$A:$R,4,FALSE),VLOOKUP($E77,武器奇术!$A:$R,2,FALSE))*(1+CB77)*(1+CC77)*CD77</f>
        <v>0</v>
      </c>
      <c r="CF77" s="93">
        <f>(1-IF(VLOOKUP($E77,武器奇术!$A:$R,16,FALSE)="陌刀",1,$N77))*(1-$M77)</f>
        <v>0</v>
      </c>
      <c r="CG77" s="92">
        <f>BZ77*IF(VLOOKUP($E77,武器奇术!$A:$R,17,FALSE)="牵丝",VLOOKUP($E77,武器奇术!$A:$R,4,FALSE),VLOOKUP($E77,武器奇术!$A:$R,2,FALSE))*(1+CB77)*(1+CC77)*CD77*(1+$E$16+VLOOKUP($E77,武器奇术!$A:$R,8,FALSE))</f>
        <v>0</v>
      </c>
      <c r="CH77" s="93">
        <f t="shared" si="7"/>
        <v>0.8135</v>
      </c>
      <c r="CI77" s="92">
        <f>CA77*IF(VLOOKUP($E77,武器奇术!$A:$R,17,FALSE)="牵丝",VLOOKUP($E77,武器奇术!$A:$R,4,FALSE),VLOOKUP($E77,武器奇术!$A:$R,2,FALSE))*(1+CB77)*(1+CC77)*CD77*(1+$E$17+VLOOKUP($E77,武器奇术!$A:$R,10,FALSE))</f>
        <v>0</v>
      </c>
      <c r="CJ77" s="93">
        <f t="shared" si="8"/>
        <v>0.0986</v>
      </c>
      <c r="CK77" s="92">
        <f>BZ77*IF(VLOOKUP($E77,武器奇术!$A:$R,17,FALSE)="牵丝",VLOOKUP($E77,武器奇术!$A:$R,4,FALSE),VLOOKUP($E77,武器奇术!$A:$R,2,FALSE))*(1+CB77)*(1+CC77)*CD77</f>
        <v>0</v>
      </c>
      <c r="CL77" s="93">
        <f t="shared" si="77"/>
        <v>0.0879</v>
      </c>
      <c r="CM77" s="101">
        <f t="shared" si="78"/>
        <v>0</v>
      </c>
      <c r="CN77" s="99">
        <f>IF(VLOOKUP($E77,武器奇术!$A:$R,18,FALSE)="极乐",0,$B$13*IF($G$5="撼天",1.05,1)+IF(AND(VLOOKUP($E77,武器奇术!$A:$R,15,FALSE)="武器",VLOOKUP($E77,武器奇术!$A:$R,17,FALSE)="破竹"),$E$3*(1+$E$15),0))</f>
        <v>0</v>
      </c>
      <c r="CO77" s="91">
        <f t="shared" si="79"/>
        <v>0</v>
      </c>
      <c r="CP77" s="91">
        <f>IF(VLOOKUP($E77,武器奇术!$A:$R,18,FALSE)="极乐",0,MAX($C$13*IF($G$5="撼天",1.05,1)+IF(AND(VLOOKUP($E77,武器奇术!$A:$R,15,FALSE)="武器",VLOOKUP($E77,武器奇术!$A:$R,17,FALSE)="破竹"),$E$3*(1+$E$15),0),CN77))</f>
        <v>0</v>
      </c>
      <c r="CQ77" s="93">
        <f>IF(($D$13+IF(VLOOKUP($E77,武器奇术!$A:$R,17,FALSE)="破竹",$D$15,0)-VLOOKUP($F$7,目标属性!$A:$R,6,FALSE)+IF(VLOOKUP($E77,武器奇术!$A:$V,22,FALSE)=1,4,0)+IF(VLOOKUP($E77,武器奇术!$A:$T,20,FALSE)=1,10,0))&gt;0,($D$13+IF(VLOOKUP($E77,武器奇术!$A:$R,17,FALSE)="破竹",$D$15,0)-VLOOKUP($F$7,目标属性!$A:$R,6,FALSE)+IF(VLOOKUP($E77,武器奇术!$A:$V,22,FALSE)=1,4,0)+IF(VLOOKUP($E77,武器奇术!$A:$T,20,FALSE)=1,10,0))/200,($D$13+IF(VLOOKUP($E77,武器奇术!$A:$R,17,FALSE)="破竹",$D$15,0)-VLOOKUP($F$7,目标属性!$A:$R,6,FALSE)+IF(VLOOKUP($E77,武器奇术!$A:$V,22,FALSE)=1,4,0)+IF(VLOOKUP($E77,武器奇术!$A:$T,20,FALSE)=1,10,0))/100)</f>
        <v>0.028</v>
      </c>
      <c r="CR77" s="100">
        <f t="shared" si="83"/>
        <v>0.148</v>
      </c>
      <c r="CS77" s="91">
        <v>1</v>
      </c>
      <c r="CT77" s="92">
        <f>CN77*IF(VLOOKUP($E77,武器奇术!$A:$R,17,FALSE)="破竹",VLOOKUP($E77,武器奇术!$A:$R,4,FALSE),VLOOKUP($E77,武器奇术!$A:$R,2,FALSE))*(1+CQ77)*(1+CR77)*CS77</f>
        <v>0</v>
      </c>
      <c r="CU77" s="93">
        <f>(1-IF(VLOOKUP($E77,武器奇术!$A:$R,16,FALSE)="陌刀",1,$N77))*(1-$M77)</f>
        <v>0</v>
      </c>
      <c r="CV77" s="92">
        <f>CO77*IF(VLOOKUP($E77,武器奇术!$A:$R,17,FALSE)="破竹",VLOOKUP($E77,武器奇术!$A:$R,4,FALSE),VLOOKUP($E77,武器奇术!$A:$R,2,FALSE))*(1+CQ77)*(1+CR77)*CS77*(1+$E$16+VLOOKUP($E77,武器奇术!$A:$R,8,FALSE))</f>
        <v>0</v>
      </c>
      <c r="CW77" s="93">
        <f t="shared" si="9"/>
        <v>0.8135</v>
      </c>
      <c r="CX77" s="92">
        <f>CP77*IF(VLOOKUP($E77,武器奇术!$A:$R,17,FALSE)="破竹",VLOOKUP($E77,武器奇术!$A:$R,4,FALSE),VLOOKUP($E77,武器奇术!$A:$R,2,FALSE))*(1+CQ77)*(1+CR77)*CS77*(1+$E$17+VLOOKUP($E77,武器奇术!$A:$R,10,FALSE))</f>
        <v>0</v>
      </c>
      <c r="CY77" s="93">
        <f t="shared" si="10"/>
        <v>0.0986</v>
      </c>
      <c r="CZ77" s="92">
        <f>CO77*IF(VLOOKUP($E77,武器奇术!$A:$R,17,FALSE)="破竹",VLOOKUP($E77,武器奇术!$A:$R,4,FALSE),VLOOKUP($E77,武器奇术!$A:$R,2,FALSE))*(1+CQ77)*(1+CR77)*CS77</f>
        <v>0</v>
      </c>
      <c r="DA77" s="93">
        <f t="shared" si="80"/>
        <v>0.0879</v>
      </c>
      <c r="DB77" s="101">
        <f t="shared" si="81"/>
        <v>0</v>
      </c>
      <c r="DC77" s="99">
        <f>IF(VLOOKUP($E77,武器奇术!$A:$R,18,FALSE)="极乐",0,$B$15)</f>
        <v>0</v>
      </c>
      <c r="DD77" s="91">
        <f t="shared" si="82"/>
        <v>0</v>
      </c>
      <c r="DE77" s="91">
        <f>IF(VLOOKUP($E77,武器奇术!$A:$R,18,FALSE)="极乐",0,$C$15)</f>
        <v>0</v>
      </c>
      <c r="DF77" s="93">
        <f>IF((IF(VLOOKUP($E77,武器奇术!$A:$R,17,FALSE)="鸣金",$D$7,0)+IF(VLOOKUP($E77,武器奇术!$A:$R,17,FALSE)="裂石",$D$9,0)+IF(VLOOKUP($E77,武器奇术!$A:$R,17,FALSE)="牵丝",$D$11,0)+IF(VLOOKUP($E77,武器奇术!$A:$R,17,FALSE)="破竹",$D$13,0)+$D$15-VLOOKUP($F$7,目标属性!$A:$R,6,FALSE)+IF(VLOOKUP($E77,武器奇术!$A:$V,22,FALSE)=1,4,0)+IF(VLOOKUP($E77,武器奇术!$A:$T,20,FALSE)=1,10,0))&gt;0,(IF(VLOOKUP($E77,武器奇术!$A:$R,17,FALSE)="鸣金",$D$7,0)+IF(VLOOKUP($E77,武器奇术!$A:$R,17,FALSE)="裂石",$D$9,0)+IF(VLOOKUP($E77,武器奇术!$A:$R,17,FALSE)="牵丝",$D$11,0)+IF(VLOOKUP($E77,武器奇术!$A:$R,17,FALSE)="破竹",$D$13,0)+$D$15-VLOOKUP($F$7,目标属性!$A:$R,6,FALSE)+IF(VLOOKUP($E77,武器奇术!$A:$V,22,FALSE)=1,4,0)+IF(VLOOKUP($E77,武器奇术!$A:$T,20,FALSE)=1,10,0))/200,(IF(VLOOKUP($E77,武器奇术!$A:$R,17,FALSE)="鸣金",$D$7,0)+IF(VLOOKUP($E77,武器奇术!$A:$R,17,FALSE)="裂石",$D$9,0)+IF(VLOOKUP($E77,武器奇术!$A:$R,17,FALSE)="牵丝",$D$11,0)+IF(VLOOKUP($E77,武器奇术!$A:$R,17,FALSE)="破竹",$D$13,0)+$D$15-VLOOKUP($F$7,目标属性!$A:$R,6,FALSE)+IF(VLOOKUP($E77,武器奇术!$A:$V,22,FALSE)=1,4,0)+IF(VLOOKUP($E77,武器奇术!$A:$T,20,FALSE)=1,10,0))/100)</f>
        <v>0.028</v>
      </c>
      <c r="DG77" s="100">
        <f t="shared" si="54"/>
        <v>0.148</v>
      </c>
      <c r="DH77" s="91">
        <v>1</v>
      </c>
      <c r="DI77" s="92">
        <f>DC77*IF(VLOOKUP($E77,武器奇术!$A:$R,17,FALSE)="破竹",VLOOKUP($E77,武器奇术!$A:$R,4,FALSE),VLOOKUP($E77,武器奇术!$A:$R,2,FALSE))*(1+DF77)*(1+DG77)*DH77</f>
        <v>0</v>
      </c>
      <c r="DJ77" s="93">
        <f>(1-IF(VLOOKUP($E77,武器奇术!$A:$R,16,FALSE)="陌刀",1,$N77))*(1-$M77)</f>
        <v>0</v>
      </c>
      <c r="DK77" s="92">
        <f>DD77*IF(VLOOKUP($E77,武器奇术!$A:$R,17,FALSE)="破竹",VLOOKUP($E77,武器奇术!$A:$R,4,FALSE),VLOOKUP($E77,武器奇术!$A:$R,2,FALSE))*(1+DF77)*(1+DG77)*DH77*(1+$E$16+VLOOKUP($E77,武器奇术!$A:$R,8,FALSE))</f>
        <v>0</v>
      </c>
      <c r="DL77" s="93">
        <f t="shared" si="12"/>
        <v>0.8135</v>
      </c>
      <c r="DM77" s="92">
        <f>DE77*IF(VLOOKUP($E77,武器奇术!$A:$R,17,FALSE)="破竹",VLOOKUP($E77,武器奇术!$A:$R,4,FALSE),VLOOKUP($E77,武器奇术!$A:$R,2,FALSE))*(1+DF77)*(1+DG77)*DH77*(1+$E$17+VLOOKUP($E77,武器奇术!$A:$R,10,FALSE))</f>
        <v>0</v>
      </c>
      <c r="DN77" s="93">
        <f t="shared" si="13"/>
        <v>0.0986</v>
      </c>
      <c r="DO77" s="92">
        <f>DD77*IF(VLOOKUP($E77,武器奇术!$A:$R,17,FALSE)="破竹",VLOOKUP($E77,武器奇术!$A:$R,4,FALSE),VLOOKUP($E77,武器奇术!$A:$R,2,FALSE))*(1+DF77)*(1+DG77)*DH77</f>
        <v>0</v>
      </c>
      <c r="DP77" s="93">
        <f t="shared" si="14"/>
        <v>0.0879</v>
      </c>
      <c r="DQ77" s="101">
        <f t="shared" si="15"/>
        <v>0</v>
      </c>
    </row>
    <row r="78" customFormat="1" spans="1:121">
      <c r="A78" s="33"/>
      <c r="B78" s="130">
        <v>1234</v>
      </c>
      <c r="C78">
        <v>2.4</v>
      </c>
      <c r="D78" t="s">
        <v>162</v>
      </c>
      <c r="E78" s="105" t="s">
        <v>163</v>
      </c>
      <c r="F78" s="106">
        <v>1</v>
      </c>
      <c r="G78" s="107">
        <f t="shared" si="88"/>
        <v>0</v>
      </c>
      <c r="H78" s="92">
        <f>IF(VLOOKUP($E78,武器奇术!$A:$R,18,FALSE)="天工",AE78,(AE78+AT78+BI78+BX78+CM78+DB78+DQ78))*(1+J78)*F78*K78*(1+G78)</f>
        <v>9961.83070754346</v>
      </c>
      <c r="I78" s="93">
        <f t="shared" si="58"/>
        <v>0.00127793072582305</v>
      </c>
      <c r="J78" s="93">
        <f>$F$3+VLOOKUP($E78,武器奇术!$A:$R,12,FALSE)+VLOOKUP($E78,武器奇术!$A:$R,14,FALSE)*$G$3+$P78</f>
        <v>0.843</v>
      </c>
      <c r="K78" s="94">
        <f>VLOOKUP($E78,武器奇术!$A:$R,11,FALSE)</f>
        <v>1</v>
      </c>
      <c r="L78" s="109">
        <f>IF(VLOOKUP($E78,武器奇术!$A:$R,15,FALSE)="天工",0%,IF($C$17+VLOOKUP($E78,武器奇术!$A:$R,7,FALSE)&gt;80%,80%,$C$17+VLOOKUP($E78,武器奇术!$A:$R,7,FALSE))+IF($C$19&gt;20%,20%,$C$19))</f>
        <v>0.8135</v>
      </c>
      <c r="M78" s="110">
        <f>IF(VLOOKUP($E78,武器奇术!$A:$R,15,FALSE)="天工",0%,IF($C$18+VLOOKUP($E78,武器奇术!$A:$R,9,FALSE)&gt;40%,40%,$C$18+VLOOKUP($E78,武器奇术!$A:$R,9,FALSE))+IF($C$20&gt;10%,10%,$C$20))</f>
        <v>0.0986</v>
      </c>
      <c r="N78" s="111">
        <f>IF(VLOOKUP($E78,武器奇术!$A:$R,15,FALSE)="天工",100%,MIN($C$16,1))</f>
        <v>1</v>
      </c>
      <c r="O78" s="112" t="str">
        <f>VLOOKUP($E78,武器奇术!$A:$R,16,FALSE)</f>
        <v>双刀</v>
      </c>
      <c r="P78" s="113">
        <f t="shared" si="59"/>
        <v>0.17</v>
      </c>
      <c r="Q78" s="99">
        <f>$B$5*(1+VLOOKUP($E78,武器奇术!$A:$R,5,FALSE)+IF($G$5="飞隼",0.1,0)+IF($G$5="撼天",0.05,0))-$F$9*IF(VLOOKUP($E78,武器奇术!$A:$S,19,FALSE)=1,0.9,1)+IF($I$5="√",160,0)</f>
        <v>2904.2</v>
      </c>
      <c r="R78" s="91">
        <f t="shared" si="60"/>
        <v>2904.2</v>
      </c>
      <c r="S78" s="91">
        <f>MAX($C$5,$B$5)*(1+VLOOKUP($E78,武器奇术!$A:$R,5,FALSE)+IF($G$5="飞隼",0.1,0)+IF($G$5="撼天",0.05,0))-$F$9*IF(VLOOKUP($E78,武器奇术!$A:$S,19,FALSE)=1,0.9,1)+IF($I$5="√",320,0)</f>
        <v>2904.2</v>
      </c>
      <c r="T78" s="93">
        <f>IF(($D$5+VLOOKUP($E78,武器奇术!$A:$R,13,FALSE)+IF($I$3="√",10,0)-VLOOKUP($F$7,目标属性!$A:$R,5,FALSE))&gt;0,($D$5+VLOOKUP($E78,武器奇术!$A:$R,13,FALSE)+IF($I$3="√",10,0)-VLOOKUP($F$7,目标属性!$A:$R,5,FALSE))/200,($D$5+VLOOKUP($E78,武器奇术!$A:$R,13,FALSE)+IF($I$3="√",10,0)-VLOOKUP($F$7,目标属性!$A:$R,5,FALSE))/100)</f>
        <v>0.3925</v>
      </c>
      <c r="U78" s="100">
        <f>$E$5+IF(VLOOKUP($E78,武器奇术!$A:$R,18,FALSE)="鼠鼠",0.24,0)</f>
        <v>0</v>
      </c>
      <c r="V78" s="91">
        <v>1</v>
      </c>
      <c r="W78" s="92">
        <f>Q78*VLOOKUP($E78,武器奇术!$A:$R,2,FALSE)*(1+T78)*(1+U78)*V78</f>
        <v>1870.597761175</v>
      </c>
      <c r="X78" s="93">
        <f>(1-IF(VLOOKUP($E78,武器奇术!$A:$R,16,FALSE)="陌刀",1,$N78))*(1-$M78)</f>
        <v>0</v>
      </c>
      <c r="Y78" s="92">
        <f>R78*VLOOKUP($E78,武器奇术!$A:$R,2,FALSE)*(1+T78)*(1+U78)*V78*(1+$E$16+VLOOKUP($E78,武器奇术!$A:$R,8,FALSE))</f>
        <v>3542.91215966545</v>
      </c>
      <c r="Z78" s="93">
        <f t="shared" si="61"/>
        <v>0.8135</v>
      </c>
      <c r="AA78" s="92">
        <f>S78*VLOOKUP($E78,武器奇术!$A:$R,2,FALSE)*(1+T78)*(1+U78)*V78*(1+$E$17+VLOOKUP($E78,武器奇术!$A:$R,10,FALSE))</f>
        <v>2525.30697758625</v>
      </c>
      <c r="AB78" s="93">
        <f t="shared" si="62"/>
        <v>0.0986</v>
      </c>
      <c r="AC78" s="92">
        <f>R78*VLOOKUP($E78,武器奇术!$A:$R,2,FALSE)*(1+T78)*(1+U78)*V78</f>
        <v>1870.597761175</v>
      </c>
      <c r="AD78" s="93">
        <f t="shared" si="63"/>
        <v>0.0879</v>
      </c>
      <c r="AE78" s="101">
        <f t="shared" si="64"/>
        <v>3295.57985308513</v>
      </c>
      <c r="AF78" s="102">
        <f>VLOOKUP($E78,武器奇术!$A:$R,3,FALSE)*(1+IF(VLOOKUP($E78,武器奇术!$A:$R,15,FALSE)="武器",$E$15,0))</f>
        <v>167.31</v>
      </c>
      <c r="AG78" s="92">
        <f t="shared" si="65"/>
        <v>167.31</v>
      </c>
      <c r="AH78" s="92">
        <f>VLOOKUP($E78,武器奇术!$A:$R,3,FALSE)*(1+IF(VLOOKUP($E78,武器奇术!$A:$R,15,FALSE)="武器",$E$15,0))</f>
        <v>167.31</v>
      </c>
      <c r="AI78" s="93">
        <f>IF(($D$5+VLOOKUP($E78,武器奇术!$A:$R,13,FALSE)+IF($I$3="√",10,0)-VLOOKUP($F$7,目标属性!$A:$R,5,FALSE))&gt;0,($D$5+VLOOKUP($E78,武器奇术!$A:$R,13,FALSE)+IF($I$3="√",10,0)-VLOOKUP($F$7,目标属性!$A:$R,5,FALSE))/200,($D$5+VLOOKUP($E78,武器奇术!$A:$R,13,FALSE)+IF($I$3="√",10,0)-VLOOKUP($F$7,目标属性!$A:$R,5,FALSE))/100)</f>
        <v>0.3925</v>
      </c>
      <c r="AJ78" s="100">
        <f>$E$5+IF(VLOOKUP($E78,武器奇术!$A:$R,18,FALSE)="鼠鼠",0.24,0)</f>
        <v>0</v>
      </c>
      <c r="AK78" s="91">
        <v>1</v>
      </c>
      <c r="AL78" s="92">
        <f t="shared" si="66"/>
        <v>232.979175</v>
      </c>
      <c r="AM78" s="93">
        <f>(1-IF(VLOOKUP($E78,武器奇术!$A:$R,16,FALSE)="陌刀",1,$N78))*(1-$M78)</f>
        <v>0</v>
      </c>
      <c r="AN78" s="92">
        <f>AG78*(1+AI78)*(1+AJ78)*AK78*(1+$E$16+VLOOKUP($E78,武器奇术!$A:$R,8,FALSE))</f>
        <v>441.26255745</v>
      </c>
      <c r="AO78" s="93">
        <f t="shared" si="1"/>
        <v>0.8135</v>
      </c>
      <c r="AP78" s="92">
        <f>AH78*(1+AI78)*(1+AJ78)*AK78*(1+$E$17+VLOOKUP($E78,武器奇术!$A:$R,10,FALSE))</f>
        <v>314.52188625</v>
      </c>
      <c r="AQ78" s="93">
        <f t="shared" si="2"/>
        <v>0.0986</v>
      </c>
      <c r="AR78" s="92">
        <f t="shared" si="67"/>
        <v>232.979175</v>
      </c>
      <c r="AS78" s="93">
        <f t="shared" si="68"/>
        <v>0.0879</v>
      </c>
      <c r="AT78" s="101">
        <f t="shared" si="69"/>
        <v>410.457817952325</v>
      </c>
      <c r="AU78" s="99">
        <f>IF(VLOOKUP($E78,武器奇术!$A:$R,18,FALSE)="极乐",0,$B$7*IF($G$5="撼天",1.05,1)+IF(AND(VLOOKUP($E78,武器奇术!$A:$R,15,FALSE)="武器",VLOOKUP($E78,武器奇术!$A:$R,17,FALSE)="鸣金"),$E$3*(1+$E$15),0))</f>
        <v>0</v>
      </c>
      <c r="AV78" s="91">
        <f t="shared" si="70"/>
        <v>0</v>
      </c>
      <c r="AW78" s="91">
        <f>IF(VLOOKUP($E78,武器奇术!$A:$R,18,FALSE)="极乐",0,MAX($C$7*IF($G$5="撼天",1.05,1)+IF(AND(VLOOKUP($E78,武器奇术!$A:$R,15,FALSE)="武器",VLOOKUP($E78,武器奇术!$A:$R,17,FALSE)="鸣金"),$E$3*(1+$E$15),0),AU78))</f>
        <v>0</v>
      </c>
      <c r="AX78" s="93">
        <f>IF(($D$7+IF(VLOOKUP($E78,武器奇术!$A:$R,17,FALSE)="鸣金",$D$15,0)-VLOOKUP($F$7,目标属性!$A:$R,6,FALSE))&gt;0,($D$7+IF(VLOOKUP($E78,武器奇术!$A:$R,17,FALSE)="鸣金",$D$15,0)-VLOOKUP($F$7,目标属性!$A:$R,6,FALSE))/200,($D$7+IF(VLOOKUP($E78,武器奇术!$A:$R,17,FALSE)="鸣金",$D$15,0)-VLOOKUP($F$7,目标属性!$A:$R,6,FALSE))/100)</f>
        <v>-0.24</v>
      </c>
      <c r="AY78" s="100">
        <f t="shared" si="85"/>
        <v>0</v>
      </c>
      <c r="AZ78" s="91">
        <v>1</v>
      </c>
      <c r="BA78" s="92">
        <f>AU78*IF(VLOOKUP($E78,武器奇术!$A:$R,17,FALSE)="鸣金",VLOOKUP($E78,武器奇术!$A:$R,4,FALSE),VLOOKUP($E78,武器奇术!$A:$R,2,FALSE))*(1+AX78)*(1+AY78)*AZ78</f>
        <v>0</v>
      </c>
      <c r="BB78" s="93">
        <f>(1-IF(VLOOKUP($E78,武器奇术!$A:$R,16,FALSE)="陌刀",1,$N78))*(1-$M78)</f>
        <v>0</v>
      </c>
      <c r="BC78" s="92">
        <f>AV78*IF(VLOOKUP($E78,武器奇术!$A:$R,17,FALSE)="鸣金",VLOOKUP($E78,武器奇术!$A:$R,4,FALSE),VLOOKUP($E78,武器奇术!$A:$R,2,FALSE))*(1+AX78)*(1+AY78)*AZ78*(1+$E$16+VLOOKUP($E78,武器奇术!$A:$R,8,FALSE))</f>
        <v>0</v>
      </c>
      <c r="BD78" s="93">
        <f t="shared" si="3"/>
        <v>0.8135</v>
      </c>
      <c r="BE78" s="92">
        <f>AW78*IF(VLOOKUP($E78,武器奇术!$A:$R,17,FALSE)="鸣金",VLOOKUP($E78,武器奇术!$A:$R,4,FALSE),VLOOKUP($E78,武器奇术!$A:$R,2,FALSE))*(1+AX78)*(1+AY78)*AZ78*(1+$E$17+VLOOKUP($E78,武器奇术!$A:$R,10,FALSE))</f>
        <v>0</v>
      </c>
      <c r="BF78" s="93">
        <f t="shared" si="4"/>
        <v>0.0986</v>
      </c>
      <c r="BG78" s="92">
        <f>AV78*IF(VLOOKUP($E78,武器奇术!$A:$R,17,FALSE)="鸣金",VLOOKUP($E78,武器奇术!$A:$R,4,FALSE),VLOOKUP($E78,武器奇术!$A:$R,2,FALSE))*(1+AX78)*(1+AY78)*AZ78</f>
        <v>0</v>
      </c>
      <c r="BH78" s="93">
        <f t="shared" si="71"/>
        <v>0.0879</v>
      </c>
      <c r="BI78" s="101">
        <f t="shared" si="72"/>
        <v>0</v>
      </c>
      <c r="BJ78" s="99">
        <f>IF(VLOOKUP($E78,武器奇术!$A:$R,18,FALSE)="极乐",0,$B$9*IF($G$5="撼天",1.05,1)+IF(AND(VLOOKUP($E78,武器奇术!$A:$R,15,FALSE)="武器",VLOOKUP($E78,武器奇术!$A:$R,17,FALSE)="裂石"),$E$3*(1+$E$15),0))</f>
        <v>0</v>
      </c>
      <c r="BK78" s="91">
        <f t="shared" si="73"/>
        <v>0</v>
      </c>
      <c r="BL78" s="91">
        <f>IF(VLOOKUP($E78,武器奇术!$A:$R,18,FALSE)="极乐",0,MAX($C$9*IF($G$5="撼天",1.05,1)+IF(AND(VLOOKUP($E78,武器奇术!$A:$R,15,FALSE)="武器",VLOOKUP($E78,武器奇术!$A:$R,17,FALSE)="裂石"),$E$3*(1+$E$15),0),BJ78))</f>
        <v>0</v>
      </c>
      <c r="BM78" s="93">
        <f>IF(($D$9+IF(VLOOKUP($E78,武器奇术!$A:$R,17,FALSE)="裂石",$D$15,0)-VLOOKUP($F$7,目标属性!$A:$R,6,FALSE))&gt;0,($D$9+IF(VLOOKUP($E78,武器奇术!$A:$R,17,FALSE)="裂石",$D$15,0)-VLOOKUP($F$7,目标属性!$A:$R,6,FALSE))/200,($D$9+IF(VLOOKUP($E78,武器奇术!$A:$R,17,FALSE)="裂石",$D$15,0)-VLOOKUP($F$7,目标属性!$A:$R,6,FALSE))/100)</f>
        <v>-0.24</v>
      </c>
      <c r="BN78" s="100">
        <f t="shared" si="86"/>
        <v>0</v>
      </c>
      <c r="BO78" s="91">
        <v>1</v>
      </c>
      <c r="BP78" s="92">
        <f>BJ78*IF(VLOOKUP($E78,武器奇术!$A:$R,17,FALSE)="裂石",VLOOKUP($E78,武器奇术!$A:$R,4,FALSE),VLOOKUP($E78,武器奇术!$A:$R,2,FALSE))*(1+BM78)*(1+BN78)*BO78</f>
        <v>0</v>
      </c>
      <c r="BQ78" s="93">
        <f>(1-IF(VLOOKUP($E78,武器奇术!$A:$R,16,FALSE)="陌刀",1,$N78))*(1-$M78)</f>
        <v>0</v>
      </c>
      <c r="BR78" s="92">
        <f>BK78*IF(VLOOKUP($E78,武器奇术!$A:$R,17,FALSE)="裂石",VLOOKUP($E78,武器奇术!$A:$R,4,FALSE),VLOOKUP($E78,武器奇术!$A:$R,2,FALSE))*(1+BM78)*(1+BN78)*BO78*(1+$E$16+VLOOKUP($E78,武器奇术!$A:$R,8,FALSE))</f>
        <v>0</v>
      </c>
      <c r="BS78" s="93">
        <f t="shared" si="5"/>
        <v>0.8135</v>
      </c>
      <c r="BT78" s="92">
        <f>BL78*IF(VLOOKUP($E78,武器奇术!$A:$R,17,FALSE)="裂石",VLOOKUP($E78,武器奇术!$A:$R,4,FALSE),VLOOKUP($E78,武器奇术!$A:$R,2,FALSE))*(1+BM78)*(1+BN78)*BO78*(1+$E$17+VLOOKUP($E78,武器奇术!$A:$R,10,FALSE))</f>
        <v>0</v>
      </c>
      <c r="BU78" s="93">
        <f t="shared" si="6"/>
        <v>0.0986</v>
      </c>
      <c r="BV78" s="92">
        <f>BK78*IF(VLOOKUP($E78,武器奇术!$A:$R,17,FALSE)="裂石",VLOOKUP($E78,武器奇术!$A:$R,4,FALSE),VLOOKUP($E78,武器奇术!$A:$R,2,FALSE))*(1+BM78)*(1+BN78)*BO78</f>
        <v>0</v>
      </c>
      <c r="BW78" s="93">
        <f t="shared" si="74"/>
        <v>0.0879</v>
      </c>
      <c r="BX78" s="101">
        <f t="shared" si="75"/>
        <v>0</v>
      </c>
      <c r="BY78" s="99">
        <f>IF(VLOOKUP($E78,武器奇术!$A:$R,18,FALSE)="极乐",0,$B$11*IF($G$5="撼天",1.05,1)+IF(AND(VLOOKUP($E78,武器奇术!$A:$R,15,FALSE)="武器",VLOOKUP($E78,武器奇术!$A:$R,17,FALSE)="牵丝"),$E$3*(1+$E$15),0))</f>
        <v>0</v>
      </c>
      <c r="BZ78" s="91">
        <f t="shared" si="76"/>
        <v>0</v>
      </c>
      <c r="CA78" s="91">
        <f>IF(VLOOKUP($E78,武器奇术!$A:$R,18,FALSE)="极乐",0,MAX($C$11*IF($G$5="撼天",1.05,1)+IF(AND(VLOOKUP($E78,武器奇术!$A:$R,15,FALSE)="武器",VLOOKUP($E78,武器奇术!$A:$R,17,FALSE)="牵丝"),$E$3*(1+$E$15),0),BY78))</f>
        <v>0</v>
      </c>
      <c r="CB78" s="93">
        <f>IF(($D$11+IF(VLOOKUP($E78,武器奇术!$A:$R,17,FALSE)="牵丝",$D$15,0)-VLOOKUP($F$7,目标属性!$A:$R,6,FALSE))&gt;0,($D$11+IF(VLOOKUP($E78,武器奇术!$A:$R,17,FALSE)="牵丝",$D$15,0)-VLOOKUP($F$7,目标属性!$A:$R,6,FALSE))/200,($D$11+IF(VLOOKUP($E78,武器奇术!$A:$R,17,FALSE)="牵丝",$D$15,0)-VLOOKUP($F$7,目标属性!$A:$R,6,FALSE))/100)</f>
        <v>-0.24</v>
      </c>
      <c r="CC78" s="100">
        <f t="shared" si="87"/>
        <v>0</v>
      </c>
      <c r="CD78" s="91">
        <v>1</v>
      </c>
      <c r="CE78" s="92">
        <f>BY78*IF(VLOOKUP($E78,武器奇术!$A:$R,17,FALSE)="牵丝",VLOOKUP($E78,武器奇术!$A:$R,4,FALSE),VLOOKUP($E78,武器奇术!$A:$R,2,FALSE))*(1+CB78)*(1+CC78)*CD78</f>
        <v>0</v>
      </c>
      <c r="CF78" s="93">
        <f>(1-IF(VLOOKUP($E78,武器奇术!$A:$R,16,FALSE)="陌刀",1,$N78))*(1-$M78)</f>
        <v>0</v>
      </c>
      <c r="CG78" s="92">
        <f>BZ78*IF(VLOOKUP($E78,武器奇术!$A:$R,17,FALSE)="牵丝",VLOOKUP($E78,武器奇术!$A:$R,4,FALSE),VLOOKUP($E78,武器奇术!$A:$R,2,FALSE))*(1+CB78)*(1+CC78)*CD78*(1+$E$16+VLOOKUP($E78,武器奇术!$A:$R,8,FALSE))</f>
        <v>0</v>
      </c>
      <c r="CH78" s="93">
        <f t="shared" si="7"/>
        <v>0.8135</v>
      </c>
      <c r="CI78" s="92">
        <f>CA78*IF(VLOOKUP($E78,武器奇术!$A:$R,17,FALSE)="牵丝",VLOOKUP($E78,武器奇术!$A:$R,4,FALSE),VLOOKUP($E78,武器奇术!$A:$R,2,FALSE))*(1+CB78)*(1+CC78)*CD78*(1+$E$17+VLOOKUP($E78,武器奇术!$A:$R,10,FALSE))</f>
        <v>0</v>
      </c>
      <c r="CJ78" s="93">
        <f t="shared" si="8"/>
        <v>0.0986</v>
      </c>
      <c r="CK78" s="92">
        <f>BZ78*IF(VLOOKUP($E78,武器奇术!$A:$R,17,FALSE)="牵丝",VLOOKUP($E78,武器奇术!$A:$R,4,FALSE),VLOOKUP($E78,武器奇术!$A:$R,2,FALSE))*(1+CB78)*(1+CC78)*CD78</f>
        <v>0</v>
      </c>
      <c r="CL78" s="93">
        <f t="shared" si="77"/>
        <v>0.0879</v>
      </c>
      <c r="CM78" s="101">
        <f t="shared" si="78"/>
        <v>0</v>
      </c>
      <c r="CN78" s="99">
        <f>IF(VLOOKUP($E78,武器奇术!$A:$R,18,FALSE)="极乐",0,$B$13*IF($G$5="撼天",1.05,1)+IF(AND(VLOOKUP($E78,武器奇术!$A:$R,15,FALSE)="武器",VLOOKUP($E78,武器奇术!$A:$R,17,FALSE)="破竹"),$E$3*(1+$E$15),0))</f>
        <v>686.71</v>
      </c>
      <c r="CO78" s="91">
        <f t="shared" si="79"/>
        <v>1052.21</v>
      </c>
      <c r="CP78" s="91">
        <f>IF(VLOOKUP($E78,武器奇术!$A:$R,18,FALSE)="极乐",0,MAX($C$13*IF($G$5="撼天",1.05,1)+IF(AND(VLOOKUP($E78,武器奇术!$A:$R,15,FALSE)="武器",VLOOKUP($E78,武器奇术!$A:$R,17,FALSE)="破竹"),$E$3*(1+$E$15),0),CN78))</f>
        <v>1417.71</v>
      </c>
      <c r="CQ78" s="93">
        <f>IF(($D$13+IF(VLOOKUP($E78,武器奇术!$A:$R,17,FALSE)="破竹",$D$15,0)-VLOOKUP($F$7,目标属性!$A:$R,6,FALSE)+IF(VLOOKUP($E78,武器奇术!$A:$V,22,FALSE)=1,4,0)+IF(VLOOKUP($E78,武器奇术!$A:$T,20,FALSE)=1,10,0))&gt;0,($D$13+IF(VLOOKUP($E78,武器奇术!$A:$R,17,FALSE)="破竹",$D$15,0)-VLOOKUP($F$7,目标属性!$A:$R,6,FALSE)+IF(VLOOKUP($E78,武器奇术!$A:$V,22,FALSE)=1,4,0)+IF(VLOOKUP($E78,武器奇术!$A:$T,20,FALSE)=1,10,0))/200,($D$13+IF(VLOOKUP($E78,武器奇术!$A:$R,17,FALSE)="破竹",$D$15,0)-VLOOKUP($F$7,目标属性!$A:$R,6,FALSE)+IF(VLOOKUP($E78,武器奇术!$A:$V,22,FALSE)=1,4,0)+IF(VLOOKUP($E78,武器奇术!$A:$T,20,FALSE)=1,10,0))/100)</f>
        <v>0.028</v>
      </c>
      <c r="CR78" s="100">
        <f t="shared" si="83"/>
        <v>0.148</v>
      </c>
      <c r="CS78" s="91">
        <v>1</v>
      </c>
      <c r="CT78" s="92">
        <f>CN78*IF(VLOOKUP($E78,武器奇术!$A:$R,17,FALSE)="破竹",VLOOKUP($E78,武器奇术!$A:$R,4,FALSE),VLOOKUP($E78,武器奇术!$A:$R,2,FALSE))*(1+CQ78)*(1+CR78)*CS78</f>
        <v>562.242784412725</v>
      </c>
      <c r="CU78" s="93">
        <f>(1-IF(VLOOKUP($E78,武器奇术!$A:$R,16,FALSE)="陌刀",1,$N78))*(1-$M78)</f>
        <v>0</v>
      </c>
      <c r="CV78" s="92">
        <f>CO78*IF(VLOOKUP($E78,武器奇术!$A:$R,17,FALSE)="破竹",VLOOKUP($E78,武器奇术!$A:$R,4,FALSE),VLOOKUP($E78,武器奇术!$A:$R,2,FALSE))*(1+CQ78)*(1+CR78)*CS78*(1+$E$16+VLOOKUP($E78,武器奇术!$A:$R,8,FALSE))</f>
        <v>1631.6722160359</v>
      </c>
      <c r="CW78" s="93">
        <f t="shared" si="9"/>
        <v>0.8135</v>
      </c>
      <c r="CX78" s="92">
        <f>CP78*IF(VLOOKUP($E78,武器奇术!$A:$R,17,FALSE)="破竹",VLOOKUP($E78,武器奇术!$A:$R,4,FALSE),VLOOKUP($E78,武器奇术!$A:$R,2,FALSE))*(1+CQ78)*(1+CR78)*CS78*(1+$E$17+VLOOKUP($E78,武器奇术!$A:$R,10,FALSE))</f>
        <v>1567.00971902431</v>
      </c>
      <c r="CY78" s="93">
        <f t="shared" si="10"/>
        <v>0.0986</v>
      </c>
      <c r="CZ78" s="92">
        <f>CO78*IF(VLOOKUP($E78,武器奇术!$A:$R,17,FALSE)="破竹",VLOOKUP($E78,武器奇术!$A:$R,4,FALSE),VLOOKUP($E78,武器奇术!$A:$R,2,FALSE))*(1+CQ78)*(1+CR78)*CS78</f>
        <v>861.495362215365</v>
      </c>
      <c r="DA78" s="93">
        <f t="shared" si="80"/>
        <v>0.0879</v>
      </c>
      <c r="DB78" s="101">
        <f t="shared" si="81"/>
        <v>1557.59794837973</v>
      </c>
      <c r="DC78" s="99">
        <f>IF(VLOOKUP($E78,武器奇术!$A:$R,18,FALSE)="极乐",0,$B$15)</f>
        <v>66</v>
      </c>
      <c r="DD78" s="91">
        <f t="shared" si="82"/>
        <v>95.9</v>
      </c>
      <c r="DE78" s="91">
        <f>IF(VLOOKUP($E78,武器奇术!$A:$R,18,FALSE)="极乐",0,$C$15)</f>
        <v>125.8</v>
      </c>
      <c r="DF78" s="93">
        <f>IF((IF(VLOOKUP($E78,武器奇术!$A:$R,17,FALSE)="鸣金",$D$7,0)+IF(VLOOKUP($E78,武器奇术!$A:$R,17,FALSE)="裂石",$D$9,0)+IF(VLOOKUP($E78,武器奇术!$A:$R,17,FALSE)="牵丝",$D$11,0)+IF(VLOOKUP($E78,武器奇术!$A:$R,17,FALSE)="破竹",$D$13,0)+$D$15-VLOOKUP($F$7,目标属性!$A:$R,6,FALSE)+IF(VLOOKUP($E78,武器奇术!$A:$V,22,FALSE)=1,4,0)+IF(VLOOKUP($E78,武器奇术!$A:$T,20,FALSE)=1,10,0))&gt;0,(IF(VLOOKUP($E78,武器奇术!$A:$R,17,FALSE)="鸣金",$D$7,0)+IF(VLOOKUP($E78,武器奇术!$A:$R,17,FALSE)="裂石",$D$9,0)+IF(VLOOKUP($E78,武器奇术!$A:$R,17,FALSE)="牵丝",$D$11,0)+IF(VLOOKUP($E78,武器奇术!$A:$R,17,FALSE)="破竹",$D$13,0)+$D$15-VLOOKUP($F$7,目标属性!$A:$R,6,FALSE)+IF(VLOOKUP($E78,武器奇术!$A:$V,22,FALSE)=1,4,0)+IF(VLOOKUP($E78,武器奇术!$A:$T,20,FALSE)=1,10,0))/200,(IF(VLOOKUP($E78,武器奇术!$A:$R,17,FALSE)="鸣金",$D$7,0)+IF(VLOOKUP($E78,武器奇术!$A:$R,17,FALSE)="裂石",$D$9,0)+IF(VLOOKUP($E78,武器奇术!$A:$R,17,FALSE)="牵丝",$D$11,0)+IF(VLOOKUP($E78,武器奇术!$A:$R,17,FALSE)="破竹",$D$13,0)+$D$15-VLOOKUP($F$7,目标属性!$A:$R,6,FALSE)+IF(VLOOKUP($E78,武器奇术!$A:$V,22,FALSE)=1,4,0)+IF(VLOOKUP($E78,武器奇术!$A:$T,20,FALSE)=1,10,0))/100)</f>
        <v>0.028</v>
      </c>
      <c r="DG78" s="100">
        <f t="shared" si="54"/>
        <v>0.148</v>
      </c>
      <c r="DH78" s="91">
        <v>1</v>
      </c>
      <c r="DI78" s="92">
        <f>DC78*IF(VLOOKUP($E78,武器奇术!$A:$R,17,FALSE)="破竹",VLOOKUP($E78,武器奇术!$A:$R,4,FALSE),VLOOKUP($E78,武器奇术!$A:$R,2,FALSE))*(1+DF78)*(1+DG78)*DH78</f>
        <v>54.03740119008</v>
      </c>
      <c r="DJ78" s="93">
        <f>(1-IF(VLOOKUP($E78,武器奇术!$A:$R,16,FALSE)="陌刀",1,$N78))*(1-$M78)</f>
        <v>0</v>
      </c>
      <c r="DK78" s="92">
        <f>DD78*IF(VLOOKUP($E78,武器奇术!$A:$R,17,FALSE)="破竹",VLOOKUP($E78,武器奇术!$A:$R,4,FALSE),VLOOKUP($E78,武器奇术!$A:$R,2,FALSE))*(1+DF78)*(1+DG78)*DH78*(1+$E$16+VLOOKUP($E78,武器奇术!$A:$R,8,FALSE))</f>
        <v>148.713056821208</v>
      </c>
      <c r="DL78" s="93">
        <f t="shared" si="12"/>
        <v>0.8135</v>
      </c>
      <c r="DM78" s="92">
        <f>DE78*IF(VLOOKUP($E78,武器奇术!$A:$R,17,FALSE)="破竹",VLOOKUP($E78,武器奇术!$A:$R,4,FALSE),VLOOKUP($E78,武器奇术!$A:$R,2,FALSE))*(1+DF78)*(1+DG78)*DH78*(1+$E$17+VLOOKUP($E78,武器奇术!$A:$R,10,FALSE))</f>
        <v>139.04805824411</v>
      </c>
      <c r="DN78" s="93">
        <f t="shared" si="13"/>
        <v>0.0986</v>
      </c>
      <c r="DO78" s="92">
        <f>DD78*IF(VLOOKUP($E78,武器奇术!$A:$R,17,FALSE)="破竹",VLOOKUP($E78,武器奇术!$A:$R,4,FALSE),VLOOKUP($E78,武器奇术!$A:$R,2,FALSE))*(1+DF78)*(1+DG78)*DH78</f>
        <v>78.517981426192</v>
      </c>
      <c r="DP78" s="93">
        <f t="shared" si="14"/>
        <v>0.0879</v>
      </c>
      <c r="DQ78" s="101">
        <f t="shared" si="15"/>
        <v>141.589940834284</v>
      </c>
    </row>
    <row r="79" customFormat="1" spans="1:121">
      <c r="A79" s="33"/>
      <c r="B79" s="130">
        <v>5</v>
      </c>
      <c r="C79">
        <v>0.9</v>
      </c>
      <c r="D79"/>
      <c r="E79" s="105" t="s">
        <v>164</v>
      </c>
      <c r="F79" s="106">
        <v>1</v>
      </c>
      <c r="G79" s="107">
        <f t="shared" si="88"/>
        <v>0</v>
      </c>
      <c r="H79" s="92">
        <f>IF(VLOOKUP($E79,武器奇术!$A:$R,18,FALSE)="天工",AE79,(AE79+AT79+BI79+BX79+CM79+DB79+DQ79))*(1+J79)*F79*K79*(1+G79)</f>
        <v>10684.0947733828</v>
      </c>
      <c r="I79" s="93">
        <f t="shared" si="58"/>
        <v>0.00137058472376693</v>
      </c>
      <c r="J79" s="93">
        <f>$F$3+VLOOKUP($E79,武器奇术!$A:$R,12,FALSE)+VLOOKUP($E79,武器奇术!$A:$R,14,FALSE)*$G$3+$P79</f>
        <v>0.843</v>
      </c>
      <c r="K79" s="94">
        <f>VLOOKUP($E79,武器奇术!$A:$R,11,FALSE)</f>
        <v>1</v>
      </c>
      <c r="L79" s="109">
        <f>IF(VLOOKUP($E79,武器奇术!$A:$R,15,FALSE)="天工",0%,IF($C$17+VLOOKUP($E79,武器奇术!$A:$R,7,FALSE)&gt;80%,80%,$C$17+VLOOKUP($E79,武器奇术!$A:$R,7,FALSE))+IF($C$19&gt;20%,20%,$C$19))</f>
        <v>0.8135</v>
      </c>
      <c r="M79" s="110">
        <f>IF(VLOOKUP($E79,武器奇术!$A:$R,15,FALSE)="天工",0%,IF($C$18+VLOOKUP($E79,武器奇术!$A:$R,9,FALSE)&gt;40%,40%,$C$18+VLOOKUP($E79,武器奇术!$A:$R,9,FALSE))+IF($C$20&gt;10%,10%,$C$20))</f>
        <v>0.0986</v>
      </c>
      <c r="N79" s="111">
        <f>IF(VLOOKUP($E79,武器奇术!$A:$R,15,FALSE)="天工",100%,MIN($C$16,1))</f>
        <v>1</v>
      </c>
      <c r="O79" s="112" t="str">
        <f>VLOOKUP($E79,武器奇术!$A:$R,16,FALSE)</f>
        <v>双刀</v>
      </c>
      <c r="P79" s="113">
        <f t="shared" si="59"/>
        <v>0.17</v>
      </c>
      <c r="Q79" s="99">
        <f>$B$5*(1+VLOOKUP($E79,武器奇术!$A:$R,5,FALSE)+IF($G$5="飞隼",0.1,0)+IF($G$5="撼天",0.05,0))-$F$9*IF(VLOOKUP($E79,武器奇术!$A:$S,19,FALSE)=1,0.9,1)+IF($I$5="√",160,0)</f>
        <v>2904.2</v>
      </c>
      <c r="R79" s="91">
        <f t="shared" si="60"/>
        <v>2904.2</v>
      </c>
      <c r="S79" s="91">
        <f>MAX($C$5,$B$5)*(1+VLOOKUP($E79,武器奇术!$A:$R,5,FALSE)+IF($G$5="飞隼",0.1,0)+IF($G$5="撼天",0.05,0))-$F$9*IF(VLOOKUP($E79,武器奇术!$A:$S,19,FALSE)=1,0.9,1)+IF($I$5="√",320,0)</f>
        <v>2904.2</v>
      </c>
      <c r="T79" s="93">
        <f>IF(($D$5+VLOOKUP($E79,武器奇术!$A:$R,13,FALSE)+IF($I$3="√",10,0)-VLOOKUP($F$7,目标属性!$A:$R,5,FALSE))&gt;0,($D$5+VLOOKUP($E79,武器奇术!$A:$R,13,FALSE)+IF($I$3="√",10,0)-VLOOKUP($F$7,目标属性!$A:$R,5,FALSE))/200,($D$5+VLOOKUP($E79,武器奇术!$A:$R,13,FALSE)+IF($I$3="√",10,0)-VLOOKUP($F$7,目标属性!$A:$R,5,FALSE))/100)</f>
        <v>0.3925</v>
      </c>
      <c r="U79" s="100">
        <f>$E$5+IF(VLOOKUP($E79,武器奇术!$A:$R,18,FALSE)="鼠鼠",0.24,0)</f>
        <v>0</v>
      </c>
      <c r="V79" s="91">
        <v>1</v>
      </c>
      <c r="W79" s="92">
        <f>Q79*VLOOKUP($E79,武器奇术!$A:$R,2,FALSE)*(1+T79)*(1+U79)*V79</f>
        <v>2005.38756418</v>
      </c>
      <c r="X79" s="93">
        <f>(1-IF(VLOOKUP($E79,武器奇术!$A:$R,16,FALSE)="陌刀",1,$N79))*(1-$M79)</f>
        <v>0</v>
      </c>
      <c r="Y79" s="92">
        <f>R79*VLOOKUP($E79,武器奇术!$A:$R,2,FALSE)*(1+T79)*(1+U79)*V79*(1+$E$16+VLOOKUP($E79,武器奇术!$A:$R,8,FALSE))</f>
        <v>3798.20404655692</v>
      </c>
      <c r="Z79" s="93">
        <f t="shared" si="61"/>
        <v>0.8135</v>
      </c>
      <c r="AA79" s="92">
        <f>S79*VLOOKUP($E79,武器奇术!$A:$R,2,FALSE)*(1+T79)*(1+U79)*V79*(1+$E$17+VLOOKUP($E79,武器奇术!$A:$R,10,FALSE))</f>
        <v>2707.273211643</v>
      </c>
      <c r="AB79" s="93">
        <f t="shared" si="62"/>
        <v>0.0986</v>
      </c>
      <c r="AC79" s="92">
        <f>R79*VLOOKUP($E79,武器奇术!$A:$R,2,FALSE)*(1+T79)*(1+U79)*V79</f>
        <v>2005.38756418</v>
      </c>
      <c r="AD79" s="93">
        <f t="shared" si="63"/>
        <v>0.0879</v>
      </c>
      <c r="AE79" s="101">
        <f t="shared" si="64"/>
        <v>3533.04969743348</v>
      </c>
      <c r="AF79" s="102">
        <f>VLOOKUP($E79,武器奇术!$A:$R,3,FALSE)*(1+IF(VLOOKUP($E79,武器奇术!$A:$R,15,FALSE)="武器",$E$15,0))</f>
        <v>180.18</v>
      </c>
      <c r="AG79" s="92">
        <f t="shared" si="65"/>
        <v>180.18</v>
      </c>
      <c r="AH79" s="92">
        <f>VLOOKUP($E79,武器奇术!$A:$R,3,FALSE)*(1+IF(VLOOKUP($E79,武器奇术!$A:$R,15,FALSE)="武器",$E$15,0))</f>
        <v>180.18</v>
      </c>
      <c r="AI79" s="93">
        <f>IF(($D$5+VLOOKUP($E79,武器奇术!$A:$R,13,FALSE)+IF($I$3="√",10,0)-VLOOKUP($F$7,目标属性!$A:$R,5,FALSE))&gt;0,($D$5+VLOOKUP($E79,武器奇术!$A:$R,13,FALSE)+IF($I$3="√",10,0)-VLOOKUP($F$7,目标属性!$A:$R,5,FALSE))/200,($D$5+VLOOKUP($E79,武器奇术!$A:$R,13,FALSE)+IF($I$3="√",10,0)-VLOOKUP($F$7,目标属性!$A:$R,5,FALSE))/100)</f>
        <v>0.3925</v>
      </c>
      <c r="AJ79" s="100">
        <f>$E$5+IF(VLOOKUP($E79,武器奇术!$A:$R,18,FALSE)="鼠鼠",0.24,0)</f>
        <v>0</v>
      </c>
      <c r="AK79" s="91">
        <v>1</v>
      </c>
      <c r="AL79" s="92">
        <f t="shared" si="66"/>
        <v>250.90065</v>
      </c>
      <c r="AM79" s="93">
        <f>(1-IF(VLOOKUP($E79,武器奇术!$A:$R,16,FALSE)="陌刀",1,$N79))*(1-$M79)</f>
        <v>0</v>
      </c>
      <c r="AN79" s="92">
        <f>AG79*(1+AI79)*(1+AJ79)*AK79*(1+$E$16+VLOOKUP($E79,武器奇术!$A:$R,8,FALSE))</f>
        <v>475.2058311</v>
      </c>
      <c r="AO79" s="93">
        <f t="shared" si="1"/>
        <v>0.8135</v>
      </c>
      <c r="AP79" s="92">
        <f>AH79*(1+AI79)*(1+AJ79)*AK79*(1+$E$17+VLOOKUP($E79,武器奇术!$A:$R,10,FALSE))</f>
        <v>338.7158775</v>
      </c>
      <c r="AQ79" s="93">
        <f t="shared" si="2"/>
        <v>0.0986</v>
      </c>
      <c r="AR79" s="92">
        <f t="shared" si="67"/>
        <v>250.90065</v>
      </c>
      <c r="AS79" s="93">
        <f t="shared" si="68"/>
        <v>0.0879</v>
      </c>
      <c r="AT79" s="101">
        <f t="shared" si="69"/>
        <v>442.03149625635</v>
      </c>
      <c r="AU79" s="99">
        <f>IF(VLOOKUP($E79,武器奇术!$A:$R,18,FALSE)="极乐",0,$B$7*IF($G$5="撼天",1.05,1)+IF(AND(VLOOKUP($E79,武器奇术!$A:$R,15,FALSE)="武器",VLOOKUP($E79,武器奇术!$A:$R,17,FALSE)="鸣金"),$E$3*(1+$E$15),0))</f>
        <v>0</v>
      </c>
      <c r="AV79" s="91">
        <f t="shared" si="70"/>
        <v>0</v>
      </c>
      <c r="AW79" s="91">
        <f>IF(VLOOKUP($E79,武器奇术!$A:$R,18,FALSE)="极乐",0,MAX($C$7*IF($G$5="撼天",1.05,1)+IF(AND(VLOOKUP($E79,武器奇术!$A:$R,15,FALSE)="武器",VLOOKUP($E79,武器奇术!$A:$R,17,FALSE)="鸣金"),$E$3*(1+$E$15),0),AU79))</f>
        <v>0</v>
      </c>
      <c r="AX79" s="93">
        <f>IF(($D$7+IF(VLOOKUP($E79,武器奇术!$A:$R,17,FALSE)="鸣金",$D$15,0)-VLOOKUP($F$7,目标属性!$A:$R,6,FALSE))&gt;0,($D$7+IF(VLOOKUP($E79,武器奇术!$A:$R,17,FALSE)="鸣金",$D$15,0)-VLOOKUP($F$7,目标属性!$A:$R,6,FALSE))/200,($D$7+IF(VLOOKUP($E79,武器奇术!$A:$R,17,FALSE)="鸣金",$D$15,0)-VLOOKUP($F$7,目标属性!$A:$R,6,FALSE))/100)</f>
        <v>-0.24</v>
      </c>
      <c r="AY79" s="100">
        <f t="shared" si="85"/>
        <v>0</v>
      </c>
      <c r="AZ79" s="91">
        <v>1</v>
      </c>
      <c r="BA79" s="92">
        <f>AU79*IF(VLOOKUP($E79,武器奇术!$A:$R,17,FALSE)="鸣金",VLOOKUP($E79,武器奇术!$A:$R,4,FALSE),VLOOKUP($E79,武器奇术!$A:$R,2,FALSE))*(1+AX79)*(1+AY79)*AZ79</f>
        <v>0</v>
      </c>
      <c r="BB79" s="93">
        <f>(1-IF(VLOOKUP($E79,武器奇术!$A:$R,16,FALSE)="陌刀",1,$N79))*(1-$M79)</f>
        <v>0</v>
      </c>
      <c r="BC79" s="92">
        <f>AV79*IF(VLOOKUP($E79,武器奇术!$A:$R,17,FALSE)="鸣金",VLOOKUP($E79,武器奇术!$A:$R,4,FALSE),VLOOKUP($E79,武器奇术!$A:$R,2,FALSE))*(1+AX79)*(1+AY79)*AZ79*(1+$E$16+VLOOKUP($E79,武器奇术!$A:$R,8,FALSE))</f>
        <v>0</v>
      </c>
      <c r="BD79" s="93">
        <f t="shared" si="3"/>
        <v>0.8135</v>
      </c>
      <c r="BE79" s="92">
        <f>AW79*IF(VLOOKUP($E79,武器奇术!$A:$R,17,FALSE)="鸣金",VLOOKUP($E79,武器奇术!$A:$R,4,FALSE),VLOOKUP($E79,武器奇术!$A:$R,2,FALSE))*(1+AX79)*(1+AY79)*AZ79*(1+$E$17+VLOOKUP($E79,武器奇术!$A:$R,10,FALSE))</f>
        <v>0</v>
      </c>
      <c r="BF79" s="93">
        <f t="shared" si="4"/>
        <v>0.0986</v>
      </c>
      <c r="BG79" s="92">
        <f>AV79*IF(VLOOKUP($E79,武器奇术!$A:$R,17,FALSE)="鸣金",VLOOKUP($E79,武器奇术!$A:$R,4,FALSE),VLOOKUP($E79,武器奇术!$A:$R,2,FALSE))*(1+AX79)*(1+AY79)*AZ79</f>
        <v>0</v>
      </c>
      <c r="BH79" s="93">
        <f t="shared" si="71"/>
        <v>0.0879</v>
      </c>
      <c r="BI79" s="101">
        <f t="shared" si="72"/>
        <v>0</v>
      </c>
      <c r="BJ79" s="99">
        <f>IF(VLOOKUP($E79,武器奇术!$A:$R,18,FALSE)="极乐",0,$B$9*IF($G$5="撼天",1.05,1)+IF(AND(VLOOKUP($E79,武器奇术!$A:$R,15,FALSE)="武器",VLOOKUP($E79,武器奇术!$A:$R,17,FALSE)="裂石"),$E$3*(1+$E$15),0))</f>
        <v>0</v>
      </c>
      <c r="BK79" s="91">
        <f t="shared" si="73"/>
        <v>0</v>
      </c>
      <c r="BL79" s="91">
        <f>IF(VLOOKUP($E79,武器奇术!$A:$R,18,FALSE)="极乐",0,MAX($C$9*IF($G$5="撼天",1.05,1)+IF(AND(VLOOKUP($E79,武器奇术!$A:$R,15,FALSE)="武器",VLOOKUP($E79,武器奇术!$A:$R,17,FALSE)="裂石"),$E$3*(1+$E$15),0),BJ79))</f>
        <v>0</v>
      </c>
      <c r="BM79" s="93">
        <f>IF(($D$9+IF(VLOOKUP($E79,武器奇术!$A:$R,17,FALSE)="裂石",$D$15,0)-VLOOKUP($F$7,目标属性!$A:$R,6,FALSE))&gt;0,($D$9+IF(VLOOKUP($E79,武器奇术!$A:$R,17,FALSE)="裂石",$D$15,0)-VLOOKUP($F$7,目标属性!$A:$R,6,FALSE))/200,($D$9+IF(VLOOKUP($E79,武器奇术!$A:$R,17,FALSE)="裂石",$D$15,0)-VLOOKUP($F$7,目标属性!$A:$R,6,FALSE))/100)</f>
        <v>-0.24</v>
      </c>
      <c r="BN79" s="100">
        <f t="shared" si="86"/>
        <v>0</v>
      </c>
      <c r="BO79" s="91">
        <v>1</v>
      </c>
      <c r="BP79" s="92">
        <f>BJ79*IF(VLOOKUP($E79,武器奇术!$A:$R,17,FALSE)="裂石",VLOOKUP($E79,武器奇术!$A:$R,4,FALSE),VLOOKUP($E79,武器奇术!$A:$R,2,FALSE))*(1+BM79)*(1+BN79)*BO79</f>
        <v>0</v>
      </c>
      <c r="BQ79" s="93">
        <f>(1-IF(VLOOKUP($E79,武器奇术!$A:$R,16,FALSE)="陌刀",1,$N79))*(1-$M79)</f>
        <v>0</v>
      </c>
      <c r="BR79" s="92">
        <f>BK79*IF(VLOOKUP($E79,武器奇术!$A:$R,17,FALSE)="裂石",VLOOKUP($E79,武器奇术!$A:$R,4,FALSE),VLOOKUP($E79,武器奇术!$A:$R,2,FALSE))*(1+BM79)*(1+BN79)*BO79*(1+$E$16+VLOOKUP($E79,武器奇术!$A:$R,8,FALSE))</f>
        <v>0</v>
      </c>
      <c r="BS79" s="93">
        <f t="shared" si="5"/>
        <v>0.8135</v>
      </c>
      <c r="BT79" s="92">
        <f>BL79*IF(VLOOKUP($E79,武器奇术!$A:$R,17,FALSE)="裂石",VLOOKUP($E79,武器奇术!$A:$R,4,FALSE),VLOOKUP($E79,武器奇术!$A:$R,2,FALSE))*(1+BM79)*(1+BN79)*BO79*(1+$E$17+VLOOKUP($E79,武器奇术!$A:$R,10,FALSE))</f>
        <v>0</v>
      </c>
      <c r="BU79" s="93">
        <f t="shared" si="6"/>
        <v>0.0986</v>
      </c>
      <c r="BV79" s="92">
        <f>BK79*IF(VLOOKUP($E79,武器奇术!$A:$R,17,FALSE)="裂石",VLOOKUP($E79,武器奇术!$A:$R,4,FALSE),VLOOKUP($E79,武器奇术!$A:$R,2,FALSE))*(1+BM79)*(1+BN79)*BO79</f>
        <v>0</v>
      </c>
      <c r="BW79" s="93">
        <f t="shared" si="74"/>
        <v>0.0879</v>
      </c>
      <c r="BX79" s="101">
        <f t="shared" si="75"/>
        <v>0</v>
      </c>
      <c r="BY79" s="99">
        <f>IF(VLOOKUP($E79,武器奇术!$A:$R,18,FALSE)="极乐",0,$B$11*IF($G$5="撼天",1.05,1)+IF(AND(VLOOKUP($E79,武器奇术!$A:$R,15,FALSE)="武器",VLOOKUP($E79,武器奇术!$A:$R,17,FALSE)="牵丝"),$E$3*(1+$E$15),0))</f>
        <v>0</v>
      </c>
      <c r="BZ79" s="91">
        <f t="shared" si="76"/>
        <v>0</v>
      </c>
      <c r="CA79" s="91">
        <f>IF(VLOOKUP($E79,武器奇术!$A:$R,18,FALSE)="极乐",0,MAX($C$11*IF($G$5="撼天",1.05,1)+IF(AND(VLOOKUP($E79,武器奇术!$A:$R,15,FALSE)="武器",VLOOKUP($E79,武器奇术!$A:$R,17,FALSE)="牵丝"),$E$3*(1+$E$15),0),BY79))</f>
        <v>0</v>
      </c>
      <c r="CB79" s="93">
        <f>IF(($D$11+IF(VLOOKUP($E79,武器奇术!$A:$R,17,FALSE)="牵丝",$D$15,0)-VLOOKUP($F$7,目标属性!$A:$R,6,FALSE))&gt;0,($D$11+IF(VLOOKUP($E79,武器奇术!$A:$R,17,FALSE)="牵丝",$D$15,0)-VLOOKUP($F$7,目标属性!$A:$R,6,FALSE))/200,($D$11+IF(VLOOKUP($E79,武器奇术!$A:$R,17,FALSE)="牵丝",$D$15,0)-VLOOKUP($F$7,目标属性!$A:$R,6,FALSE))/100)</f>
        <v>-0.24</v>
      </c>
      <c r="CC79" s="100">
        <f t="shared" si="87"/>
        <v>0</v>
      </c>
      <c r="CD79" s="91">
        <v>1</v>
      </c>
      <c r="CE79" s="92">
        <f>BY79*IF(VLOOKUP($E79,武器奇术!$A:$R,17,FALSE)="牵丝",VLOOKUP($E79,武器奇术!$A:$R,4,FALSE),VLOOKUP($E79,武器奇术!$A:$R,2,FALSE))*(1+CB79)*(1+CC79)*CD79</f>
        <v>0</v>
      </c>
      <c r="CF79" s="93">
        <f>(1-IF(VLOOKUP($E79,武器奇术!$A:$R,16,FALSE)="陌刀",1,$N79))*(1-$M79)</f>
        <v>0</v>
      </c>
      <c r="CG79" s="92">
        <f>BZ79*IF(VLOOKUP($E79,武器奇术!$A:$R,17,FALSE)="牵丝",VLOOKUP($E79,武器奇术!$A:$R,4,FALSE),VLOOKUP($E79,武器奇术!$A:$R,2,FALSE))*(1+CB79)*(1+CC79)*CD79*(1+$E$16+VLOOKUP($E79,武器奇术!$A:$R,8,FALSE))</f>
        <v>0</v>
      </c>
      <c r="CH79" s="93">
        <f t="shared" si="7"/>
        <v>0.8135</v>
      </c>
      <c r="CI79" s="92">
        <f>CA79*IF(VLOOKUP($E79,武器奇术!$A:$R,17,FALSE)="牵丝",VLOOKUP($E79,武器奇术!$A:$R,4,FALSE),VLOOKUP($E79,武器奇术!$A:$R,2,FALSE))*(1+CB79)*(1+CC79)*CD79*(1+$E$17+VLOOKUP($E79,武器奇术!$A:$R,10,FALSE))</f>
        <v>0</v>
      </c>
      <c r="CJ79" s="93">
        <f t="shared" si="8"/>
        <v>0.0986</v>
      </c>
      <c r="CK79" s="92">
        <f>BZ79*IF(VLOOKUP($E79,武器奇术!$A:$R,17,FALSE)="牵丝",VLOOKUP($E79,武器奇术!$A:$R,4,FALSE),VLOOKUP($E79,武器奇术!$A:$R,2,FALSE))*(1+CB79)*(1+CC79)*CD79</f>
        <v>0</v>
      </c>
      <c r="CL79" s="93">
        <f t="shared" si="77"/>
        <v>0.0879</v>
      </c>
      <c r="CM79" s="101">
        <f t="shared" si="78"/>
        <v>0</v>
      </c>
      <c r="CN79" s="99">
        <f>IF(VLOOKUP($E79,武器奇术!$A:$R,18,FALSE)="极乐",0,$B$13*IF($G$5="撼天",1.05,1)+IF(AND(VLOOKUP($E79,武器奇术!$A:$R,15,FALSE)="武器",VLOOKUP($E79,武器奇术!$A:$R,17,FALSE)="破竹"),$E$3*(1+$E$15),0))</f>
        <v>686.71</v>
      </c>
      <c r="CO79" s="91">
        <f t="shared" si="79"/>
        <v>1052.21</v>
      </c>
      <c r="CP79" s="91">
        <f>IF(VLOOKUP($E79,武器奇术!$A:$R,18,FALSE)="极乐",0,MAX($C$13*IF($G$5="撼天",1.05,1)+IF(AND(VLOOKUP($E79,武器奇术!$A:$R,15,FALSE)="武器",VLOOKUP($E79,武器奇术!$A:$R,17,FALSE)="破竹"),$E$3*(1+$E$15),0),CN79))</f>
        <v>1417.71</v>
      </c>
      <c r="CQ79" s="93">
        <f>IF(($D$13+IF(VLOOKUP($E79,武器奇术!$A:$R,17,FALSE)="破竹",$D$15,0)-VLOOKUP($F$7,目标属性!$A:$R,6,FALSE)+IF(VLOOKUP($E79,武器奇术!$A:$V,22,FALSE)=1,4,0)+IF(VLOOKUP($E79,武器奇术!$A:$T,20,FALSE)=1,10,0))&gt;0,($D$13+IF(VLOOKUP($E79,武器奇术!$A:$R,17,FALSE)="破竹",$D$15,0)-VLOOKUP($F$7,目标属性!$A:$R,6,FALSE)+IF(VLOOKUP($E79,武器奇术!$A:$V,22,FALSE)=1,4,0)+IF(VLOOKUP($E79,武器奇术!$A:$T,20,FALSE)=1,10,0))/200,($D$13+IF(VLOOKUP($E79,武器奇术!$A:$R,17,FALSE)="破竹",$D$15,0)-VLOOKUP($F$7,目标属性!$A:$R,6,FALSE)+IF(VLOOKUP($E79,武器奇术!$A:$V,22,FALSE)=1,4,0)+IF(VLOOKUP($E79,武器奇术!$A:$T,20,FALSE)=1,10,0))/100)</f>
        <v>0.028</v>
      </c>
      <c r="CR79" s="100">
        <f t="shared" si="83"/>
        <v>0.148</v>
      </c>
      <c r="CS79" s="91">
        <v>1</v>
      </c>
      <c r="CT79" s="92">
        <f>CN79*IF(VLOOKUP($E79,武器奇术!$A:$R,17,FALSE)="破竹",VLOOKUP($E79,武器奇术!$A:$R,4,FALSE),VLOOKUP($E79,武器奇术!$A:$R,2,FALSE))*(1+CQ79)*(1+CR79)*CS79</f>
        <v>602.893285394523</v>
      </c>
      <c r="CU79" s="93">
        <f>(1-IF(VLOOKUP($E79,武器奇术!$A:$R,16,FALSE)="陌刀",1,$N79))*(1-$M79)</f>
        <v>0</v>
      </c>
      <c r="CV79" s="92">
        <f>CO79*IF(VLOOKUP($E79,武器奇术!$A:$R,17,FALSE)="破竹",VLOOKUP($E79,武器奇术!$A:$R,4,FALSE),VLOOKUP($E79,武器奇术!$A:$R,2,FALSE))*(1+CQ79)*(1+CR79)*CS79*(1+$E$16+VLOOKUP($E79,武器奇术!$A:$R,8,FALSE))</f>
        <v>1749.64312621703</v>
      </c>
      <c r="CW79" s="93">
        <f t="shared" si="9"/>
        <v>0.8135</v>
      </c>
      <c r="CX79" s="92">
        <f>CP79*IF(VLOOKUP($E79,武器奇术!$A:$R,17,FALSE)="破竹",VLOOKUP($E79,武器奇术!$A:$R,4,FALSE),VLOOKUP($E79,武器奇术!$A:$R,2,FALSE))*(1+CQ79)*(1+CR79)*CS79*(1+$E$17+VLOOKUP($E79,武器奇术!$A:$R,10,FALSE))</f>
        <v>1680.30549068676</v>
      </c>
      <c r="CY79" s="93">
        <f t="shared" si="10"/>
        <v>0.0986</v>
      </c>
      <c r="CZ79" s="92">
        <f>CO79*IF(VLOOKUP($E79,武器奇术!$A:$R,17,FALSE)="破竹",VLOOKUP($E79,武器奇术!$A:$R,4,FALSE),VLOOKUP($E79,武器奇术!$A:$R,2,FALSE))*(1+CQ79)*(1+CR79)*CS79</f>
        <v>923.782009618283</v>
      </c>
      <c r="DA79" s="93">
        <f t="shared" si="80"/>
        <v>0.0879</v>
      </c>
      <c r="DB79" s="101">
        <f t="shared" si="81"/>
        <v>1670.21324320471</v>
      </c>
      <c r="DC79" s="99">
        <f>IF(VLOOKUP($E79,武器奇术!$A:$R,18,FALSE)="极乐",0,$B$15)</f>
        <v>66</v>
      </c>
      <c r="DD79" s="91">
        <f t="shared" si="82"/>
        <v>95.9</v>
      </c>
      <c r="DE79" s="91">
        <f>IF(VLOOKUP($E79,武器奇术!$A:$R,18,FALSE)="极乐",0,$C$15)</f>
        <v>125.8</v>
      </c>
      <c r="DF79" s="93">
        <f>IF((IF(VLOOKUP($E79,武器奇术!$A:$R,17,FALSE)="鸣金",$D$7,0)+IF(VLOOKUP($E79,武器奇术!$A:$R,17,FALSE)="裂石",$D$9,0)+IF(VLOOKUP($E79,武器奇术!$A:$R,17,FALSE)="牵丝",$D$11,0)+IF(VLOOKUP($E79,武器奇术!$A:$R,17,FALSE)="破竹",$D$13,0)+$D$15-VLOOKUP($F$7,目标属性!$A:$R,6,FALSE)+IF(VLOOKUP($E79,武器奇术!$A:$V,22,FALSE)=1,4,0)+IF(VLOOKUP($E79,武器奇术!$A:$T,20,FALSE)=1,10,0))&gt;0,(IF(VLOOKUP($E79,武器奇术!$A:$R,17,FALSE)="鸣金",$D$7,0)+IF(VLOOKUP($E79,武器奇术!$A:$R,17,FALSE)="裂石",$D$9,0)+IF(VLOOKUP($E79,武器奇术!$A:$R,17,FALSE)="牵丝",$D$11,0)+IF(VLOOKUP($E79,武器奇术!$A:$R,17,FALSE)="破竹",$D$13,0)+$D$15-VLOOKUP($F$7,目标属性!$A:$R,6,FALSE)+IF(VLOOKUP($E79,武器奇术!$A:$V,22,FALSE)=1,4,0)+IF(VLOOKUP($E79,武器奇术!$A:$T,20,FALSE)=1,10,0))/200,(IF(VLOOKUP($E79,武器奇术!$A:$R,17,FALSE)="鸣金",$D$7,0)+IF(VLOOKUP($E79,武器奇术!$A:$R,17,FALSE)="裂石",$D$9,0)+IF(VLOOKUP($E79,武器奇术!$A:$R,17,FALSE)="牵丝",$D$11,0)+IF(VLOOKUP($E79,武器奇术!$A:$R,17,FALSE)="破竹",$D$13,0)+$D$15-VLOOKUP($F$7,目标属性!$A:$R,6,FALSE)+IF(VLOOKUP($E79,武器奇术!$A:$V,22,FALSE)=1,4,0)+IF(VLOOKUP($E79,武器奇术!$A:$T,20,FALSE)=1,10,0))/100)</f>
        <v>0.028</v>
      </c>
      <c r="DG79" s="100">
        <f t="shared" si="54"/>
        <v>0.148</v>
      </c>
      <c r="DH79" s="91">
        <v>1</v>
      </c>
      <c r="DI79" s="92">
        <f>DC79*IF(VLOOKUP($E79,武器奇术!$A:$R,17,FALSE)="破竹",VLOOKUP($E79,武器奇术!$A:$R,4,FALSE),VLOOKUP($E79,武器奇术!$A:$R,2,FALSE))*(1+DF79)*(1+DG79)*DH79</f>
        <v>57.94433871072</v>
      </c>
      <c r="DJ79" s="93">
        <f>(1-IF(VLOOKUP($E79,武器奇术!$A:$R,16,FALSE)="陌刀",1,$N79))*(1-$M79)</f>
        <v>0</v>
      </c>
      <c r="DK79" s="92">
        <f>DD79*IF(VLOOKUP($E79,武器奇术!$A:$R,17,FALSE)="破竹",VLOOKUP($E79,武器奇术!$A:$R,4,FALSE),VLOOKUP($E79,武器奇术!$A:$R,2,FALSE))*(1+DF79)*(1+DG79)*DH79*(1+$E$16+VLOOKUP($E79,武器奇术!$A:$R,8,FALSE))</f>
        <v>159.465102787669</v>
      </c>
      <c r="DL79" s="93">
        <f t="shared" si="12"/>
        <v>0.8135</v>
      </c>
      <c r="DM79" s="92">
        <f>DE79*IF(VLOOKUP($E79,武器奇术!$A:$R,17,FALSE)="破竹",VLOOKUP($E79,武器奇术!$A:$R,4,FALSE),VLOOKUP($E79,武器奇术!$A:$R,2,FALSE))*(1+DF79)*(1+DG79)*DH79*(1+$E$17+VLOOKUP($E79,武器奇术!$A:$R,10,FALSE))</f>
        <v>149.101318836994</v>
      </c>
      <c r="DN79" s="93">
        <f t="shared" si="13"/>
        <v>0.0986</v>
      </c>
      <c r="DO79" s="92">
        <f>DD79*IF(VLOOKUP($E79,武器奇术!$A:$R,17,FALSE)="破竹",VLOOKUP($E79,武器奇术!$A:$R,4,FALSE),VLOOKUP($E79,武器奇术!$A:$R,2,FALSE))*(1+DF79)*(1+DG79)*DH79</f>
        <v>84.194880035728</v>
      </c>
      <c r="DP79" s="93">
        <f t="shared" si="14"/>
        <v>0.0879</v>
      </c>
      <c r="DQ79" s="101">
        <f t="shared" si="15"/>
        <v>151.826981110237</v>
      </c>
    </row>
    <row r="80" customFormat="1" spans="1:121">
      <c r="B80" t="s">
        <v>165</v>
      </c>
      <c r="C80">
        <v>2</v>
      </c>
      <c r="D80"/>
      <c r="E80" s="105" t="s">
        <v>166</v>
      </c>
      <c r="F80" s="106">
        <v>1</v>
      </c>
      <c r="G80" s="107">
        <f t="shared" si="88"/>
        <v>0</v>
      </c>
      <c r="H80" s="92">
        <f>IF(VLOOKUP($E80,武器奇术!$A:$R,18,FALSE)="天工",AE80,(AE80+AT80+BI80+BX80+CM80+DB80+DQ80))*(1+J80)*F80*K80*(1+G80)</f>
        <v>13677.0483893412</v>
      </c>
      <c r="I80" s="93">
        <f t="shared" si="58"/>
        <v>0.00175452895039388</v>
      </c>
      <c r="J80" s="93">
        <f>$F$3+VLOOKUP($E80,武器奇术!$A:$R,12,FALSE)+VLOOKUP($E80,武器奇术!$A:$R,14,FALSE)*$G$3+$P80</f>
        <v>0.843</v>
      </c>
      <c r="K80" s="94">
        <f>VLOOKUP($E80,武器奇术!$A:$R,11,FALSE)</f>
        <v>1</v>
      </c>
      <c r="L80" s="109">
        <f>IF(VLOOKUP($E80,武器奇术!$A:$R,15,FALSE)="天工",0%,IF($C$17+VLOOKUP($E80,武器奇术!$A:$R,7,FALSE)&gt;80%,80%,$C$17+VLOOKUP($E80,武器奇术!$A:$R,7,FALSE))+IF($C$19&gt;20%,20%,$C$19))</f>
        <v>0.8135</v>
      </c>
      <c r="M80" s="110">
        <f>IF(VLOOKUP($E80,武器奇术!$A:$R,15,FALSE)="天工",0%,IF($C$18+VLOOKUP($E80,武器奇术!$A:$R,9,FALSE)&gt;40%,40%,$C$18+VLOOKUP($E80,武器奇术!$A:$R,9,FALSE))+IF($C$20&gt;10%,10%,$C$20))</f>
        <v>0.0986</v>
      </c>
      <c r="N80" s="111">
        <f>IF(VLOOKUP($E80,武器奇术!$A:$R,15,FALSE)="天工",100%,MIN($C$16,1))</f>
        <v>1</v>
      </c>
      <c r="O80" s="112" t="str">
        <f>VLOOKUP($E80,武器奇术!$A:$R,16,FALSE)</f>
        <v>双刀</v>
      </c>
      <c r="P80" s="113">
        <f t="shared" si="59"/>
        <v>0.17</v>
      </c>
      <c r="Q80" s="99">
        <f>$B$5*(1+VLOOKUP($E80,武器奇术!$A:$R,5,FALSE)+IF($G$5="飞隼",0.1,0)+IF($G$5="撼天",0.05,0))-$F$9*IF(VLOOKUP($E80,武器奇术!$A:$S,19,FALSE)=1,0.9,1)+IF($I$5="√",160,0)</f>
        <v>2904.2</v>
      </c>
      <c r="R80" s="91">
        <f t="shared" si="60"/>
        <v>2904.2</v>
      </c>
      <c r="S80" s="91">
        <f>MAX($C$5,$B$5)*(1+VLOOKUP($E80,武器奇术!$A:$R,5,FALSE)+IF($G$5="飞隼",0.1,0)+IF($G$5="撼天",0.05,0))-$F$9*IF(VLOOKUP($E80,武器奇术!$A:$S,19,FALSE)=1,0.9,1)+IF($I$5="√",320,0)</f>
        <v>2904.2</v>
      </c>
      <c r="T80" s="93">
        <f>IF(($D$5+VLOOKUP($E80,武器奇术!$A:$R,13,FALSE)+IF($I$3="√",10,0)-VLOOKUP($F$7,目标属性!$A:$R,5,FALSE))&gt;0,($D$5+VLOOKUP($E80,武器奇术!$A:$R,13,FALSE)+IF($I$3="√",10,0)-VLOOKUP($F$7,目标属性!$A:$R,5,FALSE))/200,($D$5+VLOOKUP($E80,武器奇术!$A:$R,13,FALSE)+IF($I$3="√",10,0)-VLOOKUP($F$7,目标属性!$A:$R,5,FALSE))/100)</f>
        <v>0.3925</v>
      </c>
      <c r="U80" s="100">
        <f>$E$5+IF(VLOOKUP($E80,武器奇术!$A:$R,18,FALSE)="鼠鼠",0.24,0)</f>
        <v>0</v>
      </c>
      <c r="V80" s="91">
        <v>1</v>
      </c>
      <c r="W80" s="92">
        <f>Q80*VLOOKUP($E80,武器奇术!$A:$R,2,FALSE)*(1+T80)*(1+U80)*V80</f>
        <v>2567.67901962</v>
      </c>
      <c r="X80" s="93">
        <f>(1-IF(VLOOKUP($E80,武器奇术!$A:$R,16,FALSE)="陌刀",1,$N80))*(1-$M80)</f>
        <v>0</v>
      </c>
      <c r="Y80" s="92">
        <f>R80*VLOOKUP($E80,武器奇术!$A:$R,2,FALSE)*(1+T80)*(1+U80)*V80*(1+$E$16+VLOOKUP($E80,武器奇术!$A:$R,8,FALSE))</f>
        <v>4863.18406316028</v>
      </c>
      <c r="Z80" s="93">
        <f t="shared" si="61"/>
        <v>0.8135</v>
      </c>
      <c r="AA80" s="92">
        <f>S80*VLOOKUP($E80,武器奇术!$A:$R,2,FALSE)*(1+T80)*(1+U80)*V80*(1+$E$17+VLOOKUP($E80,武器奇术!$A:$R,10,FALSE))</f>
        <v>3466.366676487</v>
      </c>
      <c r="AB80" s="93">
        <f t="shared" si="62"/>
        <v>0.0986</v>
      </c>
      <c r="AC80" s="92">
        <f>R80*VLOOKUP($E80,武器奇术!$A:$R,2,FALSE)*(1+T80)*(1+U80)*V80</f>
        <v>2567.67901962</v>
      </c>
      <c r="AD80" s="93">
        <f t="shared" si="63"/>
        <v>0.0879</v>
      </c>
      <c r="AE80" s="101">
        <f t="shared" si="64"/>
        <v>4523.6829755071</v>
      </c>
      <c r="AF80" s="102">
        <f>VLOOKUP($E80,武器奇术!$A:$R,3,FALSE)*(1+IF(VLOOKUP($E80,武器奇术!$A:$R,15,FALSE)="武器",$E$15,0))</f>
        <v>230.23</v>
      </c>
      <c r="AG80" s="92">
        <f t="shared" si="65"/>
        <v>230.23</v>
      </c>
      <c r="AH80" s="92">
        <f>VLOOKUP($E80,武器奇术!$A:$R,3,FALSE)*(1+IF(VLOOKUP($E80,武器奇术!$A:$R,15,FALSE)="武器",$E$15,0))</f>
        <v>230.23</v>
      </c>
      <c r="AI80" s="93">
        <f>IF(($D$5+VLOOKUP($E80,武器奇术!$A:$R,13,FALSE)+IF($I$3="√",10,0)-VLOOKUP($F$7,目标属性!$A:$R,5,FALSE))&gt;0,($D$5+VLOOKUP($E80,武器奇术!$A:$R,13,FALSE)+IF($I$3="√",10,0)-VLOOKUP($F$7,目标属性!$A:$R,5,FALSE))/200,($D$5+VLOOKUP($E80,武器奇术!$A:$R,13,FALSE)+IF($I$3="√",10,0)-VLOOKUP($F$7,目标属性!$A:$R,5,FALSE))/100)</f>
        <v>0.3925</v>
      </c>
      <c r="AJ80" s="100">
        <f>$E$5+IF(VLOOKUP($E80,武器奇术!$A:$R,18,FALSE)="鼠鼠",0.24,0)</f>
        <v>0</v>
      </c>
      <c r="AK80" s="91">
        <v>1</v>
      </c>
      <c r="AL80" s="92">
        <f t="shared" si="66"/>
        <v>320.595275</v>
      </c>
      <c r="AM80" s="93">
        <f>(1-IF(VLOOKUP($E80,武器奇术!$A:$R,16,FALSE)="陌刀",1,$N80))*(1-$M80)</f>
        <v>0</v>
      </c>
      <c r="AN80" s="92">
        <f>AG80*(1+AI80)*(1+AJ80)*AK80*(1+$E$16+VLOOKUP($E80,武器奇术!$A:$R,8,FALSE))</f>
        <v>607.20745085</v>
      </c>
      <c r="AO80" s="93">
        <f t="shared" si="1"/>
        <v>0.8135</v>
      </c>
      <c r="AP80" s="92">
        <f>AH80*(1+AI80)*(1+AJ80)*AK80*(1+$E$17+VLOOKUP($E80,武器奇术!$A:$R,10,FALSE))</f>
        <v>432.80362125</v>
      </c>
      <c r="AQ80" s="93">
        <f t="shared" si="2"/>
        <v>0.0986</v>
      </c>
      <c r="AR80" s="92">
        <f t="shared" si="67"/>
        <v>320.595275</v>
      </c>
      <c r="AS80" s="93">
        <f t="shared" si="68"/>
        <v>0.0879</v>
      </c>
      <c r="AT80" s="101">
        <f t="shared" si="69"/>
        <v>564.818022994225</v>
      </c>
      <c r="AU80" s="99">
        <f>IF(VLOOKUP($E80,武器奇术!$A:$R,18,FALSE)="极乐",0,$B$7*IF($G$5="撼天",1.05,1)+IF(AND(VLOOKUP($E80,武器奇术!$A:$R,15,FALSE)="武器",VLOOKUP($E80,武器奇术!$A:$R,17,FALSE)="鸣金"),$E$3*(1+$E$15),0))</f>
        <v>0</v>
      </c>
      <c r="AV80" s="91">
        <f t="shared" si="70"/>
        <v>0</v>
      </c>
      <c r="AW80" s="91">
        <f>IF(VLOOKUP($E80,武器奇术!$A:$R,18,FALSE)="极乐",0,MAX($C$7*IF($G$5="撼天",1.05,1)+IF(AND(VLOOKUP($E80,武器奇术!$A:$R,15,FALSE)="武器",VLOOKUP($E80,武器奇术!$A:$R,17,FALSE)="鸣金"),$E$3*(1+$E$15),0),AU80))</f>
        <v>0</v>
      </c>
      <c r="AX80" s="93">
        <f>IF(($D$7+IF(VLOOKUP($E80,武器奇术!$A:$R,17,FALSE)="鸣金",$D$15,0)-VLOOKUP($F$7,目标属性!$A:$R,6,FALSE))&gt;0,($D$7+IF(VLOOKUP($E80,武器奇术!$A:$R,17,FALSE)="鸣金",$D$15,0)-VLOOKUP($F$7,目标属性!$A:$R,6,FALSE))/200,($D$7+IF(VLOOKUP($E80,武器奇术!$A:$R,17,FALSE)="鸣金",$D$15,0)-VLOOKUP($F$7,目标属性!$A:$R,6,FALSE))/100)</f>
        <v>-0.24</v>
      </c>
      <c r="AY80" s="100">
        <f t="shared" si="85"/>
        <v>0</v>
      </c>
      <c r="AZ80" s="91">
        <v>1</v>
      </c>
      <c r="BA80" s="92">
        <f>AU80*IF(VLOOKUP($E80,武器奇术!$A:$R,17,FALSE)="鸣金",VLOOKUP($E80,武器奇术!$A:$R,4,FALSE),VLOOKUP($E80,武器奇术!$A:$R,2,FALSE))*(1+AX80)*(1+AY80)*AZ80</f>
        <v>0</v>
      </c>
      <c r="BB80" s="93">
        <f>(1-IF(VLOOKUP($E80,武器奇术!$A:$R,16,FALSE)="陌刀",1,$N80))*(1-$M80)</f>
        <v>0</v>
      </c>
      <c r="BC80" s="92">
        <f>AV80*IF(VLOOKUP($E80,武器奇术!$A:$R,17,FALSE)="鸣金",VLOOKUP($E80,武器奇术!$A:$R,4,FALSE),VLOOKUP($E80,武器奇术!$A:$R,2,FALSE))*(1+AX80)*(1+AY80)*AZ80*(1+$E$16+VLOOKUP($E80,武器奇术!$A:$R,8,FALSE))</f>
        <v>0</v>
      </c>
      <c r="BD80" s="93">
        <f t="shared" si="3"/>
        <v>0.8135</v>
      </c>
      <c r="BE80" s="92">
        <f>AW80*IF(VLOOKUP($E80,武器奇术!$A:$R,17,FALSE)="鸣金",VLOOKUP($E80,武器奇术!$A:$R,4,FALSE),VLOOKUP($E80,武器奇术!$A:$R,2,FALSE))*(1+AX80)*(1+AY80)*AZ80*(1+$E$17+VLOOKUP($E80,武器奇术!$A:$R,10,FALSE))</f>
        <v>0</v>
      </c>
      <c r="BF80" s="93">
        <f t="shared" si="4"/>
        <v>0.0986</v>
      </c>
      <c r="BG80" s="92">
        <f>AV80*IF(VLOOKUP($E80,武器奇术!$A:$R,17,FALSE)="鸣金",VLOOKUP($E80,武器奇术!$A:$R,4,FALSE),VLOOKUP($E80,武器奇术!$A:$R,2,FALSE))*(1+AX80)*(1+AY80)*AZ80</f>
        <v>0</v>
      </c>
      <c r="BH80" s="93">
        <f t="shared" si="71"/>
        <v>0.0879</v>
      </c>
      <c r="BI80" s="101">
        <f t="shared" si="72"/>
        <v>0</v>
      </c>
      <c r="BJ80" s="99">
        <f>IF(VLOOKUP($E80,武器奇术!$A:$R,18,FALSE)="极乐",0,$B$9*IF($G$5="撼天",1.05,1)+IF(AND(VLOOKUP($E80,武器奇术!$A:$R,15,FALSE)="武器",VLOOKUP($E80,武器奇术!$A:$R,17,FALSE)="裂石"),$E$3*(1+$E$15),0))</f>
        <v>0</v>
      </c>
      <c r="BK80" s="91">
        <f t="shared" si="73"/>
        <v>0</v>
      </c>
      <c r="BL80" s="91">
        <f>IF(VLOOKUP($E80,武器奇术!$A:$R,18,FALSE)="极乐",0,MAX($C$9*IF($G$5="撼天",1.05,1)+IF(AND(VLOOKUP($E80,武器奇术!$A:$R,15,FALSE)="武器",VLOOKUP($E80,武器奇术!$A:$R,17,FALSE)="裂石"),$E$3*(1+$E$15),0),BJ80))</f>
        <v>0</v>
      </c>
      <c r="BM80" s="93">
        <f>IF(($D$9+IF(VLOOKUP($E80,武器奇术!$A:$R,17,FALSE)="裂石",$D$15,0)-VLOOKUP($F$7,目标属性!$A:$R,6,FALSE))&gt;0,($D$9+IF(VLOOKUP($E80,武器奇术!$A:$R,17,FALSE)="裂石",$D$15,0)-VLOOKUP($F$7,目标属性!$A:$R,6,FALSE))/200,($D$9+IF(VLOOKUP($E80,武器奇术!$A:$R,17,FALSE)="裂石",$D$15,0)-VLOOKUP($F$7,目标属性!$A:$R,6,FALSE))/100)</f>
        <v>-0.24</v>
      </c>
      <c r="BN80" s="100">
        <f t="shared" si="86"/>
        <v>0</v>
      </c>
      <c r="BO80" s="91">
        <v>1</v>
      </c>
      <c r="BP80" s="92">
        <f>BJ80*IF(VLOOKUP($E80,武器奇术!$A:$R,17,FALSE)="裂石",VLOOKUP($E80,武器奇术!$A:$R,4,FALSE),VLOOKUP($E80,武器奇术!$A:$R,2,FALSE))*(1+BM80)*(1+BN80)*BO80</f>
        <v>0</v>
      </c>
      <c r="BQ80" s="93">
        <f>(1-IF(VLOOKUP($E80,武器奇术!$A:$R,16,FALSE)="陌刀",1,$N80))*(1-$M80)</f>
        <v>0</v>
      </c>
      <c r="BR80" s="92">
        <f>BK80*IF(VLOOKUP($E80,武器奇术!$A:$R,17,FALSE)="裂石",VLOOKUP($E80,武器奇术!$A:$R,4,FALSE),VLOOKUP($E80,武器奇术!$A:$R,2,FALSE))*(1+BM80)*(1+BN80)*BO80*(1+$E$16+VLOOKUP($E80,武器奇术!$A:$R,8,FALSE))</f>
        <v>0</v>
      </c>
      <c r="BS80" s="93">
        <f t="shared" si="5"/>
        <v>0.8135</v>
      </c>
      <c r="BT80" s="92">
        <f>BL80*IF(VLOOKUP($E80,武器奇术!$A:$R,17,FALSE)="裂石",VLOOKUP($E80,武器奇术!$A:$R,4,FALSE),VLOOKUP($E80,武器奇术!$A:$R,2,FALSE))*(1+BM80)*(1+BN80)*BO80*(1+$E$17+VLOOKUP($E80,武器奇术!$A:$R,10,FALSE))</f>
        <v>0</v>
      </c>
      <c r="BU80" s="93">
        <f t="shared" si="6"/>
        <v>0.0986</v>
      </c>
      <c r="BV80" s="92">
        <f>BK80*IF(VLOOKUP($E80,武器奇术!$A:$R,17,FALSE)="裂石",VLOOKUP($E80,武器奇术!$A:$R,4,FALSE),VLOOKUP($E80,武器奇术!$A:$R,2,FALSE))*(1+BM80)*(1+BN80)*BO80</f>
        <v>0</v>
      </c>
      <c r="BW80" s="93">
        <f t="shared" si="74"/>
        <v>0.0879</v>
      </c>
      <c r="BX80" s="101">
        <f t="shared" si="75"/>
        <v>0</v>
      </c>
      <c r="BY80" s="99">
        <f>IF(VLOOKUP($E80,武器奇术!$A:$R,18,FALSE)="极乐",0,$B$11*IF($G$5="撼天",1.05,1)+IF(AND(VLOOKUP($E80,武器奇术!$A:$R,15,FALSE)="武器",VLOOKUP($E80,武器奇术!$A:$R,17,FALSE)="牵丝"),$E$3*(1+$E$15),0))</f>
        <v>0</v>
      </c>
      <c r="BZ80" s="91">
        <f t="shared" si="76"/>
        <v>0</v>
      </c>
      <c r="CA80" s="91">
        <f>IF(VLOOKUP($E80,武器奇术!$A:$R,18,FALSE)="极乐",0,MAX($C$11*IF($G$5="撼天",1.05,1)+IF(AND(VLOOKUP($E80,武器奇术!$A:$R,15,FALSE)="武器",VLOOKUP($E80,武器奇术!$A:$R,17,FALSE)="牵丝"),$E$3*(1+$E$15),0),BY80))</f>
        <v>0</v>
      </c>
      <c r="CB80" s="93">
        <f>IF(($D$11+IF(VLOOKUP($E80,武器奇术!$A:$R,17,FALSE)="牵丝",$D$15,0)-VLOOKUP($F$7,目标属性!$A:$R,6,FALSE))&gt;0,($D$11+IF(VLOOKUP($E80,武器奇术!$A:$R,17,FALSE)="牵丝",$D$15,0)-VLOOKUP($F$7,目标属性!$A:$R,6,FALSE))/200,($D$11+IF(VLOOKUP($E80,武器奇术!$A:$R,17,FALSE)="牵丝",$D$15,0)-VLOOKUP($F$7,目标属性!$A:$R,6,FALSE))/100)</f>
        <v>-0.24</v>
      </c>
      <c r="CC80" s="100">
        <f t="shared" si="87"/>
        <v>0</v>
      </c>
      <c r="CD80" s="91">
        <v>1</v>
      </c>
      <c r="CE80" s="92">
        <f>BY80*IF(VLOOKUP($E80,武器奇术!$A:$R,17,FALSE)="牵丝",VLOOKUP($E80,武器奇术!$A:$R,4,FALSE),VLOOKUP($E80,武器奇术!$A:$R,2,FALSE))*(1+CB80)*(1+CC80)*CD80</f>
        <v>0</v>
      </c>
      <c r="CF80" s="93">
        <f>(1-IF(VLOOKUP($E80,武器奇术!$A:$R,16,FALSE)="陌刀",1,$N80))*(1-$M80)</f>
        <v>0</v>
      </c>
      <c r="CG80" s="92">
        <f>BZ80*IF(VLOOKUP($E80,武器奇术!$A:$R,17,FALSE)="牵丝",VLOOKUP($E80,武器奇术!$A:$R,4,FALSE),VLOOKUP($E80,武器奇术!$A:$R,2,FALSE))*(1+CB80)*(1+CC80)*CD80*(1+$E$16+VLOOKUP($E80,武器奇术!$A:$R,8,FALSE))</f>
        <v>0</v>
      </c>
      <c r="CH80" s="93">
        <f t="shared" si="7"/>
        <v>0.8135</v>
      </c>
      <c r="CI80" s="92">
        <f>CA80*IF(VLOOKUP($E80,武器奇术!$A:$R,17,FALSE)="牵丝",VLOOKUP($E80,武器奇术!$A:$R,4,FALSE),VLOOKUP($E80,武器奇术!$A:$R,2,FALSE))*(1+CB80)*(1+CC80)*CD80*(1+$E$17+VLOOKUP($E80,武器奇术!$A:$R,10,FALSE))</f>
        <v>0</v>
      </c>
      <c r="CJ80" s="93">
        <f t="shared" si="8"/>
        <v>0.0986</v>
      </c>
      <c r="CK80" s="92">
        <f>BZ80*IF(VLOOKUP($E80,武器奇术!$A:$R,17,FALSE)="牵丝",VLOOKUP($E80,武器奇术!$A:$R,4,FALSE),VLOOKUP($E80,武器奇术!$A:$R,2,FALSE))*(1+CB80)*(1+CC80)*CD80</f>
        <v>0</v>
      </c>
      <c r="CL80" s="93">
        <f t="shared" si="77"/>
        <v>0.0879</v>
      </c>
      <c r="CM80" s="101">
        <f t="shared" si="78"/>
        <v>0</v>
      </c>
      <c r="CN80" s="99">
        <f>IF(VLOOKUP($E80,武器奇术!$A:$R,18,FALSE)="极乐",0,$B$13*IF($G$5="撼天",1.05,1)+IF(AND(VLOOKUP($E80,武器奇术!$A:$R,15,FALSE)="武器",VLOOKUP($E80,武器奇术!$A:$R,17,FALSE)="破竹"),$E$3*(1+$E$15),0))</f>
        <v>686.71</v>
      </c>
      <c r="CO80" s="91">
        <f t="shared" si="79"/>
        <v>1052.21</v>
      </c>
      <c r="CP80" s="91">
        <f>IF(VLOOKUP($E80,武器奇术!$A:$R,18,FALSE)="极乐",0,MAX($C$13*IF($G$5="撼天",1.05,1)+IF(AND(VLOOKUP($E80,武器奇术!$A:$R,15,FALSE)="武器",VLOOKUP($E80,武器奇术!$A:$R,17,FALSE)="破竹"),$E$3*(1+$E$15),0),CN80))</f>
        <v>1417.71</v>
      </c>
      <c r="CQ80" s="93">
        <f>IF(($D$13+IF(VLOOKUP($E80,武器奇术!$A:$R,17,FALSE)="破竹",$D$15,0)-VLOOKUP($F$7,目标属性!$A:$R,6,FALSE)+IF(VLOOKUP($E80,武器奇术!$A:$V,22,FALSE)=1,4,0)+IF(VLOOKUP($E80,武器奇术!$A:$T,20,FALSE)=1,10,0))&gt;0,($D$13+IF(VLOOKUP($E80,武器奇术!$A:$R,17,FALSE)="破竹",$D$15,0)-VLOOKUP($F$7,目标属性!$A:$R,6,FALSE)+IF(VLOOKUP($E80,武器奇术!$A:$V,22,FALSE)=1,4,0)+IF(VLOOKUP($E80,武器奇术!$A:$T,20,FALSE)=1,10,0))/200,($D$13+IF(VLOOKUP($E80,武器奇术!$A:$R,17,FALSE)="破竹",$D$15,0)-VLOOKUP($F$7,目标属性!$A:$R,6,FALSE)+IF(VLOOKUP($E80,武器奇术!$A:$V,22,FALSE)=1,4,0)+IF(VLOOKUP($E80,武器奇术!$A:$T,20,FALSE)=1,10,0))/100)</f>
        <v>0.028</v>
      </c>
      <c r="CR80" s="100">
        <f t="shared" si="83"/>
        <v>0.148</v>
      </c>
      <c r="CS80" s="91">
        <v>1</v>
      </c>
      <c r="CT80" s="92">
        <f>CN80*IF(VLOOKUP($E80,武器奇术!$A:$R,17,FALSE)="破竹",VLOOKUP($E80,武器奇术!$A:$R,4,FALSE),VLOOKUP($E80,武器奇术!$A:$R,2,FALSE))*(1+CQ80)*(1+CR80)*CS80</f>
        <v>771.824643641251</v>
      </c>
      <c r="CU80" s="93">
        <f>(1-IF(VLOOKUP($E80,武器奇术!$A:$R,16,FALSE)="陌刀",1,$N80))*(1-$M80)</f>
        <v>0</v>
      </c>
      <c r="CV80" s="92">
        <f>CO80*IF(VLOOKUP($E80,武器奇术!$A:$R,17,FALSE)="破竹",VLOOKUP($E80,武器奇术!$A:$R,4,FALSE),VLOOKUP($E80,武器奇术!$A:$R,2,FALSE))*(1+CQ80)*(1+CR80)*CS80*(1+$E$16+VLOOKUP($E80,武器奇术!$A:$R,8,FALSE))</f>
        <v>2239.89504462325</v>
      </c>
      <c r="CW80" s="93">
        <f t="shared" si="9"/>
        <v>0.8135</v>
      </c>
      <c r="CX80" s="92">
        <f>CP80*IF(VLOOKUP($E80,武器奇术!$A:$R,17,FALSE)="破竹",VLOOKUP($E80,武器奇术!$A:$R,4,FALSE),VLOOKUP($E80,武器奇术!$A:$R,2,FALSE))*(1+CQ80)*(1+CR80)*CS80*(1+$E$17+VLOOKUP($E80,武器奇术!$A:$R,10,FALSE))</f>
        <v>2151.12892774892</v>
      </c>
      <c r="CY80" s="93">
        <f t="shared" si="10"/>
        <v>0.0986</v>
      </c>
      <c r="CZ80" s="92">
        <f>CO80*IF(VLOOKUP($E80,武器奇术!$A:$R,17,FALSE)="破竹",VLOOKUP($E80,武器奇术!$A:$R,4,FALSE),VLOOKUP($E80,武器奇术!$A:$R,2,FALSE))*(1+CQ80)*(1+CR80)*CS80</f>
        <v>1182.62673950541</v>
      </c>
      <c r="DA80" s="93">
        <f t="shared" si="80"/>
        <v>0.0879</v>
      </c>
      <c r="DB80" s="101">
        <f t="shared" si="81"/>
        <v>2138.20882147958</v>
      </c>
      <c r="DC80" s="99">
        <f>IF(VLOOKUP($E80,武器奇术!$A:$R,18,FALSE)="极乐",0,$B$15)</f>
        <v>66</v>
      </c>
      <c r="DD80" s="91">
        <f t="shared" si="82"/>
        <v>95.9</v>
      </c>
      <c r="DE80" s="91">
        <f>IF(VLOOKUP($E80,武器奇术!$A:$R,18,FALSE)="极乐",0,$C$15)</f>
        <v>125.8</v>
      </c>
      <c r="DF80" s="93">
        <f>IF((IF(VLOOKUP($E80,武器奇术!$A:$R,17,FALSE)="鸣金",$D$7,0)+IF(VLOOKUP($E80,武器奇术!$A:$R,17,FALSE)="裂石",$D$9,0)+IF(VLOOKUP($E80,武器奇术!$A:$R,17,FALSE)="牵丝",$D$11,0)+IF(VLOOKUP($E80,武器奇术!$A:$R,17,FALSE)="破竹",$D$13,0)+$D$15-VLOOKUP($F$7,目标属性!$A:$R,6,FALSE)+IF(VLOOKUP($E80,武器奇术!$A:$V,22,FALSE)=1,4,0)+IF(VLOOKUP($E80,武器奇术!$A:$T,20,FALSE)=1,10,0))&gt;0,(IF(VLOOKUP($E80,武器奇术!$A:$R,17,FALSE)="鸣金",$D$7,0)+IF(VLOOKUP($E80,武器奇术!$A:$R,17,FALSE)="裂石",$D$9,0)+IF(VLOOKUP($E80,武器奇术!$A:$R,17,FALSE)="牵丝",$D$11,0)+IF(VLOOKUP($E80,武器奇术!$A:$R,17,FALSE)="破竹",$D$13,0)+$D$15-VLOOKUP($F$7,目标属性!$A:$R,6,FALSE)+IF(VLOOKUP($E80,武器奇术!$A:$V,22,FALSE)=1,4,0)+IF(VLOOKUP($E80,武器奇术!$A:$T,20,FALSE)=1,10,0))/200,(IF(VLOOKUP($E80,武器奇术!$A:$R,17,FALSE)="鸣金",$D$7,0)+IF(VLOOKUP($E80,武器奇术!$A:$R,17,FALSE)="裂石",$D$9,0)+IF(VLOOKUP($E80,武器奇术!$A:$R,17,FALSE)="牵丝",$D$11,0)+IF(VLOOKUP($E80,武器奇术!$A:$R,17,FALSE)="破竹",$D$13,0)+$D$15-VLOOKUP($F$7,目标属性!$A:$R,6,FALSE)+IF(VLOOKUP($E80,武器奇术!$A:$V,22,FALSE)=1,4,0)+IF(VLOOKUP($E80,武器奇术!$A:$T,20,FALSE)=1,10,0))/100)</f>
        <v>0.028</v>
      </c>
      <c r="DG80" s="100">
        <f t="shared" si="54"/>
        <v>0.148</v>
      </c>
      <c r="DH80" s="91">
        <v>1</v>
      </c>
      <c r="DI80" s="92">
        <f>DC80*IF(VLOOKUP($E80,武器奇术!$A:$R,17,FALSE)="破竹",VLOOKUP($E80,武器奇术!$A:$R,4,FALSE),VLOOKUP($E80,武器奇术!$A:$R,2,FALSE))*(1+DF80)*(1+DG80)*DH80</f>
        <v>74.18040581952</v>
      </c>
      <c r="DJ80" s="93">
        <f>(1-IF(VLOOKUP($E80,武器奇术!$A:$R,16,FALSE)="陌刀",1,$N80))*(1-$M80)</f>
        <v>0</v>
      </c>
      <c r="DK80" s="92">
        <f>DD80*IF(VLOOKUP($E80,武器奇术!$A:$R,17,FALSE)="破竹",VLOOKUP($E80,武器奇术!$A:$R,4,FALSE),VLOOKUP($E80,武器奇术!$A:$R,2,FALSE))*(1+DF80)*(1+DG80)*DH80*(1+$E$16+VLOOKUP($E80,武器奇术!$A:$R,8,FALSE))</f>
        <v>204.14739907373</v>
      </c>
      <c r="DL80" s="93">
        <f t="shared" si="12"/>
        <v>0.8135</v>
      </c>
      <c r="DM80" s="92">
        <f>DE80*IF(VLOOKUP($E80,武器奇术!$A:$R,17,FALSE)="破竹",VLOOKUP($E80,武器奇术!$A:$R,4,FALSE),VLOOKUP($E80,武器奇术!$A:$R,2,FALSE))*(1+DF80)*(1+DG80)*DH80*(1+$E$17+VLOOKUP($E80,武器奇术!$A:$R,10,FALSE))</f>
        <v>190.879671520138</v>
      </c>
      <c r="DN80" s="93">
        <f t="shared" si="13"/>
        <v>0.0986</v>
      </c>
      <c r="DO80" s="92">
        <f>DD80*IF(VLOOKUP($E80,武器奇术!$A:$R,17,FALSE)="破竹",VLOOKUP($E80,武器奇术!$A:$R,4,FALSE),VLOOKUP($E80,武器奇术!$A:$R,2,FALSE))*(1+DF80)*(1+DG80)*DH80</f>
        <v>107.786377546848</v>
      </c>
      <c r="DP80" s="93">
        <f t="shared" si="14"/>
        <v>0.0879</v>
      </c>
      <c r="DQ80" s="101">
        <f t="shared" si="15"/>
        <v>194.369067344733</v>
      </c>
    </row>
    <row r="81" customFormat="1" spans="1:121">
      <c r="B81" t="s">
        <v>167</v>
      </c>
      <c r="C81">
        <v>0.5</v>
      </c>
      <c r="D81"/>
      <c r="E81" s="105" t="s">
        <v>168</v>
      </c>
      <c r="F81" s="106">
        <f>SUM(F78:F80)+5</f>
        <v>8</v>
      </c>
      <c r="G81" s="107">
        <f>$E$23</f>
        <v>0.32</v>
      </c>
      <c r="H81" s="92">
        <f>IF(VLOOKUP($E81,武器奇术!$A:$R,18,FALSE)="天工",AE81,(AE81+AT81+BI81+BX81+CM81+DB81+DQ81))*(1+J81)*F81*K81*(1+G81)</f>
        <v>114560.743239361</v>
      </c>
      <c r="I81" s="93">
        <f t="shared" si="58"/>
        <v>0.0146961635924856</v>
      </c>
      <c r="J81" s="93">
        <f>$F$3+VLOOKUP($E81,武器奇术!$A:$R,12,FALSE)+VLOOKUP($E81,武器奇术!$A:$R,14,FALSE)*$G$3+$P81</f>
        <v>1.643</v>
      </c>
      <c r="K81" s="94">
        <f>VLOOKUP($E81,武器奇术!$A:$R,11,FALSE)</f>
        <v>1</v>
      </c>
      <c r="L81" s="109">
        <f>IF(VLOOKUP($E81,武器奇术!$A:$R,15,FALSE)="天工",0%,IF($C$17+VLOOKUP($E81,武器奇术!$A:$R,7,FALSE)&gt;80%,80%,$C$17+VLOOKUP($E81,武器奇术!$A:$R,7,FALSE))+IF($C$19&gt;20%,20%,$C$19))</f>
        <v>0.8135</v>
      </c>
      <c r="M81" s="110">
        <f>IF(VLOOKUP($E81,武器奇术!$A:$R,15,FALSE)="天工",0%,IF($C$18+VLOOKUP($E81,武器奇术!$A:$R,9,FALSE)&gt;40%,40%,$C$18+VLOOKUP($E81,武器奇术!$A:$R,9,FALSE))+IF($C$20&gt;10%,10%,$C$20))</f>
        <v>0.0986</v>
      </c>
      <c r="N81" s="111">
        <f>IF(VLOOKUP($E81,武器奇术!$A:$R,15,FALSE)="天工",100%,MIN($C$16,1))</f>
        <v>1</v>
      </c>
      <c r="O81" s="112" t="str">
        <f>VLOOKUP($E81,武器奇术!$A:$R,16,FALSE)</f>
        <v>绳标</v>
      </c>
      <c r="P81" s="113">
        <f t="shared" si="59"/>
        <v>0.17</v>
      </c>
      <c r="Q81" s="99">
        <f>$B$5*(1+VLOOKUP($E81,武器奇术!$A:$R,5,FALSE)+IF($G$5="飞隼",0.1,0)+IF($G$5="撼天",0.05,0))-$F$9*IF(VLOOKUP($E81,武器奇术!$A:$S,19,FALSE)=1,0.9,1)+IF($I$5="√",160,0)</f>
        <v>2848.3</v>
      </c>
      <c r="R81" s="91">
        <f t="shared" si="60"/>
        <v>2848.3</v>
      </c>
      <c r="S81" s="91">
        <f>MAX($C$5,$B$5)*(1+VLOOKUP($E81,武器奇术!$A:$R,5,FALSE)+IF($G$5="飞隼",0.1,0)+IF($G$5="撼天",0.05,0))-$F$9*IF(VLOOKUP($E81,武器奇术!$A:$S,19,FALSE)=1,0.9,1)+IF($I$5="√",320,0)</f>
        <v>2848.3</v>
      </c>
      <c r="T81" s="93">
        <f>IF(($D$5+VLOOKUP($E81,武器奇术!$A:$R,13,FALSE)+IF($I$3="√",10,0)-VLOOKUP($F$7,目标属性!$A:$R,5,FALSE))&gt;0,($D$5+VLOOKUP($E81,武器奇术!$A:$R,13,FALSE)+IF($I$3="√",10,0)-VLOOKUP($F$7,目标属性!$A:$R,5,FALSE))/200,($D$5+VLOOKUP($E81,武器奇术!$A:$R,13,FALSE)+IF($I$3="√",10,0)-VLOOKUP($F$7,目标属性!$A:$R,5,FALSE))/100)</f>
        <v>0.3925</v>
      </c>
      <c r="U81" s="100">
        <f>$E$5+IF(VLOOKUP($E81,武器奇术!$A:$R,18,FALSE)="鼠鼠",0.24,0)</f>
        <v>0.24</v>
      </c>
      <c r="V81" s="91">
        <v>1</v>
      </c>
      <c r="W81" s="92">
        <f>Q81*VLOOKUP($E81,武器奇术!$A:$R,2,FALSE)*(1+T81)*(1+U81)*V81</f>
        <v>1721.3558635</v>
      </c>
      <c r="X81" s="93">
        <f>(1-IF(VLOOKUP($E81,武器奇术!$A:$R,16,FALSE)="陌刀",1,$N81))*(1-$M81)</f>
        <v>0</v>
      </c>
      <c r="Y81" s="92">
        <f>R81*VLOOKUP($E81,武器奇术!$A:$R,2,FALSE)*(1+T81)*(1+U81)*V81*(1+$E$16+VLOOKUP($E81,武器奇术!$A:$R,8,FALSE))</f>
        <v>3260.248005469</v>
      </c>
      <c r="Z81" s="93">
        <f t="shared" si="61"/>
        <v>0.8135</v>
      </c>
      <c r="AA81" s="92">
        <f>S81*VLOOKUP($E81,武器奇术!$A:$R,2,FALSE)*(1+T81)*(1+U81)*V81*(1+$E$17+VLOOKUP($E81,武器奇术!$A:$R,10,FALSE))</f>
        <v>2323.830415725</v>
      </c>
      <c r="AB81" s="93">
        <f t="shared" si="62"/>
        <v>0.0986</v>
      </c>
      <c r="AC81" s="92">
        <f>R81*VLOOKUP($E81,武器奇术!$A:$R,2,FALSE)*(1+T81)*(1+U81)*V81</f>
        <v>1721.3558635</v>
      </c>
      <c r="AD81" s="93">
        <f t="shared" si="63"/>
        <v>0.0879</v>
      </c>
      <c r="AE81" s="101">
        <f t="shared" si="64"/>
        <v>3032.64861184117</v>
      </c>
      <c r="AF81" s="102">
        <f>VLOOKUP($E81,武器奇术!$A:$R,3,FALSE)*(1+IF(VLOOKUP($E81,武器奇术!$A:$R,15,FALSE)="武器",$E$15,0))</f>
        <v>0</v>
      </c>
      <c r="AG81" s="92">
        <f t="shared" si="65"/>
        <v>0</v>
      </c>
      <c r="AH81" s="92">
        <f>VLOOKUP($E81,武器奇术!$A:$R,3,FALSE)*(1+IF(VLOOKUP($E81,武器奇术!$A:$R,15,FALSE)="武器",$E$15,0))</f>
        <v>0</v>
      </c>
      <c r="AI81" s="93">
        <f>IF(($D$5+VLOOKUP($E81,武器奇术!$A:$R,13,FALSE)+IF($I$3="√",10,0)-VLOOKUP($F$7,目标属性!$A:$R,5,FALSE))&gt;0,($D$5+VLOOKUP($E81,武器奇术!$A:$R,13,FALSE)+IF($I$3="√",10,0)-VLOOKUP($F$7,目标属性!$A:$R,5,FALSE))/200,($D$5+VLOOKUP($E81,武器奇术!$A:$R,13,FALSE)+IF($I$3="√",10,0)-VLOOKUP($F$7,目标属性!$A:$R,5,FALSE))/100)</f>
        <v>0.3925</v>
      </c>
      <c r="AJ81" s="100">
        <f>$E$5+IF(VLOOKUP($E81,武器奇术!$A:$R,18,FALSE)="鼠鼠",0.24,0)</f>
        <v>0.24</v>
      </c>
      <c r="AK81" s="91">
        <v>1</v>
      </c>
      <c r="AL81" s="92">
        <f t="shared" si="66"/>
        <v>0</v>
      </c>
      <c r="AM81" s="93">
        <f>(1-IF(VLOOKUP($E81,武器奇术!$A:$R,16,FALSE)="陌刀",1,$N81))*(1-$M81)</f>
        <v>0</v>
      </c>
      <c r="AN81" s="92">
        <f>AG81*(1+AI81)*(1+AJ81)*AK81*(1+$E$16+VLOOKUP($E81,武器奇术!$A:$R,8,FALSE))</f>
        <v>0</v>
      </c>
      <c r="AO81" s="93">
        <f t="shared" si="1"/>
        <v>0.8135</v>
      </c>
      <c r="AP81" s="92">
        <f>AH81*(1+AI81)*(1+AJ81)*AK81*(1+$E$17+VLOOKUP($E81,武器奇术!$A:$R,10,FALSE))</f>
        <v>0</v>
      </c>
      <c r="AQ81" s="93">
        <f t="shared" si="2"/>
        <v>0.0986</v>
      </c>
      <c r="AR81" s="92">
        <f t="shared" si="67"/>
        <v>0</v>
      </c>
      <c r="AS81" s="93">
        <f t="shared" si="68"/>
        <v>0.0879</v>
      </c>
      <c r="AT81" s="101">
        <f t="shared" si="69"/>
        <v>0</v>
      </c>
      <c r="AU81" s="99">
        <f>IF(VLOOKUP($E81,武器奇术!$A:$R,18,FALSE)="极乐",0,$B$7*IF($G$5="撼天",1.05,1)+IF(AND(VLOOKUP($E81,武器奇术!$A:$R,15,FALSE)="武器",VLOOKUP($E81,武器奇术!$A:$R,17,FALSE)="鸣金"),$E$3*(1+$E$15),0))</f>
        <v>0</v>
      </c>
      <c r="AV81" s="91">
        <f t="shared" si="70"/>
        <v>0</v>
      </c>
      <c r="AW81" s="91">
        <f>IF(VLOOKUP($E81,武器奇术!$A:$R,18,FALSE)="极乐",0,MAX($C$7*IF($G$5="撼天",1.05,1)+IF(AND(VLOOKUP($E81,武器奇术!$A:$R,15,FALSE)="武器",VLOOKUP($E81,武器奇术!$A:$R,17,FALSE)="鸣金"),$E$3*(1+$E$15),0),AU81))</f>
        <v>0</v>
      </c>
      <c r="AX81" s="93">
        <f>IF(($D$7+IF(VLOOKUP($E81,武器奇术!$A:$R,17,FALSE)="鸣金",$D$15,0)-VLOOKUP($F$7,目标属性!$A:$R,6,FALSE))&gt;0,($D$7+IF(VLOOKUP($E81,武器奇术!$A:$R,17,FALSE)="鸣金",$D$15,0)-VLOOKUP($F$7,目标属性!$A:$R,6,FALSE))/200,($D$7+IF(VLOOKUP($E81,武器奇术!$A:$R,17,FALSE)="鸣金",$D$15,0)-VLOOKUP($F$7,目标属性!$A:$R,6,FALSE))/100)</f>
        <v>-0.24</v>
      </c>
      <c r="AY81" s="100">
        <f t="shared" ref="AY81:AY142" si="89">$E$7</f>
        <v>0</v>
      </c>
      <c r="AZ81" s="91">
        <v>1</v>
      </c>
      <c r="BA81" s="92">
        <f>AU81*IF(VLOOKUP($E81,武器奇术!$A:$R,17,FALSE)="鸣金",VLOOKUP($E81,武器奇术!$A:$R,4,FALSE),VLOOKUP($E81,武器奇术!$A:$R,2,FALSE))*(1+AX81)*(1+AY81)*AZ81</f>
        <v>0</v>
      </c>
      <c r="BB81" s="93">
        <f>(1-IF(VLOOKUP($E81,武器奇术!$A:$R,16,FALSE)="陌刀",1,$N81))*(1-$M81)</f>
        <v>0</v>
      </c>
      <c r="BC81" s="92">
        <f>AV81*IF(VLOOKUP($E81,武器奇术!$A:$R,17,FALSE)="鸣金",VLOOKUP($E81,武器奇术!$A:$R,4,FALSE),VLOOKUP($E81,武器奇术!$A:$R,2,FALSE))*(1+AX81)*(1+AY81)*AZ81*(1+$E$16+VLOOKUP($E81,武器奇术!$A:$R,8,FALSE))</f>
        <v>0</v>
      </c>
      <c r="BD81" s="93">
        <f t="shared" si="3"/>
        <v>0.8135</v>
      </c>
      <c r="BE81" s="92">
        <f>AW81*IF(VLOOKUP($E81,武器奇术!$A:$R,17,FALSE)="鸣金",VLOOKUP($E81,武器奇术!$A:$R,4,FALSE),VLOOKUP($E81,武器奇术!$A:$R,2,FALSE))*(1+AX81)*(1+AY81)*AZ81*(1+$E$17+VLOOKUP($E81,武器奇术!$A:$R,10,FALSE))</f>
        <v>0</v>
      </c>
      <c r="BF81" s="93">
        <f t="shared" si="4"/>
        <v>0.0986</v>
      </c>
      <c r="BG81" s="92">
        <f>AV81*IF(VLOOKUP($E81,武器奇术!$A:$R,17,FALSE)="鸣金",VLOOKUP($E81,武器奇术!$A:$R,4,FALSE),VLOOKUP($E81,武器奇术!$A:$R,2,FALSE))*(1+AX81)*(1+AY81)*AZ81</f>
        <v>0</v>
      </c>
      <c r="BH81" s="93">
        <f t="shared" si="71"/>
        <v>0.0879</v>
      </c>
      <c r="BI81" s="101">
        <f t="shared" si="72"/>
        <v>0</v>
      </c>
      <c r="BJ81" s="99">
        <f>IF(VLOOKUP($E81,武器奇术!$A:$R,18,FALSE)="极乐",0,$B$9*IF($G$5="撼天",1.05,1)+IF(AND(VLOOKUP($E81,武器奇术!$A:$R,15,FALSE)="武器",VLOOKUP($E81,武器奇术!$A:$R,17,FALSE)="裂石"),$E$3*(1+$E$15),0))</f>
        <v>0</v>
      </c>
      <c r="BK81" s="91">
        <f t="shared" si="73"/>
        <v>0</v>
      </c>
      <c r="BL81" s="91">
        <f>IF(VLOOKUP($E81,武器奇术!$A:$R,18,FALSE)="极乐",0,MAX($C$9*IF($G$5="撼天",1.05,1)+IF(AND(VLOOKUP($E81,武器奇术!$A:$R,15,FALSE)="武器",VLOOKUP($E81,武器奇术!$A:$R,17,FALSE)="裂石"),$E$3*(1+$E$15),0),BJ81))</f>
        <v>0</v>
      </c>
      <c r="BM81" s="93">
        <f>IF(($D$9+IF(VLOOKUP($E81,武器奇术!$A:$R,17,FALSE)="裂石",$D$15,0)-VLOOKUP($F$7,目标属性!$A:$R,6,FALSE))&gt;0,($D$9+IF(VLOOKUP($E81,武器奇术!$A:$R,17,FALSE)="裂石",$D$15,0)-VLOOKUP($F$7,目标属性!$A:$R,6,FALSE))/200,($D$9+IF(VLOOKUP($E81,武器奇术!$A:$R,17,FALSE)="裂石",$D$15,0)-VLOOKUP($F$7,目标属性!$A:$R,6,FALSE))/100)</f>
        <v>-0.24</v>
      </c>
      <c r="BN81" s="100">
        <f t="shared" ref="BN81:BN142" si="90">$E$9</f>
        <v>0</v>
      </c>
      <c r="BO81" s="91">
        <v>1</v>
      </c>
      <c r="BP81" s="92">
        <f>BJ81*IF(VLOOKUP($E81,武器奇术!$A:$R,17,FALSE)="裂石",VLOOKUP($E81,武器奇术!$A:$R,4,FALSE),VLOOKUP($E81,武器奇术!$A:$R,2,FALSE))*(1+BM81)*(1+BN81)*BO81</f>
        <v>0</v>
      </c>
      <c r="BQ81" s="93">
        <f>(1-IF(VLOOKUP($E81,武器奇术!$A:$R,16,FALSE)="陌刀",1,$N81))*(1-$M81)</f>
        <v>0</v>
      </c>
      <c r="BR81" s="92">
        <f>BK81*IF(VLOOKUP($E81,武器奇术!$A:$R,17,FALSE)="裂石",VLOOKUP($E81,武器奇术!$A:$R,4,FALSE),VLOOKUP($E81,武器奇术!$A:$R,2,FALSE))*(1+BM81)*(1+BN81)*BO81*(1+$E$16+VLOOKUP($E81,武器奇术!$A:$R,8,FALSE))</f>
        <v>0</v>
      </c>
      <c r="BS81" s="93">
        <f t="shared" si="5"/>
        <v>0.8135</v>
      </c>
      <c r="BT81" s="92">
        <f>BL81*IF(VLOOKUP($E81,武器奇术!$A:$R,17,FALSE)="裂石",VLOOKUP($E81,武器奇术!$A:$R,4,FALSE),VLOOKUP($E81,武器奇术!$A:$R,2,FALSE))*(1+BM81)*(1+BN81)*BO81*(1+$E$17+VLOOKUP($E81,武器奇术!$A:$R,10,FALSE))</f>
        <v>0</v>
      </c>
      <c r="BU81" s="93">
        <f t="shared" si="6"/>
        <v>0.0986</v>
      </c>
      <c r="BV81" s="92">
        <f>BK81*IF(VLOOKUP($E81,武器奇术!$A:$R,17,FALSE)="裂石",VLOOKUP($E81,武器奇术!$A:$R,4,FALSE),VLOOKUP($E81,武器奇术!$A:$R,2,FALSE))*(1+BM81)*(1+BN81)*BO81</f>
        <v>0</v>
      </c>
      <c r="BW81" s="93">
        <f t="shared" si="74"/>
        <v>0.0879</v>
      </c>
      <c r="BX81" s="101">
        <f t="shared" si="75"/>
        <v>0</v>
      </c>
      <c r="BY81" s="99">
        <f>IF(VLOOKUP($E81,武器奇术!$A:$R,18,FALSE)="极乐",0,$B$11*IF($G$5="撼天",1.05,1)+IF(AND(VLOOKUP($E81,武器奇术!$A:$R,15,FALSE)="武器",VLOOKUP($E81,武器奇术!$A:$R,17,FALSE)="牵丝"),$E$3*(1+$E$15),0))</f>
        <v>0</v>
      </c>
      <c r="BZ81" s="91">
        <f t="shared" si="76"/>
        <v>0</v>
      </c>
      <c r="CA81" s="91">
        <f>IF(VLOOKUP($E81,武器奇术!$A:$R,18,FALSE)="极乐",0,MAX($C$11*IF($G$5="撼天",1.05,1)+IF(AND(VLOOKUP($E81,武器奇术!$A:$R,15,FALSE)="武器",VLOOKUP($E81,武器奇术!$A:$R,17,FALSE)="牵丝"),$E$3*(1+$E$15),0),BY81))</f>
        <v>0</v>
      </c>
      <c r="CB81" s="93">
        <f>IF(($D$11+IF(VLOOKUP($E81,武器奇术!$A:$R,17,FALSE)="牵丝",$D$15,0)-VLOOKUP($F$7,目标属性!$A:$R,6,FALSE))&gt;0,($D$11+IF(VLOOKUP($E81,武器奇术!$A:$R,17,FALSE)="牵丝",$D$15,0)-VLOOKUP($F$7,目标属性!$A:$R,6,FALSE))/200,($D$11+IF(VLOOKUP($E81,武器奇术!$A:$R,17,FALSE)="牵丝",$D$15,0)-VLOOKUP($F$7,目标属性!$A:$R,6,FALSE))/100)</f>
        <v>-0.24</v>
      </c>
      <c r="CC81" s="100">
        <f t="shared" ref="CC81:CC142" si="91">$E$11</f>
        <v>0</v>
      </c>
      <c r="CD81" s="91">
        <v>1</v>
      </c>
      <c r="CE81" s="92">
        <f>BY81*IF(VLOOKUP($E81,武器奇术!$A:$R,17,FALSE)="牵丝",VLOOKUP($E81,武器奇术!$A:$R,4,FALSE),VLOOKUP($E81,武器奇术!$A:$R,2,FALSE))*(1+CB81)*(1+CC81)*CD81</f>
        <v>0</v>
      </c>
      <c r="CF81" s="93">
        <f>(1-IF(VLOOKUP($E81,武器奇术!$A:$R,16,FALSE)="陌刀",1,$N81))*(1-$M81)</f>
        <v>0</v>
      </c>
      <c r="CG81" s="92">
        <f>BZ81*IF(VLOOKUP($E81,武器奇术!$A:$R,17,FALSE)="牵丝",VLOOKUP($E81,武器奇术!$A:$R,4,FALSE),VLOOKUP($E81,武器奇术!$A:$R,2,FALSE))*(1+CB81)*(1+CC81)*CD81*(1+$E$16+VLOOKUP($E81,武器奇术!$A:$R,8,FALSE))</f>
        <v>0</v>
      </c>
      <c r="CH81" s="93">
        <f t="shared" si="7"/>
        <v>0.8135</v>
      </c>
      <c r="CI81" s="92">
        <f>CA81*IF(VLOOKUP($E81,武器奇术!$A:$R,17,FALSE)="牵丝",VLOOKUP($E81,武器奇术!$A:$R,4,FALSE),VLOOKUP($E81,武器奇术!$A:$R,2,FALSE))*(1+CB81)*(1+CC81)*CD81*(1+$E$17+VLOOKUP($E81,武器奇术!$A:$R,10,FALSE))</f>
        <v>0</v>
      </c>
      <c r="CJ81" s="93">
        <f t="shared" si="8"/>
        <v>0.0986</v>
      </c>
      <c r="CK81" s="92">
        <f>BZ81*IF(VLOOKUP($E81,武器奇术!$A:$R,17,FALSE)="牵丝",VLOOKUP($E81,武器奇术!$A:$R,4,FALSE),VLOOKUP($E81,武器奇术!$A:$R,2,FALSE))*(1+CB81)*(1+CC81)*CD81</f>
        <v>0</v>
      </c>
      <c r="CL81" s="93">
        <f t="shared" si="77"/>
        <v>0.0879</v>
      </c>
      <c r="CM81" s="101">
        <f t="shared" si="78"/>
        <v>0</v>
      </c>
      <c r="CN81" s="99">
        <f>IF(VLOOKUP($E81,武器奇术!$A:$R,18,FALSE)="极乐",0,$B$13*IF($G$5="撼天",1.05,1)+IF(AND(VLOOKUP($E81,武器奇术!$A:$R,15,FALSE)="武器",VLOOKUP($E81,武器奇术!$A:$R,17,FALSE)="破竹"),$E$3*(1+$E$15),0))</f>
        <v>490.8</v>
      </c>
      <c r="CO81" s="91">
        <f t="shared" si="79"/>
        <v>856.3</v>
      </c>
      <c r="CP81" s="91">
        <f>IF(VLOOKUP($E81,武器奇术!$A:$R,18,FALSE)="极乐",0,MAX($C$13*IF($G$5="撼天",1.05,1)+IF(AND(VLOOKUP($E81,武器奇术!$A:$R,15,FALSE)="武器",VLOOKUP($E81,武器奇术!$A:$R,17,FALSE)="破竹"),$E$3*(1+$E$15),0),CN81))</f>
        <v>1221.8</v>
      </c>
      <c r="CQ81" s="93">
        <f>IF(($D$13+IF(VLOOKUP($E81,武器奇术!$A:$R,17,FALSE)="破竹",$D$15,0)-VLOOKUP($F$7,目标属性!$A:$R,6,FALSE)+IF(VLOOKUP($E81,武器奇术!$A:$V,22,FALSE)=1,4,0)+IF(VLOOKUP($E81,武器奇术!$A:$T,20,FALSE)=1,10,0))&gt;0,($D$13+IF(VLOOKUP($E81,武器奇术!$A:$R,17,FALSE)="破竹",$D$15,0)-VLOOKUP($F$7,目标属性!$A:$R,6,FALSE)+IF(VLOOKUP($E81,武器奇术!$A:$V,22,FALSE)=1,4,0)+IF(VLOOKUP($E81,武器奇术!$A:$T,20,FALSE)=1,10,0))/200,($D$13+IF(VLOOKUP($E81,武器奇术!$A:$R,17,FALSE)="破竹",$D$15,0)-VLOOKUP($F$7,目标属性!$A:$R,6,FALSE)+IF(VLOOKUP($E81,武器奇术!$A:$V,22,FALSE)=1,4,0)+IF(VLOOKUP($E81,武器奇术!$A:$T,20,FALSE)=1,10,0))/100)</f>
        <v>0.028</v>
      </c>
      <c r="CR81" s="100">
        <f t="shared" si="83"/>
        <v>0.148</v>
      </c>
      <c r="CS81" s="91">
        <v>1</v>
      </c>
      <c r="CT81" s="92">
        <f>CN81*IF(VLOOKUP($E81,武器奇术!$A:$R,17,FALSE)="破竹",VLOOKUP($E81,武器奇术!$A:$R,4,FALSE),VLOOKUP($E81,武器奇术!$A:$R,2,FALSE))*(1+CQ81)*(1+CR81)*CS81</f>
        <v>304.08770448</v>
      </c>
      <c r="CU81" s="93">
        <f>(1-IF(VLOOKUP($E81,武器奇术!$A:$R,16,FALSE)="陌刀",1,$N81))*(1-$M81)</f>
        <v>0</v>
      </c>
      <c r="CV81" s="92">
        <f>CO81*IF(VLOOKUP($E81,武器奇术!$A:$R,17,FALSE)="破竹",VLOOKUP($E81,武器奇术!$A:$R,4,FALSE),VLOOKUP($E81,武器奇术!$A:$R,2,FALSE))*(1+CQ81)*(1+CR81)*CS81*(1+$E$16+VLOOKUP($E81,武器奇术!$A:$R,8,FALSE))</f>
        <v>1004.84765841432</v>
      </c>
      <c r="CW81" s="93">
        <f t="shared" si="9"/>
        <v>0.8135</v>
      </c>
      <c r="CX81" s="92">
        <f>CP81*IF(VLOOKUP($E81,武器奇术!$A:$R,17,FALSE)="破竹",VLOOKUP($E81,武器奇术!$A:$R,4,FALSE),VLOOKUP($E81,武器奇术!$A:$R,2,FALSE))*(1+CQ81)*(1+CR81)*CS81*(1+$E$17+VLOOKUP($E81,武器奇术!$A:$R,10,FALSE))</f>
        <v>1021.946581908</v>
      </c>
      <c r="CY81" s="93">
        <f t="shared" si="10"/>
        <v>0.0986</v>
      </c>
      <c r="CZ81" s="92">
        <f>CO81*IF(VLOOKUP($E81,武器奇术!$A:$R,17,FALSE)="破竹",VLOOKUP($E81,武器奇术!$A:$R,4,FALSE),VLOOKUP($E81,武器奇术!$A:$R,2,FALSE))*(1+CQ81)*(1+CR81)*CS81</f>
        <v>530.54258628</v>
      </c>
      <c r="DA81" s="93">
        <f t="shared" si="80"/>
        <v>0.0879</v>
      </c>
      <c r="DB81" s="101">
        <f t="shared" si="81"/>
        <v>964.84219643019</v>
      </c>
      <c r="DC81" s="99">
        <f>IF(VLOOKUP($E81,武器奇术!$A:$R,18,FALSE)="极乐",0,$B$15)</f>
        <v>66</v>
      </c>
      <c r="DD81" s="91">
        <f t="shared" si="82"/>
        <v>95.9</v>
      </c>
      <c r="DE81" s="91">
        <f>IF(VLOOKUP($E81,武器奇术!$A:$R,18,FALSE)="极乐",0,$C$15)</f>
        <v>125.8</v>
      </c>
      <c r="DF81" s="93">
        <f>IF((IF(VLOOKUP($E81,武器奇术!$A:$R,17,FALSE)="鸣金",$D$7,0)+IF(VLOOKUP($E81,武器奇术!$A:$R,17,FALSE)="裂石",$D$9,0)+IF(VLOOKUP($E81,武器奇术!$A:$R,17,FALSE)="牵丝",$D$11,0)+IF(VLOOKUP($E81,武器奇术!$A:$R,17,FALSE)="破竹",$D$13,0)+$D$15-VLOOKUP($F$7,目标属性!$A:$R,6,FALSE)+IF(VLOOKUP($E81,武器奇术!$A:$V,22,FALSE)=1,4,0)+IF(VLOOKUP($E81,武器奇术!$A:$T,20,FALSE)=1,10,0))&gt;0,(IF(VLOOKUP($E81,武器奇术!$A:$R,17,FALSE)="鸣金",$D$7,0)+IF(VLOOKUP($E81,武器奇术!$A:$R,17,FALSE)="裂石",$D$9,0)+IF(VLOOKUP($E81,武器奇术!$A:$R,17,FALSE)="牵丝",$D$11,0)+IF(VLOOKUP($E81,武器奇术!$A:$R,17,FALSE)="破竹",$D$13,0)+$D$15-VLOOKUP($F$7,目标属性!$A:$R,6,FALSE)+IF(VLOOKUP($E81,武器奇术!$A:$V,22,FALSE)=1,4,0)+IF(VLOOKUP($E81,武器奇术!$A:$T,20,FALSE)=1,10,0))/200,(IF(VLOOKUP($E81,武器奇术!$A:$R,17,FALSE)="鸣金",$D$7,0)+IF(VLOOKUP($E81,武器奇术!$A:$R,17,FALSE)="裂石",$D$9,0)+IF(VLOOKUP($E81,武器奇术!$A:$R,17,FALSE)="牵丝",$D$11,0)+IF(VLOOKUP($E81,武器奇术!$A:$R,17,FALSE)="破竹",$D$13,0)+$D$15-VLOOKUP($F$7,目标属性!$A:$R,6,FALSE)+IF(VLOOKUP($E81,武器奇术!$A:$V,22,FALSE)=1,4,0)+IF(VLOOKUP($E81,武器奇术!$A:$T,20,FALSE)=1,10,0))/100)</f>
        <v>0.028</v>
      </c>
      <c r="DG81" s="100">
        <f t="shared" si="54"/>
        <v>0.148</v>
      </c>
      <c r="DH81" s="91">
        <v>1</v>
      </c>
      <c r="DI81" s="92">
        <f>DC81*IF(VLOOKUP($E81,武器奇术!$A:$R,17,FALSE)="破竹",VLOOKUP($E81,武器奇术!$A:$R,4,FALSE),VLOOKUP($E81,武器奇术!$A:$R,2,FALSE))*(1+DF81)*(1+DG81)*DH81</f>
        <v>40.8919896</v>
      </c>
      <c r="DJ81" s="93">
        <f>(1-IF(VLOOKUP($E81,武器奇术!$A:$R,16,FALSE)="陌刀",1,$N81))*(1-$M81)</f>
        <v>0</v>
      </c>
      <c r="DK81" s="92">
        <f>DD81*IF(VLOOKUP($E81,武器奇术!$A:$R,17,FALSE)="破竹",VLOOKUP($E81,武器奇术!$A:$R,4,FALSE),VLOOKUP($E81,武器奇术!$A:$R,2,FALSE))*(1+DF81)*(1+DG81)*DH81*(1+$E$16+VLOOKUP($E81,武器奇术!$A:$R,8,FALSE))</f>
        <v>112.53636627576</v>
      </c>
      <c r="DL81" s="93">
        <f t="shared" si="12"/>
        <v>0.8135</v>
      </c>
      <c r="DM81" s="92">
        <f>DE81*IF(VLOOKUP($E81,武器奇术!$A:$R,17,FALSE)="破竹",VLOOKUP($E81,武器奇术!$A:$R,4,FALSE),VLOOKUP($E81,武器奇术!$A:$R,2,FALSE))*(1+DF81)*(1+DG81)*DH81*(1+$E$17+VLOOKUP($E81,武器奇术!$A:$R,10,FALSE))</f>
        <v>105.222524148</v>
      </c>
      <c r="DN81" s="93">
        <f t="shared" si="13"/>
        <v>0.0986</v>
      </c>
      <c r="DO81" s="92">
        <f>DD81*IF(VLOOKUP($E81,武器奇术!$A:$R,17,FALSE)="破竹",VLOOKUP($E81,武器奇术!$A:$R,4,FALSE),VLOOKUP($E81,武器奇术!$A:$R,2,FALSE))*(1+DF81)*(1+DG81)*DH81</f>
        <v>59.41730004</v>
      </c>
      <c r="DP81" s="93">
        <f t="shared" si="14"/>
        <v>0.0879</v>
      </c>
      <c r="DQ81" s="101">
        <f t="shared" si="15"/>
        <v>107.14605551984</v>
      </c>
    </row>
    <row r="82" customFormat="1" spans="1:121">
      <c r="B82" t="s">
        <v>169</v>
      </c>
      <c r="C82">
        <v>0.5</v>
      </c>
      <c r="D82" s="33" t="s">
        <v>170</v>
      </c>
      <c r="E82" s="105" t="s">
        <v>171</v>
      </c>
      <c r="F82" s="123">
        <f>IF($K$3="×",0,(F78+F79*2+F80*2+F81)*0.15/3.5)</f>
        <v>0</v>
      </c>
      <c r="G82" s="107"/>
      <c r="H82" s="92">
        <f>IF(VLOOKUP($E82,武器奇术!$A:$R,18,FALSE)="天工",AE82,(AE82+AT82+BI82+BX82+CM82+DB82+DQ82))*(1+J82)*F82*K82*(1+G82)</f>
        <v>0</v>
      </c>
      <c r="I82" s="93">
        <f t="shared" si="58"/>
        <v>0</v>
      </c>
      <c r="J82" s="93">
        <f>$F$3+VLOOKUP($E82,武器奇术!$A:$R,12,FALSE)+VLOOKUP($E82,武器奇术!$A:$R,14,FALSE)*$G$3+$P82</f>
        <v>0.553</v>
      </c>
      <c r="K82" s="94">
        <f>VLOOKUP($E82,武器奇术!$A:$R,11,FALSE)</f>
        <v>1</v>
      </c>
      <c r="L82" s="109">
        <f>IF(VLOOKUP($E82,武器奇术!$A:$R,15,FALSE)="天工",0%,IF($C$17+VLOOKUP($E82,武器奇术!$A:$R,7,FALSE)&gt;80%,80%,$C$17+VLOOKUP($E82,武器奇术!$A:$R,7,FALSE))+IF($C$19&gt;20%,20%,$C$19))</f>
        <v>0.8135</v>
      </c>
      <c r="M82" s="110">
        <f>IF(VLOOKUP($E82,武器奇术!$A:$R,15,FALSE)="天工",0%,IF($C$18+VLOOKUP($E82,武器奇术!$A:$R,9,FALSE)&gt;40%,40%,$C$18+VLOOKUP($E82,武器奇术!$A:$R,9,FALSE))+IF($C$20&gt;10%,10%,$C$20))</f>
        <v>0.0986</v>
      </c>
      <c r="N82" s="111">
        <f>IF(VLOOKUP($E82,武器奇术!$A:$R,15,FALSE)="天工",100%,MIN($C$16,1))</f>
        <v>1</v>
      </c>
      <c r="O82" s="112" t="str">
        <f>VLOOKUP($E82,武器奇术!$A:$R,16,FALSE)</f>
        <v>N/A</v>
      </c>
      <c r="P82" s="113">
        <f t="shared" si="59"/>
        <v>0</v>
      </c>
      <c r="Q82" s="99">
        <f>$B$5*(1+VLOOKUP($E82,武器奇术!$A:$R,5,FALSE)+IF($G$5="飞隼",0.1,0)+IF($G$5="撼天",0.05,0))-$F$9*IF(VLOOKUP($E82,武器奇术!$A:$S,19,FALSE)=1,0.9,1)+IF($I$5="√",160,0)</f>
        <v>2848.3</v>
      </c>
      <c r="R82" s="91">
        <f t="shared" si="60"/>
        <v>2848.3</v>
      </c>
      <c r="S82" s="91">
        <f>MAX($C$5,$B$5)*(1+VLOOKUP($E82,武器奇术!$A:$R,5,FALSE)+IF($G$5="飞隼",0.1,0)+IF($G$5="撼天",0.05,0))-$F$9*IF(VLOOKUP($E82,武器奇术!$A:$S,19,FALSE)=1,0.9,1)+IF($I$5="√",320,0)</f>
        <v>2848.3</v>
      </c>
      <c r="T82" s="93">
        <f>IF(($D$5+VLOOKUP($E82,武器奇术!$A:$R,13,FALSE)+IF($I$3="√",10,0)-VLOOKUP($F$7,目标属性!$A:$R,5,FALSE))&gt;0,($D$5+VLOOKUP($E82,武器奇术!$A:$R,13,FALSE)+IF($I$3="√",10,0)-VLOOKUP($F$7,目标属性!$A:$R,5,FALSE))/200,($D$5+VLOOKUP($E82,武器奇术!$A:$R,13,FALSE)+IF($I$3="√",10,0)-VLOOKUP($F$7,目标属性!$A:$R,5,FALSE))/100)</f>
        <v>0.3925</v>
      </c>
      <c r="U82" s="100">
        <f>$E$5+IF(VLOOKUP($E82,武器奇术!$A:$R,18,FALSE)="鼠鼠",0.24,0)</f>
        <v>0</v>
      </c>
      <c r="V82" s="91">
        <v>1</v>
      </c>
      <c r="W82" s="92">
        <f>Q82*VLOOKUP($E82,武器奇术!$A:$R,2,FALSE)*(1+T82)*(1+U82)*V82</f>
        <v>7932.5155</v>
      </c>
      <c r="X82" s="93">
        <f>(1-IF(VLOOKUP($E82,武器奇术!$A:$R,16,FALSE)="陌刀",1,$N82))*(1-$M82)</f>
        <v>0</v>
      </c>
      <c r="Y82" s="92">
        <f>R82*VLOOKUP($E82,武器奇术!$A:$R,2,FALSE)*(1+T82)*(1+U82)*V82*(1+$E$16+VLOOKUP($E82,武器奇术!$A:$R,8,FALSE))</f>
        <v>15024.184357</v>
      </c>
      <c r="Z82" s="93">
        <f t="shared" si="61"/>
        <v>0.8135</v>
      </c>
      <c r="AA82" s="92">
        <f>S82*VLOOKUP($E82,武器奇术!$A:$R,2,FALSE)*(1+T82)*(1+U82)*V82*(1+$E$17+VLOOKUP($E82,武器奇术!$A:$R,10,FALSE))</f>
        <v>10708.895925</v>
      </c>
      <c r="AB82" s="93">
        <f t="shared" si="62"/>
        <v>0.0986</v>
      </c>
      <c r="AC82" s="92">
        <f>R82*VLOOKUP($E82,武器奇术!$A:$R,2,FALSE)*(1+T82)*(1+U82)*V82</f>
        <v>7932.5155</v>
      </c>
      <c r="AD82" s="93">
        <f t="shared" si="63"/>
        <v>0.0879</v>
      </c>
      <c r="AE82" s="101">
        <f t="shared" si="64"/>
        <v>13975.3392250745</v>
      </c>
      <c r="AF82" s="102">
        <f>VLOOKUP($E82,武器奇术!$A:$R,3,FALSE)*(1+IF(VLOOKUP($E82,武器奇术!$A:$R,15,FALSE)="武器",$E$15,0))</f>
        <v>0</v>
      </c>
      <c r="AG82" s="92">
        <f t="shared" si="65"/>
        <v>0</v>
      </c>
      <c r="AH82" s="92">
        <f>VLOOKUP($E82,武器奇术!$A:$R,3,FALSE)*(1+IF(VLOOKUP($E82,武器奇术!$A:$R,15,FALSE)="武器",$E$15,0))</f>
        <v>0</v>
      </c>
      <c r="AI82" s="93">
        <f>IF(($D$5+VLOOKUP($E82,武器奇术!$A:$R,13,FALSE)+IF($I$3="√",10,0)-VLOOKUP($F$7,目标属性!$A:$R,5,FALSE))&gt;0,($D$5+VLOOKUP($E82,武器奇术!$A:$R,13,FALSE)+IF($I$3="√",10,0)-VLOOKUP($F$7,目标属性!$A:$R,5,FALSE))/200,($D$5+VLOOKUP($E82,武器奇术!$A:$R,13,FALSE)+IF($I$3="√",10,0)-VLOOKUP($F$7,目标属性!$A:$R,5,FALSE))/100)</f>
        <v>0.3925</v>
      </c>
      <c r="AJ82" s="100">
        <f>$E$5+IF(VLOOKUP($E82,武器奇术!$A:$R,18,FALSE)="鼠鼠",0.24,0)</f>
        <v>0</v>
      </c>
      <c r="AK82" s="91">
        <v>1</v>
      </c>
      <c r="AL82" s="92">
        <f t="shared" si="66"/>
        <v>0</v>
      </c>
      <c r="AM82" s="93">
        <f>(1-IF(VLOOKUP($E82,武器奇术!$A:$R,16,FALSE)="陌刀",1,$N82))*(1-$M82)</f>
        <v>0</v>
      </c>
      <c r="AN82" s="92">
        <f>AG82*(1+AI82)*(1+AJ82)*AK82*(1+$E$16+VLOOKUP($E82,武器奇术!$A:$R,8,FALSE))</f>
        <v>0</v>
      </c>
      <c r="AO82" s="93">
        <f t="shared" si="1"/>
        <v>0.8135</v>
      </c>
      <c r="AP82" s="92">
        <f>AH82*(1+AI82)*(1+AJ82)*AK82*(1+$E$17+VLOOKUP($E82,武器奇术!$A:$R,10,FALSE))</f>
        <v>0</v>
      </c>
      <c r="AQ82" s="93">
        <f t="shared" si="2"/>
        <v>0.0986</v>
      </c>
      <c r="AR82" s="92">
        <f t="shared" si="67"/>
        <v>0</v>
      </c>
      <c r="AS82" s="93">
        <f t="shared" si="68"/>
        <v>0.0879</v>
      </c>
      <c r="AT82" s="101">
        <f t="shared" si="69"/>
        <v>0</v>
      </c>
      <c r="AU82" s="99">
        <f>IF(VLOOKUP($E82,武器奇术!$A:$R,18,FALSE)="极乐",0,$B$7*IF($G$5="撼天",1.05,1)+IF(AND(VLOOKUP($E82,武器奇术!$A:$R,15,FALSE)="武器",VLOOKUP($E82,武器奇术!$A:$R,17,FALSE)="鸣金"),$E$3*(1+$E$15),0))</f>
        <v>0</v>
      </c>
      <c r="AV82" s="91">
        <f t="shared" si="70"/>
        <v>0</v>
      </c>
      <c r="AW82" s="91">
        <f>IF(VLOOKUP($E82,武器奇术!$A:$R,18,FALSE)="极乐",0,MAX($C$7*IF($G$5="撼天",1.05,1)+IF(AND(VLOOKUP($E82,武器奇术!$A:$R,15,FALSE)="武器",VLOOKUP($E82,武器奇术!$A:$R,17,FALSE)="鸣金"),$E$3*(1+$E$15),0),AU82))</f>
        <v>0</v>
      </c>
      <c r="AX82" s="93">
        <f>IF(($D$7+IF(VLOOKUP($E82,武器奇术!$A:$R,17,FALSE)="鸣金",$D$15,0)-VLOOKUP($F$7,目标属性!$A:$R,6,FALSE))&gt;0,($D$7+IF(VLOOKUP($E82,武器奇术!$A:$R,17,FALSE)="鸣金",$D$15,0)-VLOOKUP($F$7,目标属性!$A:$R,6,FALSE))/200,($D$7+IF(VLOOKUP($E82,武器奇术!$A:$R,17,FALSE)="鸣金",$D$15,0)-VLOOKUP($F$7,目标属性!$A:$R,6,FALSE))/100)</f>
        <v>-0.24</v>
      </c>
      <c r="AY82" s="100">
        <f t="shared" si="89"/>
        <v>0</v>
      </c>
      <c r="AZ82" s="91">
        <v>1</v>
      </c>
      <c r="BA82" s="92">
        <f>AU82*IF(VLOOKUP($E82,武器奇术!$A:$R,17,FALSE)="鸣金",VLOOKUP($E82,武器奇术!$A:$R,4,FALSE),VLOOKUP($E82,武器奇术!$A:$R,2,FALSE))*(1+AX82)*(1+AY82)*AZ82</f>
        <v>0</v>
      </c>
      <c r="BB82" s="93">
        <f>(1-IF(VLOOKUP($E82,武器奇术!$A:$R,16,FALSE)="陌刀",1,$N82))*(1-$M82)</f>
        <v>0</v>
      </c>
      <c r="BC82" s="92">
        <f>AV82*IF(VLOOKUP($E82,武器奇术!$A:$R,17,FALSE)="鸣金",VLOOKUP($E82,武器奇术!$A:$R,4,FALSE),VLOOKUP($E82,武器奇术!$A:$R,2,FALSE))*(1+AX82)*(1+AY82)*AZ82*(1+$E$16+VLOOKUP($E82,武器奇术!$A:$R,8,FALSE))</f>
        <v>0</v>
      </c>
      <c r="BD82" s="93">
        <f t="shared" si="3"/>
        <v>0.8135</v>
      </c>
      <c r="BE82" s="92">
        <f>AW82*IF(VLOOKUP($E82,武器奇术!$A:$R,17,FALSE)="鸣金",VLOOKUP($E82,武器奇术!$A:$R,4,FALSE),VLOOKUP($E82,武器奇术!$A:$R,2,FALSE))*(1+AX82)*(1+AY82)*AZ82*(1+$E$17+VLOOKUP($E82,武器奇术!$A:$R,10,FALSE))</f>
        <v>0</v>
      </c>
      <c r="BF82" s="93">
        <f t="shared" si="4"/>
        <v>0.0986</v>
      </c>
      <c r="BG82" s="92">
        <f>AV82*IF(VLOOKUP($E82,武器奇术!$A:$R,17,FALSE)="鸣金",VLOOKUP($E82,武器奇术!$A:$R,4,FALSE),VLOOKUP($E82,武器奇术!$A:$R,2,FALSE))*(1+AX82)*(1+AY82)*AZ82</f>
        <v>0</v>
      </c>
      <c r="BH82" s="93">
        <f t="shared" si="71"/>
        <v>0.0879</v>
      </c>
      <c r="BI82" s="101">
        <f t="shared" si="72"/>
        <v>0</v>
      </c>
      <c r="BJ82" s="99">
        <f>IF(VLOOKUP($E82,武器奇术!$A:$R,18,FALSE)="极乐",0,$B$9*IF($G$5="撼天",1.05,1)+IF(AND(VLOOKUP($E82,武器奇术!$A:$R,15,FALSE)="武器",VLOOKUP($E82,武器奇术!$A:$R,17,FALSE)="裂石"),$E$3*(1+$E$15),0))</f>
        <v>0</v>
      </c>
      <c r="BK82" s="91">
        <f t="shared" si="73"/>
        <v>0</v>
      </c>
      <c r="BL82" s="91">
        <f>IF(VLOOKUP($E82,武器奇术!$A:$R,18,FALSE)="极乐",0,MAX($C$9*IF($G$5="撼天",1.05,1)+IF(AND(VLOOKUP($E82,武器奇术!$A:$R,15,FALSE)="武器",VLOOKUP($E82,武器奇术!$A:$R,17,FALSE)="裂石"),$E$3*(1+$E$15),0),BJ82))</f>
        <v>0</v>
      </c>
      <c r="BM82" s="93">
        <f>IF(($D$9+IF(VLOOKUP($E82,武器奇术!$A:$R,17,FALSE)="裂石",$D$15,0)-VLOOKUP($F$7,目标属性!$A:$R,6,FALSE))&gt;0,($D$9+IF(VLOOKUP($E82,武器奇术!$A:$R,17,FALSE)="裂石",$D$15,0)-VLOOKUP($F$7,目标属性!$A:$R,6,FALSE))/200,($D$9+IF(VLOOKUP($E82,武器奇术!$A:$R,17,FALSE)="裂石",$D$15,0)-VLOOKUP($F$7,目标属性!$A:$R,6,FALSE))/100)</f>
        <v>-0.24</v>
      </c>
      <c r="BN82" s="100">
        <f t="shared" si="90"/>
        <v>0</v>
      </c>
      <c r="BO82" s="91">
        <v>1</v>
      </c>
      <c r="BP82" s="92">
        <f>BJ82*IF(VLOOKUP($E82,武器奇术!$A:$R,17,FALSE)="裂石",VLOOKUP($E82,武器奇术!$A:$R,4,FALSE),VLOOKUP($E82,武器奇术!$A:$R,2,FALSE))*(1+BM82)*(1+BN82)*BO82</f>
        <v>0</v>
      </c>
      <c r="BQ82" s="93">
        <f>(1-IF(VLOOKUP($E82,武器奇术!$A:$R,16,FALSE)="陌刀",1,$N82))*(1-$M82)</f>
        <v>0</v>
      </c>
      <c r="BR82" s="92">
        <f>BK82*IF(VLOOKUP($E82,武器奇术!$A:$R,17,FALSE)="裂石",VLOOKUP($E82,武器奇术!$A:$R,4,FALSE),VLOOKUP($E82,武器奇术!$A:$R,2,FALSE))*(1+BM82)*(1+BN82)*BO82*(1+$E$16+VLOOKUP($E82,武器奇术!$A:$R,8,FALSE))</f>
        <v>0</v>
      </c>
      <c r="BS82" s="93">
        <f t="shared" si="5"/>
        <v>0.8135</v>
      </c>
      <c r="BT82" s="92">
        <f>BL82*IF(VLOOKUP($E82,武器奇术!$A:$R,17,FALSE)="裂石",VLOOKUP($E82,武器奇术!$A:$R,4,FALSE),VLOOKUP($E82,武器奇术!$A:$R,2,FALSE))*(1+BM82)*(1+BN82)*BO82*(1+$E$17+VLOOKUP($E82,武器奇术!$A:$R,10,FALSE))</f>
        <v>0</v>
      </c>
      <c r="BU82" s="93">
        <f t="shared" si="6"/>
        <v>0.0986</v>
      </c>
      <c r="BV82" s="92">
        <f>BK82*IF(VLOOKUP($E82,武器奇术!$A:$R,17,FALSE)="裂石",VLOOKUP($E82,武器奇术!$A:$R,4,FALSE),VLOOKUP($E82,武器奇术!$A:$R,2,FALSE))*(1+BM82)*(1+BN82)*BO82</f>
        <v>0</v>
      </c>
      <c r="BW82" s="93">
        <f t="shared" si="74"/>
        <v>0.0879</v>
      </c>
      <c r="BX82" s="101">
        <f t="shared" si="75"/>
        <v>0</v>
      </c>
      <c r="BY82" s="99">
        <f>IF(VLOOKUP($E82,武器奇术!$A:$R,18,FALSE)="极乐",0,$B$11*IF($G$5="撼天",1.05,1)+IF(AND(VLOOKUP($E82,武器奇术!$A:$R,15,FALSE)="武器",VLOOKUP($E82,武器奇术!$A:$R,17,FALSE)="牵丝"),$E$3*(1+$E$15),0))</f>
        <v>0</v>
      </c>
      <c r="BZ82" s="91">
        <f t="shared" si="76"/>
        <v>0</v>
      </c>
      <c r="CA82" s="91">
        <f>IF(VLOOKUP($E82,武器奇术!$A:$R,18,FALSE)="极乐",0,MAX($C$11*IF($G$5="撼天",1.05,1)+IF(AND(VLOOKUP($E82,武器奇术!$A:$R,15,FALSE)="武器",VLOOKUP($E82,武器奇术!$A:$R,17,FALSE)="牵丝"),$E$3*(1+$E$15),0),BY82))</f>
        <v>0</v>
      </c>
      <c r="CB82" s="93">
        <f>IF(($D$11+IF(VLOOKUP($E82,武器奇术!$A:$R,17,FALSE)="牵丝",$D$15,0)-VLOOKUP($F$7,目标属性!$A:$R,6,FALSE))&gt;0,($D$11+IF(VLOOKUP($E82,武器奇术!$A:$R,17,FALSE)="牵丝",$D$15,0)-VLOOKUP($F$7,目标属性!$A:$R,6,FALSE))/200,($D$11+IF(VLOOKUP($E82,武器奇术!$A:$R,17,FALSE)="牵丝",$D$15,0)-VLOOKUP($F$7,目标属性!$A:$R,6,FALSE))/100)</f>
        <v>-0.24</v>
      </c>
      <c r="CC82" s="100">
        <f t="shared" si="91"/>
        <v>0</v>
      </c>
      <c r="CD82" s="91">
        <v>1</v>
      </c>
      <c r="CE82" s="92">
        <f>BY82*IF(VLOOKUP($E82,武器奇术!$A:$R,17,FALSE)="牵丝",VLOOKUP($E82,武器奇术!$A:$R,4,FALSE),VLOOKUP($E82,武器奇术!$A:$R,2,FALSE))*(1+CB82)*(1+CC82)*CD82</f>
        <v>0</v>
      </c>
      <c r="CF82" s="93">
        <f>(1-IF(VLOOKUP($E82,武器奇术!$A:$R,16,FALSE)="陌刀",1,$N82))*(1-$M82)</f>
        <v>0</v>
      </c>
      <c r="CG82" s="92">
        <f>BZ82*IF(VLOOKUP($E82,武器奇术!$A:$R,17,FALSE)="牵丝",VLOOKUP($E82,武器奇术!$A:$R,4,FALSE),VLOOKUP($E82,武器奇术!$A:$R,2,FALSE))*(1+CB82)*(1+CC82)*CD82*(1+$E$16+VLOOKUP($E82,武器奇术!$A:$R,8,FALSE))</f>
        <v>0</v>
      </c>
      <c r="CH82" s="93">
        <f t="shared" si="7"/>
        <v>0.8135</v>
      </c>
      <c r="CI82" s="92">
        <f>CA82*IF(VLOOKUP($E82,武器奇术!$A:$R,17,FALSE)="牵丝",VLOOKUP($E82,武器奇术!$A:$R,4,FALSE),VLOOKUP($E82,武器奇术!$A:$R,2,FALSE))*(1+CB82)*(1+CC82)*CD82*(1+$E$17+VLOOKUP($E82,武器奇术!$A:$R,10,FALSE))</f>
        <v>0</v>
      </c>
      <c r="CJ82" s="93">
        <f t="shared" si="8"/>
        <v>0.0986</v>
      </c>
      <c r="CK82" s="92">
        <f>BZ82*IF(VLOOKUP($E82,武器奇术!$A:$R,17,FALSE)="牵丝",VLOOKUP($E82,武器奇术!$A:$R,4,FALSE),VLOOKUP($E82,武器奇术!$A:$R,2,FALSE))*(1+CB82)*(1+CC82)*CD82</f>
        <v>0</v>
      </c>
      <c r="CL82" s="93">
        <f t="shared" si="77"/>
        <v>0.0879</v>
      </c>
      <c r="CM82" s="101">
        <f t="shared" si="78"/>
        <v>0</v>
      </c>
      <c r="CN82" s="99">
        <f>IF(VLOOKUP($E82,武器奇术!$A:$R,18,FALSE)="极乐",0,$B$13*IF($G$5="撼天",1.05,1)+IF(AND(VLOOKUP($E82,武器奇术!$A:$R,15,FALSE)="武器",VLOOKUP($E82,武器奇术!$A:$R,17,FALSE)="破竹"),$E$3*(1+$E$15),0))</f>
        <v>0</v>
      </c>
      <c r="CO82" s="91">
        <f t="shared" si="79"/>
        <v>0</v>
      </c>
      <c r="CP82" s="91">
        <f>IF(VLOOKUP($E82,武器奇术!$A:$R,18,FALSE)="极乐",0,MAX($C$13*IF($G$5="撼天",1.05,1)+IF(AND(VLOOKUP($E82,武器奇术!$A:$R,15,FALSE)="武器",VLOOKUP($E82,武器奇术!$A:$R,17,FALSE)="破竹"),$E$3*(1+$E$15),0),CN82))</f>
        <v>0</v>
      </c>
      <c r="CQ82" s="93">
        <f>IF(($D$13+IF(VLOOKUP($E82,武器奇术!$A:$R,17,FALSE)="破竹",$D$15,0)-VLOOKUP($F$7,目标属性!$A:$R,6,FALSE)+IF(VLOOKUP($E82,武器奇术!$A:$V,22,FALSE)=1,4,0)+IF(VLOOKUP($E82,武器奇术!$A:$T,20,FALSE)=1,10,0))&gt;0,($D$13+IF(VLOOKUP($E82,武器奇术!$A:$R,17,FALSE)="破竹",$D$15,0)-VLOOKUP($F$7,目标属性!$A:$R,6,FALSE)+IF(VLOOKUP($E82,武器奇术!$A:$V,22,FALSE)=1,4,0)+IF(VLOOKUP($E82,武器奇术!$A:$T,20,FALSE)=1,10,0))/200,($D$13+IF(VLOOKUP($E82,武器奇术!$A:$R,17,FALSE)="破竹",$D$15,0)-VLOOKUP($F$7,目标属性!$A:$R,6,FALSE)+IF(VLOOKUP($E82,武器奇术!$A:$V,22,FALSE)=1,4,0)+IF(VLOOKUP($E82,武器奇术!$A:$T,20,FALSE)=1,10,0))/100)</f>
        <v>0.028</v>
      </c>
      <c r="CR82" s="100">
        <f t="shared" si="83"/>
        <v>0.148</v>
      </c>
      <c r="CS82" s="91">
        <v>1</v>
      </c>
      <c r="CT82" s="92">
        <f>CN82*IF(VLOOKUP($E82,武器奇术!$A:$R,17,FALSE)="破竹",VLOOKUP($E82,武器奇术!$A:$R,4,FALSE),VLOOKUP($E82,武器奇术!$A:$R,2,FALSE))*(1+CQ82)*(1+CR82)*CS82</f>
        <v>0</v>
      </c>
      <c r="CU82" s="93">
        <f>(1-IF(VLOOKUP($E82,武器奇术!$A:$R,16,FALSE)="陌刀",1,$N82))*(1-$M82)</f>
        <v>0</v>
      </c>
      <c r="CV82" s="92">
        <f>CO82*IF(VLOOKUP($E82,武器奇术!$A:$R,17,FALSE)="破竹",VLOOKUP($E82,武器奇术!$A:$R,4,FALSE),VLOOKUP($E82,武器奇术!$A:$R,2,FALSE))*(1+CQ82)*(1+CR82)*CS82*(1+$E$16+VLOOKUP($E82,武器奇术!$A:$R,8,FALSE))</f>
        <v>0</v>
      </c>
      <c r="CW82" s="93">
        <f t="shared" si="9"/>
        <v>0.8135</v>
      </c>
      <c r="CX82" s="92">
        <f>CP82*IF(VLOOKUP($E82,武器奇术!$A:$R,17,FALSE)="破竹",VLOOKUP($E82,武器奇术!$A:$R,4,FALSE),VLOOKUP($E82,武器奇术!$A:$R,2,FALSE))*(1+CQ82)*(1+CR82)*CS82*(1+$E$17+VLOOKUP($E82,武器奇术!$A:$R,10,FALSE))</f>
        <v>0</v>
      </c>
      <c r="CY82" s="93">
        <f t="shared" si="10"/>
        <v>0.0986</v>
      </c>
      <c r="CZ82" s="92">
        <f>CO82*IF(VLOOKUP($E82,武器奇术!$A:$R,17,FALSE)="破竹",VLOOKUP($E82,武器奇术!$A:$R,4,FALSE),VLOOKUP($E82,武器奇术!$A:$R,2,FALSE))*(1+CQ82)*(1+CR82)*CS82</f>
        <v>0</v>
      </c>
      <c r="DA82" s="93">
        <f t="shared" si="80"/>
        <v>0.0879</v>
      </c>
      <c r="DB82" s="101">
        <f t="shared" si="81"/>
        <v>0</v>
      </c>
      <c r="DC82" s="99">
        <f>IF(VLOOKUP($E82,武器奇术!$A:$R,18,FALSE)="极乐",0,$B$15)</f>
        <v>0</v>
      </c>
      <c r="DD82" s="91">
        <f t="shared" si="82"/>
        <v>0</v>
      </c>
      <c r="DE82" s="91">
        <f>IF(VLOOKUP($E82,武器奇术!$A:$R,18,FALSE)="极乐",0,$C$15)</f>
        <v>0</v>
      </c>
      <c r="DF82" s="93">
        <f>IF((IF(VLOOKUP($E82,武器奇术!$A:$R,17,FALSE)="鸣金",$D$7,0)+IF(VLOOKUP($E82,武器奇术!$A:$R,17,FALSE)="裂石",$D$9,0)+IF(VLOOKUP($E82,武器奇术!$A:$R,17,FALSE)="牵丝",$D$11,0)+IF(VLOOKUP($E82,武器奇术!$A:$R,17,FALSE)="破竹",$D$13,0)+$D$15-VLOOKUP($F$7,目标属性!$A:$R,6,FALSE)+IF(VLOOKUP($E82,武器奇术!$A:$V,22,FALSE)=1,4,0)+IF(VLOOKUP($E82,武器奇术!$A:$T,20,FALSE)=1,10,0))&gt;0,(IF(VLOOKUP($E82,武器奇术!$A:$R,17,FALSE)="鸣金",$D$7,0)+IF(VLOOKUP($E82,武器奇术!$A:$R,17,FALSE)="裂石",$D$9,0)+IF(VLOOKUP($E82,武器奇术!$A:$R,17,FALSE)="牵丝",$D$11,0)+IF(VLOOKUP($E82,武器奇术!$A:$R,17,FALSE)="破竹",$D$13,0)+$D$15-VLOOKUP($F$7,目标属性!$A:$R,6,FALSE)+IF(VLOOKUP($E82,武器奇术!$A:$V,22,FALSE)=1,4,0)+IF(VLOOKUP($E82,武器奇术!$A:$T,20,FALSE)=1,10,0))/200,(IF(VLOOKUP($E82,武器奇术!$A:$R,17,FALSE)="鸣金",$D$7,0)+IF(VLOOKUP($E82,武器奇术!$A:$R,17,FALSE)="裂石",$D$9,0)+IF(VLOOKUP($E82,武器奇术!$A:$R,17,FALSE)="牵丝",$D$11,0)+IF(VLOOKUP($E82,武器奇术!$A:$R,17,FALSE)="破竹",$D$13,0)+$D$15-VLOOKUP($F$7,目标属性!$A:$R,6,FALSE)+IF(VLOOKUP($E82,武器奇术!$A:$V,22,FALSE)=1,4,0)+IF(VLOOKUP($E82,武器奇术!$A:$T,20,FALSE)=1,10,0))/100)</f>
        <v>0.028</v>
      </c>
      <c r="DG82" s="100">
        <f t="shared" si="54"/>
        <v>0.148</v>
      </c>
      <c r="DH82" s="91">
        <v>1</v>
      </c>
      <c r="DI82" s="92">
        <f>DC82*IF(VLOOKUP($E82,武器奇术!$A:$R,17,FALSE)="破竹",VLOOKUP($E82,武器奇术!$A:$R,4,FALSE),VLOOKUP($E82,武器奇术!$A:$R,2,FALSE))*(1+DF82)*(1+DG82)*DH82</f>
        <v>0</v>
      </c>
      <c r="DJ82" s="93">
        <f>(1-IF(VLOOKUP($E82,武器奇术!$A:$R,16,FALSE)="陌刀",1,$N82))*(1-$M82)</f>
        <v>0</v>
      </c>
      <c r="DK82" s="92">
        <f>DD82*IF(VLOOKUP($E82,武器奇术!$A:$R,17,FALSE)="破竹",VLOOKUP($E82,武器奇术!$A:$R,4,FALSE),VLOOKUP($E82,武器奇术!$A:$R,2,FALSE))*(1+DF82)*(1+DG82)*DH82*(1+$E$16+VLOOKUP($E82,武器奇术!$A:$R,8,FALSE))</f>
        <v>0</v>
      </c>
      <c r="DL82" s="93">
        <f t="shared" si="12"/>
        <v>0.8135</v>
      </c>
      <c r="DM82" s="92">
        <f>DE82*IF(VLOOKUP($E82,武器奇术!$A:$R,17,FALSE)="破竹",VLOOKUP($E82,武器奇术!$A:$R,4,FALSE),VLOOKUP($E82,武器奇术!$A:$R,2,FALSE))*(1+DF82)*(1+DG82)*DH82*(1+$E$17+VLOOKUP($E82,武器奇术!$A:$R,10,FALSE))</f>
        <v>0</v>
      </c>
      <c r="DN82" s="93">
        <f t="shared" si="13"/>
        <v>0.0986</v>
      </c>
      <c r="DO82" s="92">
        <f>DD82*IF(VLOOKUP($E82,武器奇术!$A:$R,17,FALSE)="破竹",VLOOKUP($E82,武器奇术!$A:$R,4,FALSE),VLOOKUP($E82,武器奇术!$A:$R,2,FALSE))*(1+DF82)*(1+DG82)*DH82</f>
        <v>0</v>
      </c>
      <c r="DP82" s="93">
        <f t="shared" si="14"/>
        <v>0.0879</v>
      </c>
      <c r="DQ82" s="101">
        <f t="shared" si="15"/>
        <v>0</v>
      </c>
    </row>
    <row r="83" customFormat="1" spans="1:121">
      <c r="B83" t="s">
        <v>149</v>
      </c>
      <c r="C83">
        <v>0.2</v>
      </c>
      <c r="D83" s="33"/>
      <c r="E83" s="105" t="s">
        <v>128</v>
      </c>
      <c r="F83" s="106">
        <v>1</v>
      </c>
      <c r="G83" s="107"/>
      <c r="H83" s="127">
        <f>(H59+H64+H71+H76+H81)*0.3</f>
        <v>214745.95756875</v>
      </c>
      <c r="I83" s="93">
        <f t="shared" si="58"/>
        <v>0.0275481952544716</v>
      </c>
      <c r="J83" s="93">
        <f>$F$3+VLOOKUP($E83,武器奇术!$A:$R,12,FALSE)+VLOOKUP($E83,武器奇术!$A:$R,14,FALSE)*$G$3+$P83</f>
        <v>0</v>
      </c>
      <c r="K83" s="94">
        <f>VLOOKUP($E83,武器奇术!$A:$R,11,FALSE)</f>
        <v>1</v>
      </c>
      <c r="L83" s="109">
        <f>IF(VLOOKUP($E83,武器奇术!$A:$R,15,FALSE)="天工",0%,IF($C$17+VLOOKUP($E83,武器奇术!$A:$R,7,FALSE)&gt;80%,80%,$C$17+VLOOKUP($E83,武器奇术!$A:$R,7,FALSE))+IF($C$19&gt;20%,20%,$C$19))</f>
        <v>0.8135</v>
      </c>
      <c r="M83" s="110">
        <f>IF(VLOOKUP($E83,武器奇术!$A:$R,15,FALSE)="天工",0%,IF($C$18+VLOOKUP($E83,武器奇术!$A:$R,9,FALSE)&gt;40%,40%,$C$18+VLOOKUP($E83,武器奇术!$A:$R,9,FALSE))+IF($C$20&gt;10%,10%,$C$20))</f>
        <v>0.0986</v>
      </c>
      <c r="N83" s="111">
        <f>IF(VLOOKUP($E83,武器奇术!$A:$R,15,FALSE)="天工",100%,MIN($C$16,1))</f>
        <v>1</v>
      </c>
      <c r="O83" s="112" t="str">
        <f>VLOOKUP($E83,武器奇术!$A:$R,16,FALSE)</f>
        <v>N/A</v>
      </c>
      <c r="P83" s="113">
        <f t="shared" si="59"/>
        <v>0</v>
      </c>
      <c r="Q83" s="99">
        <f>$B$5*(1+VLOOKUP($E83,武器奇术!$A:$R,5,FALSE)+IF($G$5="飞隼",0.1,0)+IF($G$5="撼天",0.05,0))-$F$9*IF(VLOOKUP($E83,武器奇术!$A:$S,19,FALSE)=1,0.9,1)+IF($I$5="√",160,0)</f>
        <v>2848.3</v>
      </c>
      <c r="R83" s="91">
        <f t="shared" si="60"/>
        <v>2848.3</v>
      </c>
      <c r="S83" s="91">
        <f>MAX($C$5,$B$5)*(1+VLOOKUP($E83,武器奇术!$A:$R,5,FALSE)+IF($G$5="飞隼",0.1,0)+IF($G$5="撼天",0.05,0))-$F$9*IF(VLOOKUP($E83,武器奇术!$A:$S,19,FALSE)=1,0.9,1)+IF($I$5="√",320,0)</f>
        <v>2848.3</v>
      </c>
      <c r="T83" s="93">
        <f>IF(($D$5+VLOOKUP($E83,武器奇术!$A:$R,13,FALSE)+IF($I$3="√",10,0)-VLOOKUP($F$7,目标属性!$A:$R,5,FALSE))&gt;0,($D$5+VLOOKUP($E83,武器奇术!$A:$R,13,FALSE)+IF($I$3="√",10,0)-VLOOKUP($F$7,目标属性!$A:$R,5,FALSE))/200,($D$5+VLOOKUP($E83,武器奇术!$A:$R,13,FALSE)+IF($I$3="√",10,0)-VLOOKUP($F$7,目标属性!$A:$R,5,FALSE))/100)</f>
        <v>0.2675</v>
      </c>
      <c r="U83" s="100">
        <f>$E$5+IF(VLOOKUP($E83,武器奇术!$A:$R,18,FALSE)="鼠鼠",0.24,0)</f>
        <v>0</v>
      </c>
      <c r="V83" s="91">
        <v>1</v>
      </c>
      <c r="W83" s="92">
        <f>Q83*VLOOKUP($E83,武器奇术!$A:$R,2,FALSE)*(1+T83)*(1+U83)*V83</f>
        <v>0</v>
      </c>
      <c r="X83" s="93">
        <f>(1-IF(VLOOKUP($E83,武器奇术!$A:$R,16,FALSE)="陌刀",1,$N83))*(1-$M83)</f>
        <v>0</v>
      </c>
      <c r="Y83" s="92">
        <f>R83*VLOOKUP($E83,武器奇术!$A:$R,2,FALSE)*(1+T83)*(1+U83)*V83*(1+$E$16+VLOOKUP($E83,武器奇术!$A:$R,8,FALSE))</f>
        <v>0</v>
      </c>
      <c r="Z83" s="93">
        <f t="shared" si="61"/>
        <v>0.8135</v>
      </c>
      <c r="AA83" s="92">
        <f>S83*VLOOKUP($E83,武器奇术!$A:$R,2,FALSE)*(1+T83)*(1+U83)*V83*(1+$E$17+VLOOKUP($E83,武器奇术!$A:$R,10,FALSE))</f>
        <v>0</v>
      </c>
      <c r="AB83" s="93">
        <f t="shared" si="62"/>
        <v>0.0986</v>
      </c>
      <c r="AC83" s="92">
        <f>R83*VLOOKUP($E83,武器奇术!$A:$R,2,FALSE)*(1+T83)*(1+U83)*V83</f>
        <v>0</v>
      </c>
      <c r="AD83" s="93">
        <f t="shared" si="63"/>
        <v>0.0879</v>
      </c>
      <c r="AE83" s="101">
        <f t="shared" si="64"/>
        <v>0</v>
      </c>
      <c r="AF83" s="102">
        <f>VLOOKUP($E83,武器奇术!$A:$R,3,FALSE)*(1+IF(VLOOKUP($E83,武器奇术!$A:$R,15,FALSE)="武器",$E$15,0))</f>
        <v>0</v>
      </c>
      <c r="AG83" s="92">
        <f t="shared" si="65"/>
        <v>0</v>
      </c>
      <c r="AH83" s="92">
        <f>VLOOKUP($E83,武器奇术!$A:$R,3,FALSE)*(1+IF(VLOOKUP($E83,武器奇术!$A:$R,15,FALSE)="武器",$E$15,0))</f>
        <v>0</v>
      </c>
      <c r="AI83" s="93">
        <f>IF(($D$5+VLOOKUP($E83,武器奇术!$A:$R,13,FALSE)+IF($I$3="√",10,0)-VLOOKUP($F$7,目标属性!$A:$R,5,FALSE))&gt;0,($D$5+VLOOKUP($E83,武器奇术!$A:$R,13,FALSE)+IF($I$3="√",10,0)-VLOOKUP($F$7,目标属性!$A:$R,5,FALSE))/200,($D$5+VLOOKUP($E83,武器奇术!$A:$R,13,FALSE)+IF($I$3="√",10,0)-VLOOKUP($F$7,目标属性!$A:$R,5,FALSE))/100)</f>
        <v>0.2675</v>
      </c>
      <c r="AJ83" s="100">
        <f>$E$5+IF(VLOOKUP($E83,武器奇术!$A:$R,18,FALSE)="鼠鼠",0.24,0)</f>
        <v>0</v>
      </c>
      <c r="AK83" s="91">
        <v>1</v>
      </c>
      <c r="AL83" s="92">
        <f t="shared" si="66"/>
        <v>0</v>
      </c>
      <c r="AM83" s="93">
        <f>(1-IF(VLOOKUP($E83,武器奇术!$A:$R,16,FALSE)="陌刀",1,$N83))*(1-$M83)</f>
        <v>0</v>
      </c>
      <c r="AN83" s="92">
        <f>AG83*(1+AI83)*(1+AJ83)*AK83*(1+$E$16+VLOOKUP($E83,武器奇术!$A:$R,8,FALSE))</f>
        <v>0</v>
      </c>
      <c r="AO83" s="93">
        <f t="shared" si="1"/>
        <v>0.8135</v>
      </c>
      <c r="AP83" s="92">
        <f>AH83*(1+AI83)*(1+AJ83)*AK83*(1+$E$17+VLOOKUP($E83,武器奇术!$A:$R,10,FALSE))</f>
        <v>0</v>
      </c>
      <c r="AQ83" s="93">
        <f t="shared" si="2"/>
        <v>0.0986</v>
      </c>
      <c r="AR83" s="92">
        <f t="shared" si="67"/>
        <v>0</v>
      </c>
      <c r="AS83" s="93">
        <f t="shared" si="68"/>
        <v>0.0879</v>
      </c>
      <c r="AT83" s="101">
        <f t="shared" si="69"/>
        <v>0</v>
      </c>
      <c r="AU83" s="99">
        <f>IF(VLOOKUP($E83,武器奇术!$A:$R,18,FALSE)="极乐",0,$B$7*IF($G$5="撼天",1.05,1)+IF(AND(VLOOKUP($E83,武器奇术!$A:$R,15,FALSE)="武器",VLOOKUP($E83,武器奇术!$A:$R,17,FALSE)="鸣金"),$E$3*(1+$E$15),0))</f>
        <v>0</v>
      </c>
      <c r="AV83" s="91">
        <f t="shared" si="70"/>
        <v>0</v>
      </c>
      <c r="AW83" s="91">
        <f>IF(VLOOKUP($E83,武器奇术!$A:$R,18,FALSE)="极乐",0,MAX($C$7*IF($G$5="撼天",1.05,1)+IF(AND(VLOOKUP($E83,武器奇术!$A:$R,15,FALSE)="武器",VLOOKUP($E83,武器奇术!$A:$R,17,FALSE)="鸣金"),$E$3*(1+$E$15),0),AU83))</f>
        <v>0</v>
      </c>
      <c r="AX83" s="93">
        <f>IF(($D$7+IF(VLOOKUP($E83,武器奇术!$A:$R,17,FALSE)="鸣金",$D$15,0)-VLOOKUP($F$7,目标属性!$A:$R,6,FALSE))&gt;0,($D$7+IF(VLOOKUP($E83,武器奇术!$A:$R,17,FALSE)="鸣金",$D$15,0)-VLOOKUP($F$7,目标属性!$A:$R,6,FALSE))/200,($D$7+IF(VLOOKUP($E83,武器奇术!$A:$R,17,FALSE)="鸣金",$D$15,0)-VLOOKUP($F$7,目标属性!$A:$R,6,FALSE))/100)</f>
        <v>-0.24</v>
      </c>
      <c r="AY83" s="100">
        <f t="shared" si="89"/>
        <v>0</v>
      </c>
      <c r="AZ83" s="91">
        <v>1</v>
      </c>
      <c r="BA83" s="92">
        <f>AU83*IF(VLOOKUP($E83,武器奇术!$A:$R,17,FALSE)="鸣金",VLOOKUP($E83,武器奇术!$A:$R,4,FALSE),VLOOKUP($E83,武器奇术!$A:$R,2,FALSE))*(1+AX83)*(1+AY83)*AZ83</f>
        <v>0</v>
      </c>
      <c r="BB83" s="93">
        <f>(1-IF(VLOOKUP($E83,武器奇术!$A:$R,16,FALSE)="陌刀",1,$N83))*(1-$M83)</f>
        <v>0</v>
      </c>
      <c r="BC83" s="92">
        <f>AV83*IF(VLOOKUP($E83,武器奇术!$A:$R,17,FALSE)="鸣金",VLOOKUP($E83,武器奇术!$A:$R,4,FALSE),VLOOKUP($E83,武器奇术!$A:$R,2,FALSE))*(1+AX83)*(1+AY83)*AZ83*(1+$E$16+VLOOKUP($E83,武器奇术!$A:$R,8,FALSE))</f>
        <v>0</v>
      </c>
      <c r="BD83" s="93">
        <f t="shared" si="3"/>
        <v>0.8135</v>
      </c>
      <c r="BE83" s="92">
        <f>AW83*IF(VLOOKUP($E83,武器奇术!$A:$R,17,FALSE)="鸣金",VLOOKUP($E83,武器奇术!$A:$R,4,FALSE),VLOOKUP($E83,武器奇术!$A:$R,2,FALSE))*(1+AX83)*(1+AY83)*AZ83*(1+$E$17+VLOOKUP($E83,武器奇术!$A:$R,10,FALSE))</f>
        <v>0</v>
      </c>
      <c r="BF83" s="93">
        <f t="shared" si="4"/>
        <v>0.0986</v>
      </c>
      <c r="BG83" s="92">
        <f>AV83*IF(VLOOKUP($E83,武器奇术!$A:$R,17,FALSE)="鸣金",VLOOKUP($E83,武器奇术!$A:$R,4,FALSE),VLOOKUP($E83,武器奇术!$A:$R,2,FALSE))*(1+AX83)*(1+AY83)*AZ83</f>
        <v>0</v>
      </c>
      <c r="BH83" s="93">
        <f t="shared" si="71"/>
        <v>0.0879</v>
      </c>
      <c r="BI83" s="101">
        <f t="shared" si="72"/>
        <v>0</v>
      </c>
      <c r="BJ83" s="99">
        <f>IF(VLOOKUP($E83,武器奇术!$A:$R,18,FALSE)="极乐",0,$B$9*IF($G$5="撼天",1.05,1)+IF(AND(VLOOKUP($E83,武器奇术!$A:$R,15,FALSE)="武器",VLOOKUP($E83,武器奇术!$A:$R,17,FALSE)="裂石"),$E$3*(1+$E$15),0))</f>
        <v>0</v>
      </c>
      <c r="BK83" s="91">
        <f t="shared" si="73"/>
        <v>0</v>
      </c>
      <c r="BL83" s="91">
        <f>IF(VLOOKUP($E83,武器奇术!$A:$R,18,FALSE)="极乐",0,MAX($C$9*IF($G$5="撼天",1.05,1)+IF(AND(VLOOKUP($E83,武器奇术!$A:$R,15,FALSE)="武器",VLOOKUP($E83,武器奇术!$A:$R,17,FALSE)="裂石"),$E$3*(1+$E$15),0),BJ83))</f>
        <v>0</v>
      </c>
      <c r="BM83" s="93">
        <f>IF(($D$9+IF(VLOOKUP($E83,武器奇术!$A:$R,17,FALSE)="裂石",$D$15,0)-VLOOKUP($F$7,目标属性!$A:$R,6,FALSE))&gt;0,($D$9+IF(VLOOKUP($E83,武器奇术!$A:$R,17,FALSE)="裂石",$D$15,0)-VLOOKUP($F$7,目标属性!$A:$R,6,FALSE))/200,($D$9+IF(VLOOKUP($E83,武器奇术!$A:$R,17,FALSE)="裂石",$D$15,0)-VLOOKUP($F$7,目标属性!$A:$R,6,FALSE))/100)</f>
        <v>-0.24</v>
      </c>
      <c r="BN83" s="100">
        <f t="shared" si="90"/>
        <v>0</v>
      </c>
      <c r="BO83" s="91">
        <v>1</v>
      </c>
      <c r="BP83" s="92">
        <f>BJ83*IF(VLOOKUP($E83,武器奇术!$A:$R,17,FALSE)="裂石",VLOOKUP($E83,武器奇术!$A:$R,4,FALSE),VLOOKUP($E83,武器奇术!$A:$R,2,FALSE))*(1+BM83)*(1+BN83)*BO83</f>
        <v>0</v>
      </c>
      <c r="BQ83" s="93">
        <f>(1-IF(VLOOKUP($E83,武器奇术!$A:$R,16,FALSE)="陌刀",1,$N83))*(1-$M83)</f>
        <v>0</v>
      </c>
      <c r="BR83" s="92">
        <f>BK83*IF(VLOOKUP($E83,武器奇术!$A:$R,17,FALSE)="裂石",VLOOKUP($E83,武器奇术!$A:$R,4,FALSE),VLOOKUP($E83,武器奇术!$A:$R,2,FALSE))*(1+BM83)*(1+BN83)*BO83*(1+$E$16+VLOOKUP($E83,武器奇术!$A:$R,8,FALSE))</f>
        <v>0</v>
      </c>
      <c r="BS83" s="93">
        <f t="shared" si="5"/>
        <v>0.8135</v>
      </c>
      <c r="BT83" s="92">
        <f>BL83*IF(VLOOKUP($E83,武器奇术!$A:$R,17,FALSE)="裂石",VLOOKUP($E83,武器奇术!$A:$R,4,FALSE),VLOOKUP($E83,武器奇术!$A:$R,2,FALSE))*(1+BM83)*(1+BN83)*BO83*(1+$E$17+VLOOKUP($E83,武器奇术!$A:$R,10,FALSE))</f>
        <v>0</v>
      </c>
      <c r="BU83" s="93">
        <f t="shared" si="6"/>
        <v>0.0986</v>
      </c>
      <c r="BV83" s="92">
        <f>BK83*IF(VLOOKUP($E83,武器奇术!$A:$R,17,FALSE)="裂石",VLOOKUP($E83,武器奇术!$A:$R,4,FALSE),VLOOKUP($E83,武器奇术!$A:$R,2,FALSE))*(1+BM83)*(1+BN83)*BO83</f>
        <v>0</v>
      </c>
      <c r="BW83" s="93">
        <f t="shared" si="74"/>
        <v>0.0879</v>
      </c>
      <c r="BX83" s="101">
        <f t="shared" si="75"/>
        <v>0</v>
      </c>
      <c r="BY83" s="99">
        <f>IF(VLOOKUP($E83,武器奇术!$A:$R,18,FALSE)="极乐",0,$B$11*IF($G$5="撼天",1.05,1)+IF(AND(VLOOKUP($E83,武器奇术!$A:$R,15,FALSE)="武器",VLOOKUP($E83,武器奇术!$A:$R,17,FALSE)="牵丝"),$E$3*(1+$E$15),0))</f>
        <v>0</v>
      </c>
      <c r="BZ83" s="91">
        <f t="shared" si="76"/>
        <v>0</v>
      </c>
      <c r="CA83" s="91">
        <f>IF(VLOOKUP($E83,武器奇术!$A:$R,18,FALSE)="极乐",0,MAX($C$11*IF($G$5="撼天",1.05,1)+IF(AND(VLOOKUP($E83,武器奇术!$A:$R,15,FALSE)="武器",VLOOKUP($E83,武器奇术!$A:$R,17,FALSE)="牵丝"),$E$3*(1+$E$15),0),BY83))</f>
        <v>0</v>
      </c>
      <c r="CB83" s="93">
        <f>IF(($D$11+IF(VLOOKUP($E83,武器奇术!$A:$R,17,FALSE)="牵丝",$D$15,0)-VLOOKUP($F$7,目标属性!$A:$R,6,FALSE))&gt;0,($D$11+IF(VLOOKUP($E83,武器奇术!$A:$R,17,FALSE)="牵丝",$D$15,0)-VLOOKUP($F$7,目标属性!$A:$R,6,FALSE))/200,($D$11+IF(VLOOKUP($E83,武器奇术!$A:$R,17,FALSE)="牵丝",$D$15,0)-VLOOKUP($F$7,目标属性!$A:$R,6,FALSE))/100)</f>
        <v>-0.24</v>
      </c>
      <c r="CC83" s="100">
        <f t="shared" si="91"/>
        <v>0</v>
      </c>
      <c r="CD83" s="91">
        <v>1</v>
      </c>
      <c r="CE83" s="92">
        <f>BY83*IF(VLOOKUP($E83,武器奇术!$A:$R,17,FALSE)="牵丝",VLOOKUP($E83,武器奇术!$A:$R,4,FALSE),VLOOKUP($E83,武器奇术!$A:$R,2,FALSE))*(1+CB83)*(1+CC83)*CD83</f>
        <v>0</v>
      </c>
      <c r="CF83" s="93">
        <f>(1-IF(VLOOKUP($E83,武器奇术!$A:$R,16,FALSE)="陌刀",1,$N83))*(1-$M83)</f>
        <v>0</v>
      </c>
      <c r="CG83" s="92">
        <f>BZ83*IF(VLOOKUP($E83,武器奇术!$A:$R,17,FALSE)="牵丝",VLOOKUP($E83,武器奇术!$A:$R,4,FALSE),VLOOKUP($E83,武器奇术!$A:$R,2,FALSE))*(1+CB83)*(1+CC83)*CD83*(1+$E$16+VLOOKUP($E83,武器奇术!$A:$R,8,FALSE))</f>
        <v>0</v>
      </c>
      <c r="CH83" s="93">
        <f t="shared" si="7"/>
        <v>0.8135</v>
      </c>
      <c r="CI83" s="92">
        <f>CA83*IF(VLOOKUP($E83,武器奇术!$A:$R,17,FALSE)="牵丝",VLOOKUP($E83,武器奇术!$A:$R,4,FALSE),VLOOKUP($E83,武器奇术!$A:$R,2,FALSE))*(1+CB83)*(1+CC83)*CD83*(1+$E$17+VLOOKUP($E83,武器奇术!$A:$R,10,FALSE))</f>
        <v>0</v>
      </c>
      <c r="CJ83" s="93">
        <f t="shared" si="8"/>
        <v>0.0986</v>
      </c>
      <c r="CK83" s="92">
        <f>BZ83*IF(VLOOKUP($E83,武器奇术!$A:$R,17,FALSE)="牵丝",VLOOKUP($E83,武器奇术!$A:$R,4,FALSE),VLOOKUP($E83,武器奇术!$A:$R,2,FALSE))*(1+CB83)*(1+CC83)*CD83</f>
        <v>0</v>
      </c>
      <c r="CL83" s="93">
        <f t="shared" si="77"/>
        <v>0.0879</v>
      </c>
      <c r="CM83" s="101">
        <f t="shared" si="78"/>
        <v>0</v>
      </c>
      <c r="CN83" s="99">
        <f>IF(VLOOKUP($E83,武器奇术!$A:$R,18,FALSE)="极乐",0,$B$13*IF($G$5="撼天",1.05,1)+IF(AND(VLOOKUP($E83,武器奇术!$A:$R,15,FALSE)="武器",VLOOKUP($E83,武器奇术!$A:$R,17,FALSE)="破竹"),$E$3*(1+$E$15),0))</f>
        <v>490.8</v>
      </c>
      <c r="CO83" s="91">
        <f t="shared" si="79"/>
        <v>856.3</v>
      </c>
      <c r="CP83" s="91">
        <f>IF(VLOOKUP($E83,武器奇术!$A:$R,18,FALSE)="极乐",0,MAX($C$13*IF($G$5="撼天",1.05,1)+IF(AND(VLOOKUP($E83,武器奇术!$A:$R,15,FALSE)="武器",VLOOKUP($E83,武器奇术!$A:$R,17,FALSE)="破竹"),$E$3*(1+$E$15),0),CN83))</f>
        <v>1221.8</v>
      </c>
      <c r="CQ83" s="93">
        <f>IF(($D$13+IF(VLOOKUP($E83,武器奇术!$A:$R,17,FALSE)="破竹",$D$15,0)-VLOOKUP($F$7,目标属性!$A:$R,6,FALSE)+IF(VLOOKUP($E83,武器奇术!$A:$V,22,FALSE)=1,4,0)+IF(VLOOKUP($E83,武器奇术!$A:$T,20,FALSE)=1,10,0))&gt;0,($D$13+IF(VLOOKUP($E83,武器奇术!$A:$R,17,FALSE)="破竹",$D$15,0)-VLOOKUP($F$7,目标属性!$A:$R,6,FALSE)+IF(VLOOKUP($E83,武器奇术!$A:$V,22,FALSE)=1,4,0)+IF(VLOOKUP($E83,武器奇术!$A:$T,20,FALSE)=1,10,0))/200,($D$13+IF(VLOOKUP($E83,武器奇术!$A:$R,17,FALSE)="破竹",$D$15,0)-VLOOKUP($F$7,目标属性!$A:$R,6,FALSE)+IF(VLOOKUP($E83,武器奇术!$A:$V,22,FALSE)=1,4,0)+IF(VLOOKUP($E83,武器奇术!$A:$T,20,FALSE)=1,10,0))/100)</f>
        <v>0.028</v>
      </c>
      <c r="CR83" s="100">
        <f t="shared" si="83"/>
        <v>0.148</v>
      </c>
      <c r="CS83" s="91">
        <v>1</v>
      </c>
      <c r="CT83" s="92">
        <f>CN83*IF(VLOOKUP($E83,武器奇术!$A:$R,17,FALSE)="破竹",VLOOKUP($E83,武器奇术!$A:$R,4,FALSE),VLOOKUP($E83,武器奇术!$A:$R,2,FALSE))*(1+CQ83)*(1+CR83)*CS83</f>
        <v>0</v>
      </c>
      <c r="CU83" s="93">
        <f>(1-IF(VLOOKUP($E83,武器奇术!$A:$R,16,FALSE)="陌刀",1,$N83))*(1-$M83)</f>
        <v>0</v>
      </c>
      <c r="CV83" s="92">
        <f>CO83*IF(VLOOKUP($E83,武器奇术!$A:$R,17,FALSE)="破竹",VLOOKUP($E83,武器奇术!$A:$R,4,FALSE),VLOOKUP($E83,武器奇术!$A:$R,2,FALSE))*(1+CQ83)*(1+CR83)*CS83*(1+$E$16+VLOOKUP($E83,武器奇术!$A:$R,8,FALSE))</f>
        <v>0</v>
      </c>
      <c r="CW83" s="93">
        <f t="shared" si="9"/>
        <v>0.8135</v>
      </c>
      <c r="CX83" s="92">
        <f>CP83*IF(VLOOKUP($E83,武器奇术!$A:$R,17,FALSE)="破竹",VLOOKUP($E83,武器奇术!$A:$R,4,FALSE),VLOOKUP($E83,武器奇术!$A:$R,2,FALSE))*(1+CQ83)*(1+CR83)*CS83*(1+$E$17+VLOOKUP($E83,武器奇术!$A:$R,10,FALSE))</f>
        <v>0</v>
      </c>
      <c r="CY83" s="93">
        <f t="shared" si="10"/>
        <v>0.0986</v>
      </c>
      <c r="CZ83" s="92">
        <f>CO83*IF(VLOOKUP($E83,武器奇术!$A:$R,17,FALSE)="破竹",VLOOKUP($E83,武器奇术!$A:$R,4,FALSE),VLOOKUP($E83,武器奇术!$A:$R,2,FALSE))*(1+CQ83)*(1+CR83)*CS83</f>
        <v>0</v>
      </c>
      <c r="DA83" s="93">
        <f t="shared" si="80"/>
        <v>0.0879</v>
      </c>
      <c r="DB83" s="101">
        <f t="shared" si="81"/>
        <v>0</v>
      </c>
      <c r="DC83" s="99">
        <f>IF(VLOOKUP($E83,武器奇术!$A:$R,18,FALSE)="极乐",0,$B$15)</f>
        <v>66</v>
      </c>
      <c r="DD83" s="91">
        <f t="shared" si="82"/>
        <v>95.9</v>
      </c>
      <c r="DE83" s="91">
        <f>IF(VLOOKUP($E83,武器奇术!$A:$R,18,FALSE)="极乐",0,$C$15)</f>
        <v>125.8</v>
      </c>
      <c r="DF83" s="93">
        <f>IF((IF(VLOOKUP($E83,武器奇术!$A:$R,17,FALSE)="鸣金",$D$7,0)+IF(VLOOKUP($E83,武器奇术!$A:$R,17,FALSE)="裂石",$D$9,0)+IF(VLOOKUP($E83,武器奇术!$A:$R,17,FALSE)="牵丝",$D$11,0)+IF(VLOOKUP($E83,武器奇术!$A:$R,17,FALSE)="破竹",$D$13,0)+$D$15-VLOOKUP($F$7,目标属性!$A:$R,6,FALSE)+IF(VLOOKUP($E83,武器奇术!$A:$V,22,FALSE)=1,4,0)+IF(VLOOKUP($E83,武器奇术!$A:$T,20,FALSE)=1,10,0))&gt;0,(IF(VLOOKUP($E83,武器奇术!$A:$R,17,FALSE)="鸣金",$D$7,0)+IF(VLOOKUP($E83,武器奇术!$A:$R,17,FALSE)="裂石",$D$9,0)+IF(VLOOKUP($E83,武器奇术!$A:$R,17,FALSE)="牵丝",$D$11,0)+IF(VLOOKUP($E83,武器奇术!$A:$R,17,FALSE)="破竹",$D$13,0)+$D$15-VLOOKUP($F$7,目标属性!$A:$R,6,FALSE)+IF(VLOOKUP($E83,武器奇术!$A:$V,22,FALSE)=1,4,0)+IF(VLOOKUP($E83,武器奇术!$A:$T,20,FALSE)=1,10,0))/200,(IF(VLOOKUP($E83,武器奇术!$A:$R,17,FALSE)="鸣金",$D$7,0)+IF(VLOOKUP($E83,武器奇术!$A:$R,17,FALSE)="裂石",$D$9,0)+IF(VLOOKUP($E83,武器奇术!$A:$R,17,FALSE)="牵丝",$D$11,0)+IF(VLOOKUP($E83,武器奇术!$A:$R,17,FALSE)="破竹",$D$13,0)+$D$15-VLOOKUP($F$7,目标属性!$A:$R,6,FALSE)+IF(VLOOKUP($E83,武器奇术!$A:$V,22,FALSE)=1,4,0)+IF(VLOOKUP($E83,武器奇术!$A:$T,20,FALSE)=1,10,0))/100)</f>
        <v>-0.24</v>
      </c>
      <c r="DG83" s="100">
        <f t="shared" si="54"/>
        <v>0.148</v>
      </c>
      <c r="DH83" s="91">
        <v>1</v>
      </c>
      <c r="DI83" s="92">
        <f>DC83*IF(VLOOKUP($E83,武器奇术!$A:$R,17,FALSE)="破竹",VLOOKUP($E83,武器奇术!$A:$R,4,FALSE),VLOOKUP($E83,武器奇术!$A:$R,2,FALSE))*(1+DF83)*(1+DG83)*DH83</f>
        <v>0</v>
      </c>
      <c r="DJ83" s="93">
        <f>(1-IF(VLOOKUP($E83,武器奇术!$A:$R,16,FALSE)="陌刀",1,$N83))*(1-$M83)</f>
        <v>0</v>
      </c>
      <c r="DK83" s="92">
        <f>DD83*IF(VLOOKUP($E83,武器奇术!$A:$R,17,FALSE)="破竹",VLOOKUP($E83,武器奇术!$A:$R,4,FALSE),VLOOKUP($E83,武器奇术!$A:$R,2,FALSE))*(1+DF83)*(1+DG83)*DH83*(1+$E$16+VLOOKUP($E83,武器奇术!$A:$R,8,FALSE))</f>
        <v>0</v>
      </c>
      <c r="DL83" s="93">
        <f t="shared" si="12"/>
        <v>0.8135</v>
      </c>
      <c r="DM83" s="92">
        <f>DE83*IF(VLOOKUP($E83,武器奇术!$A:$R,17,FALSE)="破竹",VLOOKUP($E83,武器奇术!$A:$R,4,FALSE),VLOOKUP($E83,武器奇术!$A:$R,2,FALSE))*(1+DF83)*(1+DG83)*DH83*(1+$E$17+VLOOKUP($E83,武器奇术!$A:$R,10,FALSE))</f>
        <v>0</v>
      </c>
      <c r="DN83" s="93">
        <f t="shared" si="13"/>
        <v>0.0986</v>
      </c>
      <c r="DO83" s="92">
        <f>DD83*IF(VLOOKUP($E83,武器奇术!$A:$R,17,FALSE)="破竹",VLOOKUP($E83,武器奇术!$A:$R,4,FALSE),VLOOKUP($E83,武器奇术!$A:$R,2,FALSE))*(1+DF83)*(1+DG83)*DH83</f>
        <v>0</v>
      </c>
      <c r="DP83" s="93">
        <f t="shared" si="14"/>
        <v>0.0879</v>
      </c>
      <c r="DQ83" s="101">
        <f t="shared" si="15"/>
        <v>0</v>
      </c>
    </row>
    <row r="84" customFormat="1" spans="1:121">
      <c r="A84" s="33" t="s">
        <v>172</v>
      </c>
      <c r="B84" t="s">
        <v>145</v>
      </c>
      <c r="C84">
        <v>1</v>
      </c>
      <c r="D84" s="33"/>
      <c r="E84" s="105" t="s">
        <v>173</v>
      </c>
      <c r="F84" s="106">
        <v>1</v>
      </c>
      <c r="G84" s="107"/>
      <c r="H84" s="92">
        <f>IF(VLOOKUP($E84,武器奇术!$A:$R,18,FALSE)="天工",AE84,(AE84+AT84+BI84+BX84+CM84+DB84+DQ84))*(1+J84)*F84*K84*(1+G84)</f>
        <v>1234.38823260144</v>
      </c>
      <c r="I84" s="93">
        <f t="shared" si="58"/>
        <v>0.0001583506783388</v>
      </c>
      <c r="J84" s="93">
        <f>$F$3+VLOOKUP($E84,武器奇术!$A:$R,12,FALSE)+VLOOKUP($E84,武器奇术!$A:$R,14,FALSE)*$G$3+$P84</f>
        <v>0.723</v>
      </c>
      <c r="K84" s="94">
        <f>VLOOKUP($E84,武器奇术!$A:$R,11,FALSE)</f>
        <v>1</v>
      </c>
      <c r="L84" s="109">
        <f>IF(VLOOKUP($E84,武器奇术!$A:$R,15,FALSE)="天工",0%,IF($C$17+VLOOKUP($E84,武器奇术!$A:$R,7,FALSE)&gt;80%,80%,$C$17+VLOOKUP($E84,武器奇术!$A:$R,7,FALSE))+IF($C$19&gt;20%,20%,$C$19))</f>
        <v>0.8135</v>
      </c>
      <c r="M84" s="110">
        <f>IF(VLOOKUP($E84,武器奇术!$A:$R,15,FALSE)="天工",0%,IF($C$18+VLOOKUP($E84,武器奇术!$A:$R,9,FALSE)&gt;40%,40%,$C$18+VLOOKUP($E84,武器奇术!$A:$R,9,FALSE))+IF($C$20&gt;10%,10%,$C$20))</f>
        <v>0.0986</v>
      </c>
      <c r="N84" s="111">
        <f>IF(VLOOKUP($E84,武器奇术!$A:$R,15,FALSE)="天工",100%,MIN($C$16,1))</f>
        <v>1</v>
      </c>
      <c r="O84" s="112" t="str">
        <f>VLOOKUP($E84,武器奇术!$A:$R,16,FALSE)</f>
        <v>绳标</v>
      </c>
      <c r="P84" s="113">
        <f t="shared" si="59"/>
        <v>0.17</v>
      </c>
      <c r="Q84" s="99">
        <f>$B$5*(1+VLOOKUP($E84,武器奇术!$A:$R,5,FALSE)+IF($G$5="飞隼",0.1,0)+IF($G$5="撼天",0.05,0))-$F$9*IF(VLOOKUP($E84,武器奇术!$A:$S,19,FALSE)=1,0.9,1)+IF($I$5="√",160,0)</f>
        <v>2848.3</v>
      </c>
      <c r="R84" s="91">
        <f t="shared" si="60"/>
        <v>2848.3</v>
      </c>
      <c r="S84" s="91">
        <f>MAX($C$5,$B$5)*(1+VLOOKUP($E84,武器奇术!$A:$R,5,FALSE)+IF($G$5="飞隼",0.1,0)+IF($G$5="撼天",0.05,0))-$F$9*IF(VLOOKUP($E84,武器奇术!$A:$S,19,FALSE)=1,0.9,1)+IF($I$5="√",320,0)</f>
        <v>2848.3</v>
      </c>
      <c r="T84" s="93">
        <f>IF(($D$5+VLOOKUP($E84,武器奇术!$A:$R,13,FALSE)+IF($I$3="√",10,0)-VLOOKUP($F$7,目标属性!$A:$R,5,FALSE))&gt;0,($D$5+VLOOKUP($E84,武器奇术!$A:$R,13,FALSE)+IF($I$3="√",10,0)-VLOOKUP($F$7,目标属性!$A:$R,5,FALSE))/200,($D$5+VLOOKUP($E84,武器奇术!$A:$R,13,FALSE)+IF($I$3="√",10,0)-VLOOKUP($F$7,目标属性!$A:$R,5,FALSE))/100)</f>
        <v>0.3925</v>
      </c>
      <c r="U84" s="100">
        <f>$E$5+IF(VLOOKUP($E84,武器奇术!$A:$R,18,FALSE)="鼠鼠",0.24,0)</f>
        <v>0</v>
      </c>
      <c r="V84" s="91">
        <v>1</v>
      </c>
      <c r="W84" s="92">
        <f>Q84*VLOOKUP($E84,武器奇术!$A:$R,2,FALSE)*(1+T84)*(1+U84)*V84</f>
        <v>246.304606275</v>
      </c>
      <c r="X84" s="93">
        <f>(1-IF(VLOOKUP($E84,武器奇术!$A:$R,16,FALSE)="陌刀",1,$N84))*(1-$M84)</f>
        <v>0</v>
      </c>
      <c r="Y84" s="92">
        <f>R84*VLOOKUP($E84,武器奇术!$A:$R,2,FALSE)*(1+T84)*(1+U84)*V84*(1+$E$16+VLOOKUP($E84,武器奇术!$A:$R,8,FALSE))</f>
        <v>466.50092428485</v>
      </c>
      <c r="Z84" s="93">
        <f t="shared" si="61"/>
        <v>0.8135</v>
      </c>
      <c r="AA84" s="92">
        <f>S84*VLOOKUP($E84,武器奇术!$A:$R,2,FALSE)*(1+T84)*(1+U84)*V84*(1+$E$17+VLOOKUP($E84,武器奇术!$A:$R,10,FALSE))</f>
        <v>332.51121847125</v>
      </c>
      <c r="AB84" s="93">
        <f t="shared" si="62"/>
        <v>0.0986</v>
      </c>
      <c r="AC84" s="92">
        <f>R84*VLOOKUP($E84,武器奇术!$A:$R,2,FALSE)*(1+T84)*(1+U84)*V84</f>
        <v>246.304606275</v>
      </c>
      <c r="AD84" s="93">
        <f t="shared" si="63"/>
        <v>0.0879</v>
      </c>
      <c r="AE84" s="101">
        <f t="shared" si="64"/>
        <v>433.934282938563</v>
      </c>
      <c r="AF84" s="102">
        <f>VLOOKUP($E84,武器奇术!$A:$R,3,FALSE)*(1+IF(VLOOKUP($E84,武器奇术!$A:$R,15,FALSE)="武器",$E$15,0))</f>
        <v>22.1</v>
      </c>
      <c r="AG84" s="92">
        <f t="shared" si="65"/>
        <v>22.1</v>
      </c>
      <c r="AH84" s="92">
        <f>VLOOKUP($E84,武器奇术!$A:$R,3,FALSE)*(1+IF(VLOOKUP($E84,武器奇术!$A:$R,15,FALSE)="武器",$E$15,0))</f>
        <v>22.1</v>
      </c>
      <c r="AI84" s="93">
        <f>IF(($D$5+VLOOKUP($E84,武器奇术!$A:$R,13,FALSE)+IF($I$3="√",10,0)-VLOOKUP($F$7,目标属性!$A:$R,5,FALSE))&gt;0,($D$5+VLOOKUP($E84,武器奇术!$A:$R,13,FALSE)+IF($I$3="√",10,0)-VLOOKUP($F$7,目标属性!$A:$R,5,FALSE))/200,($D$5+VLOOKUP($E84,武器奇术!$A:$R,13,FALSE)+IF($I$3="√",10,0)-VLOOKUP($F$7,目标属性!$A:$R,5,FALSE))/100)</f>
        <v>0.3925</v>
      </c>
      <c r="AJ84" s="100">
        <f>$E$5+IF(VLOOKUP($E84,武器奇术!$A:$R,18,FALSE)="鼠鼠",0.24,0)</f>
        <v>0</v>
      </c>
      <c r="AK84" s="91">
        <v>1</v>
      </c>
      <c r="AL84" s="92">
        <f t="shared" si="66"/>
        <v>30.77425</v>
      </c>
      <c r="AM84" s="93">
        <f>(1-IF(VLOOKUP($E84,武器奇术!$A:$R,16,FALSE)="陌刀",1,$N84))*(1-$M84)</f>
        <v>0</v>
      </c>
      <c r="AN84" s="92">
        <f>AG84*(1+AI84)*(1+AJ84)*AK84*(1+$E$16+VLOOKUP($E84,武器奇术!$A:$R,8,FALSE))</f>
        <v>58.2864295</v>
      </c>
      <c r="AO84" s="93">
        <f t="shared" si="1"/>
        <v>0.8135</v>
      </c>
      <c r="AP84" s="92">
        <f>AH84*(1+AI84)*(1+AJ84)*AK84*(1+$E$17+VLOOKUP($E84,武器奇术!$A:$R,10,FALSE))</f>
        <v>41.5452375</v>
      </c>
      <c r="AQ84" s="93">
        <f t="shared" si="2"/>
        <v>0.0986</v>
      </c>
      <c r="AR84" s="92">
        <f t="shared" si="67"/>
        <v>30.77425</v>
      </c>
      <c r="AS84" s="93">
        <f t="shared" si="68"/>
        <v>0.0879</v>
      </c>
      <c r="AT84" s="101">
        <f t="shared" si="69"/>
        <v>54.21742739075</v>
      </c>
      <c r="AU84" s="99">
        <f>IF(VLOOKUP($E84,武器奇术!$A:$R,18,FALSE)="极乐",0,$B$7*IF($G$5="撼天",1.05,1)+IF(AND(VLOOKUP($E84,武器奇术!$A:$R,15,FALSE)="武器",VLOOKUP($E84,武器奇术!$A:$R,17,FALSE)="鸣金"),$E$3*(1+$E$15),0))</f>
        <v>0</v>
      </c>
      <c r="AV84" s="91">
        <f t="shared" si="70"/>
        <v>0</v>
      </c>
      <c r="AW84" s="91">
        <f>IF(VLOOKUP($E84,武器奇术!$A:$R,18,FALSE)="极乐",0,MAX($C$7*IF($G$5="撼天",1.05,1)+IF(AND(VLOOKUP($E84,武器奇术!$A:$R,15,FALSE)="武器",VLOOKUP($E84,武器奇术!$A:$R,17,FALSE)="鸣金"),$E$3*(1+$E$15),0),AU84))</f>
        <v>0</v>
      </c>
      <c r="AX84" s="93">
        <f>IF(($D$7+IF(VLOOKUP($E84,武器奇术!$A:$R,17,FALSE)="鸣金",$D$15,0)-VLOOKUP($F$7,目标属性!$A:$R,6,FALSE))&gt;0,($D$7+IF(VLOOKUP($E84,武器奇术!$A:$R,17,FALSE)="鸣金",$D$15,0)-VLOOKUP($F$7,目标属性!$A:$R,6,FALSE))/200,($D$7+IF(VLOOKUP($E84,武器奇术!$A:$R,17,FALSE)="鸣金",$D$15,0)-VLOOKUP($F$7,目标属性!$A:$R,6,FALSE))/100)</f>
        <v>-0.24</v>
      </c>
      <c r="AY84" s="100">
        <f t="shared" si="89"/>
        <v>0</v>
      </c>
      <c r="AZ84" s="91">
        <v>1</v>
      </c>
      <c r="BA84" s="92">
        <f>AU84*IF(VLOOKUP($E84,武器奇术!$A:$R,17,FALSE)="鸣金",VLOOKUP($E84,武器奇术!$A:$R,4,FALSE),VLOOKUP($E84,武器奇术!$A:$R,2,FALSE))*(1+AX84)*(1+AY84)*AZ84</f>
        <v>0</v>
      </c>
      <c r="BB84" s="93">
        <f>(1-IF(VLOOKUP($E84,武器奇术!$A:$R,16,FALSE)="陌刀",1,$N84))*(1-$M84)</f>
        <v>0</v>
      </c>
      <c r="BC84" s="92">
        <f>AV84*IF(VLOOKUP($E84,武器奇术!$A:$R,17,FALSE)="鸣金",VLOOKUP($E84,武器奇术!$A:$R,4,FALSE),VLOOKUP($E84,武器奇术!$A:$R,2,FALSE))*(1+AX84)*(1+AY84)*AZ84*(1+$E$16+VLOOKUP($E84,武器奇术!$A:$R,8,FALSE))</f>
        <v>0</v>
      </c>
      <c r="BD84" s="93">
        <f t="shared" si="3"/>
        <v>0.8135</v>
      </c>
      <c r="BE84" s="92">
        <f>AW84*IF(VLOOKUP($E84,武器奇术!$A:$R,17,FALSE)="鸣金",VLOOKUP($E84,武器奇术!$A:$R,4,FALSE),VLOOKUP($E84,武器奇术!$A:$R,2,FALSE))*(1+AX84)*(1+AY84)*AZ84*(1+$E$17+VLOOKUP($E84,武器奇术!$A:$R,10,FALSE))</f>
        <v>0</v>
      </c>
      <c r="BF84" s="93">
        <f t="shared" si="4"/>
        <v>0.0986</v>
      </c>
      <c r="BG84" s="92">
        <f>AV84*IF(VLOOKUP($E84,武器奇术!$A:$R,17,FALSE)="鸣金",VLOOKUP($E84,武器奇术!$A:$R,4,FALSE),VLOOKUP($E84,武器奇术!$A:$R,2,FALSE))*(1+AX84)*(1+AY84)*AZ84</f>
        <v>0</v>
      </c>
      <c r="BH84" s="93">
        <f t="shared" si="71"/>
        <v>0.0879</v>
      </c>
      <c r="BI84" s="101">
        <f t="shared" si="72"/>
        <v>0</v>
      </c>
      <c r="BJ84" s="99">
        <f>IF(VLOOKUP($E84,武器奇术!$A:$R,18,FALSE)="极乐",0,$B$9*IF($G$5="撼天",1.05,1)+IF(AND(VLOOKUP($E84,武器奇术!$A:$R,15,FALSE)="武器",VLOOKUP($E84,武器奇术!$A:$R,17,FALSE)="裂石"),$E$3*(1+$E$15),0))</f>
        <v>0</v>
      </c>
      <c r="BK84" s="91">
        <f t="shared" si="73"/>
        <v>0</v>
      </c>
      <c r="BL84" s="91">
        <f>IF(VLOOKUP($E84,武器奇术!$A:$R,18,FALSE)="极乐",0,MAX($C$9*IF($G$5="撼天",1.05,1)+IF(AND(VLOOKUP($E84,武器奇术!$A:$R,15,FALSE)="武器",VLOOKUP($E84,武器奇术!$A:$R,17,FALSE)="裂石"),$E$3*(1+$E$15),0),BJ84))</f>
        <v>0</v>
      </c>
      <c r="BM84" s="93">
        <f>IF(($D$9+IF(VLOOKUP($E84,武器奇术!$A:$R,17,FALSE)="裂石",$D$15,0)-VLOOKUP($F$7,目标属性!$A:$R,6,FALSE))&gt;0,($D$9+IF(VLOOKUP($E84,武器奇术!$A:$R,17,FALSE)="裂石",$D$15,0)-VLOOKUP($F$7,目标属性!$A:$R,6,FALSE))/200,($D$9+IF(VLOOKUP($E84,武器奇术!$A:$R,17,FALSE)="裂石",$D$15,0)-VLOOKUP($F$7,目标属性!$A:$R,6,FALSE))/100)</f>
        <v>-0.24</v>
      </c>
      <c r="BN84" s="100">
        <f t="shared" si="90"/>
        <v>0</v>
      </c>
      <c r="BO84" s="91">
        <v>1</v>
      </c>
      <c r="BP84" s="92">
        <f>BJ84*IF(VLOOKUP($E84,武器奇术!$A:$R,17,FALSE)="裂石",VLOOKUP($E84,武器奇术!$A:$R,4,FALSE),VLOOKUP($E84,武器奇术!$A:$R,2,FALSE))*(1+BM84)*(1+BN84)*BO84</f>
        <v>0</v>
      </c>
      <c r="BQ84" s="93">
        <f>(1-IF(VLOOKUP($E84,武器奇术!$A:$R,16,FALSE)="陌刀",1,$N84))*(1-$M84)</f>
        <v>0</v>
      </c>
      <c r="BR84" s="92">
        <f>BK84*IF(VLOOKUP($E84,武器奇术!$A:$R,17,FALSE)="裂石",VLOOKUP($E84,武器奇术!$A:$R,4,FALSE),VLOOKUP($E84,武器奇术!$A:$R,2,FALSE))*(1+BM84)*(1+BN84)*BO84*(1+$E$16+VLOOKUP($E84,武器奇术!$A:$R,8,FALSE))</f>
        <v>0</v>
      </c>
      <c r="BS84" s="93">
        <f t="shared" si="5"/>
        <v>0.8135</v>
      </c>
      <c r="BT84" s="92">
        <f>BL84*IF(VLOOKUP($E84,武器奇术!$A:$R,17,FALSE)="裂石",VLOOKUP($E84,武器奇术!$A:$R,4,FALSE),VLOOKUP($E84,武器奇术!$A:$R,2,FALSE))*(1+BM84)*(1+BN84)*BO84*(1+$E$17+VLOOKUP($E84,武器奇术!$A:$R,10,FALSE))</f>
        <v>0</v>
      </c>
      <c r="BU84" s="93">
        <f t="shared" si="6"/>
        <v>0.0986</v>
      </c>
      <c r="BV84" s="92">
        <f>BK84*IF(VLOOKUP($E84,武器奇术!$A:$R,17,FALSE)="裂石",VLOOKUP($E84,武器奇术!$A:$R,4,FALSE),VLOOKUP($E84,武器奇术!$A:$R,2,FALSE))*(1+BM84)*(1+BN84)*BO84</f>
        <v>0</v>
      </c>
      <c r="BW84" s="93">
        <f t="shared" si="74"/>
        <v>0.0879</v>
      </c>
      <c r="BX84" s="101">
        <f t="shared" si="75"/>
        <v>0</v>
      </c>
      <c r="BY84" s="99">
        <f>IF(VLOOKUP($E84,武器奇术!$A:$R,18,FALSE)="极乐",0,$B$11*IF($G$5="撼天",1.05,1)+IF(AND(VLOOKUP($E84,武器奇术!$A:$R,15,FALSE)="武器",VLOOKUP($E84,武器奇术!$A:$R,17,FALSE)="牵丝"),$E$3*(1+$E$15),0))</f>
        <v>0</v>
      </c>
      <c r="BZ84" s="91">
        <f t="shared" si="76"/>
        <v>0</v>
      </c>
      <c r="CA84" s="91">
        <f>IF(VLOOKUP($E84,武器奇术!$A:$R,18,FALSE)="极乐",0,MAX($C$11*IF($G$5="撼天",1.05,1)+IF(AND(VLOOKUP($E84,武器奇术!$A:$R,15,FALSE)="武器",VLOOKUP($E84,武器奇术!$A:$R,17,FALSE)="牵丝"),$E$3*(1+$E$15),0),BY84))</f>
        <v>0</v>
      </c>
      <c r="CB84" s="93">
        <f>IF(($D$11+IF(VLOOKUP($E84,武器奇术!$A:$R,17,FALSE)="牵丝",$D$15,0)-VLOOKUP($F$7,目标属性!$A:$R,6,FALSE))&gt;0,($D$11+IF(VLOOKUP($E84,武器奇术!$A:$R,17,FALSE)="牵丝",$D$15,0)-VLOOKUP($F$7,目标属性!$A:$R,6,FALSE))/200,($D$11+IF(VLOOKUP($E84,武器奇术!$A:$R,17,FALSE)="牵丝",$D$15,0)-VLOOKUP($F$7,目标属性!$A:$R,6,FALSE))/100)</f>
        <v>-0.24</v>
      </c>
      <c r="CC84" s="100">
        <f t="shared" si="91"/>
        <v>0</v>
      </c>
      <c r="CD84" s="91">
        <v>1</v>
      </c>
      <c r="CE84" s="92">
        <f>BY84*IF(VLOOKUP($E84,武器奇术!$A:$R,17,FALSE)="牵丝",VLOOKUP($E84,武器奇术!$A:$R,4,FALSE),VLOOKUP($E84,武器奇术!$A:$R,2,FALSE))*(1+CB84)*(1+CC84)*CD84</f>
        <v>0</v>
      </c>
      <c r="CF84" s="93">
        <f>(1-IF(VLOOKUP($E84,武器奇术!$A:$R,16,FALSE)="陌刀",1,$N84))*(1-$M84)</f>
        <v>0</v>
      </c>
      <c r="CG84" s="92">
        <f>BZ84*IF(VLOOKUP($E84,武器奇术!$A:$R,17,FALSE)="牵丝",VLOOKUP($E84,武器奇术!$A:$R,4,FALSE),VLOOKUP($E84,武器奇术!$A:$R,2,FALSE))*(1+CB84)*(1+CC84)*CD84*(1+$E$16+VLOOKUP($E84,武器奇术!$A:$R,8,FALSE))</f>
        <v>0</v>
      </c>
      <c r="CH84" s="93">
        <f t="shared" si="7"/>
        <v>0.8135</v>
      </c>
      <c r="CI84" s="92">
        <f>CA84*IF(VLOOKUP($E84,武器奇术!$A:$R,17,FALSE)="牵丝",VLOOKUP($E84,武器奇术!$A:$R,4,FALSE),VLOOKUP($E84,武器奇术!$A:$R,2,FALSE))*(1+CB84)*(1+CC84)*CD84*(1+$E$17+VLOOKUP($E84,武器奇术!$A:$R,10,FALSE))</f>
        <v>0</v>
      </c>
      <c r="CJ84" s="93">
        <f t="shared" si="8"/>
        <v>0.0986</v>
      </c>
      <c r="CK84" s="92">
        <f>BZ84*IF(VLOOKUP($E84,武器奇术!$A:$R,17,FALSE)="牵丝",VLOOKUP($E84,武器奇术!$A:$R,4,FALSE),VLOOKUP($E84,武器奇术!$A:$R,2,FALSE))*(1+CB84)*(1+CC84)*CD84</f>
        <v>0</v>
      </c>
      <c r="CL84" s="93">
        <f t="shared" si="77"/>
        <v>0.0879</v>
      </c>
      <c r="CM84" s="101">
        <f t="shared" si="78"/>
        <v>0</v>
      </c>
      <c r="CN84" s="99">
        <f>IF(VLOOKUP($E84,武器奇术!$A:$R,18,FALSE)="极乐",0,$B$13*IF($G$5="撼天",1.05,1)+IF(AND(VLOOKUP($E84,武器奇术!$A:$R,15,FALSE)="武器",VLOOKUP($E84,武器奇术!$A:$R,17,FALSE)="破竹"),$E$3*(1+$E$15),0))</f>
        <v>686.71</v>
      </c>
      <c r="CO84" s="91">
        <f t="shared" si="79"/>
        <v>1052.21</v>
      </c>
      <c r="CP84" s="91">
        <f>IF(VLOOKUP($E84,武器奇术!$A:$R,18,FALSE)="极乐",0,MAX($C$13*IF($G$5="撼天",1.05,1)+IF(AND(VLOOKUP($E84,武器奇术!$A:$R,15,FALSE)="武器",VLOOKUP($E84,武器奇术!$A:$R,17,FALSE)="破竹"),$E$3*(1+$E$15),0),CN84))</f>
        <v>1417.71</v>
      </c>
      <c r="CQ84" s="93">
        <f>IF(($D$13+IF(VLOOKUP($E84,武器奇术!$A:$R,17,FALSE)="破竹",$D$15,0)-VLOOKUP($F$7,目标属性!$A:$R,6,FALSE)+IF(VLOOKUP($E84,武器奇术!$A:$V,22,FALSE)=1,4,0)+IF(VLOOKUP($E84,武器奇术!$A:$T,20,FALSE)=1,10,0))&gt;0,($D$13+IF(VLOOKUP($E84,武器奇术!$A:$R,17,FALSE)="破竹",$D$15,0)-VLOOKUP($F$7,目标属性!$A:$R,6,FALSE)+IF(VLOOKUP($E84,武器奇术!$A:$V,22,FALSE)=1,4,0)+IF(VLOOKUP($E84,武器奇术!$A:$T,20,FALSE)=1,10,0))/200,($D$13+IF(VLOOKUP($E84,武器奇术!$A:$R,17,FALSE)="破竹",$D$15,0)-VLOOKUP($F$7,目标属性!$A:$R,6,FALSE)+IF(VLOOKUP($E84,武器奇术!$A:$V,22,FALSE)=1,4,0)+IF(VLOOKUP($E84,武器奇术!$A:$T,20,FALSE)=1,10,0))/100)</f>
        <v>0.028</v>
      </c>
      <c r="CR84" s="100">
        <f t="shared" si="83"/>
        <v>0.148</v>
      </c>
      <c r="CS84" s="91">
        <v>1</v>
      </c>
      <c r="CT84" s="92">
        <f>CN84*IF(VLOOKUP($E84,武器奇术!$A:$R,17,FALSE)="破竹",VLOOKUP($E84,武器奇术!$A:$R,4,FALSE),VLOOKUP($E84,武器奇术!$A:$R,2,FALSE))*(1+CQ84)*(1+CR84)*CS84</f>
        <v>75.530835157568</v>
      </c>
      <c r="CU84" s="93">
        <f>(1-IF(VLOOKUP($E84,武器奇术!$A:$R,16,FALSE)="陌刀",1,$N84))*(1-$M84)</f>
        <v>0</v>
      </c>
      <c r="CV84" s="92">
        <f>CO84*IF(VLOOKUP($E84,武器奇术!$A:$R,17,FALSE)="破竹",VLOOKUP($E84,武器奇术!$A:$R,4,FALSE),VLOOKUP($E84,武器奇术!$A:$R,2,FALSE))*(1+CQ84)*(1+CR84)*CS84*(1+$E$16+VLOOKUP($E84,武器奇术!$A:$R,8,FALSE))</f>
        <v>219.196348263179</v>
      </c>
      <c r="CW84" s="93">
        <f t="shared" si="9"/>
        <v>0.8135</v>
      </c>
      <c r="CX84" s="92">
        <f>CP84*IF(VLOOKUP($E84,武器奇术!$A:$R,17,FALSE)="破竹",VLOOKUP($E84,武器奇术!$A:$R,4,FALSE),VLOOKUP($E84,武器奇术!$A:$R,2,FALSE))*(1+CQ84)*(1+CR84)*CS84*(1+$E$17+VLOOKUP($E84,武器奇术!$A:$R,10,FALSE))</f>
        <v>210.509687379197</v>
      </c>
      <c r="CY84" s="93">
        <f t="shared" si="10"/>
        <v>0.0986</v>
      </c>
      <c r="CZ84" s="92">
        <f>CO84*IF(VLOOKUP($E84,武器奇术!$A:$R,17,FALSE)="破竹",VLOOKUP($E84,武器奇术!$A:$R,4,FALSE),VLOOKUP($E84,武器奇术!$A:$R,2,FALSE))*(1+CQ84)*(1+CR84)*CS84</f>
        <v>115.731968459968</v>
      </c>
      <c r="DA84" s="93">
        <f t="shared" si="80"/>
        <v>0.0879</v>
      </c>
      <c r="DB84" s="101">
        <f t="shared" si="81"/>
        <v>209.245324515316</v>
      </c>
      <c r="DC84" s="99">
        <f>IF(VLOOKUP($E84,武器奇术!$A:$R,18,FALSE)="极乐",0,$B$15)</f>
        <v>66</v>
      </c>
      <c r="DD84" s="91">
        <f t="shared" si="82"/>
        <v>95.9</v>
      </c>
      <c r="DE84" s="91">
        <f>IF(VLOOKUP($E84,武器奇术!$A:$R,18,FALSE)="极乐",0,$C$15)</f>
        <v>125.8</v>
      </c>
      <c r="DF84" s="93">
        <f>IF((IF(VLOOKUP($E84,武器奇术!$A:$R,17,FALSE)="鸣金",$D$7,0)+IF(VLOOKUP($E84,武器奇术!$A:$R,17,FALSE)="裂石",$D$9,0)+IF(VLOOKUP($E84,武器奇术!$A:$R,17,FALSE)="牵丝",$D$11,0)+IF(VLOOKUP($E84,武器奇术!$A:$R,17,FALSE)="破竹",$D$13,0)+$D$15-VLOOKUP($F$7,目标属性!$A:$R,6,FALSE)+IF(VLOOKUP($E84,武器奇术!$A:$V,22,FALSE)=1,4,0)+IF(VLOOKUP($E84,武器奇术!$A:$T,20,FALSE)=1,10,0))&gt;0,(IF(VLOOKUP($E84,武器奇术!$A:$R,17,FALSE)="鸣金",$D$7,0)+IF(VLOOKUP($E84,武器奇术!$A:$R,17,FALSE)="裂石",$D$9,0)+IF(VLOOKUP($E84,武器奇术!$A:$R,17,FALSE)="牵丝",$D$11,0)+IF(VLOOKUP($E84,武器奇术!$A:$R,17,FALSE)="破竹",$D$13,0)+$D$15-VLOOKUP($F$7,目标属性!$A:$R,6,FALSE)+IF(VLOOKUP($E84,武器奇术!$A:$V,22,FALSE)=1,4,0)+IF(VLOOKUP($E84,武器奇术!$A:$T,20,FALSE)=1,10,0))/200,(IF(VLOOKUP($E84,武器奇术!$A:$R,17,FALSE)="鸣金",$D$7,0)+IF(VLOOKUP($E84,武器奇术!$A:$R,17,FALSE)="裂石",$D$9,0)+IF(VLOOKUP($E84,武器奇术!$A:$R,17,FALSE)="牵丝",$D$11,0)+IF(VLOOKUP($E84,武器奇术!$A:$R,17,FALSE)="破竹",$D$13,0)+$D$15-VLOOKUP($F$7,目标属性!$A:$R,6,FALSE)+IF(VLOOKUP($E84,武器奇术!$A:$V,22,FALSE)=1,4,0)+IF(VLOOKUP($E84,武器奇术!$A:$T,20,FALSE)=1,10,0))/100)</f>
        <v>0.028</v>
      </c>
      <c r="DG84" s="100">
        <f t="shared" si="54"/>
        <v>0.148</v>
      </c>
      <c r="DH84" s="91">
        <v>1</v>
      </c>
      <c r="DI84" s="92">
        <f>DC84*IF(VLOOKUP($E84,武器奇术!$A:$R,17,FALSE)="破竹",VLOOKUP($E84,武器奇术!$A:$R,4,FALSE),VLOOKUP($E84,武器奇术!$A:$R,2,FALSE))*(1+DF84)*(1+DG84)*DH84</f>
        <v>7.2593017728</v>
      </c>
      <c r="DJ84" s="93">
        <f>(1-IF(VLOOKUP($E84,武器奇术!$A:$R,16,FALSE)="陌刀",1,$N84))*(1-$M84)</f>
        <v>0</v>
      </c>
      <c r="DK84" s="92">
        <f>DD84*IF(VLOOKUP($E84,武器奇术!$A:$R,17,FALSE)="破竹",VLOOKUP($E84,武器奇术!$A:$R,4,FALSE),VLOOKUP($E84,武器奇术!$A:$R,2,FALSE))*(1+DF84)*(1+DG84)*DH84*(1+$E$16+VLOOKUP($E84,武器奇术!$A:$R,8,FALSE))</f>
        <v>19.9778844512397</v>
      </c>
      <c r="DL84" s="93">
        <f t="shared" si="12"/>
        <v>0.8135</v>
      </c>
      <c r="DM84" s="92">
        <f>DE84*IF(VLOOKUP($E84,武器奇术!$A:$R,17,FALSE)="破竹",VLOOKUP($E84,武器奇术!$A:$R,4,FALSE),VLOOKUP($E84,武器奇术!$A:$R,2,FALSE))*(1+DF84)*(1+DG84)*DH84*(1+$E$17+VLOOKUP($E84,武器奇术!$A:$R,10,FALSE))</f>
        <v>18.679503334464</v>
      </c>
      <c r="DN84" s="93">
        <f t="shared" si="13"/>
        <v>0.0986</v>
      </c>
      <c r="DO84" s="92">
        <f>DD84*IF(VLOOKUP($E84,武器奇术!$A:$R,17,FALSE)="破竹",VLOOKUP($E84,武器奇术!$A:$R,4,FALSE),VLOOKUP($E84,武器奇术!$A:$R,2,FALSE))*(1+DF84)*(1+DG84)*DH84</f>
        <v>10.54798545472</v>
      </c>
      <c r="DP84" s="93">
        <f t="shared" si="14"/>
        <v>0.0879</v>
      </c>
      <c r="DQ84" s="101">
        <f t="shared" si="15"/>
        <v>19.0209759513315</v>
      </c>
    </row>
    <row r="85" customFormat="1" spans="1:121">
      <c r="A85" s="33"/>
      <c r="B85" t="s">
        <v>147</v>
      </c>
      <c r="C85">
        <v>1</v>
      </c>
      <c r="D85" s="33"/>
      <c r="E85" s="105" t="s">
        <v>174</v>
      </c>
      <c r="F85" s="106">
        <v>1</v>
      </c>
      <c r="G85" s="107">
        <f>$E$24</f>
        <v>0</v>
      </c>
      <c r="H85" s="92">
        <f>IF(VLOOKUP($E85,武器奇术!$A:$R,18,FALSE)="天工",AE85,(AE85+AT85+BI85+BX85+CM85+DB85+DQ85))*(1+J85)*F85*K85*(1+G85)</f>
        <v>17962.1907920618</v>
      </c>
      <c r="I85" s="93">
        <f t="shared" si="58"/>
        <v>0.00230423866758644</v>
      </c>
      <c r="J85" s="93">
        <f>$F$3+VLOOKUP($E85,武器奇术!$A:$R,12,FALSE)+VLOOKUP($E85,武器奇术!$A:$R,14,FALSE)*$G$3+$P85</f>
        <v>0.843</v>
      </c>
      <c r="K85" s="94">
        <f>VLOOKUP($E85,武器奇术!$A:$R,11,FALSE)</f>
        <v>1</v>
      </c>
      <c r="L85" s="109">
        <f>IF(VLOOKUP($E85,武器奇术!$A:$R,15,FALSE)="天工",0%,IF($C$17+VLOOKUP($E85,武器奇术!$A:$R,7,FALSE)&gt;80%,80%,$C$17+VLOOKUP($E85,武器奇术!$A:$R,7,FALSE))+IF($C$19&gt;20%,20%,$C$19))</f>
        <v>0.887</v>
      </c>
      <c r="M85" s="110">
        <f>IF(VLOOKUP($E85,武器奇术!$A:$R,15,FALSE)="天工",0%,IF($C$18+VLOOKUP($E85,武器奇术!$A:$R,9,FALSE)&gt;40%,40%,$C$18+VLOOKUP($E85,武器奇术!$A:$R,9,FALSE))+IF($C$20&gt;10%,10%,$C$20))</f>
        <v>0.0986</v>
      </c>
      <c r="N85" s="111">
        <f>IF(VLOOKUP($E85,武器奇术!$A:$R,15,FALSE)="天工",100%,MIN($C$16,1))</f>
        <v>1</v>
      </c>
      <c r="O85" s="112" t="str">
        <f>VLOOKUP($E85,武器奇术!$A:$R,16,FALSE)</f>
        <v>双刀</v>
      </c>
      <c r="P85" s="113">
        <f t="shared" si="59"/>
        <v>0.17</v>
      </c>
      <c r="Q85" s="99">
        <f>$B$5*(1+VLOOKUP($E85,武器奇术!$A:$R,5,FALSE)+IF($G$5="飞隼",0.1,0)+IF($G$5="撼天",0.05,0))-$F$9*IF(VLOOKUP($E85,武器奇术!$A:$S,19,FALSE)=1,0.9,1)+IF($I$5="√",160,0)</f>
        <v>2904.2</v>
      </c>
      <c r="R85" s="91">
        <f t="shared" si="60"/>
        <v>2904.2</v>
      </c>
      <c r="S85" s="91">
        <f>MAX($C$5,$B$5)*(1+VLOOKUP($E85,武器奇术!$A:$R,5,FALSE)+IF($G$5="飞隼",0.1,0)+IF($G$5="撼天",0.05,0))-$F$9*IF(VLOOKUP($E85,武器奇术!$A:$S,19,FALSE)=1,0.9,1)+IF($I$5="√",320,0)</f>
        <v>2904.2</v>
      </c>
      <c r="T85" s="93">
        <f>IF(($D$5+VLOOKUP($E85,武器奇术!$A:$R,13,FALSE)+IF($I$3="√",10,0)-VLOOKUP($F$7,目标属性!$A:$R,5,FALSE))&gt;0,($D$5+VLOOKUP($E85,武器奇术!$A:$R,13,FALSE)+IF($I$3="√",10,0)-VLOOKUP($F$7,目标属性!$A:$R,5,FALSE))/200,($D$5+VLOOKUP($E85,武器奇术!$A:$R,13,FALSE)+IF($I$3="√",10,0)-VLOOKUP($F$7,目标属性!$A:$R,5,FALSE))/100)</f>
        <v>0.2675</v>
      </c>
      <c r="U85" s="120">
        <f>$E$5+IF(VLOOKUP($E85,武器奇术!$A:$R,18,FALSE)="鼠鼠",0.24,0)+IF(期望!$G$5="燕归",6/100,0)</f>
        <v>0.06</v>
      </c>
      <c r="V85" s="91">
        <v>1</v>
      </c>
      <c r="W85" s="92">
        <f>Q85*VLOOKUP($E85,武器奇术!$A:$R,2,FALSE)*(1+T85)*(1+U85)*V85</f>
        <v>2777.8676368872</v>
      </c>
      <c r="X85" s="93">
        <f>(1-IF(VLOOKUP($E85,武器奇术!$A:$R,16,FALSE)="陌刀",1,$N85))*(1-$M85)</f>
        <v>0</v>
      </c>
      <c r="Y85" s="92">
        <f>R85*VLOOKUP($E85,武器奇术!$A:$R,2,FALSE)*(1+T85)*(1+U85)*V85*(1+$E$16+VLOOKUP($E85,武器奇术!$A:$R,8,FALSE))</f>
        <v>5955.74821348616</v>
      </c>
      <c r="Z85" s="93">
        <f t="shared" si="61"/>
        <v>0.887</v>
      </c>
      <c r="AA85" s="92">
        <f>S85*VLOOKUP($E85,武器奇术!$A:$R,2,FALSE)*(1+T85)*(1+U85)*V85*(1+$E$17+VLOOKUP($E85,武器奇术!$A:$R,10,FALSE))</f>
        <v>3750.12130979772</v>
      </c>
      <c r="AB85" s="93">
        <f t="shared" si="62"/>
        <v>0.0986</v>
      </c>
      <c r="AC85" s="92">
        <f>R85*VLOOKUP($E85,武器奇术!$A:$R,2,FALSE)*(1+T85)*(1+U85)*V85</f>
        <v>2777.8676368872</v>
      </c>
      <c r="AD85" s="93">
        <f t="shared" si="63"/>
        <v>0.0144</v>
      </c>
      <c r="AE85" s="101">
        <f t="shared" si="64"/>
        <v>5692.51192047946</v>
      </c>
      <c r="AF85" s="102">
        <f>VLOOKUP($E85,武器奇术!$A:$R,3,FALSE)*(1+IF(VLOOKUP($E85,武器奇术!$A:$R,15,FALSE)="武器",$E$15,0))</f>
        <v>257.4</v>
      </c>
      <c r="AG85" s="92">
        <f t="shared" si="65"/>
        <v>257.4</v>
      </c>
      <c r="AH85" s="92">
        <f>VLOOKUP($E85,武器奇术!$A:$R,3,FALSE)*(1+IF(VLOOKUP($E85,武器奇术!$A:$R,15,FALSE)="武器",$E$15,0))</f>
        <v>257.4</v>
      </c>
      <c r="AI85" s="93">
        <f>IF(($D$5+VLOOKUP($E85,武器奇术!$A:$R,13,FALSE)+IF($I$3="√",10,0)-VLOOKUP($F$7,目标属性!$A:$R,5,FALSE))&gt;0,($D$5+VLOOKUP($E85,武器奇术!$A:$R,13,FALSE)+IF($I$3="√",10,0)-VLOOKUP($F$7,目标属性!$A:$R,5,FALSE))/200,($D$5+VLOOKUP($E85,武器奇术!$A:$R,13,FALSE)+IF($I$3="√",10,0)-VLOOKUP($F$7,目标属性!$A:$R,5,FALSE))/100)</f>
        <v>0.2675</v>
      </c>
      <c r="AJ85" s="120">
        <f>$E$5+IF(VLOOKUP($E85,武器奇术!$A:$R,18,FALSE)="鼠鼠",0.24,0)+IF(期望!$G$5="燕归",6/100,0)</f>
        <v>0.06</v>
      </c>
      <c r="AK85" s="91">
        <v>1</v>
      </c>
      <c r="AL85" s="92">
        <f t="shared" si="66"/>
        <v>345.82977</v>
      </c>
      <c r="AM85" s="93">
        <f>(1-IF(VLOOKUP($E85,武器奇术!$A:$R,16,FALSE)="陌刀",1,$N85))*(1-$M85)</f>
        <v>0</v>
      </c>
      <c r="AN85" s="92">
        <f>AG85*(1+AI85)*(1+AJ85)*AK85*(1+$E$16+VLOOKUP($E85,武器奇术!$A:$R,8,FALSE))</f>
        <v>741.45902688</v>
      </c>
      <c r="AO85" s="93">
        <f t="shared" si="1"/>
        <v>0.887</v>
      </c>
      <c r="AP85" s="92">
        <f>AH85*(1+AI85)*(1+AJ85)*AK85*(1+$E$17+VLOOKUP($E85,武器奇术!$A:$R,10,FALSE))</f>
        <v>466.8701895</v>
      </c>
      <c r="AQ85" s="93">
        <f t="shared" si="2"/>
        <v>0.0986</v>
      </c>
      <c r="AR85" s="92">
        <f t="shared" si="67"/>
        <v>345.82977</v>
      </c>
      <c r="AS85" s="93">
        <f t="shared" si="68"/>
        <v>0.0144</v>
      </c>
      <c r="AT85" s="101">
        <f t="shared" si="69"/>
        <v>708.68750621526</v>
      </c>
      <c r="AU85" s="99">
        <f>IF(VLOOKUP($E85,武器奇术!$A:$R,18,FALSE)="极乐",0,$B$7*IF($G$5="撼天",1.05,1)+IF(AND(VLOOKUP($E85,武器奇术!$A:$R,15,FALSE)="武器",VLOOKUP($E85,武器奇术!$A:$R,17,FALSE)="鸣金"),$E$3*(1+$E$15),0))</f>
        <v>0</v>
      </c>
      <c r="AV85" s="91">
        <f t="shared" si="70"/>
        <v>0</v>
      </c>
      <c r="AW85" s="91">
        <f>IF(VLOOKUP($E85,武器奇术!$A:$R,18,FALSE)="极乐",0,MAX($C$7*IF($G$5="撼天",1.05,1)+IF(AND(VLOOKUP($E85,武器奇术!$A:$R,15,FALSE)="武器",VLOOKUP($E85,武器奇术!$A:$R,17,FALSE)="鸣金"),$E$3*(1+$E$15),0),AU85))</f>
        <v>0</v>
      </c>
      <c r="AX85" s="93">
        <f>IF(($D$7+IF(VLOOKUP($E85,武器奇术!$A:$R,17,FALSE)="鸣金",$D$15,0)-VLOOKUP($F$7,目标属性!$A:$R,6,FALSE))&gt;0,($D$7+IF(VLOOKUP($E85,武器奇术!$A:$R,17,FALSE)="鸣金",$D$15,0)-VLOOKUP($F$7,目标属性!$A:$R,6,FALSE))/200,($D$7+IF(VLOOKUP($E85,武器奇术!$A:$R,17,FALSE)="鸣金",$D$15,0)-VLOOKUP($F$7,目标属性!$A:$R,6,FALSE))/100)</f>
        <v>-0.24</v>
      </c>
      <c r="AY85" s="100">
        <f t="shared" si="89"/>
        <v>0</v>
      </c>
      <c r="AZ85" s="91">
        <v>1</v>
      </c>
      <c r="BA85" s="92">
        <f>AU85*IF(VLOOKUP($E85,武器奇术!$A:$R,17,FALSE)="鸣金",VLOOKUP($E85,武器奇术!$A:$R,4,FALSE),VLOOKUP($E85,武器奇术!$A:$R,2,FALSE))*(1+AX85)*(1+AY85)*AZ85</f>
        <v>0</v>
      </c>
      <c r="BB85" s="93">
        <f>(1-IF(VLOOKUP($E85,武器奇术!$A:$R,16,FALSE)="陌刀",1,$N85))*(1-$M85)</f>
        <v>0</v>
      </c>
      <c r="BC85" s="92">
        <f>AV85*IF(VLOOKUP($E85,武器奇术!$A:$R,17,FALSE)="鸣金",VLOOKUP($E85,武器奇术!$A:$R,4,FALSE),VLOOKUP($E85,武器奇术!$A:$R,2,FALSE))*(1+AX85)*(1+AY85)*AZ85*(1+$E$16+VLOOKUP($E85,武器奇术!$A:$R,8,FALSE))</f>
        <v>0</v>
      </c>
      <c r="BD85" s="93">
        <f t="shared" si="3"/>
        <v>0.887</v>
      </c>
      <c r="BE85" s="92">
        <f>AW85*IF(VLOOKUP($E85,武器奇术!$A:$R,17,FALSE)="鸣金",VLOOKUP($E85,武器奇术!$A:$R,4,FALSE),VLOOKUP($E85,武器奇术!$A:$R,2,FALSE))*(1+AX85)*(1+AY85)*AZ85*(1+$E$17+VLOOKUP($E85,武器奇术!$A:$R,10,FALSE))</f>
        <v>0</v>
      </c>
      <c r="BF85" s="93">
        <f t="shared" si="4"/>
        <v>0.0986</v>
      </c>
      <c r="BG85" s="92">
        <f>AV85*IF(VLOOKUP($E85,武器奇术!$A:$R,17,FALSE)="鸣金",VLOOKUP($E85,武器奇术!$A:$R,4,FALSE),VLOOKUP($E85,武器奇术!$A:$R,2,FALSE))*(1+AX85)*(1+AY85)*AZ85</f>
        <v>0</v>
      </c>
      <c r="BH85" s="93">
        <f t="shared" si="71"/>
        <v>0.0144</v>
      </c>
      <c r="BI85" s="101">
        <f t="shared" si="72"/>
        <v>0</v>
      </c>
      <c r="BJ85" s="99">
        <f>IF(VLOOKUP($E85,武器奇术!$A:$R,18,FALSE)="极乐",0,$B$9*IF($G$5="撼天",1.05,1)+IF(AND(VLOOKUP($E85,武器奇术!$A:$R,15,FALSE)="武器",VLOOKUP($E85,武器奇术!$A:$R,17,FALSE)="裂石"),$E$3*(1+$E$15),0))</f>
        <v>0</v>
      </c>
      <c r="BK85" s="91">
        <f t="shared" si="73"/>
        <v>0</v>
      </c>
      <c r="BL85" s="91">
        <f>IF(VLOOKUP($E85,武器奇术!$A:$R,18,FALSE)="极乐",0,MAX($C$9*IF($G$5="撼天",1.05,1)+IF(AND(VLOOKUP($E85,武器奇术!$A:$R,15,FALSE)="武器",VLOOKUP($E85,武器奇术!$A:$R,17,FALSE)="裂石"),$E$3*(1+$E$15),0),BJ85))</f>
        <v>0</v>
      </c>
      <c r="BM85" s="93">
        <f>IF(($D$9+IF(VLOOKUP($E85,武器奇术!$A:$R,17,FALSE)="裂石",$D$15,0)-VLOOKUP($F$7,目标属性!$A:$R,6,FALSE))&gt;0,($D$9+IF(VLOOKUP($E85,武器奇术!$A:$R,17,FALSE)="裂石",$D$15,0)-VLOOKUP($F$7,目标属性!$A:$R,6,FALSE))/200,($D$9+IF(VLOOKUP($E85,武器奇术!$A:$R,17,FALSE)="裂石",$D$15,0)-VLOOKUP($F$7,目标属性!$A:$R,6,FALSE))/100)</f>
        <v>-0.24</v>
      </c>
      <c r="BN85" s="100">
        <f t="shared" si="90"/>
        <v>0</v>
      </c>
      <c r="BO85" s="91">
        <v>1</v>
      </c>
      <c r="BP85" s="92">
        <f>BJ85*IF(VLOOKUP($E85,武器奇术!$A:$R,17,FALSE)="裂石",VLOOKUP($E85,武器奇术!$A:$R,4,FALSE),VLOOKUP($E85,武器奇术!$A:$R,2,FALSE))*(1+BM85)*(1+BN85)*BO85</f>
        <v>0</v>
      </c>
      <c r="BQ85" s="93">
        <f>(1-IF(VLOOKUP($E85,武器奇术!$A:$R,16,FALSE)="陌刀",1,$N85))*(1-$M85)</f>
        <v>0</v>
      </c>
      <c r="BR85" s="92">
        <f>BK85*IF(VLOOKUP($E85,武器奇术!$A:$R,17,FALSE)="裂石",VLOOKUP($E85,武器奇术!$A:$R,4,FALSE),VLOOKUP($E85,武器奇术!$A:$R,2,FALSE))*(1+BM85)*(1+BN85)*BO85*(1+$E$16+VLOOKUP($E85,武器奇术!$A:$R,8,FALSE))</f>
        <v>0</v>
      </c>
      <c r="BS85" s="93">
        <f t="shared" si="5"/>
        <v>0.887</v>
      </c>
      <c r="BT85" s="92">
        <f>BL85*IF(VLOOKUP($E85,武器奇术!$A:$R,17,FALSE)="裂石",VLOOKUP($E85,武器奇术!$A:$R,4,FALSE),VLOOKUP($E85,武器奇术!$A:$R,2,FALSE))*(1+BM85)*(1+BN85)*BO85*(1+$E$17+VLOOKUP($E85,武器奇术!$A:$R,10,FALSE))</f>
        <v>0</v>
      </c>
      <c r="BU85" s="93">
        <f t="shared" si="6"/>
        <v>0.0986</v>
      </c>
      <c r="BV85" s="92">
        <f>BK85*IF(VLOOKUP($E85,武器奇术!$A:$R,17,FALSE)="裂石",VLOOKUP($E85,武器奇术!$A:$R,4,FALSE),VLOOKUP($E85,武器奇术!$A:$R,2,FALSE))*(1+BM85)*(1+BN85)*BO85</f>
        <v>0</v>
      </c>
      <c r="BW85" s="93">
        <f t="shared" si="74"/>
        <v>0.0144</v>
      </c>
      <c r="BX85" s="101">
        <f t="shared" si="75"/>
        <v>0</v>
      </c>
      <c r="BY85" s="99">
        <f>IF(VLOOKUP($E85,武器奇术!$A:$R,18,FALSE)="极乐",0,$B$11*IF($G$5="撼天",1.05,1)+IF(AND(VLOOKUP($E85,武器奇术!$A:$R,15,FALSE)="武器",VLOOKUP($E85,武器奇术!$A:$R,17,FALSE)="牵丝"),$E$3*(1+$E$15),0))</f>
        <v>0</v>
      </c>
      <c r="BZ85" s="91">
        <f t="shared" si="76"/>
        <v>0</v>
      </c>
      <c r="CA85" s="91">
        <f>IF(VLOOKUP($E85,武器奇术!$A:$R,18,FALSE)="极乐",0,MAX($C$11*IF($G$5="撼天",1.05,1)+IF(AND(VLOOKUP($E85,武器奇术!$A:$R,15,FALSE)="武器",VLOOKUP($E85,武器奇术!$A:$R,17,FALSE)="牵丝"),$E$3*(1+$E$15),0),BY85))</f>
        <v>0</v>
      </c>
      <c r="CB85" s="93">
        <f>IF(($D$11+IF(VLOOKUP($E85,武器奇术!$A:$R,17,FALSE)="牵丝",$D$15,0)-VLOOKUP($F$7,目标属性!$A:$R,6,FALSE))&gt;0,($D$11+IF(VLOOKUP($E85,武器奇术!$A:$R,17,FALSE)="牵丝",$D$15,0)-VLOOKUP($F$7,目标属性!$A:$R,6,FALSE))/200,($D$11+IF(VLOOKUP($E85,武器奇术!$A:$R,17,FALSE)="牵丝",$D$15,0)-VLOOKUP($F$7,目标属性!$A:$R,6,FALSE))/100)</f>
        <v>-0.24</v>
      </c>
      <c r="CC85" s="100">
        <f t="shared" si="91"/>
        <v>0</v>
      </c>
      <c r="CD85" s="91">
        <v>1</v>
      </c>
      <c r="CE85" s="92">
        <f>BY85*IF(VLOOKUP($E85,武器奇术!$A:$R,17,FALSE)="牵丝",VLOOKUP($E85,武器奇术!$A:$R,4,FALSE),VLOOKUP($E85,武器奇术!$A:$R,2,FALSE))*(1+CB85)*(1+CC85)*CD85</f>
        <v>0</v>
      </c>
      <c r="CF85" s="93">
        <f>(1-IF(VLOOKUP($E85,武器奇术!$A:$R,16,FALSE)="陌刀",1,$N85))*(1-$M85)</f>
        <v>0</v>
      </c>
      <c r="CG85" s="92">
        <f>BZ85*IF(VLOOKUP($E85,武器奇术!$A:$R,17,FALSE)="牵丝",VLOOKUP($E85,武器奇术!$A:$R,4,FALSE),VLOOKUP($E85,武器奇术!$A:$R,2,FALSE))*(1+CB85)*(1+CC85)*CD85*(1+$E$16+VLOOKUP($E85,武器奇术!$A:$R,8,FALSE))</f>
        <v>0</v>
      </c>
      <c r="CH85" s="93">
        <f t="shared" si="7"/>
        <v>0.887</v>
      </c>
      <c r="CI85" s="92">
        <f>CA85*IF(VLOOKUP($E85,武器奇术!$A:$R,17,FALSE)="牵丝",VLOOKUP($E85,武器奇术!$A:$R,4,FALSE),VLOOKUP($E85,武器奇术!$A:$R,2,FALSE))*(1+CB85)*(1+CC85)*CD85*(1+$E$17+VLOOKUP($E85,武器奇术!$A:$R,10,FALSE))</f>
        <v>0</v>
      </c>
      <c r="CJ85" s="93">
        <f t="shared" si="8"/>
        <v>0.0986</v>
      </c>
      <c r="CK85" s="92">
        <f>BZ85*IF(VLOOKUP($E85,武器奇术!$A:$R,17,FALSE)="牵丝",VLOOKUP($E85,武器奇术!$A:$R,4,FALSE),VLOOKUP($E85,武器奇术!$A:$R,2,FALSE))*(1+CB85)*(1+CC85)*CD85</f>
        <v>0</v>
      </c>
      <c r="CL85" s="93">
        <f t="shared" si="77"/>
        <v>0.0144</v>
      </c>
      <c r="CM85" s="101">
        <f t="shared" si="78"/>
        <v>0</v>
      </c>
      <c r="CN85" s="99">
        <f>IF(VLOOKUP($E85,武器奇术!$A:$R,18,FALSE)="极乐",0,$B$13*IF($G$5="撼天",1.05,1)+IF(AND(VLOOKUP($E85,武器奇术!$A:$R,15,FALSE)="武器",VLOOKUP($E85,武器奇术!$A:$R,17,FALSE)="破竹"),$E$3*(1+$E$15),0))</f>
        <v>686.71</v>
      </c>
      <c r="CO85" s="91">
        <f t="shared" si="79"/>
        <v>1052.21</v>
      </c>
      <c r="CP85" s="91">
        <f>IF(VLOOKUP($E85,武器奇术!$A:$R,18,FALSE)="极乐",0,MAX($C$13*IF($G$5="撼天",1.05,1)+IF(AND(VLOOKUP($E85,武器奇术!$A:$R,15,FALSE)="武器",VLOOKUP($E85,武器奇术!$A:$R,17,FALSE)="破竹"),$E$3*(1+$E$15),0),CN85))</f>
        <v>1417.71</v>
      </c>
      <c r="CQ85" s="93">
        <f>IF(($D$13+IF(VLOOKUP($E85,武器奇术!$A:$R,17,FALSE)="破竹",$D$15,0)-VLOOKUP($F$7,目标属性!$A:$R,6,FALSE)+IF(VLOOKUP($E85,武器奇术!$A:$V,22,FALSE)=1,4,0)+IF(VLOOKUP($E85,武器奇术!$A:$T,20,FALSE)=1,10,0))&gt;0,($D$13+IF(VLOOKUP($E85,武器奇术!$A:$R,17,FALSE)="破竹",$D$15,0)-VLOOKUP($F$7,目标属性!$A:$R,6,FALSE)+IF(VLOOKUP($E85,武器奇术!$A:$V,22,FALSE)=1,4,0)+IF(VLOOKUP($E85,武器奇术!$A:$T,20,FALSE)=1,10,0))/200,($D$13+IF(VLOOKUP($E85,武器奇术!$A:$R,17,FALSE)="破竹",$D$15,0)-VLOOKUP($F$7,目标属性!$A:$R,6,FALSE)+IF(VLOOKUP($E85,武器奇术!$A:$V,22,FALSE)=1,4,0)+IF(VLOOKUP($E85,武器奇术!$A:$T,20,FALSE)=1,10,0))/100)</f>
        <v>0.078</v>
      </c>
      <c r="CR85" s="120">
        <f>$E$13+IF(期望!$G$5="燕归",6%,0)</f>
        <v>0.208</v>
      </c>
      <c r="CS85" s="91">
        <v>1</v>
      </c>
      <c r="CT85" s="92">
        <f>CN85*IF(VLOOKUP($E85,武器奇术!$A:$R,17,FALSE)="破竹",VLOOKUP($E85,武器奇术!$A:$R,4,FALSE),VLOOKUP($E85,武器奇术!$A:$R,2,FALSE))*(1+CQ85)*(1+CR85)*CS85</f>
        <v>954.951949537555</v>
      </c>
      <c r="CU85" s="93">
        <f>(1-IF(VLOOKUP($E85,武器奇术!$A:$R,16,FALSE)="陌刀",1,$N85))*(1-$M85)</f>
        <v>0</v>
      </c>
      <c r="CV85" s="92">
        <f>CO85*IF(VLOOKUP($E85,武器奇术!$A:$R,17,FALSE)="破竹",VLOOKUP($E85,武器奇术!$A:$R,4,FALSE),VLOOKUP($E85,武器奇术!$A:$R,2,FALSE))*(1+CQ85)*(1+CR85)*CS85*(1+$E$16+VLOOKUP($E85,武器奇术!$A:$R,8,FALSE))</f>
        <v>3137.15050068343</v>
      </c>
      <c r="CW85" s="93">
        <f t="shared" si="9"/>
        <v>0.887</v>
      </c>
      <c r="CX85" s="92">
        <f>CP85*IF(VLOOKUP($E85,武器奇术!$A:$R,17,FALSE)="破竹",VLOOKUP($E85,武器奇术!$A:$R,4,FALSE),VLOOKUP($E85,武器奇术!$A:$R,2,FALSE))*(1+CQ85)*(1+CR85)*CS85*(1+$E$17+VLOOKUP($E85,武器奇术!$A:$R,10,FALSE))</f>
        <v>2661.51745760437</v>
      </c>
      <c r="CY85" s="93">
        <f t="shared" si="10"/>
        <v>0.0986</v>
      </c>
      <c r="CZ85" s="92">
        <f>CO85*IF(VLOOKUP($E85,武器奇术!$A:$R,17,FALSE)="破竹",VLOOKUP($E85,武器奇术!$A:$R,4,FALSE),VLOOKUP($E85,武器奇术!$A:$R,2,FALSE))*(1+CQ85)*(1+CR85)*CS85</f>
        <v>1463.22318128892</v>
      </c>
      <c r="DA85" s="93">
        <f t="shared" si="80"/>
        <v>0.0144</v>
      </c>
      <c r="DB85" s="101">
        <f t="shared" si="81"/>
        <v>3066.14852923656</v>
      </c>
      <c r="DC85" s="99">
        <f>IF(VLOOKUP($E85,武器奇术!$A:$R,18,FALSE)="极乐",0,$B$15)</f>
        <v>66</v>
      </c>
      <c r="DD85" s="91">
        <f t="shared" si="82"/>
        <v>95.9</v>
      </c>
      <c r="DE85" s="91">
        <f>IF(VLOOKUP($E85,武器奇术!$A:$R,18,FALSE)="极乐",0,$C$15)</f>
        <v>125.8</v>
      </c>
      <c r="DF85" s="93">
        <f>IF((IF(VLOOKUP($E85,武器奇术!$A:$R,17,FALSE)="鸣金",$D$7,0)+IF(VLOOKUP($E85,武器奇术!$A:$R,17,FALSE)="裂石",$D$9,0)+IF(VLOOKUP($E85,武器奇术!$A:$R,17,FALSE)="牵丝",$D$11,0)+IF(VLOOKUP($E85,武器奇术!$A:$R,17,FALSE)="破竹",$D$13,0)+$D$15-VLOOKUP($F$7,目标属性!$A:$R,6,FALSE)+IF(VLOOKUP($E85,武器奇术!$A:$V,22,FALSE)=1,4,0)+IF(VLOOKUP($E85,武器奇术!$A:$T,20,FALSE)=1,10,0))&gt;0,(IF(VLOOKUP($E85,武器奇术!$A:$R,17,FALSE)="鸣金",$D$7,0)+IF(VLOOKUP($E85,武器奇术!$A:$R,17,FALSE)="裂石",$D$9,0)+IF(VLOOKUP($E85,武器奇术!$A:$R,17,FALSE)="牵丝",$D$11,0)+IF(VLOOKUP($E85,武器奇术!$A:$R,17,FALSE)="破竹",$D$13,0)+$D$15-VLOOKUP($F$7,目标属性!$A:$R,6,FALSE)+IF(VLOOKUP($E85,武器奇术!$A:$V,22,FALSE)=1,4,0)+IF(VLOOKUP($E85,武器奇术!$A:$T,20,FALSE)=1,10,0))/200,(IF(VLOOKUP($E85,武器奇术!$A:$R,17,FALSE)="鸣金",$D$7,0)+IF(VLOOKUP($E85,武器奇术!$A:$R,17,FALSE)="裂石",$D$9,0)+IF(VLOOKUP($E85,武器奇术!$A:$R,17,FALSE)="牵丝",$D$11,0)+IF(VLOOKUP($E85,武器奇术!$A:$R,17,FALSE)="破竹",$D$13,0)+$D$15-VLOOKUP($F$7,目标属性!$A:$R,6,FALSE)+IF(VLOOKUP($E85,武器奇术!$A:$V,22,FALSE)=1,4,0)+IF(VLOOKUP($E85,武器奇术!$A:$T,20,FALSE)=1,10,0))/100)</f>
        <v>0.078</v>
      </c>
      <c r="DG85" s="120">
        <f>$E$13+IF(期望!$G$5="燕归",6%,0)</f>
        <v>0.208</v>
      </c>
      <c r="DH85" s="91">
        <v>1</v>
      </c>
      <c r="DI85" s="92">
        <f>DC85*IF(VLOOKUP($E85,武器奇术!$A:$R,17,FALSE)="破竹",VLOOKUP($E85,武器奇术!$A:$R,4,FALSE),VLOOKUP($E85,武器奇术!$A:$R,2,FALSE))*(1+DF85)*(1+DG85)*DH85</f>
        <v>91.78085169792</v>
      </c>
      <c r="DJ85" s="93">
        <f>(1-IF(VLOOKUP($E85,武器奇术!$A:$R,16,FALSE)="陌刀",1,$N85))*(1-$M85)</f>
        <v>0</v>
      </c>
      <c r="DK85" s="92">
        <f>DD85*IF(VLOOKUP($E85,武器奇术!$A:$R,17,FALSE)="破竹",VLOOKUP($E85,武器奇术!$A:$R,4,FALSE),VLOOKUP($E85,武器奇术!$A:$R,2,FALSE))*(1+DF85)*(1+DG85)*DH85*(1+$E$16+VLOOKUP($E85,武器奇术!$A:$R,8,FALSE))</f>
        <v>285.924609170737</v>
      </c>
      <c r="DL85" s="93">
        <f t="shared" si="12"/>
        <v>0.887</v>
      </c>
      <c r="DM85" s="92">
        <f>DE85*IF(VLOOKUP($E85,武器奇术!$A:$R,17,FALSE)="破竹",VLOOKUP($E85,武器奇术!$A:$R,4,FALSE),VLOOKUP($E85,武器奇术!$A:$R,2,FALSE))*(1+DF85)*(1+DG85)*DH85*(1+$E$17+VLOOKUP($E85,武器奇术!$A:$R,10,FALSE))</f>
        <v>236.16881884633</v>
      </c>
      <c r="DN85" s="93">
        <f t="shared" si="13"/>
        <v>0.0986</v>
      </c>
      <c r="DO85" s="92">
        <f>DD85*IF(VLOOKUP($E85,武器奇术!$A:$R,17,FALSE)="破竹",VLOOKUP($E85,武器奇术!$A:$R,4,FALSE),VLOOKUP($E85,武器奇术!$A:$R,2,FALSE))*(1+DF85)*(1+DG85)*DH85</f>
        <v>133.360358755008</v>
      </c>
      <c r="DP85" s="93">
        <f t="shared" si="14"/>
        <v>0.0144</v>
      </c>
      <c r="DQ85" s="101">
        <f t="shared" si="15"/>
        <v>278.821763038764</v>
      </c>
    </row>
    <row r="86" customFormat="1" spans="1:121">
      <c r="A86" s="33"/>
      <c r="B86" t="s">
        <v>149</v>
      </c>
      <c r="C86">
        <v>0.2</v>
      </c>
      <c r="D86" s="33"/>
      <c r="E86" s="105" t="s">
        <v>175</v>
      </c>
      <c r="F86" s="106">
        <v>1</v>
      </c>
      <c r="G86" s="107">
        <f t="shared" ref="G86:G93" si="92">$E$24</f>
        <v>0</v>
      </c>
      <c r="H86" s="92">
        <f>IF(VLOOKUP($E86,武器奇术!$A:$R,18,FALSE)="天工",AE86,(AE86+AT86+BI86+BX86+CM86+DB86+DQ86))*(1+J86)*F86*K86*(1+G86)</f>
        <v>25006.9650401587</v>
      </c>
      <c r="I86" s="93">
        <f t="shared" si="58"/>
        <v>0.00320796146035713</v>
      </c>
      <c r="J86" s="93">
        <f>$F$3+VLOOKUP($E86,武器奇术!$A:$R,12,FALSE)+VLOOKUP($E86,武器奇术!$A:$R,14,FALSE)*$G$3+$P86</f>
        <v>0.843</v>
      </c>
      <c r="K86" s="94">
        <f>VLOOKUP($E86,武器奇术!$A:$R,11,FALSE)</f>
        <v>1</v>
      </c>
      <c r="L86" s="109">
        <f>IF(VLOOKUP($E86,武器奇术!$A:$R,15,FALSE)="天工",0%,IF($C$17+VLOOKUP($E86,武器奇术!$A:$R,7,FALSE)&gt;80%,80%,$C$17+VLOOKUP($E86,武器奇术!$A:$R,7,FALSE))+IF($C$19&gt;20%,20%,$C$19))</f>
        <v>0.887</v>
      </c>
      <c r="M86" s="110">
        <f>IF(VLOOKUP($E86,武器奇术!$A:$R,15,FALSE)="天工",0%,IF($C$18+VLOOKUP($E86,武器奇术!$A:$R,9,FALSE)&gt;40%,40%,$C$18+VLOOKUP($E86,武器奇术!$A:$R,9,FALSE))+IF($C$20&gt;10%,10%,$C$20))</f>
        <v>0.0986</v>
      </c>
      <c r="N86" s="111">
        <f>IF(VLOOKUP($E86,武器奇术!$A:$R,15,FALSE)="天工",100%,MIN($C$16,1))</f>
        <v>1</v>
      </c>
      <c r="O86" s="112" t="str">
        <f>VLOOKUP($E86,武器奇术!$A:$R,16,FALSE)</f>
        <v>双刀</v>
      </c>
      <c r="P86" s="113">
        <f t="shared" si="59"/>
        <v>0.17</v>
      </c>
      <c r="Q86" s="99">
        <f>$B$5*(1+VLOOKUP($E86,武器奇术!$A:$R,5,FALSE)+IF($G$5="飞隼",0.1,0)+IF($G$5="撼天",0.05,0))-$F$9*IF(VLOOKUP($E86,武器奇术!$A:$S,19,FALSE)=1,0.9,1)+IF($I$5="√",160,0)</f>
        <v>2904.2</v>
      </c>
      <c r="R86" s="91">
        <f t="shared" si="60"/>
        <v>2904.2</v>
      </c>
      <c r="S86" s="91">
        <f>MAX($C$5,$B$5)*(1+VLOOKUP($E86,武器奇术!$A:$R,5,FALSE)+IF($G$5="飞隼",0.1,0)+IF($G$5="撼天",0.05,0))-$F$9*IF(VLOOKUP($E86,武器奇术!$A:$S,19,FALSE)=1,0.9,1)+IF($I$5="√",320,0)</f>
        <v>2904.2</v>
      </c>
      <c r="T86" s="93">
        <f>IF(($D$5+VLOOKUP($E86,武器奇术!$A:$R,13,FALSE)+IF($I$3="√",10,0)-VLOOKUP($F$7,目标属性!$A:$R,5,FALSE))&gt;0,($D$5+VLOOKUP($E86,武器奇术!$A:$R,13,FALSE)+IF($I$3="√",10,0)-VLOOKUP($F$7,目标属性!$A:$R,5,FALSE))/200,($D$5+VLOOKUP($E86,武器奇术!$A:$R,13,FALSE)+IF($I$3="√",10,0)-VLOOKUP($F$7,目标属性!$A:$R,5,FALSE))/100)</f>
        <v>0.2675</v>
      </c>
      <c r="U86" s="120">
        <f>$E$5+IF(VLOOKUP($E86,武器奇术!$A:$R,18,FALSE)="鼠鼠",0.24,0)+IF(期望!$G$5="燕归",6/100,0)</f>
        <v>0.06</v>
      </c>
      <c r="V86" s="91">
        <v>1</v>
      </c>
      <c r="W86" s="92">
        <f>Q86*VLOOKUP($E86,武器奇术!$A:$R,2,FALSE)*(1+T86)*(1+U86)*V86</f>
        <v>3868.0690889412</v>
      </c>
      <c r="X86" s="93">
        <f>(1-IF(VLOOKUP($E86,武器奇术!$A:$R,16,FALSE)="陌刀",1,$N86))*(1-$M86)</f>
        <v>0</v>
      </c>
      <c r="Y86" s="92">
        <f>R86*VLOOKUP($E86,武器奇术!$A:$R,2,FALSE)*(1+T86)*(1+U86)*V86*(1+$E$16+VLOOKUP($E86,武器奇术!$A:$R,8,FALSE))</f>
        <v>8293.14012668994</v>
      </c>
      <c r="Z86" s="93">
        <f t="shared" si="61"/>
        <v>0.887</v>
      </c>
      <c r="AA86" s="92">
        <f>S86*VLOOKUP($E86,武器奇术!$A:$R,2,FALSE)*(1+T86)*(1+U86)*V86*(1+$E$17+VLOOKUP($E86,武器奇术!$A:$R,10,FALSE))</f>
        <v>5221.89327007062</v>
      </c>
      <c r="AB86" s="93">
        <f t="shared" si="62"/>
        <v>0.0986</v>
      </c>
      <c r="AC86" s="92">
        <f>R86*VLOOKUP($E86,武器奇术!$A:$R,2,FALSE)*(1+T86)*(1+U86)*V86</f>
        <v>3868.0690889412</v>
      </c>
      <c r="AD86" s="93">
        <f t="shared" si="63"/>
        <v>0.0144</v>
      </c>
      <c r="AE86" s="101">
        <f t="shared" si="64"/>
        <v>7926.59416368369</v>
      </c>
      <c r="AF86" s="102">
        <f>VLOOKUP($E86,武器奇术!$A:$R,3,FALSE)*(1+IF(VLOOKUP($E86,武器奇术!$A:$R,15,FALSE)="武器",$E$15,0))</f>
        <v>357.5</v>
      </c>
      <c r="AG86" s="92">
        <f t="shared" si="65"/>
        <v>357.5</v>
      </c>
      <c r="AH86" s="92">
        <f>VLOOKUP($E86,武器奇术!$A:$R,3,FALSE)*(1+IF(VLOOKUP($E86,武器奇术!$A:$R,15,FALSE)="武器",$E$15,0))</f>
        <v>357.5</v>
      </c>
      <c r="AI86" s="93">
        <f>IF(($D$5+VLOOKUP($E86,武器奇术!$A:$R,13,FALSE)+IF($I$3="√",10,0)-VLOOKUP($F$7,目标属性!$A:$R,5,FALSE))&gt;0,($D$5+VLOOKUP($E86,武器奇术!$A:$R,13,FALSE)+IF($I$3="√",10,0)-VLOOKUP($F$7,目标属性!$A:$R,5,FALSE))/200,($D$5+VLOOKUP($E86,武器奇术!$A:$R,13,FALSE)+IF($I$3="√",10,0)-VLOOKUP($F$7,目标属性!$A:$R,5,FALSE))/100)</f>
        <v>0.2675</v>
      </c>
      <c r="AJ86" s="120">
        <f>$E$5+IF(VLOOKUP($E86,武器奇术!$A:$R,18,FALSE)="鼠鼠",0.24,0)+IF(期望!$G$5="燕归",6/100,0)</f>
        <v>0.06</v>
      </c>
      <c r="AK86" s="91">
        <v>1</v>
      </c>
      <c r="AL86" s="92">
        <f t="shared" si="66"/>
        <v>480.319125</v>
      </c>
      <c r="AM86" s="93">
        <f>(1-IF(VLOOKUP($E86,武器奇术!$A:$R,16,FALSE)="陌刀",1,$N86))*(1-$M86)</f>
        <v>0</v>
      </c>
      <c r="AN86" s="92">
        <f>AG86*(1+AI86)*(1+AJ86)*AK86*(1+$E$16+VLOOKUP($E86,武器奇术!$A:$R,8,FALSE))</f>
        <v>1029.804204</v>
      </c>
      <c r="AO86" s="93">
        <f t="shared" si="1"/>
        <v>0.887</v>
      </c>
      <c r="AP86" s="92">
        <f>AH86*(1+AI86)*(1+AJ86)*AK86*(1+$E$17+VLOOKUP($E86,武器奇术!$A:$R,10,FALSE))</f>
        <v>648.43081875</v>
      </c>
      <c r="AQ86" s="93">
        <f t="shared" si="2"/>
        <v>0.0986</v>
      </c>
      <c r="AR86" s="92">
        <f t="shared" si="67"/>
        <v>480.319125</v>
      </c>
      <c r="AS86" s="93">
        <f t="shared" si="68"/>
        <v>0.0144</v>
      </c>
      <c r="AT86" s="101">
        <f t="shared" si="69"/>
        <v>984.28820307675</v>
      </c>
      <c r="AU86" s="99">
        <f>IF(VLOOKUP($E86,武器奇术!$A:$R,18,FALSE)="极乐",0,$B$7*IF($G$5="撼天",1.05,1)+IF(AND(VLOOKUP($E86,武器奇术!$A:$R,15,FALSE)="武器",VLOOKUP($E86,武器奇术!$A:$R,17,FALSE)="鸣金"),$E$3*(1+$E$15),0))</f>
        <v>0</v>
      </c>
      <c r="AV86" s="91">
        <f t="shared" si="70"/>
        <v>0</v>
      </c>
      <c r="AW86" s="91">
        <f>IF(VLOOKUP($E86,武器奇术!$A:$R,18,FALSE)="极乐",0,MAX($C$7*IF($G$5="撼天",1.05,1)+IF(AND(VLOOKUP($E86,武器奇术!$A:$R,15,FALSE)="武器",VLOOKUP($E86,武器奇术!$A:$R,17,FALSE)="鸣金"),$E$3*(1+$E$15),0),AU86))</f>
        <v>0</v>
      </c>
      <c r="AX86" s="93">
        <f>IF(($D$7+IF(VLOOKUP($E86,武器奇术!$A:$R,17,FALSE)="鸣金",$D$15,0)-VLOOKUP($F$7,目标属性!$A:$R,6,FALSE))&gt;0,($D$7+IF(VLOOKUP($E86,武器奇术!$A:$R,17,FALSE)="鸣金",$D$15,0)-VLOOKUP($F$7,目标属性!$A:$R,6,FALSE))/200,($D$7+IF(VLOOKUP($E86,武器奇术!$A:$R,17,FALSE)="鸣金",$D$15,0)-VLOOKUP($F$7,目标属性!$A:$R,6,FALSE))/100)</f>
        <v>-0.24</v>
      </c>
      <c r="AY86" s="100">
        <f t="shared" si="89"/>
        <v>0</v>
      </c>
      <c r="AZ86" s="91">
        <v>1</v>
      </c>
      <c r="BA86" s="92">
        <f>AU86*IF(VLOOKUP($E86,武器奇术!$A:$R,17,FALSE)="鸣金",VLOOKUP($E86,武器奇术!$A:$R,4,FALSE),VLOOKUP($E86,武器奇术!$A:$R,2,FALSE))*(1+AX86)*(1+AY86)*AZ86</f>
        <v>0</v>
      </c>
      <c r="BB86" s="93">
        <f>(1-IF(VLOOKUP($E86,武器奇术!$A:$R,16,FALSE)="陌刀",1,$N86))*(1-$M86)</f>
        <v>0</v>
      </c>
      <c r="BC86" s="92">
        <f>AV86*IF(VLOOKUP($E86,武器奇术!$A:$R,17,FALSE)="鸣金",VLOOKUP($E86,武器奇术!$A:$R,4,FALSE),VLOOKUP($E86,武器奇术!$A:$R,2,FALSE))*(1+AX86)*(1+AY86)*AZ86*(1+$E$16+VLOOKUP($E86,武器奇术!$A:$R,8,FALSE))</f>
        <v>0</v>
      </c>
      <c r="BD86" s="93">
        <f t="shared" si="3"/>
        <v>0.887</v>
      </c>
      <c r="BE86" s="92">
        <f>AW86*IF(VLOOKUP($E86,武器奇术!$A:$R,17,FALSE)="鸣金",VLOOKUP($E86,武器奇术!$A:$R,4,FALSE),VLOOKUP($E86,武器奇术!$A:$R,2,FALSE))*(1+AX86)*(1+AY86)*AZ86*(1+$E$17+VLOOKUP($E86,武器奇术!$A:$R,10,FALSE))</f>
        <v>0</v>
      </c>
      <c r="BF86" s="93">
        <f t="shared" si="4"/>
        <v>0.0986</v>
      </c>
      <c r="BG86" s="92">
        <f>AV86*IF(VLOOKUP($E86,武器奇术!$A:$R,17,FALSE)="鸣金",VLOOKUP($E86,武器奇术!$A:$R,4,FALSE),VLOOKUP($E86,武器奇术!$A:$R,2,FALSE))*(1+AX86)*(1+AY86)*AZ86</f>
        <v>0</v>
      </c>
      <c r="BH86" s="93">
        <f t="shared" si="71"/>
        <v>0.0144</v>
      </c>
      <c r="BI86" s="101">
        <f t="shared" si="72"/>
        <v>0</v>
      </c>
      <c r="BJ86" s="99">
        <f>IF(VLOOKUP($E86,武器奇术!$A:$R,18,FALSE)="极乐",0,$B$9*IF($G$5="撼天",1.05,1)+IF(AND(VLOOKUP($E86,武器奇术!$A:$R,15,FALSE)="武器",VLOOKUP($E86,武器奇术!$A:$R,17,FALSE)="裂石"),$E$3*(1+$E$15),0))</f>
        <v>0</v>
      </c>
      <c r="BK86" s="91">
        <f t="shared" si="73"/>
        <v>0</v>
      </c>
      <c r="BL86" s="91">
        <f>IF(VLOOKUP($E86,武器奇术!$A:$R,18,FALSE)="极乐",0,MAX($C$9*IF($G$5="撼天",1.05,1)+IF(AND(VLOOKUP($E86,武器奇术!$A:$R,15,FALSE)="武器",VLOOKUP($E86,武器奇术!$A:$R,17,FALSE)="裂石"),$E$3*(1+$E$15),0),BJ86))</f>
        <v>0</v>
      </c>
      <c r="BM86" s="93">
        <f>IF(($D$9+IF(VLOOKUP($E86,武器奇术!$A:$R,17,FALSE)="裂石",$D$15,0)-VLOOKUP($F$7,目标属性!$A:$R,6,FALSE))&gt;0,($D$9+IF(VLOOKUP($E86,武器奇术!$A:$R,17,FALSE)="裂石",$D$15,0)-VLOOKUP($F$7,目标属性!$A:$R,6,FALSE))/200,($D$9+IF(VLOOKUP($E86,武器奇术!$A:$R,17,FALSE)="裂石",$D$15,0)-VLOOKUP($F$7,目标属性!$A:$R,6,FALSE))/100)</f>
        <v>-0.24</v>
      </c>
      <c r="BN86" s="100">
        <f t="shared" si="90"/>
        <v>0</v>
      </c>
      <c r="BO86" s="91">
        <v>1</v>
      </c>
      <c r="BP86" s="92">
        <f>BJ86*IF(VLOOKUP($E86,武器奇术!$A:$R,17,FALSE)="裂石",VLOOKUP($E86,武器奇术!$A:$R,4,FALSE),VLOOKUP($E86,武器奇术!$A:$R,2,FALSE))*(1+BM86)*(1+BN86)*BO86</f>
        <v>0</v>
      </c>
      <c r="BQ86" s="93">
        <f>(1-IF(VLOOKUP($E86,武器奇术!$A:$R,16,FALSE)="陌刀",1,$N86))*(1-$M86)</f>
        <v>0</v>
      </c>
      <c r="BR86" s="92">
        <f>BK86*IF(VLOOKUP($E86,武器奇术!$A:$R,17,FALSE)="裂石",VLOOKUP($E86,武器奇术!$A:$R,4,FALSE),VLOOKUP($E86,武器奇术!$A:$R,2,FALSE))*(1+BM86)*(1+BN86)*BO86*(1+$E$16+VLOOKUP($E86,武器奇术!$A:$R,8,FALSE))</f>
        <v>0</v>
      </c>
      <c r="BS86" s="93">
        <f t="shared" si="5"/>
        <v>0.887</v>
      </c>
      <c r="BT86" s="92">
        <f>BL86*IF(VLOOKUP($E86,武器奇术!$A:$R,17,FALSE)="裂石",VLOOKUP($E86,武器奇术!$A:$R,4,FALSE),VLOOKUP($E86,武器奇术!$A:$R,2,FALSE))*(1+BM86)*(1+BN86)*BO86*(1+$E$17+VLOOKUP($E86,武器奇术!$A:$R,10,FALSE))</f>
        <v>0</v>
      </c>
      <c r="BU86" s="93">
        <f t="shared" si="6"/>
        <v>0.0986</v>
      </c>
      <c r="BV86" s="92">
        <f>BK86*IF(VLOOKUP($E86,武器奇术!$A:$R,17,FALSE)="裂石",VLOOKUP($E86,武器奇术!$A:$R,4,FALSE),VLOOKUP($E86,武器奇术!$A:$R,2,FALSE))*(1+BM86)*(1+BN86)*BO86</f>
        <v>0</v>
      </c>
      <c r="BW86" s="93">
        <f t="shared" si="74"/>
        <v>0.0144</v>
      </c>
      <c r="BX86" s="101">
        <f t="shared" si="75"/>
        <v>0</v>
      </c>
      <c r="BY86" s="99">
        <f>IF(VLOOKUP($E86,武器奇术!$A:$R,18,FALSE)="极乐",0,$B$11*IF($G$5="撼天",1.05,1)+IF(AND(VLOOKUP($E86,武器奇术!$A:$R,15,FALSE)="武器",VLOOKUP($E86,武器奇术!$A:$R,17,FALSE)="牵丝"),$E$3*(1+$E$15),0))</f>
        <v>0</v>
      </c>
      <c r="BZ86" s="91">
        <f t="shared" si="76"/>
        <v>0</v>
      </c>
      <c r="CA86" s="91">
        <f>IF(VLOOKUP($E86,武器奇术!$A:$R,18,FALSE)="极乐",0,MAX($C$11*IF($G$5="撼天",1.05,1)+IF(AND(VLOOKUP($E86,武器奇术!$A:$R,15,FALSE)="武器",VLOOKUP($E86,武器奇术!$A:$R,17,FALSE)="牵丝"),$E$3*(1+$E$15),0),BY86))</f>
        <v>0</v>
      </c>
      <c r="CB86" s="93">
        <f>IF(($D$11+IF(VLOOKUP($E86,武器奇术!$A:$R,17,FALSE)="牵丝",$D$15,0)-VLOOKUP($F$7,目标属性!$A:$R,6,FALSE))&gt;0,($D$11+IF(VLOOKUP($E86,武器奇术!$A:$R,17,FALSE)="牵丝",$D$15,0)-VLOOKUP($F$7,目标属性!$A:$R,6,FALSE))/200,($D$11+IF(VLOOKUP($E86,武器奇术!$A:$R,17,FALSE)="牵丝",$D$15,0)-VLOOKUP($F$7,目标属性!$A:$R,6,FALSE))/100)</f>
        <v>-0.24</v>
      </c>
      <c r="CC86" s="100">
        <f t="shared" si="91"/>
        <v>0</v>
      </c>
      <c r="CD86" s="91">
        <v>1</v>
      </c>
      <c r="CE86" s="92">
        <f>BY86*IF(VLOOKUP($E86,武器奇术!$A:$R,17,FALSE)="牵丝",VLOOKUP($E86,武器奇术!$A:$R,4,FALSE),VLOOKUP($E86,武器奇术!$A:$R,2,FALSE))*(1+CB86)*(1+CC86)*CD86</f>
        <v>0</v>
      </c>
      <c r="CF86" s="93">
        <f>(1-IF(VLOOKUP($E86,武器奇术!$A:$R,16,FALSE)="陌刀",1,$N86))*(1-$M86)</f>
        <v>0</v>
      </c>
      <c r="CG86" s="92">
        <f>BZ86*IF(VLOOKUP($E86,武器奇术!$A:$R,17,FALSE)="牵丝",VLOOKUP($E86,武器奇术!$A:$R,4,FALSE),VLOOKUP($E86,武器奇术!$A:$R,2,FALSE))*(1+CB86)*(1+CC86)*CD86*(1+$E$16+VLOOKUP($E86,武器奇术!$A:$R,8,FALSE))</f>
        <v>0</v>
      </c>
      <c r="CH86" s="93">
        <f t="shared" si="7"/>
        <v>0.887</v>
      </c>
      <c r="CI86" s="92">
        <f>CA86*IF(VLOOKUP($E86,武器奇术!$A:$R,17,FALSE)="牵丝",VLOOKUP($E86,武器奇术!$A:$R,4,FALSE),VLOOKUP($E86,武器奇术!$A:$R,2,FALSE))*(1+CB86)*(1+CC86)*CD86*(1+$E$17+VLOOKUP($E86,武器奇术!$A:$R,10,FALSE))</f>
        <v>0</v>
      </c>
      <c r="CJ86" s="93">
        <f t="shared" si="8"/>
        <v>0.0986</v>
      </c>
      <c r="CK86" s="92">
        <f>BZ86*IF(VLOOKUP($E86,武器奇术!$A:$R,17,FALSE)="牵丝",VLOOKUP($E86,武器奇术!$A:$R,4,FALSE),VLOOKUP($E86,武器奇术!$A:$R,2,FALSE))*(1+CB86)*(1+CC86)*CD86</f>
        <v>0</v>
      </c>
      <c r="CL86" s="93">
        <f t="shared" si="77"/>
        <v>0.0144</v>
      </c>
      <c r="CM86" s="101">
        <f t="shared" si="78"/>
        <v>0</v>
      </c>
      <c r="CN86" s="99">
        <f>IF(VLOOKUP($E86,武器奇术!$A:$R,18,FALSE)="极乐",0,$B$13*IF($G$5="撼天",1.05,1)+IF(AND(VLOOKUP($E86,武器奇术!$A:$R,15,FALSE)="武器",VLOOKUP($E86,武器奇术!$A:$R,17,FALSE)="破竹"),$E$3*(1+$E$15),0))</f>
        <v>686.71</v>
      </c>
      <c r="CO86" s="91">
        <f t="shared" si="79"/>
        <v>1052.21</v>
      </c>
      <c r="CP86" s="91">
        <f>IF(VLOOKUP($E86,武器奇术!$A:$R,18,FALSE)="极乐",0,MAX($C$13*IF($G$5="撼天",1.05,1)+IF(AND(VLOOKUP($E86,武器奇术!$A:$R,15,FALSE)="武器",VLOOKUP($E86,武器奇术!$A:$R,17,FALSE)="破竹"),$E$3*(1+$E$15),0),CN86))</f>
        <v>1417.71</v>
      </c>
      <c r="CQ86" s="93">
        <f>IF(($D$13+IF(VLOOKUP($E86,武器奇术!$A:$R,17,FALSE)="破竹",$D$15,0)-VLOOKUP($F$7,目标属性!$A:$R,6,FALSE)+IF(VLOOKUP($E86,武器奇术!$A:$V,22,FALSE)=1,4,0)+IF(VLOOKUP($E86,武器奇术!$A:$T,20,FALSE)=1,10,0))&gt;0,($D$13+IF(VLOOKUP($E86,武器奇术!$A:$R,17,FALSE)="破竹",$D$15,0)-VLOOKUP($F$7,目标属性!$A:$R,6,FALSE)+IF(VLOOKUP($E86,武器奇术!$A:$V,22,FALSE)=1,4,0)+IF(VLOOKUP($E86,武器奇术!$A:$T,20,FALSE)=1,10,0))/200,($D$13+IF(VLOOKUP($E86,武器奇术!$A:$R,17,FALSE)="破竹",$D$15,0)-VLOOKUP($F$7,目标属性!$A:$R,6,FALSE)+IF(VLOOKUP($E86,武器奇术!$A:$V,22,FALSE)=1,4,0)+IF(VLOOKUP($E86,武器奇术!$A:$T,20,FALSE)=1,10,0))/100)</f>
        <v>0.078</v>
      </c>
      <c r="CR86" s="120">
        <f>$E$13+IF(期望!$G$5="燕归",6%,0)</f>
        <v>0.208</v>
      </c>
      <c r="CS86" s="91">
        <v>1</v>
      </c>
      <c r="CT86" s="92">
        <f>CN86*IF(VLOOKUP($E86,武器奇术!$A:$R,17,FALSE)="破竹",VLOOKUP($E86,武器奇术!$A:$R,4,FALSE),VLOOKUP($E86,武器奇术!$A:$R,2,FALSE))*(1+CQ86)*(1+CR86)*CS86</f>
        <v>1329.73222639562</v>
      </c>
      <c r="CU86" s="93">
        <f>(1-IF(VLOOKUP($E86,武器奇术!$A:$R,16,FALSE)="陌刀",1,$N86))*(1-$M86)</f>
        <v>0</v>
      </c>
      <c r="CV86" s="92">
        <f>CO86*IF(VLOOKUP($E86,武器奇术!$A:$R,17,FALSE)="破竹",VLOOKUP($E86,武器奇术!$A:$R,4,FALSE),VLOOKUP($E86,武器奇术!$A:$R,2,FALSE))*(1+CQ86)*(1+CR86)*CS86*(1+$E$16+VLOOKUP($E86,武器奇术!$A:$R,8,FALSE))</f>
        <v>4368.35604328787</v>
      </c>
      <c r="CW86" s="93">
        <f t="shared" si="9"/>
        <v>0.887</v>
      </c>
      <c r="CX86" s="92">
        <f>CP86*IF(VLOOKUP($E86,武器奇术!$A:$R,17,FALSE)="破竹",VLOOKUP($E86,武器奇术!$A:$R,4,FALSE),VLOOKUP($E86,武器奇术!$A:$R,2,FALSE))*(1+CQ86)*(1+CR86)*CS86*(1+$E$17+VLOOKUP($E86,武器奇术!$A:$R,10,FALSE))</f>
        <v>3706.0561384318</v>
      </c>
      <c r="CY86" s="93">
        <f t="shared" si="10"/>
        <v>0.0986</v>
      </c>
      <c r="CZ86" s="92">
        <f>CO86*IF(VLOOKUP($E86,武器奇术!$A:$R,17,FALSE)="破竹",VLOOKUP($E86,武器奇术!$A:$R,4,FALSE),VLOOKUP($E86,武器奇术!$A:$R,2,FALSE))*(1+CQ86)*(1+CR86)*CS86</f>
        <v>2037.47949780218</v>
      </c>
      <c r="DA86" s="93">
        <f t="shared" si="80"/>
        <v>0.0144</v>
      </c>
      <c r="DB86" s="101">
        <f t="shared" si="81"/>
        <v>4269.48865041407</v>
      </c>
      <c r="DC86" s="99">
        <f>IF(VLOOKUP($E86,武器奇术!$A:$R,18,FALSE)="极乐",0,$B$15)</f>
        <v>66</v>
      </c>
      <c r="DD86" s="91">
        <f t="shared" si="82"/>
        <v>95.9</v>
      </c>
      <c r="DE86" s="91">
        <f>IF(VLOOKUP($E86,武器奇术!$A:$R,18,FALSE)="极乐",0,$C$15)</f>
        <v>125.8</v>
      </c>
      <c r="DF86" s="93">
        <f>IF((IF(VLOOKUP($E86,武器奇术!$A:$R,17,FALSE)="鸣金",$D$7,0)+IF(VLOOKUP($E86,武器奇术!$A:$R,17,FALSE)="裂石",$D$9,0)+IF(VLOOKUP($E86,武器奇术!$A:$R,17,FALSE)="牵丝",$D$11,0)+IF(VLOOKUP($E86,武器奇术!$A:$R,17,FALSE)="破竹",$D$13,0)+$D$15-VLOOKUP($F$7,目标属性!$A:$R,6,FALSE)+IF(VLOOKUP($E86,武器奇术!$A:$V,22,FALSE)=1,4,0)+IF(VLOOKUP($E86,武器奇术!$A:$T,20,FALSE)=1,10,0))&gt;0,(IF(VLOOKUP($E86,武器奇术!$A:$R,17,FALSE)="鸣金",$D$7,0)+IF(VLOOKUP($E86,武器奇术!$A:$R,17,FALSE)="裂石",$D$9,0)+IF(VLOOKUP($E86,武器奇术!$A:$R,17,FALSE)="牵丝",$D$11,0)+IF(VLOOKUP($E86,武器奇术!$A:$R,17,FALSE)="破竹",$D$13,0)+$D$15-VLOOKUP($F$7,目标属性!$A:$R,6,FALSE)+IF(VLOOKUP($E86,武器奇术!$A:$V,22,FALSE)=1,4,0)+IF(VLOOKUP($E86,武器奇术!$A:$T,20,FALSE)=1,10,0))/200,(IF(VLOOKUP($E86,武器奇术!$A:$R,17,FALSE)="鸣金",$D$7,0)+IF(VLOOKUP($E86,武器奇术!$A:$R,17,FALSE)="裂石",$D$9,0)+IF(VLOOKUP($E86,武器奇术!$A:$R,17,FALSE)="牵丝",$D$11,0)+IF(VLOOKUP($E86,武器奇术!$A:$R,17,FALSE)="破竹",$D$13,0)+$D$15-VLOOKUP($F$7,目标属性!$A:$R,6,FALSE)+IF(VLOOKUP($E86,武器奇术!$A:$V,22,FALSE)=1,4,0)+IF(VLOOKUP($E86,武器奇术!$A:$T,20,FALSE)=1,10,0))/100)</f>
        <v>0.078</v>
      </c>
      <c r="DG86" s="120">
        <f>$E$13+IF(期望!$G$5="燕归",6%,0)</f>
        <v>0.208</v>
      </c>
      <c r="DH86" s="91">
        <v>1</v>
      </c>
      <c r="DI86" s="92">
        <f>DC86*IF(VLOOKUP($E86,武器奇术!$A:$R,17,FALSE)="破竹",VLOOKUP($E86,武器奇术!$A:$R,4,FALSE),VLOOKUP($E86,武器奇术!$A:$R,2,FALSE))*(1+DF86)*(1+DG86)*DH86</f>
        <v>127.80114887232</v>
      </c>
      <c r="DJ86" s="93">
        <f>(1-IF(VLOOKUP($E86,武器奇术!$A:$R,16,FALSE)="陌刀",1,$N86))*(1-$M86)</f>
        <v>0</v>
      </c>
      <c r="DK86" s="92">
        <f>DD86*IF(VLOOKUP($E86,武器奇术!$A:$R,17,FALSE)="破竹",VLOOKUP($E86,武器奇术!$A:$R,4,FALSE),VLOOKUP($E86,武器奇术!$A:$R,2,FALSE))*(1+DF86)*(1+DG86)*DH86*(1+$E$16+VLOOKUP($E86,武器奇术!$A:$R,8,FALSE))</f>
        <v>398.13853180573</v>
      </c>
      <c r="DL86" s="93">
        <f t="shared" si="12"/>
        <v>0.887</v>
      </c>
      <c r="DM86" s="92">
        <f>DE86*IF(VLOOKUP($E86,武器奇术!$A:$R,17,FALSE)="破竹",VLOOKUP($E86,武器奇术!$A:$R,4,FALSE),VLOOKUP($E86,武器奇术!$A:$R,2,FALSE))*(1+DF86)*(1+DG86)*DH86*(1+$E$17+VLOOKUP($E86,武器奇术!$A:$R,10,FALSE))</f>
        <v>328.855592621002</v>
      </c>
      <c r="DN86" s="93">
        <f t="shared" si="13"/>
        <v>0.0986</v>
      </c>
      <c r="DO86" s="92">
        <f>DD86*IF(VLOOKUP($E86,武器奇术!$A:$R,17,FALSE)="破竹",VLOOKUP($E86,武器奇术!$A:$R,4,FALSE),VLOOKUP($E86,武器奇术!$A:$R,2,FALSE))*(1+DF86)*(1+DG86)*DH86</f>
        <v>185.698942073568</v>
      </c>
      <c r="DP86" s="93">
        <f t="shared" si="14"/>
        <v>0.0144</v>
      </c>
      <c r="DQ86" s="101">
        <f t="shared" si="15"/>
        <v>388.248103909973</v>
      </c>
    </row>
    <row r="87" customFormat="1" spans="1:121">
      <c r="A87" s="33"/>
      <c r="B87" t="s">
        <v>151</v>
      </c>
      <c r="C87">
        <v>0.2</v>
      </c>
      <c r="D87" s="33"/>
      <c r="E87" s="105" t="s">
        <v>176</v>
      </c>
      <c r="F87" s="106">
        <v>1</v>
      </c>
      <c r="G87" s="107">
        <f t="shared" si="92"/>
        <v>0</v>
      </c>
      <c r="H87" s="92">
        <f>IF(VLOOKUP($E87,武器奇术!$A:$R,18,FALSE)="天工",AE87,(AE87+AT87+BI87+BX87+CM87+DB87+DQ87))*(1+J87)*F87*K87*(1+G87)</f>
        <v>40110.8511918713</v>
      </c>
      <c r="I87" s="93">
        <f t="shared" si="58"/>
        <v>0.00514552903797023</v>
      </c>
      <c r="J87" s="93">
        <f>$F$3+VLOOKUP($E87,武器奇术!$A:$R,12,FALSE)+VLOOKUP($E87,武器奇术!$A:$R,14,FALSE)*$G$3+$P87</f>
        <v>0.843</v>
      </c>
      <c r="K87" s="94">
        <f>VLOOKUP($E87,武器奇术!$A:$R,11,FALSE)</f>
        <v>1</v>
      </c>
      <c r="L87" s="109">
        <f>IF(VLOOKUP($E87,武器奇术!$A:$R,15,FALSE)="天工",0%,IF($C$17+VLOOKUP($E87,武器奇术!$A:$R,7,FALSE)&gt;80%,80%,$C$17+VLOOKUP($E87,武器奇术!$A:$R,7,FALSE))+IF($C$19&gt;20%,20%,$C$19))</f>
        <v>0.887</v>
      </c>
      <c r="M87" s="110">
        <f>IF(VLOOKUP($E87,武器奇术!$A:$R,15,FALSE)="天工",0%,IF($C$18+VLOOKUP($E87,武器奇术!$A:$R,9,FALSE)&gt;40%,40%,$C$18+VLOOKUP($E87,武器奇术!$A:$R,9,FALSE))+IF($C$20&gt;10%,10%,$C$20))</f>
        <v>0.0986</v>
      </c>
      <c r="N87" s="111">
        <f>IF(VLOOKUP($E87,武器奇术!$A:$R,15,FALSE)="天工",100%,MIN($C$16,1))</f>
        <v>1</v>
      </c>
      <c r="O87" s="112" t="str">
        <f>VLOOKUP($E87,武器奇术!$A:$R,16,FALSE)</f>
        <v>双刀</v>
      </c>
      <c r="P87" s="113">
        <f t="shared" si="59"/>
        <v>0.17</v>
      </c>
      <c r="Q87" s="99">
        <f>$B$5*(1+VLOOKUP($E87,武器奇术!$A:$R,5,FALSE)+IF($G$5="飞隼",0.1,0)+IF($G$5="撼天",0.05,0))-$F$9*IF(VLOOKUP($E87,武器奇术!$A:$S,19,FALSE)=1,0.9,1)+IF($I$5="√",160,0)</f>
        <v>2904.2</v>
      </c>
      <c r="R87" s="91">
        <f t="shared" si="60"/>
        <v>2904.2</v>
      </c>
      <c r="S87" s="91">
        <f>MAX($C$5,$B$5)*(1+VLOOKUP($E87,武器奇术!$A:$R,5,FALSE)+IF($G$5="飞隼",0.1,0)+IF($G$5="撼天",0.05,0))-$F$9*IF(VLOOKUP($E87,武器奇术!$A:$S,19,FALSE)=1,0.9,1)+IF($I$5="√",320,0)</f>
        <v>2904.2</v>
      </c>
      <c r="T87" s="93">
        <f>IF(($D$5+VLOOKUP($E87,武器奇术!$A:$R,13,FALSE)+IF($I$3="√",10,0)-VLOOKUP($F$7,目标属性!$A:$R,5,FALSE))&gt;0,($D$5+VLOOKUP($E87,武器奇术!$A:$R,13,FALSE)+IF($I$3="√",10,0)-VLOOKUP($F$7,目标属性!$A:$R,5,FALSE))/200,($D$5+VLOOKUP($E87,武器奇术!$A:$R,13,FALSE)+IF($I$3="√",10,0)-VLOOKUP($F$7,目标属性!$A:$R,5,FALSE))/100)</f>
        <v>0.2675</v>
      </c>
      <c r="U87" s="120">
        <f>$E$5+IF(VLOOKUP($E87,武器奇术!$A:$R,18,FALSE)="鼠鼠",0.24,0)+IF(期望!$G$5="燕归",6/100,0)</f>
        <v>0.06</v>
      </c>
      <c r="V87" s="91">
        <v>1</v>
      </c>
      <c r="W87" s="92">
        <f>Q87*VLOOKUP($E87,武器奇术!$A:$R,2,FALSE)*(1+T87)*(1+U87)*V87</f>
        <v>6204.2763737955</v>
      </c>
      <c r="X87" s="93">
        <f>(1-IF(VLOOKUP($E87,武器奇术!$A:$R,16,FALSE)="陌刀",1,$N87))*(1-$M87)</f>
        <v>0</v>
      </c>
      <c r="Y87" s="92">
        <f>R87*VLOOKUP($E87,武器奇术!$A:$R,2,FALSE)*(1+T87)*(1+U87)*V87*(1+$E$16+VLOOKUP($E87,武器奇术!$A:$R,8,FALSE))</f>
        <v>13301.9685454176</v>
      </c>
      <c r="Z87" s="93">
        <f t="shared" si="61"/>
        <v>0.887</v>
      </c>
      <c r="AA87" s="92">
        <f>S87*VLOOKUP($E87,武器奇术!$A:$R,2,FALSE)*(1+T87)*(1+U87)*V87*(1+$E$17+VLOOKUP($E87,武器奇术!$A:$R,10,FALSE))</f>
        <v>8375.77310462393</v>
      </c>
      <c r="AB87" s="93">
        <f t="shared" si="62"/>
        <v>0.0986</v>
      </c>
      <c r="AC87" s="92">
        <f>R87*VLOOKUP($E87,武器奇术!$A:$R,2,FALSE)*(1+T87)*(1+U87)*V87</f>
        <v>6204.2763737955</v>
      </c>
      <c r="AD87" s="93">
        <f t="shared" si="63"/>
        <v>0.0144</v>
      </c>
      <c r="AE87" s="101">
        <f t="shared" si="64"/>
        <v>12714.038907684</v>
      </c>
      <c r="AF87" s="102">
        <f>VLOOKUP($E87,武器奇术!$A:$R,3,FALSE)*(1+IF(VLOOKUP($E87,武器奇术!$A:$R,15,FALSE)="武器",$E$15,0))</f>
        <v>573.43</v>
      </c>
      <c r="AG87" s="92">
        <f t="shared" si="65"/>
        <v>573.43</v>
      </c>
      <c r="AH87" s="92">
        <f>VLOOKUP($E87,武器奇术!$A:$R,3,FALSE)*(1+IF(VLOOKUP($E87,武器奇术!$A:$R,15,FALSE)="武器",$E$15,0))</f>
        <v>573.43</v>
      </c>
      <c r="AI87" s="93">
        <f>IF(($D$5+VLOOKUP($E87,武器奇术!$A:$R,13,FALSE)+IF($I$3="√",10,0)-VLOOKUP($F$7,目标属性!$A:$R,5,FALSE))&gt;0,($D$5+VLOOKUP($E87,武器奇术!$A:$R,13,FALSE)+IF($I$3="√",10,0)-VLOOKUP($F$7,目标属性!$A:$R,5,FALSE))/200,($D$5+VLOOKUP($E87,武器奇术!$A:$R,13,FALSE)+IF($I$3="√",10,0)-VLOOKUP($F$7,目标属性!$A:$R,5,FALSE))/100)</f>
        <v>0.2675</v>
      </c>
      <c r="AJ87" s="120">
        <f>$E$5+IF(VLOOKUP($E87,武器奇术!$A:$R,18,FALSE)="鼠鼠",0.24,0)+IF(期望!$G$5="燕归",6/100,0)</f>
        <v>0.06</v>
      </c>
      <c r="AK87" s="91">
        <v>1</v>
      </c>
      <c r="AL87" s="92">
        <f t="shared" si="66"/>
        <v>770.4318765</v>
      </c>
      <c r="AM87" s="93">
        <f>(1-IF(VLOOKUP($E87,武器奇术!$A:$R,16,FALSE)="陌刀",1,$N87))*(1-$M87)</f>
        <v>0</v>
      </c>
      <c r="AN87" s="92">
        <f>AG87*(1+AI87)*(1+AJ87)*AK87*(1+$E$16+VLOOKUP($E87,武器奇术!$A:$R,8,FALSE))</f>
        <v>1651.805943216</v>
      </c>
      <c r="AO87" s="93">
        <f t="shared" si="1"/>
        <v>0.887</v>
      </c>
      <c r="AP87" s="92">
        <f>AH87*(1+AI87)*(1+AJ87)*AK87*(1+$E$17+VLOOKUP($E87,武器奇术!$A:$R,10,FALSE))</f>
        <v>1040.083033275</v>
      </c>
      <c r="AQ87" s="93">
        <f t="shared" si="2"/>
        <v>0.0986</v>
      </c>
      <c r="AR87" s="92">
        <f t="shared" si="67"/>
        <v>770.4318765</v>
      </c>
      <c r="AS87" s="93">
        <f t="shared" si="68"/>
        <v>0.0144</v>
      </c>
      <c r="AT87" s="101">
        <f t="shared" si="69"/>
        <v>1578.79827773511</v>
      </c>
      <c r="AU87" s="99">
        <f>IF(VLOOKUP($E87,武器奇术!$A:$R,18,FALSE)="极乐",0,$B$7*IF($G$5="撼天",1.05,1)+IF(AND(VLOOKUP($E87,武器奇术!$A:$R,15,FALSE)="武器",VLOOKUP($E87,武器奇术!$A:$R,17,FALSE)="鸣金"),$E$3*(1+$E$15),0))</f>
        <v>0</v>
      </c>
      <c r="AV87" s="91">
        <f t="shared" si="70"/>
        <v>0</v>
      </c>
      <c r="AW87" s="91">
        <f>IF(VLOOKUP($E87,武器奇术!$A:$R,18,FALSE)="极乐",0,MAX($C$7*IF($G$5="撼天",1.05,1)+IF(AND(VLOOKUP($E87,武器奇术!$A:$R,15,FALSE)="武器",VLOOKUP($E87,武器奇术!$A:$R,17,FALSE)="鸣金"),$E$3*(1+$E$15),0),AU87))</f>
        <v>0</v>
      </c>
      <c r="AX87" s="93">
        <f>IF(($D$7+IF(VLOOKUP($E87,武器奇术!$A:$R,17,FALSE)="鸣金",$D$15,0)-VLOOKUP($F$7,目标属性!$A:$R,6,FALSE))&gt;0,($D$7+IF(VLOOKUP($E87,武器奇术!$A:$R,17,FALSE)="鸣金",$D$15,0)-VLOOKUP($F$7,目标属性!$A:$R,6,FALSE))/200,($D$7+IF(VLOOKUP($E87,武器奇术!$A:$R,17,FALSE)="鸣金",$D$15,0)-VLOOKUP($F$7,目标属性!$A:$R,6,FALSE))/100)</f>
        <v>-0.24</v>
      </c>
      <c r="AY87" s="100">
        <f t="shared" si="89"/>
        <v>0</v>
      </c>
      <c r="AZ87" s="91">
        <v>1</v>
      </c>
      <c r="BA87" s="92">
        <f>AU87*IF(VLOOKUP($E87,武器奇术!$A:$R,17,FALSE)="鸣金",VLOOKUP($E87,武器奇术!$A:$R,4,FALSE),VLOOKUP($E87,武器奇术!$A:$R,2,FALSE))*(1+AX87)*(1+AY87)*AZ87</f>
        <v>0</v>
      </c>
      <c r="BB87" s="93">
        <f>(1-IF(VLOOKUP($E87,武器奇术!$A:$R,16,FALSE)="陌刀",1,$N87))*(1-$M87)</f>
        <v>0</v>
      </c>
      <c r="BC87" s="92">
        <f>AV87*IF(VLOOKUP($E87,武器奇术!$A:$R,17,FALSE)="鸣金",VLOOKUP($E87,武器奇术!$A:$R,4,FALSE),VLOOKUP($E87,武器奇术!$A:$R,2,FALSE))*(1+AX87)*(1+AY87)*AZ87*(1+$E$16+VLOOKUP($E87,武器奇术!$A:$R,8,FALSE))</f>
        <v>0</v>
      </c>
      <c r="BD87" s="93">
        <f t="shared" si="3"/>
        <v>0.887</v>
      </c>
      <c r="BE87" s="92">
        <f>AW87*IF(VLOOKUP($E87,武器奇术!$A:$R,17,FALSE)="鸣金",VLOOKUP($E87,武器奇术!$A:$R,4,FALSE),VLOOKUP($E87,武器奇术!$A:$R,2,FALSE))*(1+AX87)*(1+AY87)*AZ87*(1+$E$17+VLOOKUP($E87,武器奇术!$A:$R,10,FALSE))</f>
        <v>0</v>
      </c>
      <c r="BF87" s="93">
        <f t="shared" si="4"/>
        <v>0.0986</v>
      </c>
      <c r="BG87" s="92">
        <f>AV87*IF(VLOOKUP($E87,武器奇术!$A:$R,17,FALSE)="鸣金",VLOOKUP($E87,武器奇术!$A:$R,4,FALSE),VLOOKUP($E87,武器奇术!$A:$R,2,FALSE))*(1+AX87)*(1+AY87)*AZ87</f>
        <v>0</v>
      </c>
      <c r="BH87" s="93">
        <f t="shared" si="71"/>
        <v>0.0144</v>
      </c>
      <c r="BI87" s="101">
        <f t="shared" si="72"/>
        <v>0</v>
      </c>
      <c r="BJ87" s="99">
        <f>IF(VLOOKUP($E87,武器奇术!$A:$R,18,FALSE)="极乐",0,$B$9*IF($G$5="撼天",1.05,1)+IF(AND(VLOOKUP($E87,武器奇术!$A:$R,15,FALSE)="武器",VLOOKUP($E87,武器奇术!$A:$R,17,FALSE)="裂石"),$E$3*(1+$E$15),0))</f>
        <v>0</v>
      </c>
      <c r="BK87" s="91">
        <f t="shared" si="73"/>
        <v>0</v>
      </c>
      <c r="BL87" s="91">
        <f>IF(VLOOKUP($E87,武器奇术!$A:$R,18,FALSE)="极乐",0,MAX($C$9*IF($G$5="撼天",1.05,1)+IF(AND(VLOOKUP($E87,武器奇术!$A:$R,15,FALSE)="武器",VLOOKUP($E87,武器奇术!$A:$R,17,FALSE)="裂石"),$E$3*(1+$E$15),0),BJ87))</f>
        <v>0</v>
      </c>
      <c r="BM87" s="93">
        <f>IF(($D$9+IF(VLOOKUP($E87,武器奇术!$A:$R,17,FALSE)="裂石",$D$15,0)-VLOOKUP($F$7,目标属性!$A:$R,6,FALSE))&gt;0,($D$9+IF(VLOOKUP($E87,武器奇术!$A:$R,17,FALSE)="裂石",$D$15,0)-VLOOKUP($F$7,目标属性!$A:$R,6,FALSE))/200,($D$9+IF(VLOOKUP($E87,武器奇术!$A:$R,17,FALSE)="裂石",$D$15,0)-VLOOKUP($F$7,目标属性!$A:$R,6,FALSE))/100)</f>
        <v>-0.24</v>
      </c>
      <c r="BN87" s="100">
        <f t="shared" si="90"/>
        <v>0</v>
      </c>
      <c r="BO87" s="91">
        <v>1</v>
      </c>
      <c r="BP87" s="92">
        <f>BJ87*IF(VLOOKUP($E87,武器奇术!$A:$R,17,FALSE)="裂石",VLOOKUP($E87,武器奇术!$A:$R,4,FALSE),VLOOKUP($E87,武器奇术!$A:$R,2,FALSE))*(1+BM87)*(1+BN87)*BO87</f>
        <v>0</v>
      </c>
      <c r="BQ87" s="93">
        <f>(1-IF(VLOOKUP($E87,武器奇术!$A:$R,16,FALSE)="陌刀",1,$N87))*(1-$M87)</f>
        <v>0</v>
      </c>
      <c r="BR87" s="92">
        <f>BK87*IF(VLOOKUP($E87,武器奇术!$A:$R,17,FALSE)="裂石",VLOOKUP($E87,武器奇术!$A:$R,4,FALSE),VLOOKUP($E87,武器奇术!$A:$R,2,FALSE))*(1+BM87)*(1+BN87)*BO87*(1+$E$16+VLOOKUP($E87,武器奇术!$A:$R,8,FALSE))</f>
        <v>0</v>
      </c>
      <c r="BS87" s="93">
        <f t="shared" si="5"/>
        <v>0.887</v>
      </c>
      <c r="BT87" s="92">
        <f>BL87*IF(VLOOKUP($E87,武器奇术!$A:$R,17,FALSE)="裂石",VLOOKUP($E87,武器奇术!$A:$R,4,FALSE),VLOOKUP($E87,武器奇术!$A:$R,2,FALSE))*(1+BM87)*(1+BN87)*BO87*(1+$E$17+VLOOKUP($E87,武器奇术!$A:$R,10,FALSE))</f>
        <v>0</v>
      </c>
      <c r="BU87" s="93">
        <f t="shared" si="6"/>
        <v>0.0986</v>
      </c>
      <c r="BV87" s="92">
        <f>BK87*IF(VLOOKUP($E87,武器奇术!$A:$R,17,FALSE)="裂石",VLOOKUP($E87,武器奇术!$A:$R,4,FALSE),VLOOKUP($E87,武器奇术!$A:$R,2,FALSE))*(1+BM87)*(1+BN87)*BO87</f>
        <v>0</v>
      </c>
      <c r="BW87" s="93">
        <f t="shared" si="74"/>
        <v>0.0144</v>
      </c>
      <c r="BX87" s="101">
        <f t="shared" si="75"/>
        <v>0</v>
      </c>
      <c r="BY87" s="99">
        <f>IF(VLOOKUP($E87,武器奇术!$A:$R,18,FALSE)="极乐",0,$B$11*IF($G$5="撼天",1.05,1)+IF(AND(VLOOKUP($E87,武器奇术!$A:$R,15,FALSE)="武器",VLOOKUP($E87,武器奇术!$A:$R,17,FALSE)="牵丝"),$E$3*(1+$E$15),0))</f>
        <v>0</v>
      </c>
      <c r="BZ87" s="91">
        <f t="shared" si="76"/>
        <v>0</v>
      </c>
      <c r="CA87" s="91">
        <f>IF(VLOOKUP($E87,武器奇术!$A:$R,18,FALSE)="极乐",0,MAX($C$11*IF($G$5="撼天",1.05,1)+IF(AND(VLOOKUP($E87,武器奇术!$A:$R,15,FALSE)="武器",VLOOKUP($E87,武器奇术!$A:$R,17,FALSE)="牵丝"),$E$3*(1+$E$15),0),BY87))</f>
        <v>0</v>
      </c>
      <c r="CB87" s="93">
        <f>IF(($D$11+IF(VLOOKUP($E87,武器奇术!$A:$R,17,FALSE)="牵丝",$D$15,0)-VLOOKUP($F$7,目标属性!$A:$R,6,FALSE))&gt;0,($D$11+IF(VLOOKUP($E87,武器奇术!$A:$R,17,FALSE)="牵丝",$D$15,0)-VLOOKUP($F$7,目标属性!$A:$R,6,FALSE))/200,($D$11+IF(VLOOKUP($E87,武器奇术!$A:$R,17,FALSE)="牵丝",$D$15,0)-VLOOKUP($F$7,目标属性!$A:$R,6,FALSE))/100)</f>
        <v>-0.24</v>
      </c>
      <c r="CC87" s="100">
        <f t="shared" si="91"/>
        <v>0</v>
      </c>
      <c r="CD87" s="91">
        <v>1</v>
      </c>
      <c r="CE87" s="92">
        <f>BY87*IF(VLOOKUP($E87,武器奇术!$A:$R,17,FALSE)="牵丝",VLOOKUP($E87,武器奇术!$A:$R,4,FALSE),VLOOKUP($E87,武器奇术!$A:$R,2,FALSE))*(1+CB87)*(1+CC87)*CD87</f>
        <v>0</v>
      </c>
      <c r="CF87" s="93">
        <f>(1-IF(VLOOKUP($E87,武器奇术!$A:$R,16,FALSE)="陌刀",1,$N87))*(1-$M87)</f>
        <v>0</v>
      </c>
      <c r="CG87" s="92">
        <f>BZ87*IF(VLOOKUP($E87,武器奇术!$A:$R,17,FALSE)="牵丝",VLOOKUP($E87,武器奇术!$A:$R,4,FALSE),VLOOKUP($E87,武器奇术!$A:$R,2,FALSE))*(1+CB87)*(1+CC87)*CD87*(1+$E$16+VLOOKUP($E87,武器奇术!$A:$R,8,FALSE))</f>
        <v>0</v>
      </c>
      <c r="CH87" s="93">
        <f t="shared" si="7"/>
        <v>0.887</v>
      </c>
      <c r="CI87" s="92">
        <f>CA87*IF(VLOOKUP($E87,武器奇术!$A:$R,17,FALSE)="牵丝",VLOOKUP($E87,武器奇术!$A:$R,4,FALSE),VLOOKUP($E87,武器奇术!$A:$R,2,FALSE))*(1+CB87)*(1+CC87)*CD87*(1+$E$17+VLOOKUP($E87,武器奇术!$A:$R,10,FALSE))</f>
        <v>0</v>
      </c>
      <c r="CJ87" s="93">
        <f t="shared" si="8"/>
        <v>0.0986</v>
      </c>
      <c r="CK87" s="92">
        <f>BZ87*IF(VLOOKUP($E87,武器奇术!$A:$R,17,FALSE)="牵丝",VLOOKUP($E87,武器奇术!$A:$R,4,FALSE),VLOOKUP($E87,武器奇术!$A:$R,2,FALSE))*(1+CB87)*(1+CC87)*CD87</f>
        <v>0</v>
      </c>
      <c r="CL87" s="93">
        <f t="shared" si="77"/>
        <v>0.0144</v>
      </c>
      <c r="CM87" s="101">
        <f t="shared" si="78"/>
        <v>0</v>
      </c>
      <c r="CN87" s="99">
        <f>IF(VLOOKUP($E87,武器奇术!$A:$R,18,FALSE)="极乐",0,$B$13*IF($G$5="撼天",1.05,1)+IF(AND(VLOOKUP($E87,武器奇术!$A:$R,15,FALSE)="武器",VLOOKUP($E87,武器奇术!$A:$R,17,FALSE)="破竹"),$E$3*(1+$E$15),0))</f>
        <v>686.71</v>
      </c>
      <c r="CO87" s="91">
        <f t="shared" si="79"/>
        <v>1052.21</v>
      </c>
      <c r="CP87" s="91">
        <f>IF(VLOOKUP($E87,武器奇术!$A:$R,18,FALSE)="极乐",0,MAX($C$13*IF($G$5="撼天",1.05,1)+IF(AND(VLOOKUP($E87,武器奇术!$A:$R,15,FALSE)="武器",VLOOKUP($E87,武器奇术!$A:$R,17,FALSE)="破竹"),$E$3*(1+$E$15),0),CN87))</f>
        <v>1417.71</v>
      </c>
      <c r="CQ87" s="93">
        <f>IF(($D$13+IF(VLOOKUP($E87,武器奇术!$A:$R,17,FALSE)="破竹",$D$15,0)-VLOOKUP($F$7,目标属性!$A:$R,6,FALSE)+IF(VLOOKUP($E87,武器奇术!$A:$V,22,FALSE)=1,4,0)+IF(VLOOKUP($E87,武器奇术!$A:$T,20,FALSE)=1,10,0))&gt;0,($D$13+IF(VLOOKUP($E87,武器奇术!$A:$R,17,FALSE)="破竹",$D$15,0)-VLOOKUP($F$7,目标属性!$A:$R,6,FALSE)+IF(VLOOKUP($E87,武器奇术!$A:$V,22,FALSE)=1,4,0)+IF(VLOOKUP($E87,武器奇术!$A:$T,20,FALSE)=1,10,0))/200,($D$13+IF(VLOOKUP($E87,武器奇术!$A:$R,17,FALSE)="破竹",$D$15,0)-VLOOKUP($F$7,目标属性!$A:$R,6,FALSE)+IF(VLOOKUP($E87,武器奇术!$A:$V,22,FALSE)=1,4,0)+IF(VLOOKUP($E87,武器奇术!$A:$T,20,FALSE)=1,10,0))/100)</f>
        <v>0.078</v>
      </c>
      <c r="CR87" s="120">
        <f>$E$13+IF(期望!$G$5="燕归",6%,0)</f>
        <v>0.208</v>
      </c>
      <c r="CS87" s="91">
        <v>1</v>
      </c>
      <c r="CT87" s="92">
        <f>CN87*IF(VLOOKUP($E87,武器奇术!$A:$R,17,FALSE)="破竹",VLOOKUP($E87,武器奇术!$A:$R,4,FALSE),VLOOKUP($E87,武器奇术!$A:$R,2,FALSE))*(1+CQ87)*(1+CR87)*CS87</f>
        <v>2132.903082182</v>
      </c>
      <c r="CU87" s="93">
        <f>(1-IF(VLOOKUP($E87,武器奇术!$A:$R,16,FALSE)="陌刀",1,$N87))*(1-$M87)</f>
        <v>0</v>
      </c>
      <c r="CV87" s="92">
        <f>CO87*IF(VLOOKUP($E87,武器奇术!$A:$R,17,FALSE)="破竹",VLOOKUP($E87,武器奇术!$A:$R,4,FALSE),VLOOKUP($E87,武器奇术!$A:$R,2,FALSE))*(1+CQ87)*(1+CR87)*CS87*(1+$E$16+VLOOKUP($E87,武器奇术!$A:$R,8,FALSE))</f>
        <v>7006.88445676956</v>
      </c>
      <c r="CW87" s="93">
        <f t="shared" si="9"/>
        <v>0.887</v>
      </c>
      <c r="CX87" s="92">
        <f>CP87*IF(VLOOKUP($E87,武器奇术!$A:$R,17,FALSE)="破竹",VLOOKUP($E87,武器奇术!$A:$R,4,FALSE),VLOOKUP($E87,武器奇术!$A:$R,2,FALSE))*(1+CQ87)*(1+CR87)*CS87*(1+$E$17+VLOOKUP($E87,武器奇术!$A:$R,10,FALSE))</f>
        <v>5944.54913815777</v>
      </c>
      <c r="CY87" s="93">
        <f t="shared" si="10"/>
        <v>0.0986</v>
      </c>
      <c r="CZ87" s="92">
        <f>CO87*IF(VLOOKUP($E87,武器奇术!$A:$R,17,FALSE)="破竹",VLOOKUP($E87,武器奇术!$A:$R,4,FALSE),VLOOKUP($E87,武器奇术!$A:$R,2,FALSE))*(1+CQ87)*(1+CR87)*CS87</f>
        <v>3268.13640707536</v>
      </c>
      <c r="DA87" s="93">
        <f t="shared" si="80"/>
        <v>0.0144</v>
      </c>
      <c r="DB87" s="101">
        <f t="shared" si="81"/>
        <v>6848.30022243884</v>
      </c>
      <c r="DC87" s="99">
        <f>IF(VLOOKUP($E87,武器奇术!$A:$R,18,FALSE)="极乐",0,$B$15)</f>
        <v>66</v>
      </c>
      <c r="DD87" s="91">
        <f t="shared" si="82"/>
        <v>95.9</v>
      </c>
      <c r="DE87" s="91">
        <f>IF(VLOOKUP($E87,武器奇术!$A:$R,18,FALSE)="极乐",0,$C$15)</f>
        <v>125.8</v>
      </c>
      <c r="DF87" s="93">
        <f>IF((IF(VLOOKUP($E87,武器奇术!$A:$R,17,FALSE)="鸣金",$D$7,0)+IF(VLOOKUP($E87,武器奇术!$A:$R,17,FALSE)="裂石",$D$9,0)+IF(VLOOKUP($E87,武器奇术!$A:$R,17,FALSE)="牵丝",$D$11,0)+IF(VLOOKUP($E87,武器奇术!$A:$R,17,FALSE)="破竹",$D$13,0)+$D$15-VLOOKUP($F$7,目标属性!$A:$R,6,FALSE)+IF(VLOOKUP($E87,武器奇术!$A:$V,22,FALSE)=1,4,0)+IF(VLOOKUP($E87,武器奇术!$A:$T,20,FALSE)=1,10,0))&gt;0,(IF(VLOOKUP($E87,武器奇术!$A:$R,17,FALSE)="鸣金",$D$7,0)+IF(VLOOKUP($E87,武器奇术!$A:$R,17,FALSE)="裂石",$D$9,0)+IF(VLOOKUP($E87,武器奇术!$A:$R,17,FALSE)="牵丝",$D$11,0)+IF(VLOOKUP($E87,武器奇术!$A:$R,17,FALSE)="破竹",$D$13,0)+$D$15-VLOOKUP($F$7,目标属性!$A:$R,6,FALSE)+IF(VLOOKUP($E87,武器奇术!$A:$V,22,FALSE)=1,4,0)+IF(VLOOKUP($E87,武器奇术!$A:$T,20,FALSE)=1,10,0))/200,(IF(VLOOKUP($E87,武器奇术!$A:$R,17,FALSE)="鸣金",$D$7,0)+IF(VLOOKUP($E87,武器奇术!$A:$R,17,FALSE)="裂石",$D$9,0)+IF(VLOOKUP($E87,武器奇术!$A:$R,17,FALSE)="牵丝",$D$11,0)+IF(VLOOKUP($E87,武器奇术!$A:$R,17,FALSE)="破竹",$D$13,0)+$D$15-VLOOKUP($F$7,目标属性!$A:$R,6,FALSE)+IF(VLOOKUP($E87,武器奇术!$A:$V,22,FALSE)=1,4,0)+IF(VLOOKUP($E87,武器奇术!$A:$T,20,FALSE)=1,10,0))/100)</f>
        <v>0.078</v>
      </c>
      <c r="DG87" s="120">
        <f>$E$13+IF(期望!$G$5="燕归",6%,0)</f>
        <v>0.208</v>
      </c>
      <c r="DH87" s="91">
        <v>1</v>
      </c>
      <c r="DI87" s="92">
        <f>DC87*IF(VLOOKUP($E87,武器奇术!$A:$R,17,FALSE)="破竹",VLOOKUP($E87,武器奇术!$A:$R,4,FALSE),VLOOKUP($E87,武器奇术!$A:$R,2,FALSE))*(1+DF87)*(1+DG87)*DH87</f>
        <v>204.99425292192</v>
      </c>
      <c r="DJ87" s="93">
        <f>(1-IF(VLOOKUP($E87,武器奇术!$A:$R,16,FALSE)="陌刀",1,$N87))*(1-$M87)</f>
        <v>0</v>
      </c>
      <c r="DK87" s="92">
        <f>DD87*IF(VLOOKUP($E87,武器奇术!$A:$R,17,FALSE)="破竹",VLOOKUP($E87,武器奇术!$A:$R,4,FALSE),VLOOKUP($E87,武器奇术!$A:$R,2,FALSE))*(1+DF87)*(1+DG87)*DH87*(1+$E$16+VLOOKUP($E87,武器奇术!$A:$R,8,FALSE))</f>
        <v>638.617974932952</v>
      </c>
      <c r="DL87" s="93">
        <f t="shared" si="12"/>
        <v>0.887</v>
      </c>
      <c r="DM87" s="92">
        <f>DE87*IF(VLOOKUP($E87,武器奇术!$A:$R,17,FALSE)="破竹",VLOOKUP($E87,武器奇术!$A:$R,4,FALSE),VLOOKUP($E87,武器奇术!$A:$R,2,FALSE))*(1+DF87)*(1+DG87)*DH87*(1+$E$17+VLOOKUP($E87,武器奇术!$A:$R,10,FALSE))</f>
        <v>527.48748445045</v>
      </c>
      <c r="DN87" s="93">
        <f t="shared" si="13"/>
        <v>0.0986</v>
      </c>
      <c r="DO87" s="92">
        <f>DD87*IF(VLOOKUP($E87,武器奇术!$A:$R,17,FALSE)="破竹",VLOOKUP($E87,武器奇术!$A:$R,4,FALSE),VLOOKUP($E87,武器奇术!$A:$R,2,FALSE))*(1+DF87)*(1+DG87)*DH87</f>
        <v>297.862861442608</v>
      </c>
      <c r="DP87" s="93">
        <f t="shared" si="14"/>
        <v>0.0144</v>
      </c>
      <c r="DQ87" s="101">
        <f t="shared" si="15"/>
        <v>622.753634937116</v>
      </c>
    </row>
    <row r="88" spans="1:121">
      <c r="A88" s="33"/>
      <c r="B88" s="130" t="s">
        <v>153</v>
      </c>
      <c r="C88">
        <v>0.166</v>
      </c>
      <c r="D88" s="33"/>
      <c r="E88" s="105" t="s">
        <v>177</v>
      </c>
      <c r="F88" s="106">
        <v>1</v>
      </c>
      <c r="G88" s="107">
        <f t="shared" si="92"/>
        <v>0</v>
      </c>
      <c r="H88" s="92">
        <f>IF(VLOOKUP($E88,武器奇术!$A:$R,18,FALSE)="天工",AE88,(AE88+AT88+BI88+BX88+CM88+DB88+DQ88))*(1+J88)*F88*K88*(1+G88)</f>
        <v>48162.0719022265</v>
      </c>
      <c r="I88" s="93">
        <f t="shared" si="58"/>
        <v>0.00617836151908785</v>
      </c>
      <c r="J88" s="93">
        <f>$F$3+VLOOKUP($E88,武器奇术!$A:$R,12,FALSE)+VLOOKUP($E88,武器奇术!$A:$R,14,FALSE)*$G$3+$P88</f>
        <v>0.843</v>
      </c>
      <c r="K88" s="94">
        <f>VLOOKUP($E88,武器奇术!$A:$R,11,FALSE)</f>
        <v>1</v>
      </c>
      <c r="L88" s="109">
        <f>IF(VLOOKUP($E88,武器奇术!$A:$R,15,FALSE)="天工",0%,IF($C$17+VLOOKUP($E88,武器奇术!$A:$R,7,FALSE)&gt;80%,80%,$C$17+VLOOKUP($E88,武器奇术!$A:$R,7,FALSE))+IF($C$19&gt;20%,20%,$C$19))</f>
        <v>0.887</v>
      </c>
      <c r="M88" s="110">
        <f>IF(VLOOKUP($E88,武器奇术!$A:$R,15,FALSE)="天工",0%,IF($C$18+VLOOKUP($E88,武器奇术!$A:$R,9,FALSE)&gt;40%,40%,$C$18+VLOOKUP($E88,武器奇术!$A:$R,9,FALSE))+IF($C$20&gt;10%,10%,$C$20))</f>
        <v>0.0986</v>
      </c>
      <c r="N88" s="111">
        <f>IF(VLOOKUP($E88,武器奇术!$A:$R,15,FALSE)="天工",100%,MIN($C$16,1))</f>
        <v>1</v>
      </c>
      <c r="O88" s="112" t="str">
        <f>VLOOKUP($E88,武器奇术!$A:$R,16,FALSE)</f>
        <v>双刀</v>
      </c>
      <c r="P88" s="113">
        <f t="shared" si="59"/>
        <v>0.17</v>
      </c>
      <c r="Q88" s="99">
        <f>$B$5*(1+VLOOKUP($E88,武器奇术!$A:$R,5,FALSE)+IF($G$5="飞隼",0.1,0)+IF($G$5="撼天",0.05,0))-$F$9*IF(VLOOKUP($E88,武器奇术!$A:$S,19,FALSE)=1,0.9,1)+IF($I$5="√",160,0)</f>
        <v>2904.2</v>
      </c>
      <c r="R88" s="91">
        <f t="shared" si="60"/>
        <v>2904.2</v>
      </c>
      <c r="S88" s="91">
        <f>MAX($C$5,$B$5)*(1+VLOOKUP($E88,武器奇术!$A:$R,5,FALSE)+IF($G$5="飞隼",0.1,0)+IF($G$5="撼天",0.05,0))-$F$9*IF(VLOOKUP($E88,武器奇术!$A:$S,19,FALSE)=1,0.9,1)+IF($I$5="√",320,0)</f>
        <v>2904.2</v>
      </c>
      <c r="T88" s="93">
        <f>IF(($D$5+VLOOKUP($E88,武器奇术!$A:$R,13,FALSE)+IF($I$3="√",10,0)-VLOOKUP($F$7,目标属性!$A:$R,5,FALSE))&gt;0,($D$5+VLOOKUP($E88,武器奇术!$A:$R,13,FALSE)+IF($I$3="√",10,0)-VLOOKUP($F$7,目标属性!$A:$R,5,FALSE))/200,($D$5+VLOOKUP($E88,武器奇术!$A:$R,13,FALSE)+IF($I$3="√",10,0)-VLOOKUP($F$7,目标属性!$A:$R,5,FALSE))/100)</f>
        <v>0.2675</v>
      </c>
      <c r="U88" s="120">
        <f>$E$5+IF(VLOOKUP($E88,武器奇术!$A:$R,18,FALSE)="鼠鼠",0.24,0)+IF(期望!$G$5="燕归",6/100,0)</f>
        <v>0.06</v>
      </c>
      <c r="V88" s="91">
        <v>1</v>
      </c>
      <c r="W88" s="92">
        <f>Q88*VLOOKUP($E88,武器奇术!$A:$R,2,FALSE)*(1+T88)*(1+U88)*V88</f>
        <v>7450.2822065958</v>
      </c>
      <c r="X88" s="93">
        <f>(1-IF(VLOOKUP($E88,武器奇术!$A:$R,16,FALSE)="陌刀",1,$N88))*(1-$M88)</f>
        <v>0</v>
      </c>
      <c r="Y88" s="92">
        <f>R88*VLOOKUP($E88,武器奇术!$A:$R,2,FALSE)*(1+T88)*(1+U88)*V88*(1+$E$16+VLOOKUP($E88,武器奇术!$A:$R,8,FALSE))</f>
        <v>15973.4050509414</v>
      </c>
      <c r="Z88" s="93">
        <f t="shared" si="61"/>
        <v>0.887</v>
      </c>
      <c r="AA88" s="92">
        <f>S88*VLOOKUP($E88,武器奇术!$A:$R,2,FALSE)*(1+T88)*(1+U88)*V88*(1+$E$17+VLOOKUP($E88,武器奇术!$A:$R,10,FALSE))</f>
        <v>10057.8809789043</v>
      </c>
      <c r="AB88" s="93">
        <f t="shared" si="62"/>
        <v>0.0986</v>
      </c>
      <c r="AC88" s="92">
        <f>R88*VLOOKUP($E88,武器奇术!$A:$R,2,FALSE)*(1+T88)*(1+U88)*V88</f>
        <v>7450.2822065958</v>
      </c>
      <c r="AD88" s="93">
        <f t="shared" si="63"/>
        <v>0.0144</v>
      </c>
      <c r="AE88" s="101">
        <f t="shared" si="64"/>
        <v>15267.40140848</v>
      </c>
      <c r="AF88" s="102">
        <f>VLOOKUP($E88,武器奇术!$A:$R,3,FALSE)*(1+IF(VLOOKUP($E88,武器奇术!$A:$R,15,FALSE)="武器",$E$15,0))</f>
        <v>687.83</v>
      </c>
      <c r="AG88" s="92">
        <f t="shared" si="65"/>
        <v>687.83</v>
      </c>
      <c r="AH88" s="92">
        <f>VLOOKUP($E88,武器奇术!$A:$R,3,FALSE)*(1+IF(VLOOKUP($E88,武器奇术!$A:$R,15,FALSE)="武器",$E$15,0))</f>
        <v>687.83</v>
      </c>
      <c r="AI88" s="93">
        <f>IF(($D$5+VLOOKUP($E88,武器奇术!$A:$R,13,FALSE)+IF($I$3="√",10,0)-VLOOKUP($F$7,目标属性!$A:$R,5,FALSE))&gt;0,($D$5+VLOOKUP($E88,武器奇术!$A:$R,13,FALSE)+IF($I$3="√",10,0)-VLOOKUP($F$7,目标属性!$A:$R,5,FALSE))/200,($D$5+VLOOKUP($E88,武器奇术!$A:$R,13,FALSE)+IF($I$3="√",10,0)-VLOOKUP($F$7,目标属性!$A:$R,5,FALSE))/100)</f>
        <v>0.2675</v>
      </c>
      <c r="AJ88" s="120">
        <f>$E$5+IF(VLOOKUP($E88,武器奇术!$A:$R,18,FALSE)="鼠鼠",0.24,0)+IF(期望!$G$5="燕归",6/100,0)</f>
        <v>0.06</v>
      </c>
      <c r="AK88" s="91">
        <v>1</v>
      </c>
      <c r="AL88" s="92">
        <f t="shared" si="66"/>
        <v>924.1339965</v>
      </c>
      <c r="AM88" s="93">
        <f>(1-IF(VLOOKUP($E88,武器奇术!$A:$R,16,FALSE)="陌刀",1,$N88))*(1-$M88)</f>
        <v>0</v>
      </c>
      <c r="AN88" s="92">
        <f>AG88*(1+AI88)*(1+AJ88)*AK88*(1+$E$16+VLOOKUP($E88,武器奇术!$A:$R,8,FALSE))</f>
        <v>1981.343288496</v>
      </c>
      <c r="AO88" s="93">
        <f t="shared" si="1"/>
        <v>0.887</v>
      </c>
      <c r="AP88" s="92">
        <f>AH88*(1+AI88)*(1+AJ88)*AK88*(1+$E$17+VLOOKUP($E88,武器奇术!$A:$R,10,FALSE))</f>
        <v>1247.580895275</v>
      </c>
      <c r="AQ88" s="93">
        <f t="shared" si="2"/>
        <v>0.0986</v>
      </c>
      <c r="AR88" s="92">
        <f t="shared" si="67"/>
        <v>924.1339965</v>
      </c>
      <c r="AS88" s="93">
        <f t="shared" si="68"/>
        <v>0.0144</v>
      </c>
      <c r="AT88" s="101">
        <f t="shared" si="69"/>
        <v>1893.77050271967</v>
      </c>
      <c r="AU88" s="99">
        <f>IF(VLOOKUP($E88,武器奇术!$A:$R,18,FALSE)="极乐",0,$B$7*IF($G$5="撼天",1.05,1)+IF(AND(VLOOKUP($E88,武器奇术!$A:$R,15,FALSE)="武器",VLOOKUP($E88,武器奇术!$A:$R,17,FALSE)="鸣金"),$E$3*(1+$E$15),0))</f>
        <v>0</v>
      </c>
      <c r="AV88" s="91">
        <f t="shared" si="70"/>
        <v>0</v>
      </c>
      <c r="AW88" s="91">
        <f>IF(VLOOKUP($E88,武器奇术!$A:$R,18,FALSE)="极乐",0,MAX($C$7*IF($G$5="撼天",1.05,1)+IF(AND(VLOOKUP($E88,武器奇术!$A:$R,15,FALSE)="武器",VLOOKUP($E88,武器奇术!$A:$R,17,FALSE)="鸣金"),$E$3*(1+$E$15),0),AU88))</f>
        <v>0</v>
      </c>
      <c r="AX88" s="93">
        <f>IF(($D$7+IF(VLOOKUP($E88,武器奇术!$A:$R,17,FALSE)="鸣金",$D$15,0)-VLOOKUP($F$7,目标属性!$A:$R,6,FALSE))&gt;0,($D$7+IF(VLOOKUP($E88,武器奇术!$A:$R,17,FALSE)="鸣金",$D$15,0)-VLOOKUP($F$7,目标属性!$A:$R,6,FALSE))/200,($D$7+IF(VLOOKUP($E88,武器奇术!$A:$R,17,FALSE)="鸣金",$D$15,0)-VLOOKUP($F$7,目标属性!$A:$R,6,FALSE))/100)</f>
        <v>-0.24</v>
      </c>
      <c r="AY88" s="100">
        <f t="shared" si="89"/>
        <v>0</v>
      </c>
      <c r="AZ88" s="91">
        <v>1</v>
      </c>
      <c r="BA88" s="92">
        <f>AU88*IF(VLOOKUP($E88,武器奇术!$A:$R,17,FALSE)="鸣金",VLOOKUP($E88,武器奇术!$A:$R,4,FALSE),VLOOKUP($E88,武器奇术!$A:$R,2,FALSE))*(1+AX88)*(1+AY88)*AZ88</f>
        <v>0</v>
      </c>
      <c r="BB88" s="93">
        <f>(1-IF(VLOOKUP($E88,武器奇术!$A:$R,16,FALSE)="陌刀",1,$N88))*(1-$M88)</f>
        <v>0</v>
      </c>
      <c r="BC88" s="92">
        <f>AV88*IF(VLOOKUP($E88,武器奇术!$A:$R,17,FALSE)="鸣金",VLOOKUP($E88,武器奇术!$A:$R,4,FALSE),VLOOKUP($E88,武器奇术!$A:$R,2,FALSE))*(1+AX88)*(1+AY88)*AZ88*(1+$E$16+VLOOKUP($E88,武器奇术!$A:$R,8,FALSE))</f>
        <v>0</v>
      </c>
      <c r="BD88" s="93">
        <f t="shared" si="3"/>
        <v>0.887</v>
      </c>
      <c r="BE88" s="92">
        <f>AW88*IF(VLOOKUP($E88,武器奇术!$A:$R,17,FALSE)="鸣金",VLOOKUP($E88,武器奇术!$A:$R,4,FALSE),VLOOKUP($E88,武器奇术!$A:$R,2,FALSE))*(1+AX88)*(1+AY88)*AZ88*(1+$E$17+VLOOKUP($E88,武器奇术!$A:$R,10,FALSE))</f>
        <v>0</v>
      </c>
      <c r="BF88" s="93">
        <f t="shared" si="4"/>
        <v>0.0986</v>
      </c>
      <c r="BG88" s="92">
        <f>AV88*IF(VLOOKUP($E88,武器奇术!$A:$R,17,FALSE)="鸣金",VLOOKUP($E88,武器奇术!$A:$R,4,FALSE),VLOOKUP($E88,武器奇术!$A:$R,2,FALSE))*(1+AX88)*(1+AY88)*AZ88</f>
        <v>0</v>
      </c>
      <c r="BH88" s="93">
        <f t="shared" si="71"/>
        <v>0.0144</v>
      </c>
      <c r="BI88" s="101">
        <f t="shared" si="72"/>
        <v>0</v>
      </c>
      <c r="BJ88" s="99">
        <f>IF(VLOOKUP($E88,武器奇术!$A:$R,18,FALSE)="极乐",0,$B$9*IF($G$5="撼天",1.05,1)+IF(AND(VLOOKUP($E88,武器奇术!$A:$R,15,FALSE)="武器",VLOOKUP($E88,武器奇术!$A:$R,17,FALSE)="裂石"),$E$3*(1+$E$15),0))</f>
        <v>0</v>
      </c>
      <c r="BK88" s="91">
        <f t="shared" si="73"/>
        <v>0</v>
      </c>
      <c r="BL88" s="91">
        <f>IF(VLOOKUP($E88,武器奇术!$A:$R,18,FALSE)="极乐",0,MAX($C$9*IF($G$5="撼天",1.05,1)+IF(AND(VLOOKUP($E88,武器奇术!$A:$R,15,FALSE)="武器",VLOOKUP($E88,武器奇术!$A:$R,17,FALSE)="裂石"),$E$3*(1+$E$15),0),BJ88))</f>
        <v>0</v>
      </c>
      <c r="BM88" s="93">
        <f>IF(($D$9+IF(VLOOKUP($E88,武器奇术!$A:$R,17,FALSE)="裂石",$D$15,0)-VLOOKUP($F$7,目标属性!$A:$R,6,FALSE))&gt;0,($D$9+IF(VLOOKUP($E88,武器奇术!$A:$R,17,FALSE)="裂石",$D$15,0)-VLOOKUP($F$7,目标属性!$A:$R,6,FALSE))/200,($D$9+IF(VLOOKUP($E88,武器奇术!$A:$R,17,FALSE)="裂石",$D$15,0)-VLOOKUP($F$7,目标属性!$A:$R,6,FALSE))/100)</f>
        <v>-0.24</v>
      </c>
      <c r="BN88" s="100">
        <f t="shared" si="90"/>
        <v>0</v>
      </c>
      <c r="BO88" s="91">
        <v>1</v>
      </c>
      <c r="BP88" s="92">
        <f>BJ88*IF(VLOOKUP($E88,武器奇术!$A:$R,17,FALSE)="裂石",VLOOKUP($E88,武器奇术!$A:$R,4,FALSE),VLOOKUP($E88,武器奇术!$A:$R,2,FALSE))*(1+BM88)*(1+BN88)*BO88</f>
        <v>0</v>
      </c>
      <c r="BQ88" s="93">
        <f>(1-IF(VLOOKUP($E88,武器奇术!$A:$R,16,FALSE)="陌刀",1,$N88))*(1-$M88)</f>
        <v>0</v>
      </c>
      <c r="BR88" s="92">
        <f>BK88*IF(VLOOKUP($E88,武器奇术!$A:$R,17,FALSE)="裂石",VLOOKUP($E88,武器奇术!$A:$R,4,FALSE),VLOOKUP($E88,武器奇术!$A:$R,2,FALSE))*(1+BM88)*(1+BN88)*BO88*(1+$E$16+VLOOKUP($E88,武器奇术!$A:$R,8,FALSE))</f>
        <v>0</v>
      </c>
      <c r="BS88" s="93">
        <f t="shared" si="5"/>
        <v>0.887</v>
      </c>
      <c r="BT88" s="92">
        <f>BL88*IF(VLOOKUP($E88,武器奇术!$A:$R,17,FALSE)="裂石",VLOOKUP($E88,武器奇术!$A:$R,4,FALSE),VLOOKUP($E88,武器奇术!$A:$R,2,FALSE))*(1+BM88)*(1+BN88)*BO88*(1+$E$17+VLOOKUP($E88,武器奇术!$A:$R,10,FALSE))</f>
        <v>0</v>
      </c>
      <c r="BU88" s="93">
        <f t="shared" si="6"/>
        <v>0.0986</v>
      </c>
      <c r="BV88" s="92">
        <f>BK88*IF(VLOOKUP($E88,武器奇术!$A:$R,17,FALSE)="裂石",VLOOKUP($E88,武器奇术!$A:$R,4,FALSE),VLOOKUP($E88,武器奇术!$A:$R,2,FALSE))*(1+BM88)*(1+BN88)*BO88</f>
        <v>0</v>
      </c>
      <c r="BW88" s="93">
        <f t="shared" si="74"/>
        <v>0.0144</v>
      </c>
      <c r="BX88" s="101">
        <f t="shared" si="75"/>
        <v>0</v>
      </c>
      <c r="BY88" s="99">
        <f>IF(VLOOKUP($E88,武器奇术!$A:$R,18,FALSE)="极乐",0,$B$11*IF($G$5="撼天",1.05,1)+IF(AND(VLOOKUP($E88,武器奇术!$A:$R,15,FALSE)="武器",VLOOKUP($E88,武器奇术!$A:$R,17,FALSE)="牵丝"),$E$3*(1+$E$15),0))</f>
        <v>0</v>
      </c>
      <c r="BZ88" s="91">
        <f t="shared" si="76"/>
        <v>0</v>
      </c>
      <c r="CA88" s="91">
        <f>IF(VLOOKUP($E88,武器奇术!$A:$R,18,FALSE)="极乐",0,MAX($C$11*IF($G$5="撼天",1.05,1)+IF(AND(VLOOKUP($E88,武器奇术!$A:$R,15,FALSE)="武器",VLOOKUP($E88,武器奇术!$A:$R,17,FALSE)="牵丝"),$E$3*(1+$E$15),0),BY88))</f>
        <v>0</v>
      </c>
      <c r="CB88" s="93">
        <f>IF(($D$11+IF(VLOOKUP($E88,武器奇术!$A:$R,17,FALSE)="牵丝",$D$15,0)-VLOOKUP($F$7,目标属性!$A:$R,6,FALSE))&gt;0,($D$11+IF(VLOOKUP($E88,武器奇术!$A:$R,17,FALSE)="牵丝",$D$15,0)-VLOOKUP($F$7,目标属性!$A:$R,6,FALSE))/200,($D$11+IF(VLOOKUP($E88,武器奇术!$A:$R,17,FALSE)="牵丝",$D$15,0)-VLOOKUP($F$7,目标属性!$A:$R,6,FALSE))/100)</f>
        <v>-0.24</v>
      </c>
      <c r="CC88" s="100">
        <f t="shared" si="91"/>
        <v>0</v>
      </c>
      <c r="CD88" s="91">
        <v>1</v>
      </c>
      <c r="CE88" s="92">
        <f>BY88*IF(VLOOKUP($E88,武器奇术!$A:$R,17,FALSE)="牵丝",VLOOKUP($E88,武器奇术!$A:$R,4,FALSE),VLOOKUP($E88,武器奇术!$A:$R,2,FALSE))*(1+CB88)*(1+CC88)*CD88</f>
        <v>0</v>
      </c>
      <c r="CF88" s="93">
        <f>(1-IF(VLOOKUP($E88,武器奇术!$A:$R,16,FALSE)="陌刀",1,$N88))*(1-$M88)</f>
        <v>0</v>
      </c>
      <c r="CG88" s="92">
        <f>BZ88*IF(VLOOKUP($E88,武器奇术!$A:$R,17,FALSE)="牵丝",VLOOKUP($E88,武器奇术!$A:$R,4,FALSE),VLOOKUP($E88,武器奇术!$A:$R,2,FALSE))*(1+CB88)*(1+CC88)*CD88*(1+$E$16+VLOOKUP($E88,武器奇术!$A:$R,8,FALSE))</f>
        <v>0</v>
      </c>
      <c r="CH88" s="93">
        <f t="shared" si="7"/>
        <v>0.887</v>
      </c>
      <c r="CI88" s="92">
        <f>CA88*IF(VLOOKUP($E88,武器奇术!$A:$R,17,FALSE)="牵丝",VLOOKUP($E88,武器奇术!$A:$R,4,FALSE),VLOOKUP($E88,武器奇术!$A:$R,2,FALSE))*(1+CB88)*(1+CC88)*CD88*(1+$E$17+VLOOKUP($E88,武器奇术!$A:$R,10,FALSE))</f>
        <v>0</v>
      </c>
      <c r="CJ88" s="93">
        <f t="shared" si="8"/>
        <v>0.0986</v>
      </c>
      <c r="CK88" s="92">
        <f>BZ88*IF(VLOOKUP($E88,武器奇术!$A:$R,17,FALSE)="牵丝",VLOOKUP($E88,武器奇术!$A:$R,4,FALSE),VLOOKUP($E88,武器奇术!$A:$R,2,FALSE))*(1+CB88)*(1+CC88)*CD88</f>
        <v>0</v>
      </c>
      <c r="CL88" s="93">
        <f t="shared" si="77"/>
        <v>0.0144</v>
      </c>
      <c r="CM88" s="101">
        <f t="shared" si="78"/>
        <v>0</v>
      </c>
      <c r="CN88" s="99">
        <f>IF(VLOOKUP($E88,武器奇术!$A:$R,18,FALSE)="极乐",0,$B$13*IF($G$5="撼天",1.05,1)+IF(AND(VLOOKUP($E88,武器奇术!$A:$R,15,FALSE)="武器",VLOOKUP($E88,武器奇术!$A:$R,17,FALSE)="破竹"),$E$3*(1+$E$15),0))</f>
        <v>686.71</v>
      </c>
      <c r="CO88" s="91">
        <f t="shared" si="79"/>
        <v>1052.21</v>
      </c>
      <c r="CP88" s="91">
        <f>IF(VLOOKUP($E88,武器奇术!$A:$R,18,FALSE)="极乐",0,MAX($C$13*IF($G$5="撼天",1.05,1)+IF(AND(VLOOKUP($E88,武器奇术!$A:$R,15,FALSE)="武器",VLOOKUP($E88,武器奇术!$A:$R,17,FALSE)="破竹"),$E$3*(1+$E$15),0),CN88))</f>
        <v>1417.71</v>
      </c>
      <c r="CQ88" s="93">
        <f>IF(($D$13+IF(VLOOKUP($E88,武器奇术!$A:$R,17,FALSE)="破竹",$D$15,0)-VLOOKUP($F$7,目标属性!$A:$R,6,FALSE)+IF(VLOOKUP($E88,武器奇术!$A:$V,22,FALSE)=1,4,0)+IF(VLOOKUP($E88,武器奇术!$A:$T,20,FALSE)=1,10,0))&gt;0,($D$13+IF(VLOOKUP($E88,武器奇术!$A:$R,17,FALSE)="破竹",$D$15,0)-VLOOKUP($F$7,目标属性!$A:$R,6,FALSE)+IF(VLOOKUP($E88,武器奇术!$A:$V,22,FALSE)=1,4,0)+IF(VLOOKUP($E88,武器奇术!$A:$T,20,FALSE)=1,10,0))/200,($D$13+IF(VLOOKUP($E88,武器奇术!$A:$R,17,FALSE)="破竹",$D$15,0)-VLOOKUP($F$7,目标属性!$A:$R,6,FALSE)+IF(VLOOKUP($E88,武器奇术!$A:$V,22,FALSE)=1,4,0)+IF(VLOOKUP($E88,武器奇术!$A:$T,20,FALSE)=1,10,0))/100)</f>
        <v>0.078</v>
      </c>
      <c r="CR88" s="120">
        <f>$E$13+IF(期望!$G$5="燕归",6%,0)</f>
        <v>0.208</v>
      </c>
      <c r="CS88" s="91">
        <v>1</v>
      </c>
      <c r="CT88" s="92">
        <f>CN88*IF(VLOOKUP($E88,武器奇术!$A:$R,17,FALSE)="破竹",VLOOKUP($E88,武器奇术!$A:$R,4,FALSE),VLOOKUP($E88,武器奇术!$A:$R,2,FALSE))*(1+CQ88)*(1+CR88)*CS88</f>
        <v>2561.19529358357</v>
      </c>
      <c r="CU88" s="93">
        <f>(1-IF(VLOOKUP($E88,武器奇术!$A:$R,16,FALSE)="陌刀",1,$N88))*(1-$M88)</f>
        <v>0</v>
      </c>
      <c r="CV88" s="92">
        <f>CO88*IF(VLOOKUP($E88,武器奇术!$A:$R,17,FALSE)="破竹",VLOOKUP($E88,武器奇术!$A:$R,4,FALSE),VLOOKUP($E88,武器奇术!$A:$R,2,FALSE))*(1+CQ88)*(1+CR88)*CS88*(1+$E$16+VLOOKUP($E88,武器奇术!$A:$R,8,FALSE))</f>
        <v>8413.88417658576</v>
      </c>
      <c r="CW88" s="93">
        <f t="shared" si="9"/>
        <v>0.887</v>
      </c>
      <c r="CX88" s="92">
        <f>CP88*IF(VLOOKUP($E88,武器奇术!$A:$R,17,FALSE)="破竹",VLOOKUP($E88,武器奇术!$A:$R,4,FALSE),VLOOKUP($E88,武器奇术!$A:$R,2,FALSE))*(1+CQ88)*(1+CR88)*CS88*(1+$E$17+VLOOKUP($E88,武器奇术!$A:$R,10,FALSE))</f>
        <v>7138.22929992223</v>
      </c>
      <c r="CY88" s="93">
        <f t="shared" si="10"/>
        <v>0.0986</v>
      </c>
      <c r="CZ88" s="92">
        <f>CO88*IF(VLOOKUP($E88,武器奇术!$A:$R,17,FALSE)="破竹",VLOOKUP($E88,武器奇术!$A:$R,4,FALSE),VLOOKUP($E88,武器奇术!$A:$R,2,FALSE))*(1+CQ88)*(1+CR88)*CS88</f>
        <v>3924.38627639261</v>
      </c>
      <c r="DA88" s="93">
        <f t="shared" si="80"/>
        <v>0.0144</v>
      </c>
      <c r="DB88" s="101">
        <f t="shared" si="81"/>
        <v>8223.45583598396</v>
      </c>
      <c r="DC88" s="99">
        <f>IF(VLOOKUP($E88,武器奇术!$A:$R,18,FALSE)="极乐",0,$B$15)</f>
        <v>66</v>
      </c>
      <c r="DD88" s="91">
        <f t="shared" si="82"/>
        <v>95.9</v>
      </c>
      <c r="DE88" s="91">
        <f>IF(VLOOKUP($E88,武器奇术!$A:$R,18,FALSE)="极乐",0,$C$15)</f>
        <v>125.8</v>
      </c>
      <c r="DF88" s="93">
        <f>IF((IF(VLOOKUP($E88,武器奇术!$A:$R,17,FALSE)="鸣金",$D$7,0)+IF(VLOOKUP($E88,武器奇术!$A:$R,17,FALSE)="裂石",$D$9,0)+IF(VLOOKUP($E88,武器奇术!$A:$R,17,FALSE)="牵丝",$D$11,0)+IF(VLOOKUP($E88,武器奇术!$A:$R,17,FALSE)="破竹",$D$13,0)+$D$15-VLOOKUP($F$7,目标属性!$A:$R,6,FALSE)+IF(VLOOKUP($E88,武器奇术!$A:$V,22,FALSE)=1,4,0)+IF(VLOOKUP($E88,武器奇术!$A:$T,20,FALSE)=1,10,0))&gt;0,(IF(VLOOKUP($E88,武器奇术!$A:$R,17,FALSE)="鸣金",$D$7,0)+IF(VLOOKUP($E88,武器奇术!$A:$R,17,FALSE)="裂石",$D$9,0)+IF(VLOOKUP($E88,武器奇术!$A:$R,17,FALSE)="牵丝",$D$11,0)+IF(VLOOKUP($E88,武器奇术!$A:$R,17,FALSE)="破竹",$D$13,0)+$D$15-VLOOKUP($F$7,目标属性!$A:$R,6,FALSE)+IF(VLOOKUP($E88,武器奇术!$A:$V,22,FALSE)=1,4,0)+IF(VLOOKUP($E88,武器奇术!$A:$T,20,FALSE)=1,10,0))/200,(IF(VLOOKUP($E88,武器奇术!$A:$R,17,FALSE)="鸣金",$D$7,0)+IF(VLOOKUP($E88,武器奇术!$A:$R,17,FALSE)="裂石",$D$9,0)+IF(VLOOKUP($E88,武器奇术!$A:$R,17,FALSE)="牵丝",$D$11,0)+IF(VLOOKUP($E88,武器奇术!$A:$R,17,FALSE)="破竹",$D$13,0)+$D$15-VLOOKUP($F$7,目标属性!$A:$R,6,FALSE)+IF(VLOOKUP($E88,武器奇术!$A:$V,22,FALSE)=1,4,0)+IF(VLOOKUP($E88,武器奇术!$A:$T,20,FALSE)=1,10,0))/100)</f>
        <v>0.078</v>
      </c>
      <c r="DG88" s="120">
        <f>$E$13+IF(期望!$G$5="燕归",6%,0)</f>
        <v>0.208</v>
      </c>
      <c r="DH88" s="91">
        <v>1</v>
      </c>
      <c r="DI88" s="92">
        <f>DC88*IF(VLOOKUP($E88,武器奇术!$A:$R,17,FALSE)="破竹",VLOOKUP($E88,武器奇术!$A:$R,4,FALSE),VLOOKUP($E88,武器奇术!$A:$R,2,FALSE))*(1+DF88)*(1+DG88)*DH88</f>
        <v>246.15760565088</v>
      </c>
      <c r="DJ88" s="93">
        <f>(1-IF(VLOOKUP($E88,武器奇术!$A:$R,16,FALSE)="陌刀",1,$N88))*(1-$M88)</f>
        <v>0</v>
      </c>
      <c r="DK88" s="92">
        <f>DD88*IF(VLOOKUP($E88,武器奇术!$A:$R,17,FALSE)="破竹",VLOOKUP($E88,武器奇术!$A:$R,4,FALSE),VLOOKUP($E88,武器奇术!$A:$R,2,FALSE))*(1+DF88)*(1+DG88)*DH88*(1+$E$16+VLOOKUP($E88,武器奇术!$A:$R,8,FALSE))</f>
        <v>766.854042952048</v>
      </c>
      <c r="DL88" s="93">
        <f t="shared" si="12"/>
        <v>0.887</v>
      </c>
      <c r="DM88" s="92">
        <f>DE88*IF(VLOOKUP($E88,武器奇术!$A:$R,17,FALSE)="破竹",VLOOKUP($E88,武器奇术!$A:$R,4,FALSE),VLOOKUP($E88,武器奇术!$A:$R,2,FALSE))*(1+DF88)*(1+DG88)*DH88*(1+$E$17+VLOOKUP($E88,武器奇术!$A:$R,10,FALSE))</f>
        <v>633.408275268014</v>
      </c>
      <c r="DN88" s="93">
        <f t="shared" si="13"/>
        <v>0.0986</v>
      </c>
      <c r="DO88" s="92">
        <f>DD88*IF(VLOOKUP($E88,武器奇术!$A:$R,17,FALSE)="破竹",VLOOKUP($E88,武器奇术!$A:$R,4,FALSE),VLOOKUP($E88,武器奇术!$A:$R,2,FALSE))*(1+DF88)*(1+DG88)*DH88</f>
        <v>357.674460332112</v>
      </c>
      <c r="DP88" s="93">
        <f t="shared" si="14"/>
        <v>0.0144</v>
      </c>
      <c r="DQ88" s="101">
        <f t="shared" si="15"/>
        <v>747.804104268675</v>
      </c>
    </row>
    <row r="89" spans="1:121">
      <c r="A89" s="33"/>
      <c r="B89" s="130" t="s">
        <v>155</v>
      </c>
      <c r="C89">
        <v>0.633</v>
      </c>
      <c r="D89" s="33"/>
      <c r="E89" s="105" t="s">
        <v>178</v>
      </c>
      <c r="F89" s="106">
        <f>SUM(F85:F88)+4</f>
        <v>8</v>
      </c>
      <c r="G89" s="107">
        <f>$E$23</f>
        <v>0.32</v>
      </c>
      <c r="H89" s="92">
        <f>IF(VLOOKUP($E89,武器奇术!$A:$R,18,FALSE)="天工",AE89,(AE89+AT89+BI89+BX89+CM89+DB89+DQ89))*(1+J89)*F89*K89*(1+G89)</f>
        <v>130414.023627625</v>
      </c>
      <c r="I89" s="93">
        <f t="shared" si="58"/>
        <v>0.0167298655000986</v>
      </c>
      <c r="J89" s="93">
        <f>$F$3+VLOOKUP($E89,武器奇术!$A:$R,12,FALSE)+VLOOKUP($E89,武器奇术!$A:$R,14,FALSE)*$G$3+$P89</f>
        <v>1.643</v>
      </c>
      <c r="K89" s="94">
        <f>VLOOKUP($E89,武器奇术!$A:$R,11,FALSE)</f>
        <v>1</v>
      </c>
      <c r="L89" s="109">
        <f>IF(VLOOKUP($E89,武器奇术!$A:$R,15,FALSE)="天工",0%,IF($C$17+VLOOKUP($E89,武器奇术!$A:$R,7,FALSE)&gt;80%,80%,$C$17+VLOOKUP($E89,武器奇术!$A:$R,7,FALSE))+IF($C$19&gt;20%,20%,$C$19))</f>
        <v>0.887</v>
      </c>
      <c r="M89" s="110">
        <f>IF(VLOOKUP($E89,武器奇术!$A:$R,15,FALSE)="天工",0%,IF($C$18+VLOOKUP($E89,武器奇术!$A:$R,9,FALSE)&gt;40%,40%,$C$18+VLOOKUP($E89,武器奇术!$A:$R,9,FALSE))+IF($C$20&gt;10%,10%,$C$20))</f>
        <v>0.0986</v>
      </c>
      <c r="N89" s="111">
        <f>IF(VLOOKUP($E89,武器奇术!$A:$R,15,FALSE)="天工",100%,MIN($C$16,1))</f>
        <v>1</v>
      </c>
      <c r="O89" s="112" t="str">
        <f>VLOOKUP($E89,武器奇术!$A:$R,16,FALSE)</f>
        <v>绳标</v>
      </c>
      <c r="P89" s="113">
        <f t="shared" si="59"/>
        <v>0.17</v>
      </c>
      <c r="Q89" s="99">
        <f>$B$5*(1+VLOOKUP($E89,武器奇术!$A:$R,5,FALSE)+IF($G$5="飞隼",0.1,0)+IF($G$5="撼天",0.05,0))-$F$9*IF(VLOOKUP($E89,武器奇术!$A:$S,19,FALSE)=1,0.9,1)+IF($I$5="√",160,0)</f>
        <v>2848.3</v>
      </c>
      <c r="R89" s="91">
        <f t="shared" si="60"/>
        <v>2848.3</v>
      </c>
      <c r="S89" s="91">
        <f>MAX($C$5,$B$5)*(1+VLOOKUP($E89,武器奇术!$A:$R,5,FALSE)+IF($G$5="飞隼",0.1,0)+IF($G$5="撼天",0.05,0))-$F$9*IF(VLOOKUP($E89,武器奇术!$A:$S,19,FALSE)=1,0.9,1)+IF($I$5="√",320,0)</f>
        <v>2848.3</v>
      </c>
      <c r="T89" s="93">
        <f>IF(($D$5+VLOOKUP($E89,武器奇术!$A:$R,13,FALSE)+IF($I$3="√",10,0)-VLOOKUP($F$7,目标属性!$A:$R,5,FALSE))&gt;0,($D$5+VLOOKUP($E89,武器奇术!$A:$R,13,FALSE)+IF($I$3="√",10,0)-VLOOKUP($F$7,目标属性!$A:$R,5,FALSE))/200,($D$5+VLOOKUP($E89,武器奇术!$A:$R,13,FALSE)+IF($I$3="√",10,0)-VLOOKUP($F$7,目标属性!$A:$R,5,FALSE))/100)</f>
        <v>0.2675</v>
      </c>
      <c r="U89" s="120">
        <f>$E$5+IF(VLOOKUP($E89,武器奇术!$A:$R,18,FALSE)="鼠鼠",0.24,0)+IF(期望!$G$5="燕归",6/100,0)</f>
        <v>0.3</v>
      </c>
      <c r="V89" s="91">
        <v>1</v>
      </c>
      <c r="W89" s="92">
        <f>Q89*VLOOKUP($E89,武器奇术!$A:$R,2,FALSE)*(1+T89)*(1+U89)*V89</f>
        <v>1642.65021375</v>
      </c>
      <c r="X89" s="93">
        <f>(1-IF(VLOOKUP($E89,武器奇术!$A:$R,16,FALSE)="陌刀",1,$N89))*(1-$M89)</f>
        <v>0</v>
      </c>
      <c r="Y89" s="92">
        <f>R89*VLOOKUP($E89,武器奇术!$A:$R,2,FALSE)*(1+T89)*(1+U89)*V89*(1+$E$16+VLOOKUP($E89,武器奇术!$A:$R,8,FALSE))</f>
        <v>3521.84205828</v>
      </c>
      <c r="Z89" s="93">
        <f t="shared" si="61"/>
        <v>0.887</v>
      </c>
      <c r="AA89" s="92">
        <f>S89*VLOOKUP($E89,武器奇术!$A:$R,2,FALSE)*(1+T89)*(1+U89)*V89*(1+$E$17+VLOOKUP($E89,武器奇术!$A:$R,10,FALSE))</f>
        <v>2217.5777885625</v>
      </c>
      <c r="AB89" s="93">
        <f t="shared" si="62"/>
        <v>0.0986</v>
      </c>
      <c r="AC89" s="92">
        <f>R89*VLOOKUP($E89,武器奇术!$A:$R,2,FALSE)*(1+T89)*(1+U89)*V89</f>
        <v>1642.65021375</v>
      </c>
      <c r="AD89" s="93">
        <f t="shared" si="63"/>
        <v>0.0144</v>
      </c>
      <c r="AE89" s="101">
        <f t="shared" si="64"/>
        <v>3366.18123872462</v>
      </c>
      <c r="AF89" s="102">
        <f>VLOOKUP($E89,武器奇术!$A:$R,3,FALSE)*(1+IF(VLOOKUP($E89,武器奇术!$A:$R,15,FALSE)="武器",$E$15,0))</f>
        <v>0</v>
      </c>
      <c r="AG89" s="92">
        <f t="shared" si="65"/>
        <v>0</v>
      </c>
      <c r="AH89" s="92">
        <f>VLOOKUP($E89,武器奇术!$A:$R,3,FALSE)*(1+IF(VLOOKUP($E89,武器奇术!$A:$R,15,FALSE)="武器",$E$15,0))</f>
        <v>0</v>
      </c>
      <c r="AI89" s="93">
        <f>IF(($D$5+VLOOKUP($E89,武器奇术!$A:$R,13,FALSE)+IF($I$3="√",10,0)-VLOOKUP($F$7,目标属性!$A:$R,5,FALSE))&gt;0,($D$5+VLOOKUP($E89,武器奇术!$A:$R,13,FALSE)+IF($I$3="√",10,0)-VLOOKUP($F$7,目标属性!$A:$R,5,FALSE))/200,($D$5+VLOOKUP($E89,武器奇术!$A:$R,13,FALSE)+IF($I$3="√",10,0)-VLOOKUP($F$7,目标属性!$A:$R,5,FALSE))/100)</f>
        <v>0.2675</v>
      </c>
      <c r="AJ89" s="120">
        <f>$E$5+IF(VLOOKUP($E89,武器奇术!$A:$R,18,FALSE)="鼠鼠",0.24,0)+IF(期望!$G$5="燕归",6/100,0)</f>
        <v>0.3</v>
      </c>
      <c r="AK89" s="91">
        <v>1</v>
      </c>
      <c r="AL89" s="92">
        <f t="shared" si="66"/>
        <v>0</v>
      </c>
      <c r="AM89" s="93">
        <f>(1-IF(VLOOKUP($E89,武器奇术!$A:$R,16,FALSE)="陌刀",1,$N89))*(1-$M89)</f>
        <v>0</v>
      </c>
      <c r="AN89" s="92">
        <f>AG89*(1+AI89)*(1+AJ89)*AK89*(1+$E$16+VLOOKUP($E89,武器奇术!$A:$R,8,FALSE))</f>
        <v>0</v>
      </c>
      <c r="AO89" s="93">
        <f t="shared" si="1"/>
        <v>0.887</v>
      </c>
      <c r="AP89" s="92">
        <f>AH89*(1+AI89)*(1+AJ89)*AK89*(1+$E$17+VLOOKUP($E89,武器奇术!$A:$R,10,FALSE))</f>
        <v>0</v>
      </c>
      <c r="AQ89" s="93">
        <f t="shared" si="2"/>
        <v>0.0986</v>
      </c>
      <c r="AR89" s="92">
        <f t="shared" si="67"/>
        <v>0</v>
      </c>
      <c r="AS89" s="93">
        <f t="shared" si="68"/>
        <v>0.0144</v>
      </c>
      <c r="AT89" s="101">
        <f t="shared" si="69"/>
        <v>0</v>
      </c>
      <c r="AU89" s="99">
        <f>IF(VLOOKUP($E89,武器奇术!$A:$R,18,FALSE)="极乐",0,$B$7*IF($G$5="撼天",1.05,1)+IF(AND(VLOOKUP($E89,武器奇术!$A:$R,15,FALSE)="武器",VLOOKUP($E89,武器奇术!$A:$R,17,FALSE)="鸣金"),$E$3*(1+$E$15),0))</f>
        <v>0</v>
      </c>
      <c r="AV89" s="91">
        <f t="shared" si="70"/>
        <v>0</v>
      </c>
      <c r="AW89" s="91">
        <f>IF(VLOOKUP($E89,武器奇术!$A:$R,18,FALSE)="极乐",0,MAX($C$7*IF($G$5="撼天",1.05,1)+IF(AND(VLOOKUP($E89,武器奇术!$A:$R,15,FALSE)="武器",VLOOKUP($E89,武器奇术!$A:$R,17,FALSE)="鸣金"),$E$3*(1+$E$15),0),AU89))</f>
        <v>0</v>
      </c>
      <c r="AX89" s="93">
        <f>IF(($D$7+IF(VLOOKUP($E89,武器奇术!$A:$R,17,FALSE)="鸣金",$D$15,0)-VLOOKUP($F$7,目标属性!$A:$R,6,FALSE))&gt;0,($D$7+IF(VLOOKUP($E89,武器奇术!$A:$R,17,FALSE)="鸣金",$D$15,0)-VLOOKUP($F$7,目标属性!$A:$R,6,FALSE))/200,($D$7+IF(VLOOKUP($E89,武器奇术!$A:$R,17,FALSE)="鸣金",$D$15,0)-VLOOKUP($F$7,目标属性!$A:$R,6,FALSE))/100)</f>
        <v>-0.24</v>
      </c>
      <c r="AY89" s="100">
        <f t="shared" si="89"/>
        <v>0</v>
      </c>
      <c r="AZ89" s="91">
        <v>1</v>
      </c>
      <c r="BA89" s="92">
        <f>AU89*IF(VLOOKUP($E89,武器奇术!$A:$R,17,FALSE)="鸣金",VLOOKUP($E89,武器奇术!$A:$R,4,FALSE),VLOOKUP($E89,武器奇术!$A:$R,2,FALSE))*(1+AX89)*(1+AY89)*AZ89</f>
        <v>0</v>
      </c>
      <c r="BB89" s="93">
        <f>(1-IF(VLOOKUP($E89,武器奇术!$A:$R,16,FALSE)="陌刀",1,$N89))*(1-$M89)</f>
        <v>0</v>
      </c>
      <c r="BC89" s="92">
        <f>AV89*IF(VLOOKUP($E89,武器奇术!$A:$R,17,FALSE)="鸣金",VLOOKUP($E89,武器奇术!$A:$R,4,FALSE),VLOOKUP($E89,武器奇术!$A:$R,2,FALSE))*(1+AX89)*(1+AY89)*AZ89*(1+$E$16+VLOOKUP($E89,武器奇术!$A:$R,8,FALSE))</f>
        <v>0</v>
      </c>
      <c r="BD89" s="93">
        <f t="shared" si="3"/>
        <v>0.887</v>
      </c>
      <c r="BE89" s="92">
        <f>AW89*IF(VLOOKUP($E89,武器奇术!$A:$R,17,FALSE)="鸣金",VLOOKUP($E89,武器奇术!$A:$R,4,FALSE),VLOOKUP($E89,武器奇术!$A:$R,2,FALSE))*(1+AX89)*(1+AY89)*AZ89*(1+$E$17+VLOOKUP($E89,武器奇术!$A:$R,10,FALSE))</f>
        <v>0</v>
      </c>
      <c r="BF89" s="93">
        <f t="shared" si="4"/>
        <v>0.0986</v>
      </c>
      <c r="BG89" s="92">
        <f>AV89*IF(VLOOKUP($E89,武器奇术!$A:$R,17,FALSE)="鸣金",VLOOKUP($E89,武器奇术!$A:$R,4,FALSE),VLOOKUP($E89,武器奇术!$A:$R,2,FALSE))*(1+AX89)*(1+AY89)*AZ89</f>
        <v>0</v>
      </c>
      <c r="BH89" s="93">
        <f t="shared" si="71"/>
        <v>0.0144</v>
      </c>
      <c r="BI89" s="101">
        <f t="shared" si="72"/>
        <v>0</v>
      </c>
      <c r="BJ89" s="99">
        <f>IF(VLOOKUP($E89,武器奇术!$A:$R,18,FALSE)="极乐",0,$B$9*IF($G$5="撼天",1.05,1)+IF(AND(VLOOKUP($E89,武器奇术!$A:$R,15,FALSE)="武器",VLOOKUP($E89,武器奇术!$A:$R,17,FALSE)="裂石"),$E$3*(1+$E$15),0))</f>
        <v>0</v>
      </c>
      <c r="BK89" s="91">
        <f t="shared" si="73"/>
        <v>0</v>
      </c>
      <c r="BL89" s="91">
        <f>IF(VLOOKUP($E89,武器奇术!$A:$R,18,FALSE)="极乐",0,MAX($C$9*IF($G$5="撼天",1.05,1)+IF(AND(VLOOKUP($E89,武器奇术!$A:$R,15,FALSE)="武器",VLOOKUP($E89,武器奇术!$A:$R,17,FALSE)="裂石"),$E$3*(1+$E$15),0),BJ89))</f>
        <v>0</v>
      </c>
      <c r="BM89" s="93">
        <f>IF(($D$9+IF(VLOOKUP($E89,武器奇术!$A:$R,17,FALSE)="裂石",$D$15,0)-VLOOKUP($F$7,目标属性!$A:$R,6,FALSE))&gt;0,($D$9+IF(VLOOKUP($E89,武器奇术!$A:$R,17,FALSE)="裂石",$D$15,0)-VLOOKUP($F$7,目标属性!$A:$R,6,FALSE))/200,($D$9+IF(VLOOKUP($E89,武器奇术!$A:$R,17,FALSE)="裂石",$D$15,0)-VLOOKUP($F$7,目标属性!$A:$R,6,FALSE))/100)</f>
        <v>-0.24</v>
      </c>
      <c r="BN89" s="100">
        <f t="shared" si="90"/>
        <v>0</v>
      </c>
      <c r="BO89" s="91">
        <v>1</v>
      </c>
      <c r="BP89" s="92">
        <f>BJ89*IF(VLOOKUP($E89,武器奇术!$A:$R,17,FALSE)="裂石",VLOOKUP($E89,武器奇术!$A:$R,4,FALSE),VLOOKUP($E89,武器奇术!$A:$R,2,FALSE))*(1+BM89)*(1+BN89)*BO89</f>
        <v>0</v>
      </c>
      <c r="BQ89" s="93">
        <f>(1-IF(VLOOKUP($E89,武器奇术!$A:$R,16,FALSE)="陌刀",1,$N89))*(1-$M89)</f>
        <v>0</v>
      </c>
      <c r="BR89" s="92">
        <f>BK89*IF(VLOOKUP($E89,武器奇术!$A:$R,17,FALSE)="裂石",VLOOKUP($E89,武器奇术!$A:$R,4,FALSE),VLOOKUP($E89,武器奇术!$A:$R,2,FALSE))*(1+BM89)*(1+BN89)*BO89*(1+$E$16+VLOOKUP($E89,武器奇术!$A:$R,8,FALSE))</f>
        <v>0</v>
      </c>
      <c r="BS89" s="93">
        <f t="shared" si="5"/>
        <v>0.887</v>
      </c>
      <c r="BT89" s="92">
        <f>BL89*IF(VLOOKUP($E89,武器奇术!$A:$R,17,FALSE)="裂石",VLOOKUP($E89,武器奇术!$A:$R,4,FALSE),VLOOKUP($E89,武器奇术!$A:$R,2,FALSE))*(1+BM89)*(1+BN89)*BO89*(1+$E$17+VLOOKUP($E89,武器奇术!$A:$R,10,FALSE))</f>
        <v>0</v>
      </c>
      <c r="BU89" s="93">
        <f t="shared" si="6"/>
        <v>0.0986</v>
      </c>
      <c r="BV89" s="92">
        <f>BK89*IF(VLOOKUP($E89,武器奇术!$A:$R,17,FALSE)="裂石",VLOOKUP($E89,武器奇术!$A:$R,4,FALSE),VLOOKUP($E89,武器奇术!$A:$R,2,FALSE))*(1+BM89)*(1+BN89)*BO89</f>
        <v>0</v>
      </c>
      <c r="BW89" s="93">
        <f t="shared" si="74"/>
        <v>0.0144</v>
      </c>
      <c r="BX89" s="101">
        <f t="shared" si="75"/>
        <v>0</v>
      </c>
      <c r="BY89" s="99">
        <f>IF(VLOOKUP($E89,武器奇术!$A:$R,18,FALSE)="极乐",0,$B$11*IF($G$5="撼天",1.05,1)+IF(AND(VLOOKUP($E89,武器奇术!$A:$R,15,FALSE)="武器",VLOOKUP($E89,武器奇术!$A:$R,17,FALSE)="牵丝"),$E$3*(1+$E$15),0))</f>
        <v>0</v>
      </c>
      <c r="BZ89" s="91">
        <f t="shared" si="76"/>
        <v>0</v>
      </c>
      <c r="CA89" s="91">
        <f>IF(VLOOKUP($E89,武器奇术!$A:$R,18,FALSE)="极乐",0,MAX($C$11*IF($G$5="撼天",1.05,1)+IF(AND(VLOOKUP($E89,武器奇术!$A:$R,15,FALSE)="武器",VLOOKUP($E89,武器奇术!$A:$R,17,FALSE)="牵丝"),$E$3*(1+$E$15),0),BY89))</f>
        <v>0</v>
      </c>
      <c r="CB89" s="93">
        <f>IF(($D$11+IF(VLOOKUP($E89,武器奇术!$A:$R,17,FALSE)="牵丝",$D$15,0)-VLOOKUP($F$7,目标属性!$A:$R,6,FALSE))&gt;0,($D$11+IF(VLOOKUP($E89,武器奇术!$A:$R,17,FALSE)="牵丝",$D$15,0)-VLOOKUP($F$7,目标属性!$A:$R,6,FALSE))/200,($D$11+IF(VLOOKUP($E89,武器奇术!$A:$R,17,FALSE)="牵丝",$D$15,0)-VLOOKUP($F$7,目标属性!$A:$R,6,FALSE))/100)</f>
        <v>-0.24</v>
      </c>
      <c r="CC89" s="100">
        <f t="shared" si="91"/>
        <v>0</v>
      </c>
      <c r="CD89" s="91">
        <v>1</v>
      </c>
      <c r="CE89" s="92">
        <f>BY89*IF(VLOOKUP($E89,武器奇术!$A:$R,17,FALSE)="牵丝",VLOOKUP($E89,武器奇术!$A:$R,4,FALSE),VLOOKUP($E89,武器奇术!$A:$R,2,FALSE))*(1+CB89)*(1+CC89)*CD89</f>
        <v>0</v>
      </c>
      <c r="CF89" s="93">
        <f>(1-IF(VLOOKUP($E89,武器奇术!$A:$R,16,FALSE)="陌刀",1,$N89))*(1-$M89)</f>
        <v>0</v>
      </c>
      <c r="CG89" s="92">
        <f>BZ89*IF(VLOOKUP($E89,武器奇术!$A:$R,17,FALSE)="牵丝",VLOOKUP($E89,武器奇术!$A:$R,4,FALSE),VLOOKUP($E89,武器奇术!$A:$R,2,FALSE))*(1+CB89)*(1+CC89)*CD89*(1+$E$16+VLOOKUP($E89,武器奇术!$A:$R,8,FALSE))</f>
        <v>0</v>
      </c>
      <c r="CH89" s="93">
        <f t="shared" si="7"/>
        <v>0.887</v>
      </c>
      <c r="CI89" s="92">
        <f>CA89*IF(VLOOKUP($E89,武器奇术!$A:$R,17,FALSE)="牵丝",VLOOKUP($E89,武器奇术!$A:$R,4,FALSE),VLOOKUP($E89,武器奇术!$A:$R,2,FALSE))*(1+CB89)*(1+CC89)*CD89*(1+$E$17+VLOOKUP($E89,武器奇术!$A:$R,10,FALSE))</f>
        <v>0</v>
      </c>
      <c r="CJ89" s="93">
        <f t="shared" si="8"/>
        <v>0.0986</v>
      </c>
      <c r="CK89" s="92">
        <f>BZ89*IF(VLOOKUP($E89,武器奇术!$A:$R,17,FALSE)="牵丝",VLOOKUP($E89,武器奇术!$A:$R,4,FALSE),VLOOKUP($E89,武器奇术!$A:$R,2,FALSE))*(1+CB89)*(1+CC89)*CD89</f>
        <v>0</v>
      </c>
      <c r="CL89" s="93">
        <f t="shared" si="77"/>
        <v>0.0144</v>
      </c>
      <c r="CM89" s="101">
        <f t="shared" si="78"/>
        <v>0</v>
      </c>
      <c r="CN89" s="99">
        <f>IF(VLOOKUP($E89,武器奇术!$A:$R,18,FALSE)="极乐",0,$B$13*IF($G$5="撼天",1.05,1)+IF(AND(VLOOKUP($E89,武器奇术!$A:$R,15,FALSE)="武器",VLOOKUP($E89,武器奇术!$A:$R,17,FALSE)="破竹"),$E$3*(1+$E$15),0))</f>
        <v>490.8</v>
      </c>
      <c r="CO89" s="91">
        <f t="shared" si="79"/>
        <v>856.3</v>
      </c>
      <c r="CP89" s="91">
        <f>IF(VLOOKUP($E89,武器奇术!$A:$R,18,FALSE)="极乐",0,MAX($C$13*IF($G$5="撼天",1.05,1)+IF(AND(VLOOKUP($E89,武器奇术!$A:$R,15,FALSE)="武器",VLOOKUP($E89,武器奇术!$A:$R,17,FALSE)="破竹"),$E$3*(1+$E$15),0),CN89))</f>
        <v>1221.8</v>
      </c>
      <c r="CQ89" s="93">
        <f>IF(($D$13+IF(VLOOKUP($E89,武器奇术!$A:$R,17,FALSE)="破竹",$D$15,0)-VLOOKUP($F$7,目标属性!$A:$R,6,FALSE)+IF(VLOOKUP($E89,武器奇术!$A:$V,22,FALSE)=1,4,0)+IF(VLOOKUP($E89,武器奇术!$A:$T,20,FALSE)=1,10,0))&gt;0,($D$13+IF(VLOOKUP($E89,武器奇术!$A:$R,17,FALSE)="破竹",$D$15,0)-VLOOKUP($F$7,目标属性!$A:$R,6,FALSE)+IF(VLOOKUP($E89,武器奇术!$A:$V,22,FALSE)=1,4,0)+IF(VLOOKUP($E89,武器奇术!$A:$T,20,FALSE)=1,10,0))/200,($D$13+IF(VLOOKUP($E89,武器奇术!$A:$R,17,FALSE)="破竹",$D$15,0)-VLOOKUP($F$7,目标属性!$A:$R,6,FALSE)+IF(VLOOKUP($E89,武器奇术!$A:$V,22,FALSE)=1,4,0)+IF(VLOOKUP($E89,武器奇术!$A:$T,20,FALSE)=1,10,0))/100)</f>
        <v>0.028</v>
      </c>
      <c r="CR89" s="120">
        <f>$E$13+IF(期望!$G$5="燕归",6%,0)</f>
        <v>0.208</v>
      </c>
      <c r="CS89" s="91">
        <v>1</v>
      </c>
      <c r="CT89" s="92">
        <f>CN89*IF(VLOOKUP($E89,武器奇术!$A:$R,17,FALSE)="破竹",VLOOKUP($E89,武器奇术!$A:$R,4,FALSE),VLOOKUP($E89,武器奇术!$A:$R,2,FALSE))*(1+CQ89)*(1+CR89)*CS89</f>
        <v>319.98079008</v>
      </c>
      <c r="CU89" s="93">
        <f>(1-IF(VLOOKUP($E89,武器奇术!$A:$R,16,FALSE)="陌刀",1,$N89))*(1-$M89)</f>
        <v>0</v>
      </c>
      <c r="CV89" s="92">
        <f>CO89*IF(VLOOKUP($E89,武器奇术!$A:$R,17,FALSE)="破竹",VLOOKUP($E89,武器奇术!$A:$R,4,FALSE),VLOOKUP($E89,武器奇术!$A:$R,2,FALSE))*(1+CQ89)*(1+CR89)*CS89*(1+$E$16+VLOOKUP($E89,武器奇术!$A:$R,8,FALSE))</f>
        <v>1196.93365193472</v>
      </c>
      <c r="CW89" s="93">
        <f t="shared" si="9"/>
        <v>0.887</v>
      </c>
      <c r="CX89" s="92">
        <f>CP89*IF(VLOOKUP($E89,武器奇术!$A:$R,17,FALSE)="破竹",VLOOKUP($E89,武器奇术!$A:$R,4,FALSE),VLOOKUP($E89,武器奇术!$A:$R,2,FALSE))*(1+CQ89)*(1+CR89)*CS89*(1+$E$17+VLOOKUP($E89,武器奇术!$A:$R,10,FALSE))</f>
        <v>1075.358424168</v>
      </c>
      <c r="CY89" s="93">
        <f t="shared" si="10"/>
        <v>0.0986</v>
      </c>
      <c r="CZ89" s="92">
        <f>CO89*IF(VLOOKUP($E89,武器奇术!$A:$R,17,FALSE)="破竹",VLOOKUP($E89,武器奇术!$A:$R,4,FALSE),VLOOKUP($E89,武器奇术!$A:$R,2,FALSE))*(1+CQ89)*(1+CR89)*CS89</f>
        <v>558.27129288</v>
      </c>
      <c r="DA89" s="93">
        <f t="shared" si="80"/>
        <v>0.0144</v>
      </c>
      <c r="DB89" s="101">
        <f t="shared" si="81"/>
        <v>1175.74959650653</v>
      </c>
      <c r="DC89" s="99">
        <f>IF(VLOOKUP($E89,武器奇术!$A:$R,18,FALSE)="极乐",0,$B$15)</f>
        <v>66</v>
      </c>
      <c r="DD89" s="91">
        <f t="shared" si="82"/>
        <v>95.9</v>
      </c>
      <c r="DE89" s="91">
        <f>IF(VLOOKUP($E89,武器奇术!$A:$R,18,FALSE)="极乐",0,$C$15)</f>
        <v>125.8</v>
      </c>
      <c r="DF89" s="93">
        <f>IF((IF(VLOOKUP($E89,武器奇术!$A:$R,17,FALSE)="鸣金",$D$7,0)+IF(VLOOKUP($E89,武器奇术!$A:$R,17,FALSE)="裂石",$D$9,0)+IF(VLOOKUP($E89,武器奇术!$A:$R,17,FALSE)="牵丝",$D$11,0)+IF(VLOOKUP($E89,武器奇术!$A:$R,17,FALSE)="破竹",$D$13,0)+$D$15-VLOOKUP($F$7,目标属性!$A:$R,6,FALSE)+IF(VLOOKUP($E89,武器奇术!$A:$V,22,FALSE)=1,4,0)+IF(VLOOKUP($E89,武器奇术!$A:$T,20,FALSE)=1,10,0))&gt;0,(IF(VLOOKUP($E89,武器奇术!$A:$R,17,FALSE)="鸣金",$D$7,0)+IF(VLOOKUP($E89,武器奇术!$A:$R,17,FALSE)="裂石",$D$9,0)+IF(VLOOKUP($E89,武器奇术!$A:$R,17,FALSE)="牵丝",$D$11,0)+IF(VLOOKUP($E89,武器奇术!$A:$R,17,FALSE)="破竹",$D$13,0)+$D$15-VLOOKUP($F$7,目标属性!$A:$R,6,FALSE)+IF(VLOOKUP($E89,武器奇术!$A:$V,22,FALSE)=1,4,0)+IF(VLOOKUP($E89,武器奇术!$A:$T,20,FALSE)=1,10,0))/200,(IF(VLOOKUP($E89,武器奇术!$A:$R,17,FALSE)="鸣金",$D$7,0)+IF(VLOOKUP($E89,武器奇术!$A:$R,17,FALSE)="裂石",$D$9,0)+IF(VLOOKUP($E89,武器奇术!$A:$R,17,FALSE)="牵丝",$D$11,0)+IF(VLOOKUP($E89,武器奇术!$A:$R,17,FALSE)="破竹",$D$13,0)+$D$15-VLOOKUP($F$7,目标属性!$A:$R,6,FALSE)+IF(VLOOKUP($E89,武器奇术!$A:$V,22,FALSE)=1,4,0)+IF(VLOOKUP($E89,武器奇术!$A:$T,20,FALSE)=1,10,0))/100)</f>
        <v>0.028</v>
      </c>
      <c r="DG89" s="120">
        <f>$E$13+IF(期望!$G$5="燕归",6%,0)</f>
        <v>0.208</v>
      </c>
      <c r="DH89" s="91">
        <v>1</v>
      </c>
      <c r="DI89" s="92">
        <f>DC89*IF(VLOOKUP($E89,武器奇术!$A:$R,17,FALSE)="破竹",VLOOKUP($E89,武器奇术!$A:$R,4,FALSE),VLOOKUP($E89,武器奇术!$A:$R,2,FALSE))*(1+DF89)*(1+DG89)*DH89</f>
        <v>43.0292016</v>
      </c>
      <c r="DJ89" s="93">
        <f>(1-IF(VLOOKUP($E89,武器奇术!$A:$R,16,FALSE)="陌刀",1,$N89))*(1-$M89)</f>
        <v>0</v>
      </c>
      <c r="DK89" s="92">
        <f>DD89*IF(VLOOKUP($E89,武器奇术!$A:$R,17,FALSE)="破竹",VLOOKUP($E89,武器奇术!$A:$R,4,FALSE),VLOOKUP($E89,武器奇术!$A:$R,2,FALSE))*(1+DF89)*(1+DG89)*DH89*(1+$E$16+VLOOKUP($E89,武器奇术!$A:$R,8,FALSE))</f>
        <v>134.04874135296</v>
      </c>
      <c r="DL89" s="93">
        <f t="shared" si="12"/>
        <v>0.887</v>
      </c>
      <c r="DM89" s="92">
        <f>DE89*IF(VLOOKUP($E89,武器奇术!$A:$R,17,FALSE)="破竹",VLOOKUP($E89,武器奇术!$A:$R,4,FALSE),VLOOKUP($E89,武器奇术!$A:$R,2,FALSE))*(1+DF89)*(1+DG89)*DH89*(1+$E$17+VLOOKUP($E89,武器奇术!$A:$R,10,FALSE))</f>
        <v>110.721959208</v>
      </c>
      <c r="DN89" s="93">
        <f t="shared" si="13"/>
        <v>0.0986</v>
      </c>
      <c r="DO89" s="92">
        <f>DD89*IF(VLOOKUP($E89,武器奇术!$A:$R,17,FALSE)="破竹",VLOOKUP($E89,武器奇术!$A:$R,4,FALSE),VLOOKUP($E89,武器奇术!$A:$R,2,FALSE))*(1+DF89)*(1+DG89)*DH89</f>
        <v>62.52273384</v>
      </c>
      <c r="DP89" s="93">
        <f t="shared" si="14"/>
        <v>0.0144</v>
      </c>
      <c r="DQ89" s="101">
        <f t="shared" si="15"/>
        <v>130.71874612528</v>
      </c>
    </row>
    <row r="90" spans="1:121">
      <c r="A90" s="33"/>
      <c r="B90" s="130">
        <v>12345</v>
      </c>
      <c r="C90">
        <v>3.3</v>
      </c>
      <c r="D90" s="33"/>
      <c r="E90" s="105" t="s">
        <v>179</v>
      </c>
      <c r="F90" s="123">
        <f>IF($K$3="×",0,(F85*2+F86+F87*8+F88*5+F89)*0.15/3.5)</f>
        <v>0</v>
      </c>
      <c r="G90" s="107"/>
      <c r="H90" s="92">
        <f>IF(VLOOKUP($E90,武器奇术!$A:$R,18,FALSE)="天工",AE90,(AE90+AT90+BI90+BX90+CM90+DB90+DQ90))*(1+J90)*F90*K90*(1+G90)</f>
        <v>0</v>
      </c>
      <c r="I90" s="93">
        <f t="shared" si="58"/>
        <v>0</v>
      </c>
      <c r="J90" s="93">
        <f>$F$3+VLOOKUP($E90,武器奇术!$A:$R,12,FALSE)+VLOOKUP($E90,武器奇术!$A:$R,14,FALSE)*$G$3+$P90</f>
        <v>0.553</v>
      </c>
      <c r="K90" s="94">
        <f>VLOOKUP($E90,武器奇术!$A:$R,11,FALSE)</f>
        <v>1</v>
      </c>
      <c r="L90" s="109">
        <f>IF(VLOOKUP($E90,武器奇术!$A:$R,15,FALSE)="天工",0%,IF($C$17+VLOOKUP($E90,武器奇术!$A:$R,7,FALSE)&gt;80%,80%,$C$17+VLOOKUP($E90,武器奇术!$A:$R,7,FALSE))+IF($C$19&gt;20%,20%,$C$19))</f>
        <v>0.887</v>
      </c>
      <c r="M90" s="110">
        <f>IF(VLOOKUP($E90,武器奇术!$A:$R,15,FALSE)="天工",0%,IF($C$18+VLOOKUP($E90,武器奇术!$A:$R,9,FALSE)&gt;40%,40%,$C$18+VLOOKUP($E90,武器奇术!$A:$R,9,FALSE))+IF($C$20&gt;10%,10%,$C$20))</f>
        <v>0.0986</v>
      </c>
      <c r="N90" s="111">
        <f>IF(VLOOKUP($E90,武器奇术!$A:$R,15,FALSE)="天工",100%,MIN($C$16,1))</f>
        <v>1</v>
      </c>
      <c r="O90" s="112" t="str">
        <f>VLOOKUP($E90,武器奇术!$A:$R,16,FALSE)</f>
        <v>N/A</v>
      </c>
      <c r="P90" s="113">
        <f t="shared" si="59"/>
        <v>0</v>
      </c>
      <c r="Q90" s="99">
        <f>$B$5*(1+VLOOKUP($E90,武器奇术!$A:$R,5,FALSE)+IF($G$5="飞隼",0.1,0)+IF($G$5="撼天",0.05,0))-$F$9*IF(VLOOKUP($E90,武器奇术!$A:$S,19,FALSE)=1,0.9,1)+IF($I$5="√",160,0)</f>
        <v>2848.3</v>
      </c>
      <c r="R90" s="91">
        <f t="shared" si="60"/>
        <v>2848.3</v>
      </c>
      <c r="S90" s="91">
        <f>MAX($C$5,$B$5)*(1+VLOOKUP($E90,武器奇术!$A:$R,5,FALSE)+IF($G$5="飞隼",0.1,0)+IF($G$5="撼天",0.05,0))-$F$9*IF(VLOOKUP($E90,武器奇术!$A:$S,19,FALSE)=1,0.9,1)+IF($I$5="√",320,0)</f>
        <v>2848.3</v>
      </c>
      <c r="T90" s="93">
        <f>IF(($D$5+VLOOKUP($E90,武器奇术!$A:$R,13,FALSE)+IF($I$3="√",10,0)-VLOOKUP($F$7,目标属性!$A:$R,5,FALSE))&gt;0,($D$5+VLOOKUP($E90,武器奇术!$A:$R,13,FALSE)+IF($I$3="√",10,0)-VLOOKUP($F$7,目标属性!$A:$R,5,FALSE))/200,($D$5+VLOOKUP($E90,武器奇术!$A:$R,13,FALSE)+IF($I$3="√",10,0)-VLOOKUP($F$7,目标属性!$A:$R,5,FALSE))/100)</f>
        <v>0.2675</v>
      </c>
      <c r="U90" s="120">
        <f>$E$5+IF(VLOOKUP($E90,武器奇术!$A:$R,18,FALSE)="鼠鼠",0.24,0)+IF(期望!$G$5="燕归",6/100,0)</f>
        <v>0.06</v>
      </c>
      <c r="V90" s="91">
        <v>1</v>
      </c>
      <c r="W90" s="92">
        <f>Q90*VLOOKUP($E90,武器奇术!$A:$R,2,FALSE)*(1+T90)*(1+U90)*V90</f>
        <v>7653.66693</v>
      </c>
      <c r="X90" s="93">
        <f>(1-IF(VLOOKUP($E90,武器奇术!$A:$R,16,FALSE)="陌刀",1,$N90))*(1-$M90)</f>
        <v>0</v>
      </c>
      <c r="Y90" s="92">
        <f>R90*VLOOKUP($E90,武器奇术!$A:$R,2,FALSE)*(1+T90)*(1+U90)*V90*(1+$E$16+VLOOKUP($E90,武器奇术!$A:$R,8,FALSE))</f>
        <v>16409.46189792</v>
      </c>
      <c r="Z90" s="93">
        <f t="shared" si="61"/>
        <v>0.887</v>
      </c>
      <c r="AA90" s="92">
        <f>S90*VLOOKUP($E90,武器奇术!$A:$R,2,FALSE)*(1+T90)*(1+U90)*V90*(1+$E$17+VLOOKUP($E90,武器奇术!$A:$R,10,FALSE))</f>
        <v>10332.4503555</v>
      </c>
      <c r="AB90" s="93">
        <f t="shared" si="62"/>
        <v>0.0986</v>
      </c>
      <c r="AC90" s="92">
        <f>R90*VLOOKUP($E90,武器奇术!$A:$R,2,FALSE)*(1+T90)*(1+U90)*V90</f>
        <v>7653.66693</v>
      </c>
      <c r="AD90" s="93">
        <f t="shared" si="63"/>
        <v>0.0144</v>
      </c>
      <c r="AE90" s="101">
        <f t="shared" si="64"/>
        <v>15684.1851122993</v>
      </c>
      <c r="AF90" s="102">
        <f>VLOOKUP($E90,武器奇术!$A:$R,3,FALSE)*(1+IF(VLOOKUP($E90,武器奇术!$A:$R,15,FALSE)="武器",$E$15,0))</f>
        <v>0</v>
      </c>
      <c r="AG90" s="92">
        <f t="shared" si="65"/>
        <v>0</v>
      </c>
      <c r="AH90" s="92">
        <f>VLOOKUP($E90,武器奇术!$A:$R,3,FALSE)*(1+IF(VLOOKUP($E90,武器奇术!$A:$R,15,FALSE)="武器",$E$15,0))</f>
        <v>0</v>
      </c>
      <c r="AI90" s="93">
        <f>IF(($D$5+VLOOKUP($E90,武器奇术!$A:$R,13,FALSE)+IF($I$3="√",10,0)-VLOOKUP($F$7,目标属性!$A:$R,5,FALSE))&gt;0,($D$5+VLOOKUP($E90,武器奇术!$A:$R,13,FALSE)+IF($I$3="√",10,0)-VLOOKUP($F$7,目标属性!$A:$R,5,FALSE))/200,($D$5+VLOOKUP($E90,武器奇术!$A:$R,13,FALSE)+IF($I$3="√",10,0)-VLOOKUP($F$7,目标属性!$A:$R,5,FALSE))/100)</f>
        <v>0.2675</v>
      </c>
      <c r="AJ90" s="120">
        <f>$E$5+IF(VLOOKUP($E90,武器奇术!$A:$R,18,FALSE)="鼠鼠",0.24,0)+IF(期望!$G$5="燕归",6/100,0)</f>
        <v>0.06</v>
      </c>
      <c r="AK90" s="91">
        <v>1</v>
      </c>
      <c r="AL90" s="92">
        <f t="shared" si="66"/>
        <v>0</v>
      </c>
      <c r="AM90" s="93">
        <f>(1-IF(VLOOKUP($E90,武器奇术!$A:$R,16,FALSE)="陌刀",1,$N90))*(1-$M90)</f>
        <v>0</v>
      </c>
      <c r="AN90" s="92">
        <f>AG90*(1+AI90)*(1+AJ90)*AK90*(1+$E$16+VLOOKUP($E90,武器奇术!$A:$R,8,FALSE))</f>
        <v>0</v>
      </c>
      <c r="AO90" s="93">
        <f t="shared" si="1"/>
        <v>0.887</v>
      </c>
      <c r="AP90" s="92">
        <f>AH90*(1+AI90)*(1+AJ90)*AK90*(1+$E$17+VLOOKUP($E90,武器奇术!$A:$R,10,FALSE))</f>
        <v>0</v>
      </c>
      <c r="AQ90" s="93">
        <f t="shared" si="2"/>
        <v>0.0986</v>
      </c>
      <c r="AR90" s="92">
        <f t="shared" si="67"/>
        <v>0</v>
      </c>
      <c r="AS90" s="93">
        <f t="shared" si="68"/>
        <v>0.0144</v>
      </c>
      <c r="AT90" s="101">
        <f t="shared" si="69"/>
        <v>0</v>
      </c>
      <c r="AU90" s="99">
        <f>IF(VLOOKUP($E90,武器奇术!$A:$R,18,FALSE)="极乐",0,$B$7*IF($G$5="撼天",1.05,1)+IF(AND(VLOOKUP($E90,武器奇术!$A:$R,15,FALSE)="武器",VLOOKUP($E90,武器奇术!$A:$R,17,FALSE)="鸣金"),$E$3*(1+$E$15),0))</f>
        <v>0</v>
      </c>
      <c r="AV90" s="91">
        <f t="shared" si="70"/>
        <v>0</v>
      </c>
      <c r="AW90" s="91">
        <f>IF(VLOOKUP($E90,武器奇术!$A:$R,18,FALSE)="极乐",0,MAX($C$7*IF($G$5="撼天",1.05,1)+IF(AND(VLOOKUP($E90,武器奇术!$A:$R,15,FALSE)="武器",VLOOKUP($E90,武器奇术!$A:$R,17,FALSE)="鸣金"),$E$3*(1+$E$15),0),AU90))</f>
        <v>0</v>
      </c>
      <c r="AX90" s="93">
        <f>IF(($D$7+IF(VLOOKUP($E90,武器奇术!$A:$R,17,FALSE)="鸣金",$D$15,0)-VLOOKUP($F$7,目标属性!$A:$R,6,FALSE))&gt;0,($D$7+IF(VLOOKUP($E90,武器奇术!$A:$R,17,FALSE)="鸣金",$D$15,0)-VLOOKUP($F$7,目标属性!$A:$R,6,FALSE))/200,($D$7+IF(VLOOKUP($E90,武器奇术!$A:$R,17,FALSE)="鸣金",$D$15,0)-VLOOKUP($F$7,目标属性!$A:$R,6,FALSE))/100)</f>
        <v>-0.24</v>
      </c>
      <c r="AY90" s="100">
        <f t="shared" si="89"/>
        <v>0</v>
      </c>
      <c r="AZ90" s="91">
        <v>1</v>
      </c>
      <c r="BA90" s="92">
        <f>AU90*IF(VLOOKUP($E90,武器奇术!$A:$R,17,FALSE)="鸣金",VLOOKUP($E90,武器奇术!$A:$R,4,FALSE),VLOOKUP($E90,武器奇术!$A:$R,2,FALSE))*(1+AX90)*(1+AY90)*AZ90</f>
        <v>0</v>
      </c>
      <c r="BB90" s="93">
        <f>(1-IF(VLOOKUP($E90,武器奇术!$A:$R,16,FALSE)="陌刀",1,$N90))*(1-$M90)</f>
        <v>0</v>
      </c>
      <c r="BC90" s="92">
        <f>AV90*IF(VLOOKUP($E90,武器奇术!$A:$R,17,FALSE)="鸣金",VLOOKUP($E90,武器奇术!$A:$R,4,FALSE),VLOOKUP($E90,武器奇术!$A:$R,2,FALSE))*(1+AX90)*(1+AY90)*AZ90*(1+$E$16+VLOOKUP($E90,武器奇术!$A:$R,8,FALSE))</f>
        <v>0</v>
      </c>
      <c r="BD90" s="93">
        <f t="shared" si="3"/>
        <v>0.887</v>
      </c>
      <c r="BE90" s="92">
        <f>AW90*IF(VLOOKUP($E90,武器奇术!$A:$R,17,FALSE)="鸣金",VLOOKUP($E90,武器奇术!$A:$R,4,FALSE),VLOOKUP($E90,武器奇术!$A:$R,2,FALSE))*(1+AX90)*(1+AY90)*AZ90*(1+$E$17+VLOOKUP($E90,武器奇术!$A:$R,10,FALSE))</f>
        <v>0</v>
      </c>
      <c r="BF90" s="93">
        <f t="shared" si="4"/>
        <v>0.0986</v>
      </c>
      <c r="BG90" s="92">
        <f>AV90*IF(VLOOKUP($E90,武器奇术!$A:$R,17,FALSE)="鸣金",VLOOKUP($E90,武器奇术!$A:$R,4,FALSE),VLOOKUP($E90,武器奇术!$A:$R,2,FALSE))*(1+AX90)*(1+AY90)*AZ90</f>
        <v>0</v>
      </c>
      <c r="BH90" s="93">
        <f t="shared" si="71"/>
        <v>0.0144</v>
      </c>
      <c r="BI90" s="101">
        <f t="shared" si="72"/>
        <v>0</v>
      </c>
      <c r="BJ90" s="99">
        <f>IF(VLOOKUP($E90,武器奇术!$A:$R,18,FALSE)="极乐",0,$B$9*IF($G$5="撼天",1.05,1)+IF(AND(VLOOKUP($E90,武器奇术!$A:$R,15,FALSE)="武器",VLOOKUP($E90,武器奇术!$A:$R,17,FALSE)="裂石"),$E$3*(1+$E$15),0))</f>
        <v>0</v>
      </c>
      <c r="BK90" s="91">
        <f t="shared" si="73"/>
        <v>0</v>
      </c>
      <c r="BL90" s="91">
        <f>IF(VLOOKUP($E90,武器奇术!$A:$R,18,FALSE)="极乐",0,MAX($C$9*IF($G$5="撼天",1.05,1)+IF(AND(VLOOKUP($E90,武器奇术!$A:$R,15,FALSE)="武器",VLOOKUP($E90,武器奇术!$A:$R,17,FALSE)="裂石"),$E$3*(1+$E$15),0),BJ90))</f>
        <v>0</v>
      </c>
      <c r="BM90" s="93">
        <f>IF(($D$9+IF(VLOOKUP($E90,武器奇术!$A:$R,17,FALSE)="裂石",$D$15,0)-VLOOKUP($F$7,目标属性!$A:$R,6,FALSE))&gt;0,($D$9+IF(VLOOKUP($E90,武器奇术!$A:$R,17,FALSE)="裂石",$D$15,0)-VLOOKUP($F$7,目标属性!$A:$R,6,FALSE))/200,($D$9+IF(VLOOKUP($E90,武器奇术!$A:$R,17,FALSE)="裂石",$D$15,0)-VLOOKUP($F$7,目标属性!$A:$R,6,FALSE))/100)</f>
        <v>-0.24</v>
      </c>
      <c r="BN90" s="100">
        <f t="shared" si="90"/>
        <v>0</v>
      </c>
      <c r="BO90" s="91">
        <v>1</v>
      </c>
      <c r="BP90" s="92">
        <f>BJ90*IF(VLOOKUP($E90,武器奇术!$A:$R,17,FALSE)="裂石",VLOOKUP($E90,武器奇术!$A:$R,4,FALSE),VLOOKUP($E90,武器奇术!$A:$R,2,FALSE))*(1+BM90)*(1+BN90)*BO90</f>
        <v>0</v>
      </c>
      <c r="BQ90" s="93">
        <f>(1-IF(VLOOKUP($E90,武器奇术!$A:$R,16,FALSE)="陌刀",1,$N90))*(1-$M90)</f>
        <v>0</v>
      </c>
      <c r="BR90" s="92">
        <f>BK90*IF(VLOOKUP($E90,武器奇术!$A:$R,17,FALSE)="裂石",VLOOKUP($E90,武器奇术!$A:$R,4,FALSE),VLOOKUP($E90,武器奇术!$A:$R,2,FALSE))*(1+BM90)*(1+BN90)*BO90*(1+$E$16+VLOOKUP($E90,武器奇术!$A:$R,8,FALSE))</f>
        <v>0</v>
      </c>
      <c r="BS90" s="93">
        <f t="shared" si="5"/>
        <v>0.887</v>
      </c>
      <c r="BT90" s="92">
        <f>BL90*IF(VLOOKUP($E90,武器奇术!$A:$R,17,FALSE)="裂石",VLOOKUP($E90,武器奇术!$A:$R,4,FALSE),VLOOKUP($E90,武器奇术!$A:$R,2,FALSE))*(1+BM90)*(1+BN90)*BO90*(1+$E$17+VLOOKUP($E90,武器奇术!$A:$R,10,FALSE))</f>
        <v>0</v>
      </c>
      <c r="BU90" s="93">
        <f t="shared" si="6"/>
        <v>0.0986</v>
      </c>
      <c r="BV90" s="92">
        <f>BK90*IF(VLOOKUP($E90,武器奇术!$A:$R,17,FALSE)="裂石",VLOOKUP($E90,武器奇术!$A:$R,4,FALSE),VLOOKUP($E90,武器奇术!$A:$R,2,FALSE))*(1+BM90)*(1+BN90)*BO90</f>
        <v>0</v>
      </c>
      <c r="BW90" s="93">
        <f t="shared" si="74"/>
        <v>0.0144</v>
      </c>
      <c r="BX90" s="101">
        <f t="shared" si="75"/>
        <v>0</v>
      </c>
      <c r="BY90" s="99">
        <f>IF(VLOOKUP($E90,武器奇术!$A:$R,18,FALSE)="极乐",0,$B$11*IF($G$5="撼天",1.05,1)+IF(AND(VLOOKUP($E90,武器奇术!$A:$R,15,FALSE)="武器",VLOOKUP($E90,武器奇术!$A:$R,17,FALSE)="牵丝"),$E$3*(1+$E$15),0))</f>
        <v>0</v>
      </c>
      <c r="BZ90" s="91">
        <f t="shared" si="76"/>
        <v>0</v>
      </c>
      <c r="CA90" s="91">
        <f>IF(VLOOKUP($E90,武器奇术!$A:$R,18,FALSE)="极乐",0,MAX($C$11*IF($G$5="撼天",1.05,1)+IF(AND(VLOOKUP($E90,武器奇术!$A:$R,15,FALSE)="武器",VLOOKUP($E90,武器奇术!$A:$R,17,FALSE)="牵丝"),$E$3*(1+$E$15),0),BY90))</f>
        <v>0</v>
      </c>
      <c r="CB90" s="93">
        <f>IF(($D$11+IF(VLOOKUP($E90,武器奇术!$A:$R,17,FALSE)="牵丝",$D$15,0)-VLOOKUP($F$7,目标属性!$A:$R,6,FALSE))&gt;0,($D$11+IF(VLOOKUP($E90,武器奇术!$A:$R,17,FALSE)="牵丝",$D$15,0)-VLOOKUP($F$7,目标属性!$A:$R,6,FALSE))/200,($D$11+IF(VLOOKUP($E90,武器奇术!$A:$R,17,FALSE)="牵丝",$D$15,0)-VLOOKUP($F$7,目标属性!$A:$R,6,FALSE))/100)</f>
        <v>-0.24</v>
      </c>
      <c r="CC90" s="100">
        <f t="shared" si="91"/>
        <v>0</v>
      </c>
      <c r="CD90" s="91">
        <v>1</v>
      </c>
      <c r="CE90" s="92">
        <f>BY90*IF(VLOOKUP($E90,武器奇术!$A:$R,17,FALSE)="牵丝",VLOOKUP($E90,武器奇术!$A:$R,4,FALSE),VLOOKUP($E90,武器奇术!$A:$R,2,FALSE))*(1+CB90)*(1+CC90)*CD90</f>
        <v>0</v>
      </c>
      <c r="CF90" s="93">
        <f>(1-IF(VLOOKUP($E90,武器奇术!$A:$R,16,FALSE)="陌刀",1,$N90))*(1-$M90)</f>
        <v>0</v>
      </c>
      <c r="CG90" s="92">
        <f>BZ90*IF(VLOOKUP($E90,武器奇术!$A:$R,17,FALSE)="牵丝",VLOOKUP($E90,武器奇术!$A:$R,4,FALSE),VLOOKUP($E90,武器奇术!$A:$R,2,FALSE))*(1+CB90)*(1+CC90)*CD90*(1+$E$16+VLOOKUP($E90,武器奇术!$A:$R,8,FALSE))</f>
        <v>0</v>
      </c>
      <c r="CH90" s="93">
        <f t="shared" si="7"/>
        <v>0.887</v>
      </c>
      <c r="CI90" s="92">
        <f>CA90*IF(VLOOKUP($E90,武器奇术!$A:$R,17,FALSE)="牵丝",VLOOKUP($E90,武器奇术!$A:$R,4,FALSE),VLOOKUP($E90,武器奇术!$A:$R,2,FALSE))*(1+CB90)*(1+CC90)*CD90*(1+$E$17+VLOOKUP($E90,武器奇术!$A:$R,10,FALSE))</f>
        <v>0</v>
      </c>
      <c r="CJ90" s="93">
        <f t="shared" si="8"/>
        <v>0.0986</v>
      </c>
      <c r="CK90" s="92">
        <f>BZ90*IF(VLOOKUP($E90,武器奇术!$A:$R,17,FALSE)="牵丝",VLOOKUP($E90,武器奇术!$A:$R,4,FALSE),VLOOKUP($E90,武器奇术!$A:$R,2,FALSE))*(1+CB90)*(1+CC90)*CD90</f>
        <v>0</v>
      </c>
      <c r="CL90" s="93">
        <f t="shared" si="77"/>
        <v>0.0144</v>
      </c>
      <c r="CM90" s="101">
        <f t="shared" si="78"/>
        <v>0</v>
      </c>
      <c r="CN90" s="99">
        <f>IF(VLOOKUP($E90,武器奇术!$A:$R,18,FALSE)="极乐",0,$B$13*IF($G$5="撼天",1.05,1)+IF(AND(VLOOKUP($E90,武器奇术!$A:$R,15,FALSE)="武器",VLOOKUP($E90,武器奇术!$A:$R,17,FALSE)="破竹"),$E$3*(1+$E$15),0))</f>
        <v>0</v>
      </c>
      <c r="CO90" s="91">
        <f t="shared" si="79"/>
        <v>0</v>
      </c>
      <c r="CP90" s="91">
        <f>IF(VLOOKUP($E90,武器奇术!$A:$R,18,FALSE)="极乐",0,MAX($C$13*IF($G$5="撼天",1.05,1)+IF(AND(VLOOKUP($E90,武器奇术!$A:$R,15,FALSE)="武器",VLOOKUP($E90,武器奇术!$A:$R,17,FALSE)="破竹"),$E$3*(1+$E$15),0),CN90))</f>
        <v>0</v>
      </c>
      <c r="CQ90" s="93">
        <f>IF(($D$13+IF(VLOOKUP($E90,武器奇术!$A:$R,17,FALSE)="破竹",$D$15,0)-VLOOKUP($F$7,目标属性!$A:$R,6,FALSE)+IF(VLOOKUP($E90,武器奇术!$A:$V,22,FALSE)=1,4,0)+IF(VLOOKUP($E90,武器奇术!$A:$T,20,FALSE)=1,10,0))&gt;0,($D$13+IF(VLOOKUP($E90,武器奇术!$A:$R,17,FALSE)="破竹",$D$15,0)-VLOOKUP($F$7,目标属性!$A:$R,6,FALSE)+IF(VLOOKUP($E90,武器奇术!$A:$V,22,FALSE)=1,4,0)+IF(VLOOKUP($E90,武器奇术!$A:$T,20,FALSE)=1,10,0))/200,($D$13+IF(VLOOKUP($E90,武器奇术!$A:$R,17,FALSE)="破竹",$D$15,0)-VLOOKUP($F$7,目标属性!$A:$R,6,FALSE)+IF(VLOOKUP($E90,武器奇术!$A:$V,22,FALSE)=1,4,0)+IF(VLOOKUP($E90,武器奇术!$A:$T,20,FALSE)=1,10,0))/100)</f>
        <v>0.028</v>
      </c>
      <c r="CR90" s="120">
        <f>$E$13+IF(期望!$G$5="燕归",6%,0)</f>
        <v>0.208</v>
      </c>
      <c r="CS90" s="91">
        <v>1</v>
      </c>
      <c r="CT90" s="92">
        <f>CN90*IF(VLOOKUP($E90,武器奇术!$A:$R,17,FALSE)="破竹",VLOOKUP($E90,武器奇术!$A:$R,4,FALSE),VLOOKUP($E90,武器奇术!$A:$R,2,FALSE))*(1+CQ90)*(1+CR90)*CS90</f>
        <v>0</v>
      </c>
      <c r="CU90" s="93">
        <f>(1-IF(VLOOKUP($E90,武器奇术!$A:$R,16,FALSE)="陌刀",1,$N90))*(1-$M90)</f>
        <v>0</v>
      </c>
      <c r="CV90" s="92">
        <f>CO90*IF(VLOOKUP($E90,武器奇术!$A:$R,17,FALSE)="破竹",VLOOKUP($E90,武器奇术!$A:$R,4,FALSE),VLOOKUP($E90,武器奇术!$A:$R,2,FALSE))*(1+CQ90)*(1+CR90)*CS90*(1+$E$16+VLOOKUP($E90,武器奇术!$A:$R,8,FALSE))</f>
        <v>0</v>
      </c>
      <c r="CW90" s="93">
        <f t="shared" si="9"/>
        <v>0.887</v>
      </c>
      <c r="CX90" s="92">
        <f>CP90*IF(VLOOKUP($E90,武器奇术!$A:$R,17,FALSE)="破竹",VLOOKUP($E90,武器奇术!$A:$R,4,FALSE),VLOOKUP($E90,武器奇术!$A:$R,2,FALSE))*(1+CQ90)*(1+CR90)*CS90*(1+$E$17+VLOOKUP($E90,武器奇术!$A:$R,10,FALSE))</f>
        <v>0</v>
      </c>
      <c r="CY90" s="93">
        <f t="shared" si="10"/>
        <v>0.0986</v>
      </c>
      <c r="CZ90" s="92">
        <f>CO90*IF(VLOOKUP($E90,武器奇术!$A:$R,17,FALSE)="破竹",VLOOKUP($E90,武器奇术!$A:$R,4,FALSE),VLOOKUP($E90,武器奇术!$A:$R,2,FALSE))*(1+CQ90)*(1+CR90)*CS90</f>
        <v>0</v>
      </c>
      <c r="DA90" s="93">
        <f t="shared" si="80"/>
        <v>0.0144</v>
      </c>
      <c r="DB90" s="101">
        <f t="shared" si="81"/>
        <v>0</v>
      </c>
      <c r="DC90" s="99">
        <f>IF(VLOOKUP($E90,武器奇术!$A:$R,18,FALSE)="极乐",0,$B$15)</f>
        <v>0</v>
      </c>
      <c r="DD90" s="91">
        <f t="shared" si="82"/>
        <v>0</v>
      </c>
      <c r="DE90" s="91">
        <f>IF(VLOOKUP($E90,武器奇术!$A:$R,18,FALSE)="极乐",0,$C$15)</f>
        <v>0</v>
      </c>
      <c r="DF90" s="93">
        <f>IF((IF(VLOOKUP($E90,武器奇术!$A:$R,17,FALSE)="鸣金",$D$7,0)+IF(VLOOKUP($E90,武器奇术!$A:$R,17,FALSE)="裂石",$D$9,0)+IF(VLOOKUP($E90,武器奇术!$A:$R,17,FALSE)="牵丝",$D$11,0)+IF(VLOOKUP($E90,武器奇术!$A:$R,17,FALSE)="破竹",$D$13,0)+$D$15-VLOOKUP($F$7,目标属性!$A:$R,6,FALSE)+IF(VLOOKUP($E90,武器奇术!$A:$V,22,FALSE)=1,4,0)+IF(VLOOKUP($E90,武器奇术!$A:$T,20,FALSE)=1,10,0))&gt;0,(IF(VLOOKUP($E90,武器奇术!$A:$R,17,FALSE)="鸣金",$D$7,0)+IF(VLOOKUP($E90,武器奇术!$A:$R,17,FALSE)="裂石",$D$9,0)+IF(VLOOKUP($E90,武器奇术!$A:$R,17,FALSE)="牵丝",$D$11,0)+IF(VLOOKUP($E90,武器奇术!$A:$R,17,FALSE)="破竹",$D$13,0)+$D$15-VLOOKUP($F$7,目标属性!$A:$R,6,FALSE)+IF(VLOOKUP($E90,武器奇术!$A:$V,22,FALSE)=1,4,0)+IF(VLOOKUP($E90,武器奇术!$A:$T,20,FALSE)=1,10,0))/200,(IF(VLOOKUP($E90,武器奇术!$A:$R,17,FALSE)="鸣金",$D$7,0)+IF(VLOOKUP($E90,武器奇术!$A:$R,17,FALSE)="裂石",$D$9,0)+IF(VLOOKUP($E90,武器奇术!$A:$R,17,FALSE)="牵丝",$D$11,0)+IF(VLOOKUP($E90,武器奇术!$A:$R,17,FALSE)="破竹",$D$13,0)+$D$15-VLOOKUP($F$7,目标属性!$A:$R,6,FALSE)+IF(VLOOKUP($E90,武器奇术!$A:$V,22,FALSE)=1,4,0)+IF(VLOOKUP($E90,武器奇术!$A:$T,20,FALSE)=1,10,0))/100)</f>
        <v>0.028</v>
      </c>
      <c r="DG90" s="120">
        <f>$E$13+IF(期望!$G$5="燕归",6%,0)</f>
        <v>0.208</v>
      </c>
      <c r="DH90" s="91">
        <v>1</v>
      </c>
      <c r="DI90" s="92">
        <f>DC90*IF(VLOOKUP($E90,武器奇术!$A:$R,17,FALSE)="破竹",VLOOKUP($E90,武器奇术!$A:$R,4,FALSE),VLOOKUP($E90,武器奇术!$A:$R,2,FALSE))*(1+DF90)*(1+DG90)*DH90</f>
        <v>0</v>
      </c>
      <c r="DJ90" s="93">
        <f>(1-IF(VLOOKUP($E90,武器奇术!$A:$R,16,FALSE)="陌刀",1,$N90))*(1-$M90)</f>
        <v>0</v>
      </c>
      <c r="DK90" s="92">
        <f>DD90*IF(VLOOKUP($E90,武器奇术!$A:$R,17,FALSE)="破竹",VLOOKUP($E90,武器奇术!$A:$R,4,FALSE),VLOOKUP($E90,武器奇术!$A:$R,2,FALSE))*(1+DF90)*(1+DG90)*DH90*(1+$E$16+VLOOKUP($E90,武器奇术!$A:$R,8,FALSE))</f>
        <v>0</v>
      </c>
      <c r="DL90" s="93">
        <f t="shared" si="12"/>
        <v>0.887</v>
      </c>
      <c r="DM90" s="92">
        <f>DE90*IF(VLOOKUP($E90,武器奇术!$A:$R,17,FALSE)="破竹",VLOOKUP($E90,武器奇术!$A:$R,4,FALSE),VLOOKUP($E90,武器奇术!$A:$R,2,FALSE))*(1+DF90)*(1+DG90)*DH90*(1+$E$17+VLOOKUP($E90,武器奇术!$A:$R,10,FALSE))</f>
        <v>0</v>
      </c>
      <c r="DN90" s="93">
        <f t="shared" si="13"/>
        <v>0.0986</v>
      </c>
      <c r="DO90" s="92">
        <f>DD90*IF(VLOOKUP($E90,武器奇术!$A:$R,17,FALSE)="破竹",VLOOKUP($E90,武器奇术!$A:$R,4,FALSE),VLOOKUP($E90,武器奇术!$A:$R,2,FALSE))*(1+DF90)*(1+DG90)*DH90</f>
        <v>0</v>
      </c>
      <c r="DP90" s="93">
        <f t="shared" si="14"/>
        <v>0.0144</v>
      </c>
      <c r="DQ90" s="101">
        <f t="shared" si="15"/>
        <v>0</v>
      </c>
    </row>
    <row r="91" spans="1:121">
      <c r="A91" s="33"/>
      <c r="B91" s="130" t="s">
        <v>158</v>
      </c>
      <c r="C91">
        <v>0.6</v>
      </c>
      <c r="D91" s="33"/>
      <c r="E91" s="105" t="s">
        <v>180</v>
      </c>
      <c r="F91" s="106">
        <v>2</v>
      </c>
      <c r="G91" s="107">
        <f t="shared" si="92"/>
        <v>0</v>
      </c>
      <c r="H91" s="92">
        <f>IF(VLOOKUP($E91,武器奇术!$A:$R,18,FALSE)="天工",AE91,(AE91+AT91+BI91+BX91+CM91+DB91+DQ91))*(1+J91)*F91*K91*(1+G91)</f>
        <v>32105.8259614124</v>
      </c>
      <c r="I91" s="93">
        <f t="shared" si="58"/>
        <v>0.00411862263860272</v>
      </c>
      <c r="J91" s="93">
        <f>$F$3+VLOOKUP($E91,武器奇术!$A:$R,12,FALSE)+VLOOKUP($E91,武器奇术!$A:$R,14,FALSE)*$G$3+$P91</f>
        <v>0.693</v>
      </c>
      <c r="K91" s="94">
        <f>VLOOKUP($E91,武器奇术!$A:$R,11,FALSE)</f>
        <v>1</v>
      </c>
      <c r="L91" s="109">
        <f>IF(VLOOKUP($E91,武器奇术!$A:$R,15,FALSE)="天工",0%,IF($C$17+VLOOKUP($E91,武器奇术!$A:$R,7,FALSE)&gt;80%,80%,$C$17+VLOOKUP($E91,武器奇术!$A:$R,7,FALSE))+IF($C$19&gt;20%,20%,$C$19))</f>
        <v>0.887</v>
      </c>
      <c r="M91" s="110">
        <f>IF(VLOOKUP($E91,武器奇术!$A:$R,15,FALSE)="天工",0%,IF($C$18+VLOOKUP($E91,武器奇术!$A:$R,9,FALSE)&gt;40%,40%,$C$18+VLOOKUP($E91,武器奇术!$A:$R,9,FALSE))+IF($C$20&gt;10%,10%,$C$20))</f>
        <v>0.0986</v>
      </c>
      <c r="N91" s="111">
        <f>IF(VLOOKUP($E91,武器奇术!$A:$R,15,FALSE)="天工",100%,MIN($C$16,1))</f>
        <v>1</v>
      </c>
      <c r="O91" s="112" t="str">
        <f>VLOOKUP($E91,武器奇术!$A:$R,16,FALSE)</f>
        <v>双刀</v>
      </c>
      <c r="P91" s="113">
        <f t="shared" si="59"/>
        <v>0.17</v>
      </c>
      <c r="Q91" s="99">
        <f>$B$5*(1+VLOOKUP($E91,武器奇术!$A:$R,5,FALSE)+IF($G$5="飞隼",0.1,0)+IF($G$5="撼天",0.05,0))-$F$9*IF(VLOOKUP($E91,武器奇术!$A:$S,19,FALSE)=1,0.9,1)+IF($I$5="√",160,0)</f>
        <v>2904.2</v>
      </c>
      <c r="R91" s="91">
        <f t="shared" si="60"/>
        <v>2904.2</v>
      </c>
      <c r="S91" s="91">
        <f>MAX($C$5,$B$5)*(1+VLOOKUP($E91,武器奇术!$A:$R,5,FALSE)+IF($G$5="飞隼",0.1,0)+IF($G$5="撼天",0.05,0))-$F$9*IF(VLOOKUP($E91,武器奇术!$A:$S,19,FALSE)=1,0.9,1)+IF($I$5="√",320,0)</f>
        <v>2904.2</v>
      </c>
      <c r="T91" s="93">
        <f>IF(($D$5+VLOOKUP($E91,武器奇术!$A:$R,13,FALSE)+IF($I$3="√",10,0)-VLOOKUP($F$7,目标属性!$A:$R,5,FALSE))&gt;0,($D$5+VLOOKUP($E91,武器奇术!$A:$R,13,FALSE)+IF($I$3="√",10,0)-VLOOKUP($F$7,目标属性!$A:$R,5,FALSE))/200,($D$5+VLOOKUP($E91,武器奇术!$A:$R,13,FALSE)+IF($I$3="√",10,0)-VLOOKUP($F$7,目标属性!$A:$R,5,FALSE))/100)</f>
        <v>0.2675</v>
      </c>
      <c r="U91" s="120">
        <f>$E$5+IF(VLOOKUP($E91,武器奇术!$A:$R,18,FALSE)="鼠鼠",0.24,0)+IF(期望!$G$5="燕归",6/2/100,0)</f>
        <v>0.03</v>
      </c>
      <c r="V91" s="91">
        <v>1</v>
      </c>
      <c r="W91" s="92">
        <f>Q91*VLOOKUP($E91,武器奇术!$A:$R,2,FALSE)*(1+T91)*(1+U91)*V91</f>
        <v>2699.2487415036</v>
      </c>
      <c r="X91" s="93">
        <f>(1-IF(VLOOKUP($E91,武器奇术!$A:$R,16,FALSE)="陌刀",1,$N91))*(1-$M91)</f>
        <v>0</v>
      </c>
      <c r="Y91" s="92">
        <f>R91*VLOOKUP($E91,武器奇术!$A:$R,2,FALSE)*(1+T91)*(1+U91)*V91*(1+$E$16+VLOOKUP($E91,武器奇术!$A:$R,8,FALSE))</f>
        <v>5787.18930178372</v>
      </c>
      <c r="Z91" s="93">
        <f t="shared" si="61"/>
        <v>0.887</v>
      </c>
      <c r="AA91" s="92">
        <f>S91*VLOOKUP($E91,武器奇术!$A:$R,2,FALSE)*(1+T91)*(1+U91)*V91*(1+$E$17+VLOOKUP($E91,武器奇术!$A:$R,10,FALSE))</f>
        <v>3643.98580102986</v>
      </c>
      <c r="AB91" s="93">
        <f t="shared" si="62"/>
        <v>0.0986</v>
      </c>
      <c r="AC91" s="92">
        <f>R91*VLOOKUP($E91,武器奇术!$A:$R,2,FALSE)*(1+T91)*(1+U91)*V91</f>
        <v>2699.2487415036</v>
      </c>
      <c r="AD91" s="93">
        <f t="shared" si="63"/>
        <v>0.0144</v>
      </c>
      <c r="AE91" s="101">
        <f t="shared" si="64"/>
        <v>5531.40309254136</v>
      </c>
      <c r="AF91" s="102">
        <f>VLOOKUP($E91,武器奇术!$A:$R,3,FALSE)*(1+IF(VLOOKUP($E91,武器奇术!$A:$R,15,FALSE)="武器",$E$15,0))</f>
        <v>257.4</v>
      </c>
      <c r="AG91" s="92">
        <f t="shared" si="65"/>
        <v>257.4</v>
      </c>
      <c r="AH91" s="92">
        <f>VLOOKUP($E91,武器奇术!$A:$R,3,FALSE)*(1+IF(VLOOKUP($E91,武器奇术!$A:$R,15,FALSE)="武器",$E$15,0))</f>
        <v>257.4</v>
      </c>
      <c r="AI91" s="93">
        <f>IF(($D$5+VLOOKUP($E91,武器奇术!$A:$R,13,FALSE)+IF($I$3="√",10,0)-VLOOKUP($F$7,目标属性!$A:$R,5,FALSE))&gt;0,($D$5+VLOOKUP($E91,武器奇术!$A:$R,13,FALSE)+IF($I$3="√",10,0)-VLOOKUP($F$7,目标属性!$A:$R,5,FALSE))/200,($D$5+VLOOKUP($E91,武器奇术!$A:$R,13,FALSE)+IF($I$3="√",10,0)-VLOOKUP($F$7,目标属性!$A:$R,5,FALSE))/100)</f>
        <v>0.2675</v>
      </c>
      <c r="AJ91" s="120">
        <f>$E$5+IF(VLOOKUP($E91,武器奇术!$A:$R,18,FALSE)="鼠鼠",0.24,0)+IF(期望!$G$5="燕归",6/2/100,0)</f>
        <v>0.03</v>
      </c>
      <c r="AK91" s="91">
        <v>1</v>
      </c>
      <c r="AL91" s="92">
        <f t="shared" si="66"/>
        <v>336.042135</v>
      </c>
      <c r="AM91" s="93">
        <f>(1-IF(VLOOKUP($E91,武器奇术!$A:$R,16,FALSE)="陌刀",1,$N91))*(1-$M91)</f>
        <v>0</v>
      </c>
      <c r="AN91" s="92">
        <f>AG91*(1+AI91)*(1+AJ91)*AK91*(1+$E$16+VLOOKUP($E91,武器奇术!$A:$R,8,FALSE))</f>
        <v>720.47433744</v>
      </c>
      <c r="AO91" s="93">
        <f t="shared" si="1"/>
        <v>0.887</v>
      </c>
      <c r="AP91" s="92">
        <f>AH91*(1+AI91)*(1+AJ91)*AK91*(1+$E$17+VLOOKUP($E91,武器奇术!$A:$R,10,FALSE))</f>
        <v>453.65688225</v>
      </c>
      <c r="AQ91" s="93">
        <f t="shared" si="2"/>
        <v>0.0986</v>
      </c>
      <c r="AR91" s="92">
        <f t="shared" si="67"/>
        <v>336.042135</v>
      </c>
      <c r="AS91" s="93">
        <f t="shared" si="68"/>
        <v>0.0144</v>
      </c>
      <c r="AT91" s="101">
        <f t="shared" si="69"/>
        <v>688.63031264313</v>
      </c>
      <c r="AU91" s="99">
        <f>IF(VLOOKUP($E91,武器奇术!$A:$R,18,FALSE)="极乐",0,$B$7*IF($G$5="撼天",1.05,1)+IF(AND(VLOOKUP($E91,武器奇术!$A:$R,15,FALSE)="武器",VLOOKUP($E91,武器奇术!$A:$R,17,FALSE)="鸣金"),$E$3*(1+$E$15),0))</f>
        <v>0</v>
      </c>
      <c r="AV91" s="91">
        <f t="shared" si="70"/>
        <v>0</v>
      </c>
      <c r="AW91" s="91">
        <f>IF(VLOOKUP($E91,武器奇术!$A:$R,18,FALSE)="极乐",0,MAX($C$7*IF($G$5="撼天",1.05,1)+IF(AND(VLOOKUP($E91,武器奇术!$A:$R,15,FALSE)="武器",VLOOKUP($E91,武器奇术!$A:$R,17,FALSE)="鸣金"),$E$3*(1+$E$15),0),AU91))</f>
        <v>0</v>
      </c>
      <c r="AX91" s="93">
        <f>IF(($D$7+IF(VLOOKUP($E91,武器奇术!$A:$R,17,FALSE)="鸣金",$D$15,0)-VLOOKUP($F$7,目标属性!$A:$R,6,FALSE))&gt;0,($D$7+IF(VLOOKUP($E91,武器奇术!$A:$R,17,FALSE)="鸣金",$D$15,0)-VLOOKUP($F$7,目标属性!$A:$R,6,FALSE))/200,($D$7+IF(VLOOKUP($E91,武器奇术!$A:$R,17,FALSE)="鸣金",$D$15,0)-VLOOKUP($F$7,目标属性!$A:$R,6,FALSE))/100)</f>
        <v>-0.24</v>
      </c>
      <c r="AY91" s="100">
        <f t="shared" si="89"/>
        <v>0</v>
      </c>
      <c r="AZ91" s="91">
        <v>1</v>
      </c>
      <c r="BA91" s="92">
        <f>AU91*IF(VLOOKUP($E91,武器奇术!$A:$R,17,FALSE)="鸣金",VLOOKUP($E91,武器奇术!$A:$R,4,FALSE),VLOOKUP($E91,武器奇术!$A:$R,2,FALSE))*(1+AX91)*(1+AY91)*AZ91</f>
        <v>0</v>
      </c>
      <c r="BB91" s="93">
        <f>(1-IF(VLOOKUP($E91,武器奇术!$A:$R,16,FALSE)="陌刀",1,$N91))*(1-$M91)</f>
        <v>0</v>
      </c>
      <c r="BC91" s="92">
        <f>AV91*IF(VLOOKUP($E91,武器奇术!$A:$R,17,FALSE)="鸣金",VLOOKUP($E91,武器奇术!$A:$R,4,FALSE),VLOOKUP($E91,武器奇术!$A:$R,2,FALSE))*(1+AX91)*(1+AY91)*AZ91*(1+$E$16+VLOOKUP($E91,武器奇术!$A:$R,8,FALSE))</f>
        <v>0</v>
      </c>
      <c r="BD91" s="93">
        <f t="shared" si="3"/>
        <v>0.887</v>
      </c>
      <c r="BE91" s="92">
        <f>AW91*IF(VLOOKUP($E91,武器奇术!$A:$R,17,FALSE)="鸣金",VLOOKUP($E91,武器奇术!$A:$R,4,FALSE),VLOOKUP($E91,武器奇术!$A:$R,2,FALSE))*(1+AX91)*(1+AY91)*AZ91*(1+$E$17+VLOOKUP($E91,武器奇术!$A:$R,10,FALSE))</f>
        <v>0</v>
      </c>
      <c r="BF91" s="93">
        <f t="shared" si="4"/>
        <v>0.0986</v>
      </c>
      <c r="BG91" s="92">
        <f>AV91*IF(VLOOKUP($E91,武器奇术!$A:$R,17,FALSE)="鸣金",VLOOKUP($E91,武器奇术!$A:$R,4,FALSE),VLOOKUP($E91,武器奇术!$A:$R,2,FALSE))*(1+AX91)*(1+AY91)*AZ91</f>
        <v>0</v>
      </c>
      <c r="BH91" s="93">
        <f t="shared" si="71"/>
        <v>0.0144</v>
      </c>
      <c r="BI91" s="101">
        <f t="shared" si="72"/>
        <v>0</v>
      </c>
      <c r="BJ91" s="99">
        <f>IF(VLOOKUP($E91,武器奇术!$A:$R,18,FALSE)="极乐",0,$B$9*IF($G$5="撼天",1.05,1)+IF(AND(VLOOKUP($E91,武器奇术!$A:$R,15,FALSE)="武器",VLOOKUP($E91,武器奇术!$A:$R,17,FALSE)="裂石"),$E$3*(1+$E$15),0))</f>
        <v>0</v>
      </c>
      <c r="BK91" s="91">
        <f t="shared" si="73"/>
        <v>0</v>
      </c>
      <c r="BL91" s="91">
        <f>IF(VLOOKUP($E91,武器奇术!$A:$R,18,FALSE)="极乐",0,MAX($C$9*IF($G$5="撼天",1.05,1)+IF(AND(VLOOKUP($E91,武器奇术!$A:$R,15,FALSE)="武器",VLOOKUP($E91,武器奇术!$A:$R,17,FALSE)="裂石"),$E$3*(1+$E$15),0),BJ91))</f>
        <v>0</v>
      </c>
      <c r="BM91" s="93">
        <f>IF(($D$9+IF(VLOOKUP($E91,武器奇术!$A:$R,17,FALSE)="裂石",$D$15,0)-VLOOKUP($F$7,目标属性!$A:$R,6,FALSE))&gt;0,($D$9+IF(VLOOKUP($E91,武器奇术!$A:$R,17,FALSE)="裂石",$D$15,0)-VLOOKUP($F$7,目标属性!$A:$R,6,FALSE))/200,($D$9+IF(VLOOKUP($E91,武器奇术!$A:$R,17,FALSE)="裂石",$D$15,0)-VLOOKUP($F$7,目标属性!$A:$R,6,FALSE))/100)</f>
        <v>-0.24</v>
      </c>
      <c r="BN91" s="100">
        <f t="shared" si="90"/>
        <v>0</v>
      </c>
      <c r="BO91" s="91">
        <v>1</v>
      </c>
      <c r="BP91" s="92">
        <f>BJ91*IF(VLOOKUP($E91,武器奇术!$A:$R,17,FALSE)="裂石",VLOOKUP($E91,武器奇术!$A:$R,4,FALSE),VLOOKUP($E91,武器奇术!$A:$R,2,FALSE))*(1+BM91)*(1+BN91)*BO91</f>
        <v>0</v>
      </c>
      <c r="BQ91" s="93">
        <f>(1-IF(VLOOKUP($E91,武器奇术!$A:$R,16,FALSE)="陌刀",1,$N91))*(1-$M91)</f>
        <v>0</v>
      </c>
      <c r="BR91" s="92">
        <f>BK91*IF(VLOOKUP($E91,武器奇术!$A:$R,17,FALSE)="裂石",VLOOKUP($E91,武器奇术!$A:$R,4,FALSE),VLOOKUP($E91,武器奇术!$A:$R,2,FALSE))*(1+BM91)*(1+BN91)*BO91*(1+$E$16+VLOOKUP($E91,武器奇术!$A:$R,8,FALSE))</f>
        <v>0</v>
      </c>
      <c r="BS91" s="93">
        <f t="shared" si="5"/>
        <v>0.887</v>
      </c>
      <c r="BT91" s="92">
        <f>BL91*IF(VLOOKUP($E91,武器奇术!$A:$R,17,FALSE)="裂石",VLOOKUP($E91,武器奇术!$A:$R,4,FALSE),VLOOKUP($E91,武器奇术!$A:$R,2,FALSE))*(1+BM91)*(1+BN91)*BO91*(1+$E$17+VLOOKUP($E91,武器奇术!$A:$R,10,FALSE))</f>
        <v>0</v>
      </c>
      <c r="BU91" s="93">
        <f t="shared" si="6"/>
        <v>0.0986</v>
      </c>
      <c r="BV91" s="92">
        <f>BK91*IF(VLOOKUP($E91,武器奇术!$A:$R,17,FALSE)="裂石",VLOOKUP($E91,武器奇术!$A:$R,4,FALSE),VLOOKUP($E91,武器奇术!$A:$R,2,FALSE))*(1+BM91)*(1+BN91)*BO91</f>
        <v>0</v>
      </c>
      <c r="BW91" s="93">
        <f t="shared" si="74"/>
        <v>0.0144</v>
      </c>
      <c r="BX91" s="101">
        <f t="shared" si="75"/>
        <v>0</v>
      </c>
      <c r="BY91" s="99">
        <f>IF(VLOOKUP($E91,武器奇术!$A:$R,18,FALSE)="极乐",0,$B$11*IF($G$5="撼天",1.05,1)+IF(AND(VLOOKUP($E91,武器奇术!$A:$R,15,FALSE)="武器",VLOOKUP($E91,武器奇术!$A:$R,17,FALSE)="牵丝"),$E$3*(1+$E$15),0))</f>
        <v>0</v>
      </c>
      <c r="BZ91" s="91">
        <f t="shared" si="76"/>
        <v>0</v>
      </c>
      <c r="CA91" s="91">
        <f>IF(VLOOKUP($E91,武器奇术!$A:$R,18,FALSE)="极乐",0,MAX($C$11*IF($G$5="撼天",1.05,1)+IF(AND(VLOOKUP($E91,武器奇术!$A:$R,15,FALSE)="武器",VLOOKUP($E91,武器奇术!$A:$R,17,FALSE)="牵丝"),$E$3*(1+$E$15),0),BY91))</f>
        <v>0</v>
      </c>
      <c r="CB91" s="93">
        <f>IF(($D$11+IF(VLOOKUP($E91,武器奇术!$A:$R,17,FALSE)="牵丝",$D$15,0)-VLOOKUP($F$7,目标属性!$A:$R,6,FALSE))&gt;0,($D$11+IF(VLOOKUP($E91,武器奇术!$A:$R,17,FALSE)="牵丝",$D$15,0)-VLOOKUP($F$7,目标属性!$A:$R,6,FALSE))/200,($D$11+IF(VLOOKUP($E91,武器奇术!$A:$R,17,FALSE)="牵丝",$D$15,0)-VLOOKUP($F$7,目标属性!$A:$R,6,FALSE))/100)</f>
        <v>-0.24</v>
      </c>
      <c r="CC91" s="100">
        <f t="shared" si="91"/>
        <v>0</v>
      </c>
      <c r="CD91" s="91">
        <v>1</v>
      </c>
      <c r="CE91" s="92">
        <f>BY91*IF(VLOOKUP($E91,武器奇术!$A:$R,17,FALSE)="牵丝",VLOOKUP($E91,武器奇术!$A:$R,4,FALSE),VLOOKUP($E91,武器奇术!$A:$R,2,FALSE))*(1+CB91)*(1+CC91)*CD91</f>
        <v>0</v>
      </c>
      <c r="CF91" s="93">
        <f>(1-IF(VLOOKUP($E91,武器奇术!$A:$R,16,FALSE)="陌刀",1,$N91))*(1-$M91)</f>
        <v>0</v>
      </c>
      <c r="CG91" s="92">
        <f>BZ91*IF(VLOOKUP($E91,武器奇术!$A:$R,17,FALSE)="牵丝",VLOOKUP($E91,武器奇术!$A:$R,4,FALSE),VLOOKUP($E91,武器奇术!$A:$R,2,FALSE))*(1+CB91)*(1+CC91)*CD91*(1+$E$16+VLOOKUP($E91,武器奇术!$A:$R,8,FALSE))</f>
        <v>0</v>
      </c>
      <c r="CH91" s="93">
        <f t="shared" si="7"/>
        <v>0.887</v>
      </c>
      <c r="CI91" s="92">
        <f>CA91*IF(VLOOKUP($E91,武器奇术!$A:$R,17,FALSE)="牵丝",VLOOKUP($E91,武器奇术!$A:$R,4,FALSE),VLOOKUP($E91,武器奇术!$A:$R,2,FALSE))*(1+CB91)*(1+CC91)*CD91*(1+$E$17+VLOOKUP($E91,武器奇术!$A:$R,10,FALSE))</f>
        <v>0</v>
      </c>
      <c r="CJ91" s="93">
        <f t="shared" si="8"/>
        <v>0.0986</v>
      </c>
      <c r="CK91" s="92">
        <f>BZ91*IF(VLOOKUP($E91,武器奇术!$A:$R,17,FALSE)="牵丝",VLOOKUP($E91,武器奇术!$A:$R,4,FALSE),VLOOKUP($E91,武器奇术!$A:$R,2,FALSE))*(1+CB91)*(1+CC91)*CD91</f>
        <v>0</v>
      </c>
      <c r="CL91" s="93">
        <f t="shared" si="77"/>
        <v>0.0144</v>
      </c>
      <c r="CM91" s="101">
        <f t="shared" si="78"/>
        <v>0</v>
      </c>
      <c r="CN91" s="99">
        <f>IF(VLOOKUP($E91,武器奇术!$A:$R,18,FALSE)="极乐",0,$B$13*IF($G$5="撼天",1.05,1)+IF(AND(VLOOKUP($E91,武器奇术!$A:$R,15,FALSE)="武器",VLOOKUP($E91,武器奇术!$A:$R,17,FALSE)="破竹"),$E$3*(1+$E$15),0))</f>
        <v>686.71</v>
      </c>
      <c r="CO91" s="91">
        <f t="shared" si="79"/>
        <v>1052.21</v>
      </c>
      <c r="CP91" s="91">
        <f>IF(VLOOKUP($E91,武器奇术!$A:$R,18,FALSE)="极乐",0,MAX($C$13*IF($G$5="撼天",1.05,1)+IF(AND(VLOOKUP($E91,武器奇术!$A:$R,15,FALSE)="武器",VLOOKUP($E91,武器奇术!$A:$R,17,FALSE)="破竹"),$E$3*(1+$E$15),0),CN91))</f>
        <v>1417.71</v>
      </c>
      <c r="CQ91" s="93">
        <f>IF(($D$13+IF(VLOOKUP($E91,武器奇术!$A:$R,17,FALSE)="破竹",$D$15,0)-VLOOKUP($F$7,目标属性!$A:$R,6,FALSE)+IF(VLOOKUP($E91,武器奇术!$A:$V,22,FALSE)=1,4,0)+IF(VLOOKUP($E91,武器奇术!$A:$T,20,FALSE)=1,10,0))&gt;0,($D$13+IF(VLOOKUP($E91,武器奇术!$A:$R,17,FALSE)="破竹",$D$15,0)-VLOOKUP($F$7,目标属性!$A:$R,6,FALSE)+IF(VLOOKUP($E91,武器奇术!$A:$V,22,FALSE)=1,4,0)+IF(VLOOKUP($E91,武器奇术!$A:$T,20,FALSE)=1,10,0))/200,($D$13+IF(VLOOKUP($E91,武器奇术!$A:$R,17,FALSE)="破竹",$D$15,0)-VLOOKUP($F$7,目标属性!$A:$R,6,FALSE)+IF(VLOOKUP($E91,武器奇术!$A:$V,22,FALSE)=1,4,0)+IF(VLOOKUP($E91,武器奇术!$A:$T,20,FALSE)=1,10,0))/100)</f>
        <v>0.078</v>
      </c>
      <c r="CR91" s="120">
        <f>$E$13+IF(期望!$G$5="燕归",6/2/100,0)</f>
        <v>0.178</v>
      </c>
      <c r="CS91" s="91">
        <v>1</v>
      </c>
      <c r="CT91" s="92">
        <f>CN91*IF(VLOOKUP($E91,武器奇术!$A:$R,17,FALSE)="破竹",VLOOKUP($E91,武器奇术!$A:$R,4,FALSE),VLOOKUP($E91,武器奇术!$A:$R,2,FALSE))*(1+CQ91)*(1+CR91)*CS91</f>
        <v>931.236255426523</v>
      </c>
      <c r="CU91" s="93">
        <f>(1-IF(VLOOKUP($E91,武器奇术!$A:$R,16,FALSE)="陌刀",1,$N91))*(1-$M91)</f>
        <v>0</v>
      </c>
      <c r="CV91" s="92">
        <f>CO91*IF(VLOOKUP($E91,武器奇术!$A:$R,17,FALSE)="破竹",VLOOKUP($E91,武器奇术!$A:$R,4,FALSE),VLOOKUP($E91,武器奇术!$A:$R,2,FALSE))*(1+CQ91)*(1+CR91)*CS91*(1+$E$16+VLOOKUP($E91,武器奇术!$A:$R,8,FALSE))</f>
        <v>3059.24113394461</v>
      </c>
      <c r="CW91" s="93">
        <f t="shared" si="9"/>
        <v>0.887</v>
      </c>
      <c r="CX91" s="92">
        <f>CP91*IF(VLOOKUP($E91,武器奇术!$A:$R,17,FALSE)="破竹",VLOOKUP($E91,武器奇术!$A:$R,4,FALSE),VLOOKUP($E91,武器奇术!$A:$R,2,FALSE))*(1+CQ91)*(1+CR91)*CS91*(1+$E$17+VLOOKUP($E91,武器奇术!$A:$R,10,FALSE))</f>
        <v>2595.42016974996</v>
      </c>
      <c r="CY91" s="93">
        <f t="shared" si="10"/>
        <v>0.0986</v>
      </c>
      <c r="CZ91" s="92">
        <f>CO91*IF(VLOOKUP($E91,武器奇术!$A:$R,17,FALSE)="破竹",VLOOKUP($E91,武器奇术!$A:$R,4,FALSE),VLOOKUP($E91,武器奇术!$A:$R,2,FALSE))*(1+CQ91)*(1+CR91)*CS91</f>
        <v>1426.88485725028</v>
      </c>
      <c r="DA91" s="93">
        <f t="shared" si="80"/>
        <v>0.0144</v>
      </c>
      <c r="DB91" s="101">
        <f t="shared" si="81"/>
        <v>2990.00245649062</v>
      </c>
      <c r="DC91" s="99">
        <f>IF(VLOOKUP($E91,武器奇术!$A:$R,18,FALSE)="极乐",0,$B$15)</f>
        <v>66</v>
      </c>
      <c r="DD91" s="91">
        <f t="shared" si="82"/>
        <v>95.9</v>
      </c>
      <c r="DE91" s="91">
        <f>IF(VLOOKUP($E91,武器奇术!$A:$R,18,FALSE)="极乐",0,$C$15)</f>
        <v>125.8</v>
      </c>
      <c r="DF91" s="93">
        <f>IF((IF(VLOOKUP($E91,武器奇术!$A:$R,17,FALSE)="鸣金",$D$7,0)+IF(VLOOKUP($E91,武器奇术!$A:$R,17,FALSE)="裂石",$D$9,0)+IF(VLOOKUP($E91,武器奇术!$A:$R,17,FALSE)="牵丝",$D$11,0)+IF(VLOOKUP($E91,武器奇术!$A:$R,17,FALSE)="破竹",$D$13,0)+$D$15-VLOOKUP($F$7,目标属性!$A:$R,6,FALSE)+IF(VLOOKUP($E91,武器奇术!$A:$V,22,FALSE)=1,4,0)+IF(VLOOKUP($E91,武器奇术!$A:$T,20,FALSE)=1,10,0))&gt;0,(IF(VLOOKUP($E91,武器奇术!$A:$R,17,FALSE)="鸣金",$D$7,0)+IF(VLOOKUP($E91,武器奇术!$A:$R,17,FALSE)="裂石",$D$9,0)+IF(VLOOKUP($E91,武器奇术!$A:$R,17,FALSE)="牵丝",$D$11,0)+IF(VLOOKUP($E91,武器奇术!$A:$R,17,FALSE)="破竹",$D$13,0)+$D$15-VLOOKUP($F$7,目标属性!$A:$R,6,FALSE)+IF(VLOOKUP($E91,武器奇术!$A:$V,22,FALSE)=1,4,0)+IF(VLOOKUP($E91,武器奇术!$A:$T,20,FALSE)=1,10,0))/200,(IF(VLOOKUP($E91,武器奇术!$A:$R,17,FALSE)="鸣金",$D$7,0)+IF(VLOOKUP($E91,武器奇术!$A:$R,17,FALSE)="裂石",$D$9,0)+IF(VLOOKUP($E91,武器奇术!$A:$R,17,FALSE)="牵丝",$D$11,0)+IF(VLOOKUP($E91,武器奇术!$A:$R,17,FALSE)="破竹",$D$13,0)+$D$15-VLOOKUP($F$7,目标属性!$A:$R,6,FALSE)+IF(VLOOKUP($E91,武器奇术!$A:$V,22,FALSE)=1,4,0)+IF(VLOOKUP($E91,武器奇术!$A:$T,20,FALSE)=1,10,0))/100)</f>
        <v>0.078</v>
      </c>
      <c r="DG91" s="120">
        <f>$E$13+IF(期望!$G$5="燕归",6/2/100,0)</f>
        <v>0.178</v>
      </c>
      <c r="DH91" s="91">
        <v>1</v>
      </c>
      <c r="DI91" s="92">
        <f>DC91*IF(VLOOKUP($E91,武器奇术!$A:$R,17,FALSE)="破竹",VLOOKUP($E91,武器奇术!$A:$R,4,FALSE),VLOOKUP($E91,武器奇术!$A:$R,2,FALSE))*(1+DF91)*(1+DG91)*DH91</f>
        <v>89.50152591072</v>
      </c>
      <c r="DJ91" s="93">
        <f>(1-IF(VLOOKUP($E91,武器奇术!$A:$R,16,FALSE)="陌刀",1,$N91))*(1-$M91)</f>
        <v>0</v>
      </c>
      <c r="DK91" s="92">
        <f>DD91*IF(VLOOKUP($E91,武器奇术!$A:$R,17,FALSE)="破竹",VLOOKUP($E91,武器奇术!$A:$R,4,FALSE),VLOOKUP($E91,武器奇术!$A:$R,2,FALSE))*(1+DF91)*(1+DG91)*DH91*(1+$E$16+VLOOKUP($E91,武器奇术!$A:$R,8,FALSE))</f>
        <v>278.823832452921</v>
      </c>
      <c r="DL91" s="93">
        <f t="shared" si="12"/>
        <v>0.887</v>
      </c>
      <c r="DM91" s="92">
        <f>DE91*IF(VLOOKUP($E91,武器奇术!$A:$R,17,FALSE)="破竹",VLOOKUP($E91,武器奇术!$A:$R,4,FALSE),VLOOKUP($E91,武器奇术!$A:$R,2,FALSE))*(1+DF91)*(1+DG91)*DH91*(1+$E$17+VLOOKUP($E91,武器奇术!$A:$R,10,FALSE))</f>
        <v>230.303699172994</v>
      </c>
      <c r="DN91" s="93">
        <f t="shared" si="13"/>
        <v>0.0986</v>
      </c>
      <c r="DO91" s="92">
        <f>DD91*IF(VLOOKUP($E91,武器奇术!$A:$R,17,FALSE)="破竹",VLOOKUP($E91,武器奇术!$A:$R,4,FALSE),VLOOKUP($E91,武器奇术!$A:$R,2,FALSE))*(1+DF91)*(1+DG91)*DH91</f>
        <v>130.048429315728</v>
      </c>
      <c r="DP91" s="93">
        <f t="shared" si="14"/>
        <v>0.0144</v>
      </c>
      <c r="DQ91" s="101">
        <f t="shared" si="15"/>
        <v>271.897381506345</v>
      </c>
    </row>
    <row r="92" spans="1:121">
      <c r="A92" s="33"/>
      <c r="B92" s="130">
        <v>123</v>
      </c>
      <c r="C92">
        <v>1.8</v>
      </c>
      <c r="D92" s="33"/>
      <c r="E92" s="105" t="s">
        <v>181</v>
      </c>
      <c r="F92" s="106">
        <v>2</v>
      </c>
      <c r="G92" s="107">
        <f t="shared" si="92"/>
        <v>0</v>
      </c>
      <c r="H92" s="92">
        <f>IF(VLOOKUP($E92,武器奇术!$A:$R,18,FALSE)="天工",AE92,(AE92+AT92+BI92+BX92+CM92+DB92+DQ92))*(1+J92)*F92*K92*(1+G92)</f>
        <v>45528.1450619781</v>
      </c>
      <c r="I92" s="93">
        <f t="shared" si="58"/>
        <v>0.00584047422331453</v>
      </c>
      <c r="J92" s="93">
        <f>$F$3+VLOOKUP($E92,武器奇术!$A:$R,12,FALSE)+VLOOKUP($E92,武器奇术!$A:$R,14,FALSE)*$G$3+$P92</f>
        <v>0.693</v>
      </c>
      <c r="K92" s="94">
        <f>VLOOKUP($E92,武器奇术!$A:$R,11,FALSE)</f>
        <v>1</v>
      </c>
      <c r="L92" s="109">
        <f>IF(VLOOKUP($E92,武器奇术!$A:$R,15,FALSE)="天工",0%,IF($C$17+VLOOKUP($E92,武器奇术!$A:$R,7,FALSE)&gt;80%,80%,$C$17+VLOOKUP($E92,武器奇术!$A:$R,7,FALSE))+IF($C$19&gt;20%,20%,$C$19))</f>
        <v>0.887</v>
      </c>
      <c r="M92" s="110">
        <f>IF(VLOOKUP($E92,武器奇术!$A:$R,15,FALSE)="天工",0%,IF($C$18+VLOOKUP($E92,武器奇术!$A:$R,9,FALSE)&gt;40%,40%,$C$18+VLOOKUP($E92,武器奇术!$A:$R,9,FALSE))+IF($C$20&gt;10%,10%,$C$20))</f>
        <v>0.0986</v>
      </c>
      <c r="N92" s="111">
        <f>IF(VLOOKUP($E92,武器奇术!$A:$R,15,FALSE)="天工",100%,MIN($C$16,1))</f>
        <v>1</v>
      </c>
      <c r="O92" s="112" t="str">
        <f>VLOOKUP($E92,武器奇术!$A:$R,16,FALSE)</f>
        <v>双刀</v>
      </c>
      <c r="P92" s="113">
        <f t="shared" si="59"/>
        <v>0.17</v>
      </c>
      <c r="Q92" s="99">
        <f>$B$5*(1+VLOOKUP($E92,武器奇术!$A:$R,5,FALSE)+IF($G$5="飞隼",0.1,0)+IF($G$5="撼天",0.05,0))-$F$9*IF(VLOOKUP($E92,武器奇术!$A:$S,19,FALSE)=1,0.9,1)+IF($I$5="√",160,0)</f>
        <v>2904.2</v>
      </c>
      <c r="R92" s="91">
        <f t="shared" si="60"/>
        <v>2904.2</v>
      </c>
      <c r="S92" s="91">
        <f>MAX($C$5,$B$5)*(1+VLOOKUP($E92,武器奇术!$A:$R,5,FALSE)+IF($G$5="飞隼",0.1,0)+IF($G$5="撼天",0.05,0))-$F$9*IF(VLOOKUP($E92,武器奇术!$A:$S,19,FALSE)=1,0.9,1)+IF($I$5="√",320,0)</f>
        <v>2904.2</v>
      </c>
      <c r="T92" s="93">
        <f>IF(($D$5+VLOOKUP($E92,武器奇术!$A:$R,13,FALSE)+IF($I$3="√",10,0)-VLOOKUP($F$7,目标属性!$A:$R,5,FALSE))&gt;0,($D$5+VLOOKUP($E92,武器奇术!$A:$R,13,FALSE)+IF($I$3="√",10,0)-VLOOKUP($F$7,目标属性!$A:$R,5,FALSE))/200,($D$5+VLOOKUP($E92,武器奇术!$A:$R,13,FALSE)+IF($I$3="√",10,0)-VLOOKUP($F$7,目标属性!$A:$R,5,FALSE))/100)</f>
        <v>0.2675</v>
      </c>
      <c r="U92" s="120">
        <f>$E$5+IF(VLOOKUP($E92,武器奇术!$A:$R,18,FALSE)="鼠鼠",0.24,0)+IF(期望!$G$5="燕归",10/2/100,0)</f>
        <v>0.05</v>
      </c>
      <c r="V92" s="91">
        <v>1</v>
      </c>
      <c r="W92" s="92">
        <f>Q92*VLOOKUP($E92,武器奇术!$A:$R,2,FALSE)*(1+T92)*(1+U92)*V92</f>
        <v>3831.577871121</v>
      </c>
      <c r="X92" s="93">
        <f>(1-IF(VLOOKUP($E92,武器奇术!$A:$R,16,FALSE)="陌刀",1,$N92))*(1-$M92)</f>
        <v>0</v>
      </c>
      <c r="Y92" s="92">
        <f>R92*VLOOKUP($E92,武器奇术!$A:$R,2,FALSE)*(1+T92)*(1+U92)*V92*(1+$E$16+VLOOKUP($E92,武器奇术!$A:$R,8,FALSE))</f>
        <v>8214.90295568343</v>
      </c>
      <c r="Z92" s="93">
        <f t="shared" si="61"/>
        <v>0.887</v>
      </c>
      <c r="AA92" s="92">
        <f>S92*VLOOKUP($E92,武器奇术!$A:$R,2,FALSE)*(1+T92)*(1+U92)*V92*(1+$E$17+VLOOKUP($E92,武器奇术!$A:$R,10,FALSE))</f>
        <v>5172.63012601335</v>
      </c>
      <c r="AB92" s="93">
        <f t="shared" si="62"/>
        <v>0.0986</v>
      </c>
      <c r="AC92" s="92">
        <f>R92*VLOOKUP($E92,武器奇术!$A:$R,2,FALSE)*(1+T92)*(1+U92)*V92</f>
        <v>3831.577871121</v>
      </c>
      <c r="AD92" s="93">
        <f t="shared" si="63"/>
        <v>0.0144</v>
      </c>
      <c r="AE92" s="101">
        <f t="shared" si="64"/>
        <v>7851.81497346026</v>
      </c>
      <c r="AF92" s="102">
        <f>VLOOKUP($E92,武器奇术!$A:$R,3,FALSE)*(1+IF(VLOOKUP($E92,武器奇术!$A:$R,15,FALSE)="武器",$E$15,0))</f>
        <v>357.5</v>
      </c>
      <c r="AG92" s="92">
        <f t="shared" si="65"/>
        <v>357.5</v>
      </c>
      <c r="AH92" s="92">
        <f>VLOOKUP($E92,武器奇术!$A:$R,3,FALSE)*(1+IF(VLOOKUP($E92,武器奇术!$A:$R,15,FALSE)="武器",$E$15,0))</f>
        <v>357.5</v>
      </c>
      <c r="AI92" s="93">
        <f>IF(($D$5+VLOOKUP($E92,武器奇术!$A:$R,13,FALSE)+IF($I$3="√",10,0)-VLOOKUP($F$7,目标属性!$A:$R,5,FALSE))&gt;0,($D$5+VLOOKUP($E92,武器奇术!$A:$R,13,FALSE)+IF($I$3="√",10,0)-VLOOKUP($F$7,目标属性!$A:$R,5,FALSE))/200,($D$5+VLOOKUP($E92,武器奇术!$A:$R,13,FALSE)+IF($I$3="√",10,0)-VLOOKUP($F$7,目标属性!$A:$R,5,FALSE))/100)</f>
        <v>0.2675</v>
      </c>
      <c r="AJ92" s="120">
        <f>$E$5+IF(VLOOKUP($E92,武器奇术!$A:$R,18,FALSE)="鼠鼠",0.24,0)+IF(期望!$G$5="燕归",10/2/100,0)</f>
        <v>0.05</v>
      </c>
      <c r="AK92" s="91">
        <v>1</v>
      </c>
      <c r="AL92" s="92">
        <f t="shared" si="66"/>
        <v>475.7878125</v>
      </c>
      <c r="AM92" s="93">
        <f>(1-IF(VLOOKUP($E92,武器奇术!$A:$R,16,FALSE)="陌刀",1,$N92))*(1-$M92)</f>
        <v>0</v>
      </c>
      <c r="AN92" s="92">
        <f>AG92*(1+AI92)*(1+AJ92)*AK92*(1+$E$16+VLOOKUP($E92,武器奇术!$A:$R,8,FALSE))</f>
        <v>1020.08907</v>
      </c>
      <c r="AO92" s="93">
        <f t="shared" si="1"/>
        <v>0.887</v>
      </c>
      <c r="AP92" s="92">
        <f>AH92*(1+AI92)*(1+AJ92)*AK92*(1+$E$17+VLOOKUP($E92,武器奇术!$A:$R,10,FALSE))</f>
        <v>642.313546875</v>
      </c>
      <c r="AQ92" s="93">
        <f t="shared" si="2"/>
        <v>0.0986</v>
      </c>
      <c r="AR92" s="92">
        <f t="shared" si="67"/>
        <v>475.7878125</v>
      </c>
      <c r="AS92" s="93">
        <f t="shared" si="68"/>
        <v>0.0144</v>
      </c>
      <c r="AT92" s="101">
        <f t="shared" si="69"/>
        <v>975.002465311875</v>
      </c>
      <c r="AU92" s="99">
        <f>IF(VLOOKUP($E92,武器奇术!$A:$R,18,FALSE)="极乐",0,$B$7*IF($G$5="撼天",1.05,1)+IF(AND(VLOOKUP($E92,武器奇术!$A:$R,15,FALSE)="武器",VLOOKUP($E92,武器奇术!$A:$R,17,FALSE)="鸣金"),$E$3*(1+$E$15),0))</f>
        <v>0</v>
      </c>
      <c r="AV92" s="91">
        <f t="shared" si="70"/>
        <v>0</v>
      </c>
      <c r="AW92" s="91">
        <f>IF(VLOOKUP($E92,武器奇术!$A:$R,18,FALSE)="极乐",0,MAX($C$7*IF($G$5="撼天",1.05,1)+IF(AND(VLOOKUP($E92,武器奇术!$A:$R,15,FALSE)="武器",VLOOKUP($E92,武器奇术!$A:$R,17,FALSE)="鸣金"),$E$3*(1+$E$15),0),AU92))</f>
        <v>0</v>
      </c>
      <c r="AX92" s="93">
        <f>IF(($D$7+IF(VLOOKUP($E92,武器奇术!$A:$R,17,FALSE)="鸣金",$D$15,0)-VLOOKUP($F$7,目标属性!$A:$R,6,FALSE))&gt;0,($D$7+IF(VLOOKUP($E92,武器奇术!$A:$R,17,FALSE)="鸣金",$D$15,0)-VLOOKUP($F$7,目标属性!$A:$R,6,FALSE))/200,($D$7+IF(VLOOKUP($E92,武器奇术!$A:$R,17,FALSE)="鸣金",$D$15,0)-VLOOKUP($F$7,目标属性!$A:$R,6,FALSE))/100)</f>
        <v>-0.24</v>
      </c>
      <c r="AY92" s="100">
        <f t="shared" si="89"/>
        <v>0</v>
      </c>
      <c r="AZ92" s="91">
        <v>1</v>
      </c>
      <c r="BA92" s="92">
        <f>AU92*IF(VLOOKUP($E92,武器奇术!$A:$R,17,FALSE)="鸣金",VLOOKUP($E92,武器奇术!$A:$R,4,FALSE),VLOOKUP($E92,武器奇术!$A:$R,2,FALSE))*(1+AX92)*(1+AY92)*AZ92</f>
        <v>0</v>
      </c>
      <c r="BB92" s="93">
        <f>(1-IF(VLOOKUP($E92,武器奇术!$A:$R,16,FALSE)="陌刀",1,$N92))*(1-$M92)</f>
        <v>0</v>
      </c>
      <c r="BC92" s="92">
        <f>AV92*IF(VLOOKUP($E92,武器奇术!$A:$R,17,FALSE)="鸣金",VLOOKUP($E92,武器奇术!$A:$R,4,FALSE),VLOOKUP($E92,武器奇术!$A:$R,2,FALSE))*(1+AX92)*(1+AY92)*AZ92*(1+$E$16+VLOOKUP($E92,武器奇术!$A:$R,8,FALSE))</f>
        <v>0</v>
      </c>
      <c r="BD92" s="93">
        <f t="shared" si="3"/>
        <v>0.887</v>
      </c>
      <c r="BE92" s="92">
        <f>AW92*IF(VLOOKUP($E92,武器奇术!$A:$R,17,FALSE)="鸣金",VLOOKUP($E92,武器奇术!$A:$R,4,FALSE),VLOOKUP($E92,武器奇术!$A:$R,2,FALSE))*(1+AX92)*(1+AY92)*AZ92*(1+$E$17+VLOOKUP($E92,武器奇术!$A:$R,10,FALSE))</f>
        <v>0</v>
      </c>
      <c r="BF92" s="93">
        <f t="shared" si="4"/>
        <v>0.0986</v>
      </c>
      <c r="BG92" s="92">
        <f>AV92*IF(VLOOKUP($E92,武器奇术!$A:$R,17,FALSE)="鸣金",VLOOKUP($E92,武器奇术!$A:$R,4,FALSE),VLOOKUP($E92,武器奇术!$A:$R,2,FALSE))*(1+AX92)*(1+AY92)*AZ92</f>
        <v>0</v>
      </c>
      <c r="BH92" s="93">
        <f t="shared" si="71"/>
        <v>0.0144</v>
      </c>
      <c r="BI92" s="101">
        <f t="shared" si="72"/>
        <v>0</v>
      </c>
      <c r="BJ92" s="99">
        <f>IF(VLOOKUP($E92,武器奇术!$A:$R,18,FALSE)="极乐",0,$B$9*IF($G$5="撼天",1.05,1)+IF(AND(VLOOKUP($E92,武器奇术!$A:$R,15,FALSE)="武器",VLOOKUP($E92,武器奇术!$A:$R,17,FALSE)="裂石"),$E$3*(1+$E$15),0))</f>
        <v>0</v>
      </c>
      <c r="BK92" s="91">
        <f t="shared" si="73"/>
        <v>0</v>
      </c>
      <c r="BL92" s="91">
        <f>IF(VLOOKUP($E92,武器奇术!$A:$R,18,FALSE)="极乐",0,MAX($C$9*IF($G$5="撼天",1.05,1)+IF(AND(VLOOKUP($E92,武器奇术!$A:$R,15,FALSE)="武器",VLOOKUP($E92,武器奇术!$A:$R,17,FALSE)="裂石"),$E$3*(1+$E$15),0),BJ92))</f>
        <v>0</v>
      </c>
      <c r="BM92" s="93">
        <f>IF(($D$9+IF(VLOOKUP($E92,武器奇术!$A:$R,17,FALSE)="裂石",$D$15,0)-VLOOKUP($F$7,目标属性!$A:$R,6,FALSE))&gt;0,($D$9+IF(VLOOKUP($E92,武器奇术!$A:$R,17,FALSE)="裂石",$D$15,0)-VLOOKUP($F$7,目标属性!$A:$R,6,FALSE))/200,($D$9+IF(VLOOKUP($E92,武器奇术!$A:$R,17,FALSE)="裂石",$D$15,0)-VLOOKUP($F$7,目标属性!$A:$R,6,FALSE))/100)</f>
        <v>-0.24</v>
      </c>
      <c r="BN92" s="100">
        <f t="shared" si="90"/>
        <v>0</v>
      </c>
      <c r="BO92" s="91">
        <v>1</v>
      </c>
      <c r="BP92" s="92">
        <f>BJ92*IF(VLOOKUP($E92,武器奇术!$A:$R,17,FALSE)="裂石",VLOOKUP($E92,武器奇术!$A:$R,4,FALSE),VLOOKUP($E92,武器奇术!$A:$R,2,FALSE))*(1+BM92)*(1+BN92)*BO92</f>
        <v>0</v>
      </c>
      <c r="BQ92" s="93">
        <f>(1-IF(VLOOKUP($E92,武器奇术!$A:$R,16,FALSE)="陌刀",1,$N92))*(1-$M92)</f>
        <v>0</v>
      </c>
      <c r="BR92" s="92">
        <f>BK92*IF(VLOOKUP($E92,武器奇术!$A:$R,17,FALSE)="裂石",VLOOKUP($E92,武器奇术!$A:$R,4,FALSE),VLOOKUP($E92,武器奇术!$A:$R,2,FALSE))*(1+BM92)*(1+BN92)*BO92*(1+$E$16+VLOOKUP($E92,武器奇术!$A:$R,8,FALSE))</f>
        <v>0</v>
      </c>
      <c r="BS92" s="93">
        <f t="shared" si="5"/>
        <v>0.887</v>
      </c>
      <c r="BT92" s="92">
        <f>BL92*IF(VLOOKUP($E92,武器奇术!$A:$R,17,FALSE)="裂石",VLOOKUP($E92,武器奇术!$A:$R,4,FALSE),VLOOKUP($E92,武器奇术!$A:$R,2,FALSE))*(1+BM92)*(1+BN92)*BO92*(1+$E$17+VLOOKUP($E92,武器奇术!$A:$R,10,FALSE))</f>
        <v>0</v>
      </c>
      <c r="BU92" s="93">
        <f t="shared" si="6"/>
        <v>0.0986</v>
      </c>
      <c r="BV92" s="92">
        <f>BK92*IF(VLOOKUP($E92,武器奇术!$A:$R,17,FALSE)="裂石",VLOOKUP($E92,武器奇术!$A:$R,4,FALSE),VLOOKUP($E92,武器奇术!$A:$R,2,FALSE))*(1+BM92)*(1+BN92)*BO92</f>
        <v>0</v>
      </c>
      <c r="BW92" s="93">
        <f t="shared" si="74"/>
        <v>0.0144</v>
      </c>
      <c r="BX92" s="101">
        <f t="shared" si="75"/>
        <v>0</v>
      </c>
      <c r="BY92" s="99">
        <f>IF(VLOOKUP($E92,武器奇术!$A:$R,18,FALSE)="极乐",0,$B$11*IF($G$5="撼天",1.05,1)+IF(AND(VLOOKUP($E92,武器奇术!$A:$R,15,FALSE)="武器",VLOOKUP($E92,武器奇术!$A:$R,17,FALSE)="牵丝"),$E$3*(1+$E$15),0))</f>
        <v>0</v>
      </c>
      <c r="BZ92" s="91">
        <f t="shared" si="76"/>
        <v>0</v>
      </c>
      <c r="CA92" s="91">
        <f>IF(VLOOKUP($E92,武器奇术!$A:$R,18,FALSE)="极乐",0,MAX($C$11*IF($G$5="撼天",1.05,1)+IF(AND(VLOOKUP($E92,武器奇术!$A:$R,15,FALSE)="武器",VLOOKUP($E92,武器奇术!$A:$R,17,FALSE)="牵丝"),$E$3*(1+$E$15),0),BY92))</f>
        <v>0</v>
      </c>
      <c r="CB92" s="93">
        <f>IF(($D$11+IF(VLOOKUP($E92,武器奇术!$A:$R,17,FALSE)="牵丝",$D$15,0)-VLOOKUP($F$7,目标属性!$A:$R,6,FALSE))&gt;0,($D$11+IF(VLOOKUP($E92,武器奇术!$A:$R,17,FALSE)="牵丝",$D$15,0)-VLOOKUP($F$7,目标属性!$A:$R,6,FALSE))/200,($D$11+IF(VLOOKUP($E92,武器奇术!$A:$R,17,FALSE)="牵丝",$D$15,0)-VLOOKUP($F$7,目标属性!$A:$R,6,FALSE))/100)</f>
        <v>-0.24</v>
      </c>
      <c r="CC92" s="100">
        <f t="shared" si="91"/>
        <v>0</v>
      </c>
      <c r="CD92" s="91">
        <v>1</v>
      </c>
      <c r="CE92" s="92">
        <f>BY92*IF(VLOOKUP($E92,武器奇术!$A:$R,17,FALSE)="牵丝",VLOOKUP($E92,武器奇术!$A:$R,4,FALSE),VLOOKUP($E92,武器奇术!$A:$R,2,FALSE))*(1+CB92)*(1+CC92)*CD92</f>
        <v>0</v>
      </c>
      <c r="CF92" s="93">
        <f>(1-IF(VLOOKUP($E92,武器奇术!$A:$R,16,FALSE)="陌刀",1,$N92))*(1-$M92)</f>
        <v>0</v>
      </c>
      <c r="CG92" s="92">
        <f>BZ92*IF(VLOOKUP($E92,武器奇术!$A:$R,17,FALSE)="牵丝",VLOOKUP($E92,武器奇术!$A:$R,4,FALSE),VLOOKUP($E92,武器奇术!$A:$R,2,FALSE))*(1+CB92)*(1+CC92)*CD92*(1+$E$16+VLOOKUP($E92,武器奇术!$A:$R,8,FALSE))</f>
        <v>0</v>
      </c>
      <c r="CH92" s="93">
        <f t="shared" si="7"/>
        <v>0.887</v>
      </c>
      <c r="CI92" s="92">
        <f>CA92*IF(VLOOKUP($E92,武器奇术!$A:$R,17,FALSE)="牵丝",VLOOKUP($E92,武器奇术!$A:$R,4,FALSE),VLOOKUP($E92,武器奇术!$A:$R,2,FALSE))*(1+CB92)*(1+CC92)*CD92*(1+$E$17+VLOOKUP($E92,武器奇术!$A:$R,10,FALSE))</f>
        <v>0</v>
      </c>
      <c r="CJ92" s="93">
        <f t="shared" si="8"/>
        <v>0.0986</v>
      </c>
      <c r="CK92" s="92">
        <f>BZ92*IF(VLOOKUP($E92,武器奇术!$A:$R,17,FALSE)="牵丝",VLOOKUP($E92,武器奇术!$A:$R,4,FALSE),VLOOKUP($E92,武器奇术!$A:$R,2,FALSE))*(1+CB92)*(1+CC92)*CD92</f>
        <v>0</v>
      </c>
      <c r="CL92" s="93">
        <f t="shared" si="77"/>
        <v>0.0144</v>
      </c>
      <c r="CM92" s="101">
        <f t="shared" si="78"/>
        <v>0</v>
      </c>
      <c r="CN92" s="99">
        <f>IF(VLOOKUP($E92,武器奇术!$A:$R,18,FALSE)="极乐",0,$B$13*IF($G$5="撼天",1.05,1)+IF(AND(VLOOKUP($E92,武器奇术!$A:$R,15,FALSE)="武器",VLOOKUP($E92,武器奇术!$A:$R,17,FALSE)="破竹"),$E$3*(1+$E$15),0))</f>
        <v>686.71</v>
      </c>
      <c r="CO92" s="91">
        <f t="shared" si="79"/>
        <v>1052.21</v>
      </c>
      <c r="CP92" s="91">
        <f>IF(VLOOKUP($E92,武器奇术!$A:$R,18,FALSE)="极乐",0,MAX($C$13*IF($G$5="撼天",1.05,1)+IF(AND(VLOOKUP($E92,武器奇术!$A:$R,15,FALSE)="武器",VLOOKUP($E92,武器奇术!$A:$R,17,FALSE)="破竹"),$E$3*(1+$E$15),0),CN92))</f>
        <v>1417.71</v>
      </c>
      <c r="CQ92" s="93">
        <f>IF(($D$13+IF(VLOOKUP($E92,武器奇术!$A:$R,17,FALSE)="破竹",$D$15,0)-VLOOKUP($F$7,目标属性!$A:$R,6,FALSE)+IF(VLOOKUP($E92,武器奇术!$A:$V,22,FALSE)=1,4,0)+IF(VLOOKUP($E92,武器奇术!$A:$T,20,FALSE)=1,10,0))&gt;0,($D$13+IF(VLOOKUP($E92,武器奇术!$A:$R,17,FALSE)="破竹",$D$15,0)-VLOOKUP($F$7,目标属性!$A:$R,6,FALSE)+IF(VLOOKUP($E92,武器奇术!$A:$V,22,FALSE)=1,4,0)+IF(VLOOKUP($E92,武器奇术!$A:$T,20,FALSE)=1,10,0))/200,($D$13+IF(VLOOKUP($E92,武器奇术!$A:$R,17,FALSE)="破竹",$D$15,0)-VLOOKUP($F$7,目标属性!$A:$R,6,FALSE)+IF(VLOOKUP($E92,武器奇术!$A:$V,22,FALSE)=1,4,0)+IF(VLOOKUP($E92,武器奇术!$A:$T,20,FALSE)=1,10,0))/100)</f>
        <v>0.078</v>
      </c>
      <c r="CR92" s="120">
        <f>$E$13+IF(期望!$G$5="燕归",10/2/100,0)</f>
        <v>0.198</v>
      </c>
      <c r="CS92" s="91">
        <v>1</v>
      </c>
      <c r="CT92" s="92">
        <f>CN92*IF(VLOOKUP($E92,武器奇术!$A:$R,17,FALSE)="破竹",VLOOKUP($E92,武器奇术!$A:$R,4,FALSE),VLOOKUP($E92,武器奇术!$A:$R,2,FALSE))*(1+CQ92)*(1+CR92)*CS92</f>
        <v>1318.7245092897</v>
      </c>
      <c r="CU92" s="93">
        <f>(1-IF(VLOOKUP($E92,武器奇术!$A:$R,16,FALSE)="陌刀",1,$N92))*(1-$M92)</f>
        <v>0</v>
      </c>
      <c r="CV92" s="92">
        <f>CO92*IF(VLOOKUP($E92,武器奇术!$A:$R,17,FALSE)="破竹",VLOOKUP($E92,武器奇术!$A:$R,4,FALSE),VLOOKUP($E92,武器奇术!$A:$R,2,FALSE))*(1+CQ92)*(1+CR92)*CS92*(1+$E$16+VLOOKUP($E92,武器奇术!$A:$R,8,FALSE))</f>
        <v>4332.19415551231</v>
      </c>
      <c r="CW92" s="93">
        <f t="shared" si="9"/>
        <v>0.887</v>
      </c>
      <c r="CX92" s="92">
        <f>CP92*IF(VLOOKUP($E92,武器奇术!$A:$R,17,FALSE)="破竹",VLOOKUP($E92,武器奇术!$A:$R,4,FALSE),VLOOKUP($E92,武器奇术!$A:$R,2,FALSE))*(1+CQ92)*(1+CR92)*CS92*(1+$E$17+VLOOKUP($E92,武器奇术!$A:$R,10,FALSE))</f>
        <v>3675.37686576266</v>
      </c>
      <c r="CY92" s="93">
        <f t="shared" si="10"/>
        <v>0.0986</v>
      </c>
      <c r="CZ92" s="92">
        <f>CO92*IF(VLOOKUP($E92,武器奇术!$A:$R,17,FALSE)="破竹",VLOOKUP($E92,武器奇术!$A:$R,4,FALSE),VLOOKUP($E92,武器奇术!$A:$R,2,FALSE))*(1+CQ92)*(1+CR92)*CS92</f>
        <v>2020.61294566806</v>
      </c>
      <c r="DA92" s="93">
        <f t="shared" si="80"/>
        <v>0.0144</v>
      </c>
      <c r="DB92" s="101">
        <f t="shared" si="81"/>
        <v>4234.14520132124</v>
      </c>
      <c r="DC92" s="99">
        <f>IF(VLOOKUP($E92,武器奇术!$A:$R,18,FALSE)="极乐",0,$B$15)</f>
        <v>66</v>
      </c>
      <c r="DD92" s="91">
        <f t="shared" si="82"/>
        <v>95.9</v>
      </c>
      <c r="DE92" s="91">
        <f>IF(VLOOKUP($E92,武器奇术!$A:$R,18,FALSE)="极乐",0,$C$15)</f>
        <v>125.8</v>
      </c>
      <c r="DF92" s="93">
        <f>IF((IF(VLOOKUP($E92,武器奇术!$A:$R,17,FALSE)="鸣金",$D$7,0)+IF(VLOOKUP($E92,武器奇术!$A:$R,17,FALSE)="裂石",$D$9,0)+IF(VLOOKUP($E92,武器奇术!$A:$R,17,FALSE)="牵丝",$D$11,0)+IF(VLOOKUP($E92,武器奇术!$A:$R,17,FALSE)="破竹",$D$13,0)+$D$15-VLOOKUP($F$7,目标属性!$A:$R,6,FALSE)+IF(VLOOKUP($E92,武器奇术!$A:$V,22,FALSE)=1,4,0)+IF(VLOOKUP($E92,武器奇术!$A:$T,20,FALSE)=1,10,0))&gt;0,(IF(VLOOKUP($E92,武器奇术!$A:$R,17,FALSE)="鸣金",$D$7,0)+IF(VLOOKUP($E92,武器奇术!$A:$R,17,FALSE)="裂石",$D$9,0)+IF(VLOOKUP($E92,武器奇术!$A:$R,17,FALSE)="牵丝",$D$11,0)+IF(VLOOKUP($E92,武器奇术!$A:$R,17,FALSE)="破竹",$D$13,0)+$D$15-VLOOKUP($F$7,目标属性!$A:$R,6,FALSE)+IF(VLOOKUP($E92,武器奇术!$A:$V,22,FALSE)=1,4,0)+IF(VLOOKUP($E92,武器奇术!$A:$T,20,FALSE)=1,10,0))/200,(IF(VLOOKUP($E92,武器奇术!$A:$R,17,FALSE)="鸣金",$D$7,0)+IF(VLOOKUP($E92,武器奇术!$A:$R,17,FALSE)="裂石",$D$9,0)+IF(VLOOKUP($E92,武器奇术!$A:$R,17,FALSE)="牵丝",$D$11,0)+IF(VLOOKUP($E92,武器奇术!$A:$R,17,FALSE)="破竹",$D$13,0)+$D$15-VLOOKUP($F$7,目标属性!$A:$R,6,FALSE)+IF(VLOOKUP($E92,武器奇术!$A:$V,22,FALSE)=1,4,0)+IF(VLOOKUP($E92,武器奇术!$A:$T,20,FALSE)=1,10,0))/100)</f>
        <v>0.078</v>
      </c>
      <c r="DG92" s="120">
        <f>$E$13+IF(期望!$G$5="燕归",10/2/100,0)</f>
        <v>0.198</v>
      </c>
      <c r="DH92" s="91">
        <v>1</v>
      </c>
      <c r="DI92" s="92">
        <f>DC92*IF(VLOOKUP($E92,武器奇术!$A:$R,17,FALSE)="破竹",VLOOKUP($E92,武器奇术!$A:$R,4,FALSE),VLOOKUP($E92,武器奇术!$A:$R,2,FALSE))*(1+DF92)*(1+DG92)*DH92</f>
        <v>126.74319234192</v>
      </c>
      <c r="DJ92" s="93">
        <f>(1-IF(VLOOKUP($E92,武器奇术!$A:$R,16,FALSE)="陌刀",1,$N92))*(1-$M92)</f>
        <v>0</v>
      </c>
      <c r="DK92" s="92">
        <f>DD92*IF(VLOOKUP($E92,武器奇术!$A:$R,17,FALSE)="破竹",VLOOKUP($E92,武器奇术!$A:$R,4,FALSE),VLOOKUP($E92,武器奇术!$A:$R,2,FALSE))*(1+DF92)*(1+DG92)*DH92*(1+$E$16+VLOOKUP($E92,武器奇术!$A:$R,8,FALSE))</f>
        <v>394.842683032504</v>
      </c>
      <c r="DL92" s="93">
        <f t="shared" si="12"/>
        <v>0.887</v>
      </c>
      <c r="DM92" s="92">
        <f>DE92*IF(VLOOKUP($E92,武器奇术!$A:$R,17,FALSE)="破竹",VLOOKUP($E92,武器奇术!$A:$R,4,FALSE),VLOOKUP($E92,武器奇术!$A:$R,2,FALSE))*(1+DF92)*(1+DG92)*DH92*(1+$E$17+VLOOKUP($E92,武器奇术!$A:$R,10,FALSE))</f>
        <v>326.13327811255</v>
      </c>
      <c r="DN92" s="93">
        <f t="shared" si="13"/>
        <v>0.0986</v>
      </c>
      <c r="DO92" s="92">
        <f>DD92*IF(VLOOKUP($E92,武器奇术!$A:$R,17,FALSE)="破竹",VLOOKUP($E92,武器奇术!$A:$R,4,FALSE),VLOOKUP($E92,武器奇术!$A:$R,2,FALSE))*(1+DF92)*(1+DG92)*DH92</f>
        <v>184.161699175608</v>
      </c>
      <c r="DP92" s="93">
        <f t="shared" si="14"/>
        <v>0.0144</v>
      </c>
      <c r="DQ92" s="101">
        <f t="shared" si="15"/>
        <v>385.034129539857</v>
      </c>
    </row>
    <row r="93" spans="1:121">
      <c r="A93" s="33"/>
      <c r="B93" s="130">
        <v>45</v>
      </c>
      <c r="C93">
        <v>1.5</v>
      </c>
      <c r="E93" s="105" t="s">
        <v>182</v>
      </c>
      <c r="F93" s="106">
        <v>2</v>
      </c>
      <c r="G93" s="107">
        <f t="shared" si="92"/>
        <v>0</v>
      </c>
      <c r="H93" s="92">
        <f>IF(VLOOKUP($E93,武器奇术!$A:$R,18,FALSE)="天工",AE93,(AE93+AT93+BI93+BX93+CM93+DB93+DQ93))*(1+J93)*F93*K93*(1+G93)</f>
        <v>73026.5611541836</v>
      </c>
      <c r="I93" s="93">
        <f t="shared" si="58"/>
        <v>0.00936804579799371</v>
      </c>
      <c r="J93" s="93">
        <f>$F$3+VLOOKUP($E93,武器奇术!$A:$R,12,FALSE)+VLOOKUP($E93,武器奇术!$A:$R,14,FALSE)*$G$3+$P93</f>
        <v>0.693</v>
      </c>
      <c r="K93" s="94">
        <f>VLOOKUP($E93,武器奇术!$A:$R,11,FALSE)</f>
        <v>1</v>
      </c>
      <c r="L93" s="109">
        <f>IF(VLOOKUP($E93,武器奇术!$A:$R,15,FALSE)="天工",0%,IF($C$17+VLOOKUP($E93,武器奇术!$A:$R,7,FALSE)&gt;80%,80%,$C$17+VLOOKUP($E93,武器奇术!$A:$R,7,FALSE))+IF($C$19&gt;20%,20%,$C$19))</f>
        <v>0.887</v>
      </c>
      <c r="M93" s="110">
        <f>IF(VLOOKUP($E93,武器奇术!$A:$R,15,FALSE)="天工",0%,IF($C$18+VLOOKUP($E93,武器奇术!$A:$R,9,FALSE)&gt;40%,40%,$C$18+VLOOKUP($E93,武器奇术!$A:$R,9,FALSE))+IF($C$20&gt;10%,10%,$C$20))</f>
        <v>0.0986</v>
      </c>
      <c r="N93" s="111">
        <f>IF(VLOOKUP($E93,武器奇术!$A:$R,15,FALSE)="天工",100%,MIN($C$16,1))</f>
        <v>1</v>
      </c>
      <c r="O93" s="112" t="str">
        <f>VLOOKUP($E93,武器奇术!$A:$R,16,FALSE)</f>
        <v>双刀</v>
      </c>
      <c r="P93" s="113">
        <f t="shared" si="59"/>
        <v>0.17</v>
      </c>
      <c r="Q93" s="99">
        <f>$B$5*(1+VLOOKUP($E93,武器奇术!$A:$R,5,FALSE)+IF($G$5="飞隼",0.1,0)+IF($G$5="撼天",0.05,0))-$F$9*IF(VLOOKUP($E93,武器奇术!$A:$S,19,FALSE)=1,0.9,1)+IF($I$5="√",160,0)</f>
        <v>2904.2</v>
      </c>
      <c r="R93" s="91">
        <f t="shared" si="60"/>
        <v>2904.2</v>
      </c>
      <c r="S93" s="91">
        <f>MAX($C$5,$B$5)*(1+VLOOKUP($E93,武器奇术!$A:$R,5,FALSE)+IF($G$5="飞隼",0.1,0)+IF($G$5="撼天",0.05,0))-$F$9*IF(VLOOKUP($E93,武器奇术!$A:$S,19,FALSE)=1,0.9,1)+IF($I$5="√",320,0)</f>
        <v>2904.2</v>
      </c>
      <c r="T93" s="93">
        <f>IF(($D$5+VLOOKUP($E93,武器奇术!$A:$R,13,FALSE)+IF($I$3="√",10,0)-VLOOKUP($F$7,目标属性!$A:$R,5,FALSE))&gt;0,($D$5+VLOOKUP($E93,武器奇术!$A:$R,13,FALSE)+IF($I$3="√",10,0)-VLOOKUP($F$7,目标属性!$A:$R,5,FALSE))/200,($D$5+VLOOKUP($E93,武器奇术!$A:$R,13,FALSE)+IF($I$3="√",10,0)-VLOOKUP($F$7,目标属性!$A:$R,5,FALSE))/100)</f>
        <v>0.2675</v>
      </c>
      <c r="U93" s="120">
        <f>$E$5+IF(VLOOKUP($E93,武器奇术!$A:$R,18,FALSE)="鼠鼠",0.24,0)+IF(期望!$G$5="燕归",10/2/100,0)</f>
        <v>0.05</v>
      </c>
      <c r="V93" s="91">
        <v>1</v>
      </c>
      <c r="W93" s="92">
        <f>Q93*VLOOKUP($E93,武器奇术!$A:$R,2,FALSE)*(1+T93)*(1+U93)*V93</f>
        <v>6145.74546460875</v>
      </c>
      <c r="X93" s="93">
        <f>(1-IF(VLOOKUP($E93,武器奇术!$A:$R,16,FALSE)="陌刀",1,$N93))*(1-$M93)</f>
        <v>0</v>
      </c>
      <c r="Y93" s="92">
        <f>R93*VLOOKUP($E93,武器奇术!$A:$R,2,FALSE)*(1+T93)*(1+U93)*V93*(1+$E$16+VLOOKUP($E93,武器奇术!$A:$R,8,FALSE))</f>
        <v>13176.4782761212</v>
      </c>
      <c r="Z93" s="93">
        <f t="shared" si="61"/>
        <v>0.887</v>
      </c>
      <c r="AA93" s="92">
        <f>S93*VLOOKUP($E93,武器奇术!$A:$R,2,FALSE)*(1+T93)*(1+U93)*V93*(1+$E$17+VLOOKUP($E93,武器奇术!$A:$R,10,FALSE))</f>
        <v>8296.75637722181</v>
      </c>
      <c r="AB93" s="93">
        <f t="shared" si="62"/>
        <v>0.0986</v>
      </c>
      <c r="AC93" s="92">
        <f>R93*VLOOKUP($E93,武器奇术!$A:$R,2,FALSE)*(1+T93)*(1+U93)*V93</f>
        <v>6145.74546460875</v>
      </c>
      <c r="AD93" s="93">
        <f t="shared" si="63"/>
        <v>0.0144</v>
      </c>
      <c r="AE93" s="101">
        <f t="shared" si="64"/>
        <v>12594.0951444039</v>
      </c>
      <c r="AF93" s="102">
        <f>VLOOKUP($E93,武器奇术!$A:$R,3,FALSE)*(1+IF(VLOOKUP($E93,武器奇术!$A:$R,15,FALSE)="武器",$E$15,0))</f>
        <v>573.43</v>
      </c>
      <c r="AG93" s="92">
        <f t="shared" si="65"/>
        <v>573.43</v>
      </c>
      <c r="AH93" s="92">
        <f>VLOOKUP($E93,武器奇术!$A:$R,3,FALSE)*(1+IF(VLOOKUP($E93,武器奇术!$A:$R,15,FALSE)="武器",$E$15,0))</f>
        <v>573.43</v>
      </c>
      <c r="AI93" s="93">
        <f>IF(($D$5+VLOOKUP($E93,武器奇术!$A:$R,13,FALSE)+IF($I$3="√",10,0)-VLOOKUP($F$7,目标属性!$A:$R,5,FALSE))&gt;0,($D$5+VLOOKUP($E93,武器奇术!$A:$R,13,FALSE)+IF($I$3="√",10,0)-VLOOKUP($F$7,目标属性!$A:$R,5,FALSE))/200,($D$5+VLOOKUP($E93,武器奇术!$A:$R,13,FALSE)+IF($I$3="√",10,0)-VLOOKUP($F$7,目标属性!$A:$R,5,FALSE))/100)</f>
        <v>0.2675</v>
      </c>
      <c r="AJ93" s="120">
        <f>$E$5+IF(VLOOKUP($E93,武器奇术!$A:$R,18,FALSE)="鼠鼠",0.24,0)+IF(期望!$G$5="燕归",10/2/100,0)</f>
        <v>0.05</v>
      </c>
      <c r="AK93" s="91">
        <v>1</v>
      </c>
      <c r="AL93" s="92">
        <f t="shared" si="66"/>
        <v>763.16365125</v>
      </c>
      <c r="AM93" s="93">
        <f>(1-IF(VLOOKUP($E93,武器奇术!$A:$R,16,FALSE)="陌刀",1,$N93))*(1-$M93)</f>
        <v>0</v>
      </c>
      <c r="AN93" s="92">
        <f>AG93*(1+AI93)*(1+AJ93)*AK93*(1+$E$16+VLOOKUP($E93,武器奇术!$A:$R,8,FALSE))</f>
        <v>1636.22286828</v>
      </c>
      <c r="AO93" s="93">
        <f t="shared" si="1"/>
        <v>0.887</v>
      </c>
      <c r="AP93" s="92">
        <f>AH93*(1+AI93)*(1+AJ93)*AK93*(1+$E$17+VLOOKUP($E93,武器奇术!$A:$R,10,FALSE))</f>
        <v>1030.2709291875</v>
      </c>
      <c r="AQ93" s="93">
        <f t="shared" si="2"/>
        <v>0.0986</v>
      </c>
      <c r="AR93" s="92">
        <f t="shared" si="67"/>
        <v>763.16365125</v>
      </c>
      <c r="AS93" s="93">
        <f t="shared" si="68"/>
        <v>0.0144</v>
      </c>
      <c r="AT93" s="101">
        <f t="shared" si="69"/>
        <v>1563.90395436025</v>
      </c>
      <c r="AU93" s="99">
        <f>IF(VLOOKUP($E93,武器奇术!$A:$R,18,FALSE)="极乐",0,$B$7*IF($G$5="撼天",1.05,1)+IF(AND(VLOOKUP($E93,武器奇术!$A:$R,15,FALSE)="武器",VLOOKUP($E93,武器奇术!$A:$R,17,FALSE)="鸣金"),$E$3*(1+$E$15),0))</f>
        <v>0</v>
      </c>
      <c r="AV93" s="91">
        <f t="shared" si="70"/>
        <v>0</v>
      </c>
      <c r="AW93" s="91">
        <f>IF(VLOOKUP($E93,武器奇术!$A:$R,18,FALSE)="极乐",0,MAX($C$7*IF($G$5="撼天",1.05,1)+IF(AND(VLOOKUP($E93,武器奇术!$A:$R,15,FALSE)="武器",VLOOKUP($E93,武器奇术!$A:$R,17,FALSE)="鸣金"),$E$3*(1+$E$15),0),AU93))</f>
        <v>0</v>
      </c>
      <c r="AX93" s="93">
        <f>IF(($D$7+IF(VLOOKUP($E93,武器奇术!$A:$R,17,FALSE)="鸣金",$D$15,0)-VLOOKUP($F$7,目标属性!$A:$R,6,FALSE))&gt;0,($D$7+IF(VLOOKUP($E93,武器奇术!$A:$R,17,FALSE)="鸣金",$D$15,0)-VLOOKUP($F$7,目标属性!$A:$R,6,FALSE))/200,($D$7+IF(VLOOKUP($E93,武器奇术!$A:$R,17,FALSE)="鸣金",$D$15,0)-VLOOKUP($F$7,目标属性!$A:$R,6,FALSE))/100)</f>
        <v>-0.24</v>
      </c>
      <c r="AY93" s="100">
        <f t="shared" si="89"/>
        <v>0</v>
      </c>
      <c r="AZ93" s="91">
        <v>1</v>
      </c>
      <c r="BA93" s="92">
        <f>AU93*IF(VLOOKUP($E93,武器奇术!$A:$R,17,FALSE)="鸣金",VLOOKUP($E93,武器奇术!$A:$R,4,FALSE),VLOOKUP($E93,武器奇术!$A:$R,2,FALSE))*(1+AX93)*(1+AY93)*AZ93</f>
        <v>0</v>
      </c>
      <c r="BB93" s="93">
        <f>(1-IF(VLOOKUP($E93,武器奇术!$A:$R,16,FALSE)="陌刀",1,$N93))*(1-$M93)</f>
        <v>0</v>
      </c>
      <c r="BC93" s="92">
        <f>AV93*IF(VLOOKUP($E93,武器奇术!$A:$R,17,FALSE)="鸣金",VLOOKUP($E93,武器奇术!$A:$R,4,FALSE),VLOOKUP($E93,武器奇术!$A:$R,2,FALSE))*(1+AX93)*(1+AY93)*AZ93*(1+$E$16+VLOOKUP($E93,武器奇术!$A:$R,8,FALSE))</f>
        <v>0</v>
      </c>
      <c r="BD93" s="93">
        <f t="shared" si="3"/>
        <v>0.887</v>
      </c>
      <c r="BE93" s="92">
        <f>AW93*IF(VLOOKUP($E93,武器奇术!$A:$R,17,FALSE)="鸣金",VLOOKUP($E93,武器奇术!$A:$R,4,FALSE),VLOOKUP($E93,武器奇术!$A:$R,2,FALSE))*(1+AX93)*(1+AY93)*AZ93*(1+$E$17+VLOOKUP($E93,武器奇术!$A:$R,10,FALSE))</f>
        <v>0</v>
      </c>
      <c r="BF93" s="93">
        <f t="shared" si="4"/>
        <v>0.0986</v>
      </c>
      <c r="BG93" s="92">
        <f>AV93*IF(VLOOKUP($E93,武器奇术!$A:$R,17,FALSE)="鸣金",VLOOKUP($E93,武器奇术!$A:$R,4,FALSE),VLOOKUP($E93,武器奇术!$A:$R,2,FALSE))*(1+AX93)*(1+AY93)*AZ93</f>
        <v>0</v>
      </c>
      <c r="BH93" s="93">
        <f t="shared" si="71"/>
        <v>0.0144</v>
      </c>
      <c r="BI93" s="101">
        <f t="shared" si="72"/>
        <v>0</v>
      </c>
      <c r="BJ93" s="99">
        <f>IF(VLOOKUP($E93,武器奇术!$A:$R,18,FALSE)="极乐",0,$B$9*IF($G$5="撼天",1.05,1)+IF(AND(VLOOKUP($E93,武器奇术!$A:$R,15,FALSE)="武器",VLOOKUP($E93,武器奇术!$A:$R,17,FALSE)="裂石"),$E$3*(1+$E$15),0))</f>
        <v>0</v>
      </c>
      <c r="BK93" s="91">
        <f t="shared" si="73"/>
        <v>0</v>
      </c>
      <c r="BL93" s="91">
        <f>IF(VLOOKUP($E93,武器奇术!$A:$R,18,FALSE)="极乐",0,MAX($C$9*IF($G$5="撼天",1.05,1)+IF(AND(VLOOKUP($E93,武器奇术!$A:$R,15,FALSE)="武器",VLOOKUP($E93,武器奇术!$A:$R,17,FALSE)="裂石"),$E$3*(1+$E$15),0),BJ93))</f>
        <v>0</v>
      </c>
      <c r="BM93" s="93">
        <f>IF(($D$9+IF(VLOOKUP($E93,武器奇术!$A:$R,17,FALSE)="裂石",$D$15,0)-VLOOKUP($F$7,目标属性!$A:$R,6,FALSE))&gt;0,($D$9+IF(VLOOKUP($E93,武器奇术!$A:$R,17,FALSE)="裂石",$D$15,0)-VLOOKUP($F$7,目标属性!$A:$R,6,FALSE))/200,($D$9+IF(VLOOKUP($E93,武器奇术!$A:$R,17,FALSE)="裂石",$D$15,0)-VLOOKUP($F$7,目标属性!$A:$R,6,FALSE))/100)</f>
        <v>-0.24</v>
      </c>
      <c r="BN93" s="100">
        <f t="shared" si="90"/>
        <v>0</v>
      </c>
      <c r="BO93" s="91">
        <v>1</v>
      </c>
      <c r="BP93" s="92">
        <f>BJ93*IF(VLOOKUP($E93,武器奇术!$A:$R,17,FALSE)="裂石",VLOOKUP($E93,武器奇术!$A:$R,4,FALSE),VLOOKUP($E93,武器奇术!$A:$R,2,FALSE))*(1+BM93)*(1+BN93)*BO93</f>
        <v>0</v>
      </c>
      <c r="BQ93" s="93">
        <f>(1-IF(VLOOKUP($E93,武器奇术!$A:$R,16,FALSE)="陌刀",1,$N93))*(1-$M93)</f>
        <v>0</v>
      </c>
      <c r="BR93" s="92">
        <f>BK93*IF(VLOOKUP($E93,武器奇术!$A:$R,17,FALSE)="裂石",VLOOKUP($E93,武器奇术!$A:$R,4,FALSE),VLOOKUP($E93,武器奇术!$A:$R,2,FALSE))*(1+BM93)*(1+BN93)*BO93*(1+$E$16+VLOOKUP($E93,武器奇术!$A:$R,8,FALSE))</f>
        <v>0</v>
      </c>
      <c r="BS93" s="93">
        <f t="shared" si="5"/>
        <v>0.887</v>
      </c>
      <c r="BT93" s="92">
        <f>BL93*IF(VLOOKUP($E93,武器奇术!$A:$R,17,FALSE)="裂石",VLOOKUP($E93,武器奇术!$A:$R,4,FALSE),VLOOKUP($E93,武器奇术!$A:$R,2,FALSE))*(1+BM93)*(1+BN93)*BO93*(1+$E$17+VLOOKUP($E93,武器奇术!$A:$R,10,FALSE))</f>
        <v>0</v>
      </c>
      <c r="BU93" s="93">
        <f t="shared" si="6"/>
        <v>0.0986</v>
      </c>
      <c r="BV93" s="92">
        <f>BK93*IF(VLOOKUP($E93,武器奇术!$A:$R,17,FALSE)="裂石",VLOOKUP($E93,武器奇术!$A:$R,4,FALSE),VLOOKUP($E93,武器奇术!$A:$R,2,FALSE))*(1+BM93)*(1+BN93)*BO93</f>
        <v>0</v>
      </c>
      <c r="BW93" s="93">
        <f t="shared" si="74"/>
        <v>0.0144</v>
      </c>
      <c r="BX93" s="101">
        <f t="shared" si="75"/>
        <v>0</v>
      </c>
      <c r="BY93" s="99">
        <f>IF(VLOOKUP($E93,武器奇术!$A:$R,18,FALSE)="极乐",0,$B$11*IF($G$5="撼天",1.05,1)+IF(AND(VLOOKUP($E93,武器奇术!$A:$R,15,FALSE)="武器",VLOOKUP($E93,武器奇术!$A:$R,17,FALSE)="牵丝"),$E$3*(1+$E$15),0))</f>
        <v>0</v>
      </c>
      <c r="BZ93" s="91">
        <f t="shared" si="76"/>
        <v>0</v>
      </c>
      <c r="CA93" s="91">
        <f>IF(VLOOKUP($E93,武器奇术!$A:$R,18,FALSE)="极乐",0,MAX($C$11*IF($G$5="撼天",1.05,1)+IF(AND(VLOOKUP($E93,武器奇术!$A:$R,15,FALSE)="武器",VLOOKUP($E93,武器奇术!$A:$R,17,FALSE)="牵丝"),$E$3*(1+$E$15),0),BY93))</f>
        <v>0</v>
      </c>
      <c r="CB93" s="93">
        <f>IF(($D$11+IF(VLOOKUP($E93,武器奇术!$A:$R,17,FALSE)="牵丝",$D$15,0)-VLOOKUP($F$7,目标属性!$A:$R,6,FALSE))&gt;0,($D$11+IF(VLOOKUP($E93,武器奇术!$A:$R,17,FALSE)="牵丝",$D$15,0)-VLOOKUP($F$7,目标属性!$A:$R,6,FALSE))/200,($D$11+IF(VLOOKUP($E93,武器奇术!$A:$R,17,FALSE)="牵丝",$D$15,0)-VLOOKUP($F$7,目标属性!$A:$R,6,FALSE))/100)</f>
        <v>-0.24</v>
      </c>
      <c r="CC93" s="100">
        <f t="shared" si="91"/>
        <v>0</v>
      </c>
      <c r="CD93" s="91">
        <v>1</v>
      </c>
      <c r="CE93" s="92">
        <f>BY93*IF(VLOOKUP($E93,武器奇术!$A:$R,17,FALSE)="牵丝",VLOOKUP($E93,武器奇术!$A:$R,4,FALSE),VLOOKUP($E93,武器奇术!$A:$R,2,FALSE))*(1+CB93)*(1+CC93)*CD93</f>
        <v>0</v>
      </c>
      <c r="CF93" s="93">
        <f>(1-IF(VLOOKUP($E93,武器奇术!$A:$R,16,FALSE)="陌刀",1,$N93))*(1-$M93)</f>
        <v>0</v>
      </c>
      <c r="CG93" s="92">
        <f>BZ93*IF(VLOOKUP($E93,武器奇术!$A:$R,17,FALSE)="牵丝",VLOOKUP($E93,武器奇术!$A:$R,4,FALSE),VLOOKUP($E93,武器奇术!$A:$R,2,FALSE))*(1+CB93)*(1+CC93)*CD93*(1+$E$16+VLOOKUP($E93,武器奇术!$A:$R,8,FALSE))</f>
        <v>0</v>
      </c>
      <c r="CH93" s="93">
        <f t="shared" si="7"/>
        <v>0.887</v>
      </c>
      <c r="CI93" s="92">
        <f>CA93*IF(VLOOKUP($E93,武器奇术!$A:$R,17,FALSE)="牵丝",VLOOKUP($E93,武器奇术!$A:$R,4,FALSE),VLOOKUP($E93,武器奇术!$A:$R,2,FALSE))*(1+CB93)*(1+CC93)*CD93*(1+$E$17+VLOOKUP($E93,武器奇术!$A:$R,10,FALSE))</f>
        <v>0</v>
      </c>
      <c r="CJ93" s="93">
        <f t="shared" si="8"/>
        <v>0.0986</v>
      </c>
      <c r="CK93" s="92">
        <f>BZ93*IF(VLOOKUP($E93,武器奇术!$A:$R,17,FALSE)="牵丝",VLOOKUP($E93,武器奇术!$A:$R,4,FALSE),VLOOKUP($E93,武器奇术!$A:$R,2,FALSE))*(1+CB93)*(1+CC93)*CD93</f>
        <v>0</v>
      </c>
      <c r="CL93" s="93">
        <f t="shared" si="77"/>
        <v>0.0144</v>
      </c>
      <c r="CM93" s="101">
        <f t="shared" si="78"/>
        <v>0</v>
      </c>
      <c r="CN93" s="99">
        <f>IF(VLOOKUP($E93,武器奇术!$A:$R,18,FALSE)="极乐",0,$B$13*IF($G$5="撼天",1.05,1)+IF(AND(VLOOKUP($E93,武器奇术!$A:$R,15,FALSE)="武器",VLOOKUP($E93,武器奇术!$A:$R,17,FALSE)="破竹"),$E$3*(1+$E$15),0))</f>
        <v>686.71</v>
      </c>
      <c r="CO93" s="91">
        <f t="shared" si="79"/>
        <v>1052.21</v>
      </c>
      <c r="CP93" s="91">
        <f>IF(VLOOKUP($E93,武器奇术!$A:$R,18,FALSE)="极乐",0,MAX($C$13*IF($G$5="撼天",1.05,1)+IF(AND(VLOOKUP($E93,武器奇术!$A:$R,15,FALSE)="武器",VLOOKUP($E93,武器奇术!$A:$R,17,FALSE)="破竹"),$E$3*(1+$E$15),0),CN93))</f>
        <v>1417.71</v>
      </c>
      <c r="CQ93" s="93">
        <f>IF(($D$13+IF(VLOOKUP($E93,武器奇术!$A:$R,17,FALSE)="破竹",$D$15,0)-VLOOKUP($F$7,目标属性!$A:$R,6,FALSE)+IF(VLOOKUP($E93,武器奇术!$A:$V,22,FALSE)=1,4,0)+IF(VLOOKUP($E93,武器奇术!$A:$T,20,FALSE)=1,10,0))&gt;0,($D$13+IF(VLOOKUP($E93,武器奇术!$A:$R,17,FALSE)="破竹",$D$15,0)-VLOOKUP($F$7,目标属性!$A:$R,6,FALSE)+IF(VLOOKUP($E93,武器奇术!$A:$V,22,FALSE)=1,4,0)+IF(VLOOKUP($E93,武器奇术!$A:$T,20,FALSE)=1,10,0))/200,($D$13+IF(VLOOKUP($E93,武器奇术!$A:$R,17,FALSE)="破竹",$D$15,0)-VLOOKUP($F$7,目标属性!$A:$R,6,FALSE)+IF(VLOOKUP($E93,武器奇术!$A:$V,22,FALSE)=1,4,0)+IF(VLOOKUP($E93,武器奇术!$A:$T,20,FALSE)=1,10,0))/100)</f>
        <v>0.078</v>
      </c>
      <c r="CR93" s="120">
        <f>$E$13+IF(期望!$G$5="燕归",10/2/100,0)</f>
        <v>0.198</v>
      </c>
      <c r="CS93" s="91">
        <v>1</v>
      </c>
      <c r="CT93" s="92">
        <f>CN93*IF(VLOOKUP($E93,武器奇术!$A:$R,17,FALSE)="破竹",VLOOKUP($E93,武器奇术!$A:$R,4,FALSE),VLOOKUP($E93,武器奇术!$A:$R,2,FALSE))*(1+CQ93)*(1+CR93)*CS93</f>
        <v>2115.2465997136</v>
      </c>
      <c r="CU93" s="93">
        <f>(1-IF(VLOOKUP($E93,武器奇术!$A:$R,16,FALSE)="陌刀",1,$N93))*(1-$M93)</f>
        <v>0</v>
      </c>
      <c r="CV93" s="92">
        <f>CO93*IF(VLOOKUP($E93,武器奇术!$A:$R,17,FALSE)="破竹",VLOOKUP($E93,武器奇术!$A:$R,4,FALSE),VLOOKUP($E93,武器奇术!$A:$R,2,FALSE))*(1+CQ93)*(1+CR93)*CS93*(1+$E$16+VLOOKUP($E93,武器奇术!$A:$R,8,FALSE))</f>
        <v>6948.88044636584</v>
      </c>
      <c r="CW93" s="93">
        <f t="shared" si="9"/>
        <v>0.887</v>
      </c>
      <c r="CX93" s="92">
        <f>CP93*IF(VLOOKUP($E93,武器奇术!$A:$R,17,FALSE)="破竹",VLOOKUP($E93,武器奇术!$A:$R,4,FALSE),VLOOKUP($E93,武器奇术!$A:$R,2,FALSE))*(1+CQ93)*(1+CR93)*CS93*(1+$E$17+VLOOKUP($E93,武器奇术!$A:$R,10,FALSE))</f>
        <v>5895.33929429884</v>
      </c>
      <c r="CY93" s="93">
        <f t="shared" si="10"/>
        <v>0.0986</v>
      </c>
      <c r="CZ93" s="92">
        <f>CO93*IF(VLOOKUP($E93,武器奇术!$A:$R,17,FALSE)="破竹",VLOOKUP($E93,武器奇术!$A:$R,4,FALSE),VLOOKUP($E93,武器奇术!$A:$R,2,FALSE))*(1+CQ93)*(1+CR93)*CS93</f>
        <v>3241.08229774526</v>
      </c>
      <c r="DA93" s="93">
        <f t="shared" si="80"/>
        <v>0.0144</v>
      </c>
      <c r="DB93" s="101">
        <f t="shared" si="81"/>
        <v>6791.6089954319</v>
      </c>
      <c r="DC93" s="99">
        <f>IF(VLOOKUP($E93,武器奇术!$A:$R,18,FALSE)="极乐",0,$B$15)</f>
        <v>66</v>
      </c>
      <c r="DD93" s="91">
        <f t="shared" si="82"/>
        <v>95.9</v>
      </c>
      <c r="DE93" s="91">
        <f>IF(VLOOKUP($E93,武器奇术!$A:$R,18,FALSE)="极乐",0,$C$15)</f>
        <v>125.8</v>
      </c>
      <c r="DF93" s="93">
        <f>IF((IF(VLOOKUP($E93,武器奇术!$A:$R,17,FALSE)="鸣金",$D$7,0)+IF(VLOOKUP($E93,武器奇术!$A:$R,17,FALSE)="裂石",$D$9,0)+IF(VLOOKUP($E93,武器奇术!$A:$R,17,FALSE)="牵丝",$D$11,0)+IF(VLOOKUP($E93,武器奇术!$A:$R,17,FALSE)="破竹",$D$13,0)+$D$15-VLOOKUP($F$7,目标属性!$A:$R,6,FALSE)+IF(VLOOKUP($E93,武器奇术!$A:$V,22,FALSE)=1,4,0)+IF(VLOOKUP($E93,武器奇术!$A:$T,20,FALSE)=1,10,0))&gt;0,(IF(VLOOKUP($E93,武器奇术!$A:$R,17,FALSE)="鸣金",$D$7,0)+IF(VLOOKUP($E93,武器奇术!$A:$R,17,FALSE)="裂石",$D$9,0)+IF(VLOOKUP($E93,武器奇术!$A:$R,17,FALSE)="牵丝",$D$11,0)+IF(VLOOKUP($E93,武器奇术!$A:$R,17,FALSE)="破竹",$D$13,0)+$D$15-VLOOKUP($F$7,目标属性!$A:$R,6,FALSE)+IF(VLOOKUP($E93,武器奇术!$A:$V,22,FALSE)=1,4,0)+IF(VLOOKUP($E93,武器奇术!$A:$T,20,FALSE)=1,10,0))/200,(IF(VLOOKUP($E93,武器奇术!$A:$R,17,FALSE)="鸣金",$D$7,0)+IF(VLOOKUP($E93,武器奇术!$A:$R,17,FALSE)="裂石",$D$9,0)+IF(VLOOKUP($E93,武器奇术!$A:$R,17,FALSE)="牵丝",$D$11,0)+IF(VLOOKUP($E93,武器奇术!$A:$R,17,FALSE)="破竹",$D$13,0)+$D$15-VLOOKUP($F$7,目标属性!$A:$R,6,FALSE)+IF(VLOOKUP($E93,武器奇术!$A:$V,22,FALSE)=1,4,0)+IF(VLOOKUP($E93,武器奇术!$A:$T,20,FALSE)=1,10,0))/100)</f>
        <v>0.078</v>
      </c>
      <c r="DG93" s="120">
        <f>$E$13+IF(期望!$G$5="燕归",10/2/100,0)</f>
        <v>0.198</v>
      </c>
      <c r="DH93" s="91">
        <v>1</v>
      </c>
      <c r="DI93" s="92">
        <f>DC93*IF(VLOOKUP($E93,武器奇术!$A:$R,17,FALSE)="破竹",VLOOKUP($E93,武器奇术!$A:$R,4,FALSE),VLOOKUP($E93,武器奇术!$A:$R,2,FALSE))*(1+DF93)*(1+DG93)*DH93</f>
        <v>203.29728062952</v>
      </c>
      <c r="DJ93" s="93">
        <f>(1-IF(VLOOKUP($E93,武器奇术!$A:$R,16,FALSE)="陌刀",1,$N93))*(1-$M93)</f>
        <v>0</v>
      </c>
      <c r="DK93" s="92">
        <f>DD93*IF(VLOOKUP($E93,武器奇术!$A:$R,17,FALSE)="破竹",VLOOKUP($E93,武器奇术!$A:$R,4,FALSE),VLOOKUP($E93,武器奇术!$A:$R,2,FALSE))*(1+DF93)*(1+DG93)*DH93*(1+$E$16+VLOOKUP($E93,武器奇术!$A:$R,8,FALSE))</f>
        <v>633.331402292778</v>
      </c>
      <c r="DL93" s="93">
        <f t="shared" si="12"/>
        <v>0.887</v>
      </c>
      <c r="DM93" s="92">
        <f>DE93*IF(VLOOKUP($E93,武器奇术!$A:$R,17,FALSE)="破竹",VLOOKUP($E93,武器奇术!$A:$R,4,FALSE),VLOOKUP($E93,武器奇术!$A:$R,2,FALSE))*(1+DF93)*(1+DG93)*DH93*(1+$E$17+VLOOKUP($E93,武器奇术!$A:$R,10,FALSE))</f>
        <v>523.120866201688</v>
      </c>
      <c r="DN93" s="93">
        <f t="shared" si="13"/>
        <v>0.0986</v>
      </c>
      <c r="DO93" s="92">
        <f>DD93*IF(VLOOKUP($E93,武器奇术!$A:$R,17,FALSE)="破竹",VLOOKUP($E93,武器奇术!$A:$R,4,FALSE),VLOOKUP($E93,武器奇术!$A:$R,2,FALSE))*(1+DF93)*(1+DG93)*DH93</f>
        <v>295.397109278348</v>
      </c>
      <c r="DP93" s="93">
        <f t="shared" si="14"/>
        <v>0.0144</v>
      </c>
      <c r="DQ93" s="101">
        <f t="shared" si="15"/>
        <v>617.598389614789</v>
      </c>
    </row>
    <row r="94" spans="1:121">
      <c r="A94" s="33" t="s">
        <v>183</v>
      </c>
      <c r="B94" s="130" t="s">
        <v>158</v>
      </c>
      <c r="C94">
        <v>0.6</v>
      </c>
      <c r="E94" s="105" t="s">
        <v>184</v>
      </c>
      <c r="F94" s="106">
        <f>IF($E$26&gt;=32,1,2)</f>
        <v>2</v>
      </c>
      <c r="G94" s="107">
        <f t="shared" ref="G94:G99" si="93">$E$24</f>
        <v>0</v>
      </c>
      <c r="H94" s="92">
        <f>IF(VLOOKUP($E94,武器奇术!$A:$R,18,FALSE)="天工",AE94,(AE94+AT94+BI94+BX94+CM94+DB94+DQ94))*(1+J94)*F94*K94*(1+G94)</f>
        <v>87684.7655011925</v>
      </c>
      <c r="I94" s="93">
        <f t="shared" si="58"/>
        <v>0.0112484401020498</v>
      </c>
      <c r="J94" s="93">
        <f>$F$3+VLOOKUP($E94,武器奇术!$A:$R,12,FALSE)+VLOOKUP($E94,武器奇术!$A:$R,14,FALSE)*$G$3+$P94</f>
        <v>0.693</v>
      </c>
      <c r="K94" s="94">
        <f>VLOOKUP($E94,武器奇术!$A:$R,11,FALSE)</f>
        <v>1</v>
      </c>
      <c r="L94" s="109">
        <f>IF(VLOOKUP($E94,武器奇术!$A:$R,15,FALSE)="天工",0%,IF($C$17+VLOOKUP($E94,武器奇术!$A:$R,7,FALSE)&gt;80%,80%,$C$17+VLOOKUP($E94,武器奇术!$A:$R,7,FALSE))+IF($C$19&gt;20%,20%,$C$19))</f>
        <v>0.887</v>
      </c>
      <c r="M94" s="110">
        <f>IF(VLOOKUP($E94,武器奇术!$A:$R,15,FALSE)="天工",0%,IF($C$18+VLOOKUP($E94,武器奇术!$A:$R,9,FALSE)&gt;40%,40%,$C$18+VLOOKUP($E94,武器奇术!$A:$R,9,FALSE))+IF($C$20&gt;10%,10%,$C$20))</f>
        <v>0.0986</v>
      </c>
      <c r="N94" s="111">
        <f>IF(VLOOKUP($E94,武器奇术!$A:$R,15,FALSE)="天工",100%,MIN($C$16,1))</f>
        <v>1</v>
      </c>
      <c r="O94" s="112" t="str">
        <f>VLOOKUP($E94,武器奇术!$A:$R,16,FALSE)</f>
        <v>双刀</v>
      </c>
      <c r="P94" s="113">
        <f t="shared" si="59"/>
        <v>0.17</v>
      </c>
      <c r="Q94" s="99">
        <f>$B$5*(1+VLOOKUP($E94,武器奇术!$A:$R,5,FALSE)+IF($G$5="飞隼",0.1,0)+IF($G$5="撼天",0.05,0))-$F$9*IF(VLOOKUP($E94,武器奇术!$A:$S,19,FALSE)=1,0.9,1)+IF($I$5="√",160,0)</f>
        <v>2904.2</v>
      </c>
      <c r="R94" s="91">
        <f t="shared" si="60"/>
        <v>2904.2</v>
      </c>
      <c r="S94" s="91">
        <f>MAX($C$5,$B$5)*(1+VLOOKUP($E94,武器奇术!$A:$R,5,FALSE)+IF($G$5="飞隼",0.1,0)+IF($G$5="撼天",0.05,0))-$F$9*IF(VLOOKUP($E94,武器奇术!$A:$S,19,FALSE)=1,0.9,1)+IF($I$5="√",320,0)</f>
        <v>2904.2</v>
      </c>
      <c r="T94" s="93">
        <f>IF(($D$5+VLOOKUP($E94,武器奇术!$A:$R,13,FALSE)+IF($I$3="√",10,0)-VLOOKUP($F$7,目标属性!$A:$R,5,FALSE))&gt;0,($D$5+VLOOKUP($E94,武器奇术!$A:$R,13,FALSE)+IF($I$3="√",10,0)-VLOOKUP($F$7,目标属性!$A:$R,5,FALSE))/200,($D$5+VLOOKUP($E94,武器奇术!$A:$R,13,FALSE)+IF($I$3="√",10,0)-VLOOKUP($F$7,目标属性!$A:$R,5,FALSE))/100)</f>
        <v>0.2675</v>
      </c>
      <c r="U94" s="120">
        <f>$E$5+IF(VLOOKUP($E94,武器奇术!$A:$R,18,FALSE)="鼠鼠",0.24,0)+IF(期望!$G$5="燕归",10/2/100,0)</f>
        <v>0.05</v>
      </c>
      <c r="V94" s="91">
        <v>1</v>
      </c>
      <c r="W94" s="92">
        <f>Q94*VLOOKUP($E94,武器奇术!$A:$R,2,FALSE)*(1+T94)*(1+U94)*V94</f>
        <v>7379.9965254015</v>
      </c>
      <c r="X94" s="93">
        <f>(1-IF(VLOOKUP($E94,武器奇术!$A:$R,16,FALSE)="陌刀",1,$N94))*(1-$M94)</f>
        <v>0</v>
      </c>
      <c r="Y94" s="92">
        <f>R94*VLOOKUP($E94,武器奇术!$A:$R,2,FALSE)*(1+T94)*(1+U94)*V94*(1+$E$16+VLOOKUP($E94,武器奇术!$A:$R,8,FALSE))</f>
        <v>15822.7125504608</v>
      </c>
      <c r="Z94" s="93">
        <f t="shared" si="61"/>
        <v>0.887</v>
      </c>
      <c r="AA94" s="92">
        <f>S94*VLOOKUP($E94,武器奇术!$A:$R,2,FALSE)*(1+T94)*(1+U94)*V94*(1+$E$17+VLOOKUP($E94,武器奇术!$A:$R,10,FALSE))</f>
        <v>9962.99530929203</v>
      </c>
      <c r="AB94" s="93">
        <f t="shared" si="62"/>
        <v>0.0986</v>
      </c>
      <c r="AC94" s="92">
        <f>R94*VLOOKUP($E94,武器奇术!$A:$R,2,FALSE)*(1+T94)*(1+U94)*V94</f>
        <v>7379.9965254015</v>
      </c>
      <c r="AD94" s="93">
        <f t="shared" si="63"/>
        <v>0.0144</v>
      </c>
      <c r="AE94" s="101">
        <f t="shared" si="64"/>
        <v>15123.3693197207</v>
      </c>
      <c r="AF94" s="102">
        <f>VLOOKUP($E94,武器奇术!$A:$R,3,FALSE)*(1+IF(VLOOKUP($E94,武器奇术!$A:$R,15,FALSE)="武器",$E$15,0))</f>
        <v>687.83</v>
      </c>
      <c r="AG94" s="92">
        <f t="shared" si="65"/>
        <v>687.83</v>
      </c>
      <c r="AH94" s="92">
        <f>VLOOKUP($E94,武器奇术!$A:$R,3,FALSE)*(1+IF(VLOOKUP($E94,武器奇术!$A:$R,15,FALSE)="武器",$E$15,0))</f>
        <v>687.83</v>
      </c>
      <c r="AI94" s="93">
        <f>IF(($D$5+VLOOKUP($E94,武器奇术!$A:$R,13,FALSE)+IF($I$3="√",10,0)-VLOOKUP($F$7,目标属性!$A:$R,5,FALSE))&gt;0,($D$5+VLOOKUP($E94,武器奇术!$A:$R,13,FALSE)+IF($I$3="√",10,0)-VLOOKUP($F$7,目标属性!$A:$R,5,FALSE))/200,($D$5+VLOOKUP($E94,武器奇术!$A:$R,13,FALSE)+IF($I$3="√",10,0)-VLOOKUP($F$7,目标属性!$A:$R,5,FALSE))/100)</f>
        <v>0.2675</v>
      </c>
      <c r="AJ94" s="120">
        <f>$E$5+IF(VLOOKUP($E94,武器奇术!$A:$R,18,FALSE)="鼠鼠",0.24,0)+IF(期望!$G$5="燕归",10/2/100,0)</f>
        <v>0.05</v>
      </c>
      <c r="AK94" s="91">
        <v>1</v>
      </c>
      <c r="AL94" s="92">
        <f t="shared" si="66"/>
        <v>915.41575125</v>
      </c>
      <c r="AM94" s="93">
        <f>(1-IF(VLOOKUP($E94,武器奇术!$A:$R,16,FALSE)="陌刀",1,$N94))*(1-$M94)</f>
        <v>0</v>
      </c>
      <c r="AN94" s="92">
        <f>AG94*(1+AI94)*(1+AJ94)*AK94*(1+$E$16+VLOOKUP($E94,武器奇术!$A:$R,8,FALSE))</f>
        <v>1962.65137068</v>
      </c>
      <c r="AO94" s="93">
        <f t="shared" ref="AO94:AO142" si="94">IF($L94+$M94&lt;=100%,$N94*$L94,$N94*(1-$M94))</f>
        <v>0.887</v>
      </c>
      <c r="AP94" s="92">
        <f>AH94*(1+AI94)*(1+AJ94)*AK94*(1+$E$17+VLOOKUP($E94,武器奇术!$A:$R,10,FALSE))</f>
        <v>1235.8112641875</v>
      </c>
      <c r="AQ94" s="93">
        <f t="shared" ref="AQ94:AQ142" si="95">$M94</f>
        <v>0.0986</v>
      </c>
      <c r="AR94" s="92">
        <f t="shared" si="67"/>
        <v>915.41575125</v>
      </c>
      <c r="AS94" s="93">
        <f t="shared" si="68"/>
        <v>0.0144</v>
      </c>
      <c r="AT94" s="101">
        <f t="shared" si="69"/>
        <v>1875.90474326005</v>
      </c>
      <c r="AU94" s="99">
        <f>IF(VLOOKUP($E94,武器奇术!$A:$R,18,FALSE)="极乐",0,$B$7*IF($G$5="撼天",1.05,1)+IF(AND(VLOOKUP($E94,武器奇术!$A:$R,15,FALSE)="武器",VLOOKUP($E94,武器奇术!$A:$R,17,FALSE)="鸣金"),$E$3*(1+$E$15),0))</f>
        <v>0</v>
      </c>
      <c r="AV94" s="91">
        <f t="shared" si="70"/>
        <v>0</v>
      </c>
      <c r="AW94" s="91">
        <f>IF(VLOOKUP($E94,武器奇术!$A:$R,18,FALSE)="极乐",0,MAX($C$7*IF($G$5="撼天",1.05,1)+IF(AND(VLOOKUP($E94,武器奇术!$A:$R,15,FALSE)="武器",VLOOKUP($E94,武器奇术!$A:$R,17,FALSE)="鸣金"),$E$3*(1+$E$15),0),AU94))</f>
        <v>0</v>
      </c>
      <c r="AX94" s="93">
        <f>IF(($D$7+IF(VLOOKUP($E94,武器奇术!$A:$R,17,FALSE)="鸣金",$D$15,0)-VLOOKUP($F$7,目标属性!$A:$R,6,FALSE))&gt;0,($D$7+IF(VLOOKUP($E94,武器奇术!$A:$R,17,FALSE)="鸣金",$D$15,0)-VLOOKUP($F$7,目标属性!$A:$R,6,FALSE))/200,($D$7+IF(VLOOKUP($E94,武器奇术!$A:$R,17,FALSE)="鸣金",$D$15,0)-VLOOKUP($F$7,目标属性!$A:$R,6,FALSE))/100)</f>
        <v>-0.24</v>
      </c>
      <c r="AY94" s="100">
        <f t="shared" si="89"/>
        <v>0</v>
      </c>
      <c r="AZ94" s="91">
        <v>1</v>
      </c>
      <c r="BA94" s="92">
        <f>AU94*IF(VLOOKUP($E94,武器奇术!$A:$R,17,FALSE)="鸣金",VLOOKUP($E94,武器奇术!$A:$R,4,FALSE),VLOOKUP($E94,武器奇术!$A:$R,2,FALSE))*(1+AX94)*(1+AY94)*AZ94</f>
        <v>0</v>
      </c>
      <c r="BB94" s="93">
        <f>(1-IF(VLOOKUP($E94,武器奇术!$A:$R,16,FALSE)="陌刀",1,$N94))*(1-$M94)</f>
        <v>0</v>
      </c>
      <c r="BC94" s="92">
        <f>AV94*IF(VLOOKUP($E94,武器奇术!$A:$R,17,FALSE)="鸣金",VLOOKUP($E94,武器奇术!$A:$R,4,FALSE),VLOOKUP($E94,武器奇术!$A:$R,2,FALSE))*(1+AX94)*(1+AY94)*AZ94*(1+$E$16+VLOOKUP($E94,武器奇术!$A:$R,8,FALSE))</f>
        <v>0</v>
      </c>
      <c r="BD94" s="93">
        <f t="shared" ref="BD94:BD142" si="96">IF($L94+$M94&lt;=100%,$N94*$L94,$N94*(1-$M94))</f>
        <v>0.887</v>
      </c>
      <c r="BE94" s="92">
        <f>AW94*IF(VLOOKUP($E94,武器奇术!$A:$R,17,FALSE)="鸣金",VLOOKUP($E94,武器奇术!$A:$R,4,FALSE),VLOOKUP($E94,武器奇术!$A:$R,2,FALSE))*(1+AX94)*(1+AY94)*AZ94*(1+$E$17+VLOOKUP($E94,武器奇术!$A:$R,10,FALSE))</f>
        <v>0</v>
      </c>
      <c r="BF94" s="93">
        <f t="shared" ref="BF94:BF142" si="97">$M94</f>
        <v>0.0986</v>
      </c>
      <c r="BG94" s="92">
        <f>AV94*IF(VLOOKUP($E94,武器奇术!$A:$R,17,FALSE)="鸣金",VLOOKUP($E94,武器奇术!$A:$R,4,FALSE),VLOOKUP($E94,武器奇术!$A:$R,2,FALSE))*(1+AX94)*(1+AY94)*AZ94</f>
        <v>0</v>
      </c>
      <c r="BH94" s="93">
        <f t="shared" si="71"/>
        <v>0.0144</v>
      </c>
      <c r="BI94" s="101">
        <f t="shared" si="72"/>
        <v>0</v>
      </c>
      <c r="BJ94" s="99">
        <f>IF(VLOOKUP($E94,武器奇术!$A:$R,18,FALSE)="极乐",0,$B$9*IF($G$5="撼天",1.05,1)+IF(AND(VLOOKUP($E94,武器奇术!$A:$R,15,FALSE)="武器",VLOOKUP($E94,武器奇术!$A:$R,17,FALSE)="裂石"),$E$3*(1+$E$15),0))</f>
        <v>0</v>
      </c>
      <c r="BK94" s="91">
        <f t="shared" si="73"/>
        <v>0</v>
      </c>
      <c r="BL94" s="91">
        <f>IF(VLOOKUP($E94,武器奇术!$A:$R,18,FALSE)="极乐",0,MAX($C$9*IF($G$5="撼天",1.05,1)+IF(AND(VLOOKUP($E94,武器奇术!$A:$R,15,FALSE)="武器",VLOOKUP($E94,武器奇术!$A:$R,17,FALSE)="裂石"),$E$3*(1+$E$15),0),BJ94))</f>
        <v>0</v>
      </c>
      <c r="BM94" s="93">
        <f>IF(($D$9+IF(VLOOKUP($E94,武器奇术!$A:$R,17,FALSE)="裂石",$D$15,0)-VLOOKUP($F$7,目标属性!$A:$R,6,FALSE))&gt;0,($D$9+IF(VLOOKUP($E94,武器奇术!$A:$R,17,FALSE)="裂石",$D$15,0)-VLOOKUP($F$7,目标属性!$A:$R,6,FALSE))/200,($D$9+IF(VLOOKUP($E94,武器奇术!$A:$R,17,FALSE)="裂石",$D$15,0)-VLOOKUP($F$7,目标属性!$A:$R,6,FALSE))/100)</f>
        <v>-0.24</v>
      </c>
      <c r="BN94" s="100">
        <f t="shared" si="90"/>
        <v>0</v>
      </c>
      <c r="BO94" s="91">
        <v>1</v>
      </c>
      <c r="BP94" s="92">
        <f>BJ94*IF(VLOOKUP($E94,武器奇术!$A:$R,17,FALSE)="裂石",VLOOKUP($E94,武器奇术!$A:$R,4,FALSE),VLOOKUP($E94,武器奇术!$A:$R,2,FALSE))*(1+BM94)*(1+BN94)*BO94</f>
        <v>0</v>
      </c>
      <c r="BQ94" s="93">
        <f>(1-IF(VLOOKUP($E94,武器奇术!$A:$R,16,FALSE)="陌刀",1,$N94))*(1-$M94)</f>
        <v>0</v>
      </c>
      <c r="BR94" s="92">
        <f>BK94*IF(VLOOKUP($E94,武器奇术!$A:$R,17,FALSE)="裂石",VLOOKUP($E94,武器奇术!$A:$R,4,FALSE),VLOOKUP($E94,武器奇术!$A:$R,2,FALSE))*(1+BM94)*(1+BN94)*BO94*(1+$E$16+VLOOKUP($E94,武器奇术!$A:$R,8,FALSE))</f>
        <v>0</v>
      </c>
      <c r="BS94" s="93">
        <f t="shared" ref="BS94:BS142" si="98">IF($L94+$M94&lt;=100%,$N94*$L94,$N94*(1-$M94))</f>
        <v>0.887</v>
      </c>
      <c r="BT94" s="92">
        <f>BL94*IF(VLOOKUP($E94,武器奇术!$A:$R,17,FALSE)="裂石",VLOOKUP($E94,武器奇术!$A:$R,4,FALSE),VLOOKUP($E94,武器奇术!$A:$R,2,FALSE))*(1+BM94)*(1+BN94)*BO94*(1+$E$17+VLOOKUP($E94,武器奇术!$A:$R,10,FALSE))</f>
        <v>0</v>
      </c>
      <c r="BU94" s="93">
        <f t="shared" ref="BU94:BU142" si="99">$M94</f>
        <v>0.0986</v>
      </c>
      <c r="BV94" s="92">
        <f>BK94*IF(VLOOKUP($E94,武器奇术!$A:$R,17,FALSE)="裂石",VLOOKUP($E94,武器奇术!$A:$R,4,FALSE),VLOOKUP($E94,武器奇术!$A:$R,2,FALSE))*(1+BM94)*(1+BN94)*BO94</f>
        <v>0</v>
      </c>
      <c r="BW94" s="93">
        <f t="shared" si="74"/>
        <v>0.0144</v>
      </c>
      <c r="BX94" s="101">
        <f t="shared" si="75"/>
        <v>0</v>
      </c>
      <c r="BY94" s="99">
        <f>IF(VLOOKUP($E94,武器奇术!$A:$R,18,FALSE)="极乐",0,$B$11*IF($G$5="撼天",1.05,1)+IF(AND(VLOOKUP($E94,武器奇术!$A:$R,15,FALSE)="武器",VLOOKUP($E94,武器奇术!$A:$R,17,FALSE)="牵丝"),$E$3*(1+$E$15),0))</f>
        <v>0</v>
      </c>
      <c r="BZ94" s="91">
        <f t="shared" si="76"/>
        <v>0</v>
      </c>
      <c r="CA94" s="91">
        <f>IF(VLOOKUP($E94,武器奇术!$A:$R,18,FALSE)="极乐",0,MAX($C$11*IF($G$5="撼天",1.05,1)+IF(AND(VLOOKUP($E94,武器奇术!$A:$R,15,FALSE)="武器",VLOOKUP($E94,武器奇术!$A:$R,17,FALSE)="牵丝"),$E$3*(1+$E$15),0),BY94))</f>
        <v>0</v>
      </c>
      <c r="CB94" s="93">
        <f>IF(($D$11+IF(VLOOKUP($E94,武器奇术!$A:$R,17,FALSE)="牵丝",$D$15,0)-VLOOKUP($F$7,目标属性!$A:$R,6,FALSE))&gt;0,($D$11+IF(VLOOKUP($E94,武器奇术!$A:$R,17,FALSE)="牵丝",$D$15,0)-VLOOKUP($F$7,目标属性!$A:$R,6,FALSE))/200,($D$11+IF(VLOOKUP($E94,武器奇术!$A:$R,17,FALSE)="牵丝",$D$15,0)-VLOOKUP($F$7,目标属性!$A:$R,6,FALSE))/100)</f>
        <v>-0.24</v>
      </c>
      <c r="CC94" s="100">
        <f t="shared" si="91"/>
        <v>0</v>
      </c>
      <c r="CD94" s="91">
        <v>1</v>
      </c>
      <c r="CE94" s="92">
        <f>BY94*IF(VLOOKUP($E94,武器奇术!$A:$R,17,FALSE)="牵丝",VLOOKUP($E94,武器奇术!$A:$R,4,FALSE),VLOOKUP($E94,武器奇术!$A:$R,2,FALSE))*(1+CB94)*(1+CC94)*CD94</f>
        <v>0</v>
      </c>
      <c r="CF94" s="93">
        <f>(1-IF(VLOOKUP($E94,武器奇术!$A:$R,16,FALSE)="陌刀",1,$N94))*(1-$M94)</f>
        <v>0</v>
      </c>
      <c r="CG94" s="92">
        <f>BZ94*IF(VLOOKUP($E94,武器奇术!$A:$R,17,FALSE)="牵丝",VLOOKUP($E94,武器奇术!$A:$R,4,FALSE),VLOOKUP($E94,武器奇术!$A:$R,2,FALSE))*(1+CB94)*(1+CC94)*CD94*(1+$E$16+VLOOKUP($E94,武器奇术!$A:$R,8,FALSE))</f>
        <v>0</v>
      </c>
      <c r="CH94" s="93">
        <f t="shared" ref="CH94:CH142" si="100">IF($L94+$M94&lt;=100%,$N94*$L94,$N94*(1-$M94))</f>
        <v>0.887</v>
      </c>
      <c r="CI94" s="92">
        <f>CA94*IF(VLOOKUP($E94,武器奇术!$A:$R,17,FALSE)="牵丝",VLOOKUP($E94,武器奇术!$A:$R,4,FALSE),VLOOKUP($E94,武器奇术!$A:$R,2,FALSE))*(1+CB94)*(1+CC94)*CD94*(1+$E$17+VLOOKUP($E94,武器奇术!$A:$R,10,FALSE))</f>
        <v>0</v>
      </c>
      <c r="CJ94" s="93">
        <f t="shared" ref="CJ94:CJ142" si="101">$M94</f>
        <v>0.0986</v>
      </c>
      <c r="CK94" s="92">
        <f>BZ94*IF(VLOOKUP($E94,武器奇术!$A:$R,17,FALSE)="牵丝",VLOOKUP($E94,武器奇术!$A:$R,4,FALSE),VLOOKUP($E94,武器奇术!$A:$R,2,FALSE))*(1+CB94)*(1+CC94)*CD94</f>
        <v>0</v>
      </c>
      <c r="CL94" s="93">
        <f t="shared" si="77"/>
        <v>0.0144</v>
      </c>
      <c r="CM94" s="101">
        <f t="shared" si="78"/>
        <v>0</v>
      </c>
      <c r="CN94" s="99">
        <f>IF(VLOOKUP($E94,武器奇术!$A:$R,18,FALSE)="极乐",0,$B$13*IF($G$5="撼天",1.05,1)+IF(AND(VLOOKUP($E94,武器奇术!$A:$R,15,FALSE)="武器",VLOOKUP($E94,武器奇术!$A:$R,17,FALSE)="破竹"),$E$3*(1+$E$15),0))</f>
        <v>686.71</v>
      </c>
      <c r="CO94" s="91">
        <f t="shared" si="79"/>
        <v>1052.21</v>
      </c>
      <c r="CP94" s="91">
        <f>IF(VLOOKUP($E94,武器奇术!$A:$R,18,FALSE)="极乐",0,MAX($C$13*IF($G$5="撼天",1.05,1)+IF(AND(VLOOKUP($E94,武器奇术!$A:$R,15,FALSE)="武器",VLOOKUP($E94,武器奇术!$A:$R,17,FALSE)="破竹"),$E$3*(1+$E$15),0),CN94))</f>
        <v>1417.71</v>
      </c>
      <c r="CQ94" s="93">
        <f>IF(($D$13+IF(VLOOKUP($E94,武器奇术!$A:$R,17,FALSE)="破竹",$D$15,0)-VLOOKUP($F$7,目标属性!$A:$R,6,FALSE)+IF(VLOOKUP($E94,武器奇术!$A:$V,22,FALSE)=1,4,0)+IF(VLOOKUP($E94,武器奇术!$A:$T,20,FALSE)=1,10,0))&gt;0,($D$13+IF(VLOOKUP($E94,武器奇术!$A:$R,17,FALSE)="破竹",$D$15,0)-VLOOKUP($F$7,目标属性!$A:$R,6,FALSE)+IF(VLOOKUP($E94,武器奇术!$A:$V,22,FALSE)=1,4,0)+IF(VLOOKUP($E94,武器奇术!$A:$T,20,FALSE)=1,10,0))/200,($D$13+IF(VLOOKUP($E94,武器奇术!$A:$R,17,FALSE)="破竹",$D$15,0)-VLOOKUP($F$7,目标属性!$A:$R,6,FALSE)+IF(VLOOKUP($E94,武器奇术!$A:$V,22,FALSE)=1,4,0)+IF(VLOOKUP($E94,武器奇术!$A:$T,20,FALSE)=1,10,0))/100)</f>
        <v>0.078</v>
      </c>
      <c r="CR94" s="120">
        <f>$E$13+IF(期望!$G$5="燕归",10/2/100,0)</f>
        <v>0.198</v>
      </c>
      <c r="CS94" s="91">
        <v>1</v>
      </c>
      <c r="CT94" s="92">
        <f>CN94*IF(VLOOKUP($E94,武器奇术!$A:$R,17,FALSE)="破竹",VLOOKUP($E94,武器奇术!$A:$R,4,FALSE),VLOOKUP($E94,武器奇术!$A:$R,2,FALSE))*(1+CQ94)*(1+CR94)*CS94</f>
        <v>2539.99334578901</v>
      </c>
      <c r="CU94" s="93">
        <f>(1-IF(VLOOKUP($E94,武器奇术!$A:$R,16,FALSE)="陌刀",1,$N94))*(1-$M94)</f>
        <v>0</v>
      </c>
      <c r="CV94" s="92">
        <f>CO94*IF(VLOOKUP($E94,武器奇术!$A:$R,17,FALSE)="破竹",VLOOKUP($E94,武器奇术!$A:$R,4,FALSE),VLOOKUP($E94,武器奇术!$A:$R,2,FALSE))*(1+CQ94)*(1+CR94)*CS94*(1+$E$16+VLOOKUP($E94,武器奇术!$A:$R,8,FALSE))</f>
        <v>8344.23281750807</v>
      </c>
      <c r="CW94" s="93">
        <f t="shared" ref="CW94:CW142" si="102">IF($L94+$M94&lt;=100%,$N94*$L94,$N94*(1-$M94))</f>
        <v>0.887</v>
      </c>
      <c r="CX94" s="92">
        <f>CP94*IF(VLOOKUP($E94,武器奇术!$A:$R,17,FALSE)="破竹",VLOOKUP($E94,武器奇术!$A:$R,4,FALSE),VLOOKUP($E94,武器奇术!$A:$R,2,FALSE))*(1+CQ94)*(1+CR94)*CS94*(1+$E$17+VLOOKUP($E94,武器奇术!$A:$R,10,FALSE))</f>
        <v>7079.13799777056</v>
      </c>
      <c r="CY94" s="93">
        <f t="shared" ref="CY94:CY142" si="103">$M94</f>
        <v>0.0986</v>
      </c>
      <c r="CZ94" s="92">
        <f>CO94*IF(VLOOKUP($E94,武器奇术!$A:$R,17,FALSE)="破竹",VLOOKUP($E94,武器奇术!$A:$R,4,FALSE),VLOOKUP($E94,武器奇术!$A:$R,2,FALSE))*(1+CQ94)*(1+CR94)*CS94</f>
        <v>3891.89963503175</v>
      </c>
      <c r="DA94" s="93">
        <f t="shared" si="80"/>
        <v>0.0144</v>
      </c>
      <c r="DB94" s="101">
        <f t="shared" si="81"/>
        <v>8155.38087045429</v>
      </c>
      <c r="DC94" s="99">
        <f>IF(VLOOKUP($E94,武器奇术!$A:$R,18,FALSE)="极乐",0,$B$15)</f>
        <v>66</v>
      </c>
      <c r="DD94" s="91">
        <f t="shared" si="82"/>
        <v>95.9</v>
      </c>
      <c r="DE94" s="91">
        <f>IF(VLOOKUP($E94,武器奇术!$A:$R,18,FALSE)="极乐",0,$C$15)</f>
        <v>125.8</v>
      </c>
      <c r="DF94" s="93">
        <f>IF((IF(VLOOKUP($E94,武器奇术!$A:$R,17,FALSE)="鸣金",$D$7,0)+IF(VLOOKUP($E94,武器奇术!$A:$R,17,FALSE)="裂石",$D$9,0)+IF(VLOOKUP($E94,武器奇术!$A:$R,17,FALSE)="牵丝",$D$11,0)+IF(VLOOKUP($E94,武器奇术!$A:$R,17,FALSE)="破竹",$D$13,0)+$D$15-VLOOKUP($F$7,目标属性!$A:$R,6,FALSE)+IF(VLOOKUP($E94,武器奇术!$A:$V,22,FALSE)=1,4,0)+IF(VLOOKUP($E94,武器奇术!$A:$T,20,FALSE)=1,10,0))&gt;0,(IF(VLOOKUP($E94,武器奇术!$A:$R,17,FALSE)="鸣金",$D$7,0)+IF(VLOOKUP($E94,武器奇术!$A:$R,17,FALSE)="裂石",$D$9,0)+IF(VLOOKUP($E94,武器奇术!$A:$R,17,FALSE)="牵丝",$D$11,0)+IF(VLOOKUP($E94,武器奇术!$A:$R,17,FALSE)="破竹",$D$13,0)+$D$15-VLOOKUP($F$7,目标属性!$A:$R,6,FALSE)+IF(VLOOKUP($E94,武器奇术!$A:$V,22,FALSE)=1,4,0)+IF(VLOOKUP($E94,武器奇术!$A:$T,20,FALSE)=1,10,0))/200,(IF(VLOOKUP($E94,武器奇术!$A:$R,17,FALSE)="鸣金",$D$7,0)+IF(VLOOKUP($E94,武器奇术!$A:$R,17,FALSE)="裂石",$D$9,0)+IF(VLOOKUP($E94,武器奇术!$A:$R,17,FALSE)="牵丝",$D$11,0)+IF(VLOOKUP($E94,武器奇术!$A:$R,17,FALSE)="破竹",$D$13,0)+$D$15-VLOOKUP($F$7,目标属性!$A:$R,6,FALSE)+IF(VLOOKUP($E94,武器奇术!$A:$V,22,FALSE)=1,4,0)+IF(VLOOKUP($E94,武器奇术!$A:$T,20,FALSE)=1,10,0))/100)</f>
        <v>0.078</v>
      </c>
      <c r="DG94" s="120">
        <f>$E$13+IF(期望!$G$5="燕归",10/2/100,0)</f>
        <v>0.198</v>
      </c>
      <c r="DH94" s="91">
        <v>1</v>
      </c>
      <c r="DI94" s="92">
        <f>DC94*IF(VLOOKUP($E94,武器奇术!$A:$R,17,FALSE)="破竹",VLOOKUP($E94,武器奇术!$A:$R,4,FALSE),VLOOKUP($E94,武器奇术!$A:$R,2,FALSE))*(1+DF94)*(1+DG94)*DH94</f>
        <v>244.11987712728</v>
      </c>
      <c r="DJ94" s="93">
        <f>(1-IF(VLOOKUP($E94,武器奇术!$A:$R,16,FALSE)="陌刀",1,$N94))*(1-$M94)</f>
        <v>0</v>
      </c>
      <c r="DK94" s="92">
        <f>DD94*IF(VLOOKUP($E94,武器奇术!$A:$R,17,FALSE)="破竹",VLOOKUP($E94,武器奇术!$A:$R,4,FALSE),VLOOKUP($E94,武器奇术!$A:$R,2,FALSE))*(1+DF94)*(1+DG94)*DH94*(1+$E$16+VLOOKUP($E94,武器奇术!$A:$R,8,FALSE))</f>
        <v>760.505913457412</v>
      </c>
      <c r="DL94" s="93">
        <f t="shared" ref="DL94:DL142" si="104">IF($L94+$M94&lt;=100%,$N94*$L94,$N94*(1-$M94))</f>
        <v>0.887</v>
      </c>
      <c r="DM94" s="92">
        <f>DE94*IF(VLOOKUP($E94,武器奇术!$A:$R,17,FALSE)="破竹",VLOOKUP($E94,武器奇术!$A:$R,4,FALSE),VLOOKUP($E94,武器奇术!$A:$R,2,FALSE))*(1+DF94)*(1+DG94)*DH94*(1+$E$17+VLOOKUP($E94,武器奇术!$A:$R,10,FALSE))</f>
        <v>628.164829280696</v>
      </c>
      <c r="DN94" s="93">
        <f t="shared" ref="DN94:DN142" si="105">$M94</f>
        <v>0.0986</v>
      </c>
      <c r="DO94" s="92">
        <f>DD94*IF(VLOOKUP($E94,武器奇术!$A:$R,17,FALSE)="破竹",VLOOKUP($E94,武器奇术!$A:$R,4,FALSE),VLOOKUP($E94,武器奇术!$A:$R,2,FALSE))*(1+DF94)*(1+DG94)*DH94</f>
        <v>354.713579037972</v>
      </c>
      <c r="DP94" s="93">
        <f t="shared" ref="DP94:DP142" si="106">MAX((1-DJ94-DL94-DN94),0)</f>
        <v>0.0144</v>
      </c>
      <c r="DQ94" s="101">
        <f t="shared" ref="DQ94:DQ142" si="107">DI94*DJ94+DK94*DL94+DM94*DN94+DO94*DP94</f>
        <v>741.613672941948</v>
      </c>
    </row>
    <row r="95" spans="1:121">
      <c r="A95" s="33"/>
      <c r="B95" s="130">
        <v>12345</v>
      </c>
      <c r="C95">
        <v>3.3</v>
      </c>
      <c r="E95" s="105" t="s">
        <v>185</v>
      </c>
      <c r="F95" s="106">
        <v>2</v>
      </c>
      <c r="G95" s="107">
        <f t="shared" si="93"/>
        <v>0</v>
      </c>
      <c r="H95" s="123">
        <f>IF(VLOOKUP($E95,武器奇术!$A:$R,18,FALSE)="天工",AE95,(AE95+AT95+BI95+BX95+CM95+DB95+DQ95))*(1+J95)*F95*K95*(1+G95)*IF(AND($E$26&lt;12,$E$26&gt;6,$F$26="√"),0.8,1)</f>
        <v>122174.901691419</v>
      </c>
      <c r="I95" s="93">
        <f t="shared" si="58"/>
        <v>0.0156729285388926</v>
      </c>
      <c r="J95" s="93">
        <f>$F$3+VLOOKUP($E95,武器奇术!$A:$R,12,FALSE)+VLOOKUP($E95,武器奇术!$A:$R,14,FALSE)*$G$3+$P95</f>
        <v>0.693</v>
      </c>
      <c r="K95" s="94">
        <f>VLOOKUP($E95,武器奇术!$A:$R,11,FALSE)</f>
        <v>1</v>
      </c>
      <c r="L95" s="109">
        <f>IF(VLOOKUP($E95,武器奇术!$A:$R,15,FALSE)="天工",0%,IF($C$17+VLOOKUP($E95,武器奇术!$A:$R,7,FALSE)&gt;80%,80%,$C$17+VLOOKUP($E95,武器奇术!$A:$R,7,FALSE))+IF($C$19&gt;20%,20%,$C$19))</f>
        <v>0.887</v>
      </c>
      <c r="M95" s="110">
        <f>IF(VLOOKUP($E95,武器奇术!$A:$R,15,FALSE)="天工",0%,IF($C$18+VLOOKUP($E95,武器奇术!$A:$R,9,FALSE)&gt;40%,40%,$C$18+VLOOKUP($E95,武器奇术!$A:$R,9,FALSE))+IF($C$20&gt;10%,10%,$C$20))</f>
        <v>0.0986</v>
      </c>
      <c r="N95" s="111">
        <f>IF(VLOOKUP($E95,武器奇术!$A:$R,15,FALSE)="天工",100%,MIN($C$16,1))</f>
        <v>1</v>
      </c>
      <c r="O95" s="112" t="str">
        <f>VLOOKUP($E95,武器奇术!$A:$R,16,FALSE)</f>
        <v>双刀</v>
      </c>
      <c r="P95" s="113">
        <f t="shared" ref="P95:P142" si="108">VLOOKUP($O95,$B$22:$C$27,2,FALSE)+IF(OR($O95="双刀",$O95="绳标"),$C$24,0)</f>
        <v>0.17</v>
      </c>
      <c r="Q95" s="99">
        <f>$B$5*(1+VLOOKUP($E95,武器奇术!$A:$R,5,FALSE)+IF($G$5="飞隼",0.1,0)+IF($G$5="撼天",0.05,0))-$F$9*IF(VLOOKUP($E95,武器奇术!$A:$S,19,FALSE)=1,0.9,1)+IF($I$5="√",160,0)</f>
        <v>2904.2</v>
      </c>
      <c r="R95" s="91">
        <f t="shared" si="60"/>
        <v>2904.2</v>
      </c>
      <c r="S95" s="91">
        <f>MAX($C$5,$B$5)*(1+VLOOKUP($E95,武器奇术!$A:$R,5,FALSE)+IF($G$5="飞隼",0.1,0)+IF($G$5="撼天",0.05,0))-$F$9*IF(VLOOKUP($E95,武器奇术!$A:$S,19,FALSE)=1,0.9,1)+IF($I$5="√",320,0)</f>
        <v>2904.2</v>
      </c>
      <c r="T95" s="93">
        <f>IF(($D$5+VLOOKUP($E95,武器奇术!$A:$R,13,FALSE)+IF($I$3="√",10,0)-VLOOKUP($F$7,目标属性!$A:$R,5,FALSE))&gt;0,($D$5+VLOOKUP($E95,武器奇术!$A:$R,13,FALSE)+IF($I$3="√",10,0)-VLOOKUP($F$7,目标属性!$A:$R,5,FALSE))/200,($D$5+VLOOKUP($E95,武器奇术!$A:$R,13,FALSE)+IF($I$3="√",10,0)-VLOOKUP($F$7,目标属性!$A:$R,5,FALSE))/100)</f>
        <v>0.2675</v>
      </c>
      <c r="U95" s="100">
        <f>$E$5+IF(VLOOKUP($E95,武器奇术!$A:$R,18,FALSE)="鼠鼠",0.24,0)</f>
        <v>0</v>
      </c>
      <c r="V95" s="91">
        <v>1</v>
      </c>
      <c r="W95" s="92">
        <f>Q95*VLOOKUP($E95,武器奇术!$A:$R,2,FALSE)*(1+T95)*(1+U95)*V95</f>
        <v>10261.43411007</v>
      </c>
      <c r="X95" s="93">
        <f>(1-IF(VLOOKUP($E95,武器奇术!$A:$R,16,FALSE)="陌刀",1,$N95))*(1-$M95)</f>
        <v>0</v>
      </c>
      <c r="Y95" s="92">
        <f>R95*VLOOKUP($E95,武器奇术!$A:$R,2,FALSE)*(1+T95)*(1+U95)*V95*(1+$E$16+VLOOKUP($E95,武器奇术!$A:$R,8,FALSE))</f>
        <v>22000.5147319901</v>
      </c>
      <c r="Z95" s="93">
        <f t="shared" si="61"/>
        <v>0.887</v>
      </c>
      <c r="AA95" s="92">
        <f>S95*VLOOKUP($E95,武器奇术!$A:$R,2,FALSE)*(1+T95)*(1+U95)*V95*(1+$E$17+VLOOKUP($E95,武器奇术!$A:$R,10,FALSE))</f>
        <v>13852.9360485945</v>
      </c>
      <c r="AB95" s="93">
        <f t="shared" si="62"/>
        <v>0.0986</v>
      </c>
      <c r="AC95" s="92">
        <f>R95*VLOOKUP($E95,武器奇术!$A:$R,2,FALSE)*(1+T95)*(1+U95)*V95</f>
        <v>10261.43411007</v>
      </c>
      <c r="AD95" s="93">
        <f t="shared" si="63"/>
        <v>0.0144</v>
      </c>
      <c r="AE95" s="101">
        <f t="shared" si="64"/>
        <v>21028.1207128516</v>
      </c>
      <c r="AF95" s="102">
        <f>VLOOKUP($E95,武器奇术!$A:$R,3,FALSE)*(1+IF(VLOOKUP($E95,武器奇术!$A:$R,15,FALSE)="武器",$E$15,0))</f>
        <v>1003.86</v>
      </c>
      <c r="AG95" s="92">
        <f t="shared" si="65"/>
        <v>1003.86</v>
      </c>
      <c r="AH95" s="92">
        <f>VLOOKUP($E95,武器奇术!$A:$R,3,FALSE)*(1+IF(VLOOKUP($E95,武器奇术!$A:$R,15,FALSE)="武器",$E$15,0))</f>
        <v>1003.86</v>
      </c>
      <c r="AI95" s="93">
        <f>IF(($D$5+VLOOKUP($E95,武器奇术!$A:$R,13,FALSE)+IF($I$3="√",10,0)-VLOOKUP($F$7,目标属性!$A:$R,5,FALSE))&gt;0,($D$5+VLOOKUP($E95,武器奇术!$A:$R,13,FALSE)+IF($I$3="√",10,0)-VLOOKUP($F$7,目标属性!$A:$R,5,FALSE))/200,($D$5+VLOOKUP($E95,武器奇术!$A:$R,13,FALSE)+IF($I$3="√",10,0)-VLOOKUP($F$7,目标属性!$A:$R,5,FALSE))/100)</f>
        <v>0.2675</v>
      </c>
      <c r="AJ95" s="100">
        <f>$E$5+IF(VLOOKUP($E95,武器奇术!$A:$R,18,FALSE)="鼠鼠",0.24,0)</f>
        <v>0</v>
      </c>
      <c r="AK95" s="91">
        <v>1</v>
      </c>
      <c r="AL95" s="92">
        <f t="shared" ref="AL95:AL142" si="109">AF95*(1+AI95)*(1+AJ95)*AK95</f>
        <v>1272.39255</v>
      </c>
      <c r="AM95" s="93">
        <f>(1-IF(VLOOKUP($E95,武器奇术!$A:$R,16,FALSE)="陌刀",1,$N95))*(1-$M95)</f>
        <v>0</v>
      </c>
      <c r="AN95" s="92">
        <f>AG95*(1+AI95)*(1+AJ95)*AK95*(1+$E$16+VLOOKUP($E95,武器奇术!$A:$R,8,FALSE))</f>
        <v>2728.0096272</v>
      </c>
      <c r="AO95" s="93">
        <f t="shared" si="94"/>
        <v>0.887</v>
      </c>
      <c r="AP95" s="92">
        <f>AH95*(1+AI95)*(1+AJ95)*AK95*(1+$E$17+VLOOKUP($E95,武器奇术!$A:$R,10,FALSE))</f>
        <v>1717.7299425</v>
      </c>
      <c r="AQ95" s="93">
        <f t="shared" si="95"/>
        <v>0.0986</v>
      </c>
      <c r="AR95" s="92">
        <f t="shared" si="67"/>
        <v>1272.39255</v>
      </c>
      <c r="AS95" s="93">
        <f t="shared" si="68"/>
        <v>0.0144</v>
      </c>
      <c r="AT95" s="101">
        <f t="shared" si="69"/>
        <v>2607.4351643769</v>
      </c>
      <c r="AU95" s="99">
        <f>IF(VLOOKUP($E95,武器奇术!$A:$R,18,FALSE)="极乐",0,$B$7*IF($G$5="撼天",1.05,1)+IF(AND(VLOOKUP($E95,武器奇术!$A:$R,15,FALSE)="武器",VLOOKUP($E95,武器奇术!$A:$R,17,FALSE)="鸣金"),$E$3*(1+$E$15),0))</f>
        <v>0</v>
      </c>
      <c r="AV95" s="91">
        <f t="shared" si="70"/>
        <v>0</v>
      </c>
      <c r="AW95" s="91">
        <f>IF(VLOOKUP($E95,武器奇术!$A:$R,18,FALSE)="极乐",0,MAX($C$7*IF($G$5="撼天",1.05,1)+IF(AND(VLOOKUP($E95,武器奇术!$A:$R,15,FALSE)="武器",VLOOKUP($E95,武器奇术!$A:$R,17,FALSE)="鸣金"),$E$3*(1+$E$15),0),AU95))</f>
        <v>0</v>
      </c>
      <c r="AX95" s="93">
        <f>IF(($D$7+IF(VLOOKUP($E95,武器奇术!$A:$R,17,FALSE)="鸣金",$D$15,0)-VLOOKUP($F$7,目标属性!$A:$R,6,FALSE))&gt;0,($D$7+IF(VLOOKUP($E95,武器奇术!$A:$R,17,FALSE)="鸣金",$D$15,0)-VLOOKUP($F$7,目标属性!$A:$R,6,FALSE))/200,($D$7+IF(VLOOKUP($E95,武器奇术!$A:$R,17,FALSE)="鸣金",$D$15,0)-VLOOKUP($F$7,目标属性!$A:$R,6,FALSE))/100)</f>
        <v>-0.24</v>
      </c>
      <c r="AY95" s="100">
        <f t="shared" si="89"/>
        <v>0</v>
      </c>
      <c r="AZ95" s="91">
        <v>1</v>
      </c>
      <c r="BA95" s="92">
        <f>AU95*IF(VLOOKUP($E95,武器奇术!$A:$R,17,FALSE)="鸣金",VLOOKUP($E95,武器奇术!$A:$R,4,FALSE),VLOOKUP($E95,武器奇术!$A:$R,2,FALSE))*(1+AX95)*(1+AY95)*AZ95</f>
        <v>0</v>
      </c>
      <c r="BB95" s="93">
        <f>(1-IF(VLOOKUP($E95,武器奇术!$A:$R,16,FALSE)="陌刀",1,$N95))*(1-$M95)</f>
        <v>0</v>
      </c>
      <c r="BC95" s="92">
        <f>AV95*IF(VLOOKUP($E95,武器奇术!$A:$R,17,FALSE)="鸣金",VLOOKUP($E95,武器奇术!$A:$R,4,FALSE),VLOOKUP($E95,武器奇术!$A:$R,2,FALSE))*(1+AX95)*(1+AY95)*AZ95*(1+$E$16+VLOOKUP($E95,武器奇术!$A:$R,8,FALSE))</f>
        <v>0</v>
      </c>
      <c r="BD95" s="93">
        <f t="shared" si="96"/>
        <v>0.887</v>
      </c>
      <c r="BE95" s="92">
        <f>AW95*IF(VLOOKUP($E95,武器奇术!$A:$R,17,FALSE)="鸣金",VLOOKUP($E95,武器奇术!$A:$R,4,FALSE),VLOOKUP($E95,武器奇术!$A:$R,2,FALSE))*(1+AX95)*(1+AY95)*AZ95*(1+$E$17+VLOOKUP($E95,武器奇术!$A:$R,10,FALSE))</f>
        <v>0</v>
      </c>
      <c r="BF95" s="93">
        <f t="shared" si="97"/>
        <v>0.0986</v>
      </c>
      <c r="BG95" s="92">
        <f>AV95*IF(VLOOKUP($E95,武器奇术!$A:$R,17,FALSE)="鸣金",VLOOKUP($E95,武器奇术!$A:$R,4,FALSE),VLOOKUP($E95,武器奇术!$A:$R,2,FALSE))*(1+AX95)*(1+AY95)*AZ95</f>
        <v>0</v>
      </c>
      <c r="BH95" s="93">
        <f t="shared" si="71"/>
        <v>0.0144</v>
      </c>
      <c r="BI95" s="101">
        <f t="shared" si="72"/>
        <v>0</v>
      </c>
      <c r="BJ95" s="99">
        <f>IF(VLOOKUP($E95,武器奇术!$A:$R,18,FALSE)="极乐",0,$B$9*IF($G$5="撼天",1.05,1)+IF(AND(VLOOKUP($E95,武器奇术!$A:$R,15,FALSE)="武器",VLOOKUP($E95,武器奇术!$A:$R,17,FALSE)="裂石"),$E$3*(1+$E$15),0))</f>
        <v>0</v>
      </c>
      <c r="BK95" s="91">
        <f t="shared" si="73"/>
        <v>0</v>
      </c>
      <c r="BL95" s="91">
        <f>IF(VLOOKUP($E95,武器奇术!$A:$R,18,FALSE)="极乐",0,MAX($C$9*IF($G$5="撼天",1.05,1)+IF(AND(VLOOKUP($E95,武器奇术!$A:$R,15,FALSE)="武器",VLOOKUP($E95,武器奇术!$A:$R,17,FALSE)="裂石"),$E$3*(1+$E$15),0),BJ95))</f>
        <v>0</v>
      </c>
      <c r="BM95" s="93">
        <f>IF(($D$9+IF(VLOOKUP($E95,武器奇术!$A:$R,17,FALSE)="裂石",$D$15,0)-VLOOKUP($F$7,目标属性!$A:$R,6,FALSE))&gt;0,($D$9+IF(VLOOKUP($E95,武器奇术!$A:$R,17,FALSE)="裂石",$D$15,0)-VLOOKUP($F$7,目标属性!$A:$R,6,FALSE))/200,($D$9+IF(VLOOKUP($E95,武器奇术!$A:$R,17,FALSE)="裂石",$D$15,0)-VLOOKUP($F$7,目标属性!$A:$R,6,FALSE))/100)</f>
        <v>-0.24</v>
      </c>
      <c r="BN95" s="100">
        <f t="shared" si="90"/>
        <v>0</v>
      </c>
      <c r="BO95" s="91">
        <v>1</v>
      </c>
      <c r="BP95" s="92">
        <f>BJ95*IF(VLOOKUP($E95,武器奇术!$A:$R,17,FALSE)="裂石",VLOOKUP($E95,武器奇术!$A:$R,4,FALSE),VLOOKUP($E95,武器奇术!$A:$R,2,FALSE))*(1+BM95)*(1+BN95)*BO95</f>
        <v>0</v>
      </c>
      <c r="BQ95" s="93">
        <f>(1-IF(VLOOKUP($E95,武器奇术!$A:$R,16,FALSE)="陌刀",1,$N95))*(1-$M95)</f>
        <v>0</v>
      </c>
      <c r="BR95" s="92">
        <f>BK95*IF(VLOOKUP($E95,武器奇术!$A:$R,17,FALSE)="裂石",VLOOKUP($E95,武器奇术!$A:$R,4,FALSE),VLOOKUP($E95,武器奇术!$A:$R,2,FALSE))*(1+BM95)*(1+BN95)*BO95*(1+$E$16+VLOOKUP($E95,武器奇术!$A:$R,8,FALSE))</f>
        <v>0</v>
      </c>
      <c r="BS95" s="93">
        <f t="shared" si="98"/>
        <v>0.887</v>
      </c>
      <c r="BT95" s="92">
        <f>BL95*IF(VLOOKUP($E95,武器奇术!$A:$R,17,FALSE)="裂石",VLOOKUP($E95,武器奇术!$A:$R,4,FALSE),VLOOKUP($E95,武器奇术!$A:$R,2,FALSE))*(1+BM95)*(1+BN95)*BO95*(1+$E$17+VLOOKUP($E95,武器奇术!$A:$R,10,FALSE))</f>
        <v>0</v>
      </c>
      <c r="BU95" s="93">
        <f t="shared" si="99"/>
        <v>0.0986</v>
      </c>
      <c r="BV95" s="92">
        <f>BK95*IF(VLOOKUP($E95,武器奇术!$A:$R,17,FALSE)="裂石",VLOOKUP($E95,武器奇术!$A:$R,4,FALSE),VLOOKUP($E95,武器奇术!$A:$R,2,FALSE))*(1+BM95)*(1+BN95)*BO95</f>
        <v>0</v>
      </c>
      <c r="BW95" s="93">
        <f t="shared" si="74"/>
        <v>0.0144</v>
      </c>
      <c r="BX95" s="101">
        <f t="shared" si="75"/>
        <v>0</v>
      </c>
      <c r="BY95" s="99">
        <f>IF(VLOOKUP($E95,武器奇术!$A:$R,18,FALSE)="极乐",0,$B$11*IF($G$5="撼天",1.05,1)+IF(AND(VLOOKUP($E95,武器奇术!$A:$R,15,FALSE)="武器",VLOOKUP($E95,武器奇术!$A:$R,17,FALSE)="牵丝"),$E$3*(1+$E$15),0))</f>
        <v>0</v>
      </c>
      <c r="BZ95" s="91">
        <f t="shared" si="76"/>
        <v>0</v>
      </c>
      <c r="CA95" s="91">
        <f>IF(VLOOKUP($E95,武器奇术!$A:$R,18,FALSE)="极乐",0,MAX($C$11*IF($G$5="撼天",1.05,1)+IF(AND(VLOOKUP($E95,武器奇术!$A:$R,15,FALSE)="武器",VLOOKUP($E95,武器奇术!$A:$R,17,FALSE)="牵丝"),$E$3*(1+$E$15),0),BY95))</f>
        <v>0</v>
      </c>
      <c r="CB95" s="93">
        <f>IF(($D$11+IF(VLOOKUP($E95,武器奇术!$A:$R,17,FALSE)="牵丝",$D$15,0)-VLOOKUP($F$7,目标属性!$A:$R,6,FALSE))&gt;0,($D$11+IF(VLOOKUP($E95,武器奇术!$A:$R,17,FALSE)="牵丝",$D$15,0)-VLOOKUP($F$7,目标属性!$A:$R,6,FALSE))/200,($D$11+IF(VLOOKUP($E95,武器奇术!$A:$R,17,FALSE)="牵丝",$D$15,0)-VLOOKUP($F$7,目标属性!$A:$R,6,FALSE))/100)</f>
        <v>-0.24</v>
      </c>
      <c r="CC95" s="100">
        <f t="shared" si="91"/>
        <v>0</v>
      </c>
      <c r="CD95" s="91">
        <v>1</v>
      </c>
      <c r="CE95" s="92">
        <f>BY95*IF(VLOOKUP($E95,武器奇术!$A:$R,17,FALSE)="牵丝",VLOOKUP($E95,武器奇术!$A:$R,4,FALSE),VLOOKUP($E95,武器奇术!$A:$R,2,FALSE))*(1+CB95)*(1+CC95)*CD95</f>
        <v>0</v>
      </c>
      <c r="CF95" s="93">
        <f>(1-IF(VLOOKUP($E95,武器奇术!$A:$R,16,FALSE)="陌刀",1,$N95))*(1-$M95)</f>
        <v>0</v>
      </c>
      <c r="CG95" s="92">
        <f>BZ95*IF(VLOOKUP($E95,武器奇术!$A:$R,17,FALSE)="牵丝",VLOOKUP($E95,武器奇术!$A:$R,4,FALSE),VLOOKUP($E95,武器奇术!$A:$R,2,FALSE))*(1+CB95)*(1+CC95)*CD95*(1+$E$16+VLOOKUP($E95,武器奇术!$A:$R,8,FALSE))</f>
        <v>0</v>
      </c>
      <c r="CH95" s="93">
        <f t="shared" si="100"/>
        <v>0.887</v>
      </c>
      <c r="CI95" s="92">
        <f>CA95*IF(VLOOKUP($E95,武器奇术!$A:$R,17,FALSE)="牵丝",VLOOKUP($E95,武器奇术!$A:$R,4,FALSE),VLOOKUP($E95,武器奇术!$A:$R,2,FALSE))*(1+CB95)*(1+CC95)*CD95*(1+$E$17+VLOOKUP($E95,武器奇术!$A:$R,10,FALSE))</f>
        <v>0</v>
      </c>
      <c r="CJ95" s="93">
        <f t="shared" si="101"/>
        <v>0.0986</v>
      </c>
      <c r="CK95" s="92">
        <f>BZ95*IF(VLOOKUP($E95,武器奇术!$A:$R,17,FALSE)="牵丝",VLOOKUP($E95,武器奇术!$A:$R,4,FALSE),VLOOKUP($E95,武器奇术!$A:$R,2,FALSE))*(1+CB95)*(1+CC95)*CD95</f>
        <v>0</v>
      </c>
      <c r="CL95" s="93">
        <f t="shared" si="77"/>
        <v>0.0144</v>
      </c>
      <c r="CM95" s="101">
        <f t="shared" si="78"/>
        <v>0</v>
      </c>
      <c r="CN95" s="99">
        <f>IF(VLOOKUP($E95,武器奇术!$A:$R,18,FALSE)="极乐",0,$B$13*IF($G$5="撼天",1.05,1)+IF(AND(VLOOKUP($E95,武器奇术!$A:$R,15,FALSE)="武器",VLOOKUP($E95,武器奇术!$A:$R,17,FALSE)="破竹"),$E$3*(1+$E$15),0))</f>
        <v>686.71</v>
      </c>
      <c r="CO95" s="91">
        <f t="shared" si="79"/>
        <v>1052.21</v>
      </c>
      <c r="CP95" s="91">
        <f>IF(VLOOKUP($E95,武器奇术!$A:$R,18,FALSE)="极乐",0,MAX($C$13*IF($G$5="撼天",1.05,1)+IF(AND(VLOOKUP($E95,武器奇术!$A:$R,15,FALSE)="武器",VLOOKUP($E95,武器奇术!$A:$R,17,FALSE)="破竹"),$E$3*(1+$E$15),0),CN95))</f>
        <v>1417.71</v>
      </c>
      <c r="CQ95" s="93">
        <f>IF(($D$13+IF(VLOOKUP($E95,武器奇术!$A:$R,17,FALSE)="破竹",$D$15,0)-VLOOKUP($F$7,目标属性!$A:$R,6,FALSE)+IF(VLOOKUP($E95,武器奇术!$A:$V,22,FALSE)=1,4,0)+IF(VLOOKUP($E95,武器奇术!$A:$T,20,FALSE)=1,10,0))&gt;0,($D$13+IF(VLOOKUP($E95,武器奇术!$A:$R,17,FALSE)="破竹",$D$15,0)-VLOOKUP($F$7,目标属性!$A:$R,6,FALSE)+IF(VLOOKUP($E95,武器奇术!$A:$V,22,FALSE)=1,4,0)+IF(VLOOKUP($E95,武器奇术!$A:$T,20,FALSE)=1,10,0))/200,($D$13+IF(VLOOKUP($E95,武器奇术!$A:$R,17,FALSE)="破竹",$D$15,0)-VLOOKUP($F$7,目标属性!$A:$R,6,FALSE)+IF(VLOOKUP($E95,武器奇术!$A:$V,22,FALSE)=1,4,0)+IF(VLOOKUP($E95,武器奇术!$A:$T,20,FALSE)=1,10,0))/100)</f>
        <v>0.078</v>
      </c>
      <c r="CR95" s="100">
        <f t="shared" si="83"/>
        <v>0.148</v>
      </c>
      <c r="CS95" s="91">
        <v>1</v>
      </c>
      <c r="CT95" s="92">
        <f>CN95*IF(VLOOKUP($E95,武器奇术!$A:$R,17,FALSE)="破竹",VLOOKUP($E95,武器奇术!$A:$R,4,FALSE),VLOOKUP($E95,武器奇术!$A:$R,2,FALSE))*(1+CQ95)*(1+CR95)*CS95</f>
        <v>3553.42723287232</v>
      </c>
      <c r="CU95" s="93">
        <f>(1-IF(VLOOKUP($E95,武器奇术!$A:$R,16,FALSE)="陌刀",1,$N95))*(1-$M95)</f>
        <v>0</v>
      </c>
      <c r="CV95" s="92">
        <f>CO95*IF(VLOOKUP($E95,武器奇术!$A:$R,17,FALSE)="破竹",VLOOKUP($E95,武器奇术!$A:$R,4,FALSE),VLOOKUP($E95,武器奇术!$A:$R,2,FALSE))*(1+CQ95)*(1+CR95)*CS95*(1+$E$16+VLOOKUP($E95,武器奇术!$A:$R,8,FALSE))</f>
        <v>11673.504649261</v>
      </c>
      <c r="CW95" s="93">
        <f t="shared" si="102"/>
        <v>0.887</v>
      </c>
      <c r="CX95" s="92">
        <f>CP95*IF(VLOOKUP($E95,武器奇术!$A:$R,17,FALSE)="破竹",VLOOKUP($E95,武器奇术!$A:$R,4,FALSE),VLOOKUP($E95,武器奇术!$A:$R,2,FALSE))*(1+CQ95)*(1+CR95)*CS95*(1+$E$17+VLOOKUP($E95,武器奇术!$A:$R,10,FALSE))</f>
        <v>9903.64868012088</v>
      </c>
      <c r="CY95" s="93">
        <f t="shared" si="103"/>
        <v>0.0986</v>
      </c>
      <c r="CZ95" s="92">
        <f>CO95*IF(VLOOKUP($E95,武器奇术!$A:$R,17,FALSE)="破竹",VLOOKUP($E95,武器奇术!$A:$R,4,FALSE),VLOOKUP($E95,武器奇术!$A:$R,2,FALSE))*(1+CQ95)*(1+CR95)*CS95</f>
        <v>5444.73164611056</v>
      </c>
      <c r="DA95" s="93">
        <f t="shared" si="80"/>
        <v>0.0144</v>
      </c>
      <c r="DB95" s="101">
        <f t="shared" si="81"/>
        <v>11409.3025194584</v>
      </c>
      <c r="DC95" s="99">
        <f>IF(VLOOKUP($E95,武器奇术!$A:$R,18,FALSE)="极乐",0,$B$15)</f>
        <v>66</v>
      </c>
      <c r="DD95" s="91">
        <f t="shared" si="82"/>
        <v>95.9</v>
      </c>
      <c r="DE95" s="91">
        <f>IF(VLOOKUP($E95,武器奇术!$A:$R,18,FALSE)="极乐",0,$C$15)</f>
        <v>125.8</v>
      </c>
      <c r="DF95" s="93">
        <f>IF((IF(VLOOKUP($E95,武器奇术!$A:$R,17,FALSE)="鸣金",$D$7,0)+IF(VLOOKUP($E95,武器奇术!$A:$R,17,FALSE)="裂石",$D$9,0)+IF(VLOOKUP($E95,武器奇术!$A:$R,17,FALSE)="牵丝",$D$11,0)+IF(VLOOKUP($E95,武器奇术!$A:$R,17,FALSE)="破竹",$D$13,0)+$D$15-VLOOKUP($F$7,目标属性!$A:$R,6,FALSE)+IF(VLOOKUP($E95,武器奇术!$A:$V,22,FALSE)=1,4,0)+IF(VLOOKUP($E95,武器奇术!$A:$T,20,FALSE)=1,10,0))&gt;0,(IF(VLOOKUP($E95,武器奇术!$A:$R,17,FALSE)="鸣金",$D$7,0)+IF(VLOOKUP($E95,武器奇术!$A:$R,17,FALSE)="裂石",$D$9,0)+IF(VLOOKUP($E95,武器奇术!$A:$R,17,FALSE)="牵丝",$D$11,0)+IF(VLOOKUP($E95,武器奇术!$A:$R,17,FALSE)="破竹",$D$13,0)+$D$15-VLOOKUP($F$7,目标属性!$A:$R,6,FALSE)+IF(VLOOKUP($E95,武器奇术!$A:$V,22,FALSE)=1,4,0)+IF(VLOOKUP($E95,武器奇术!$A:$T,20,FALSE)=1,10,0))/200,(IF(VLOOKUP($E95,武器奇术!$A:$R,17,FALSE)="鸣金",$D$7,0)+IF(VLOOKUP($E95,武器奇术!$A:$R,17,FALSE)="裂石",$D$9,0)+IF(VLOOKUP($E95,武器奇术!$A:$R,17,FALSE)="牵丝",$D$11,0)+IF(VLOOKUP($E95,武器奇术!$A:$R,17,FALSE)="破竹",$D$13,0)+$D$15-VLOOKUP($F$7,目标属性!$A:$R,6,FALSE)+IF(VLOOKUP($E95,武器奇术!$A:$V,22,FALSE)=1,4,0)+IF(VLOOKUP($E95,武器奇术!$A:$T,20,FALSE)=1,10,0))/100)</f>
        <v>0.078</v>
      </c>
      <c r="DG95" s="100">
        <f t="shared" ref="DG95:DG98" si="110">$E$13</f>
        <v>0.148</v>
      </c>
      <c r="DH95" s="91">
        <v>1</v>
      </c>
      <c r="DI95" s="92">
        <f>DC95*IF(VLOOKUP($E95,武器奇术!$A:$R,17,FALSE)="破竹",VLOOKUP($E95,武器奇术!$A:$R,4,FALSE),VLOOKUP($E95,武器奇术!$A:$R,2,FALSE))*(1+DF95)*(1+DG95)*DH95</f>
        <v>341.52145355328</v>
      </c>
      <c r="DJ95" s="93">
        <f>(1-IF(VLOOKUP($E95,武器奇术!$A:$R,16,FALSE)="陌刀",1,$N95))*(1-$M95)</f>
        <v>0</v>
      </c>
      <c r="DK95" s="92">
        <f>DD95*IF(VLOOKUP($E95,武器奇术!$A:$R,17,FALSE)="破竹",VLOOKUP($E95,武器奇术!$A:$R,4,FALSE),VLOOKUP($E95,武器奇术!$A:$R,2,FALSE))*(1+DF95)*(1+DG95)*DH95*(1+$E$16+VLOOKUP($E95,武器奇术!$A:$R,8,FALSE))</f>
        <v>1063.94074934104</v>
      </c>
      <c r="DL95" s="93">
        <f t="shared" si="104"/>
        <v>0.887</v>
      </c>
      <c r="DM95" s="92">
        <f>DE95*IF(VLOOKUP($E95,武器奇术!$A:$R,17,FALSE)="破竹",VLOOKUP($E95,武器奇术!$A:$R,4,FALSE),VLOOKUP($E95,武器奇术!$A:$R,2,FALSE))*(1+DF95)*(1+DG95)*DH95*(1+$E$17+VLOOKUP($E95,武器奇术!$A:$R,10,FALSE))</f>
        <v>878.796794802327</v>
      </c>
      <c r="DN95" s="93">
        <f t="shared" si="105"/>
        <v>0.0986</v>
      </c>
      <c r="DO95" s="92">
        <f>DD95*IF(VLOOKUP($E95,武器奇术!$A:$R,17,FALSE)="破竹",VLOOKUP($E95,武器奇术!$A:$R,4,FALSE),VLOOKUP($E95,武器奇术!$A:$R,2,FALSE))*(1+DF95)*(1+DG95)*DH95</f>
        <v>496.241021147872</v>
      </c>
      <c r="DP95" s="93">
        <f t="shared" si="106"/>
        <v>0.0144</v>
      </c>
      <c r="DQ95" s="101">
        <f t="shared" si="107"/>
        <v>1037.51067933754</v>
      </c>
    </row>
    <row r="96" spans="1:121">
      <c r="A96" s="33"/>
      <c r="B96" t="s">
        <v>186</v>
      </c>
      <c r="C96">
        <v>1</v>
      </c>
      <c r="E96" s="105" t="s">
        <v>187</v>
      </c>
      <c r="F96" s="106">
        <f>SUM(F91:F94)+F95*3+8</f>
        <v>22</v>
      </c>
      <c r="G96" s="107">
        <f>$E$23</f>
        <v>0.32</v>
      </c>
      <c r="H96" s="92">
        <f>IF(VLOOKUP($E96,武器奇术!$A:$R,18,FALSE)="天工",AE96,(AE96+AT96+BI96+BX96+CM96+DB96+DQ96))*(1+J96)*F96*K96*(1+G96)</f>
        <v>328137.305680096</v>
      </c>
      <c r="I96" s="93">
        <f t="shared" si="58"/>
        <v>0.0420943456607678</v>
      </c>
      <c r="J96" s="93">
        <f>$F$3+VLOOKUP($E96,武器奇术!$A:$R,12,FALSE)+VLOOKUP($E96,武器奇术!$A:$R,14,FALSE)*$G$3+$P96</f>
        <v>1.493</v>
      </c>
      <c r="K96" s="94">
        <f>VLOOKUP($E96,武器奇术!$A:$R,11,FALSE)</f>
        <v>1</v>
      </c>
      <c r="L96" s="109">
        <f>IF(VLOOKUP($E96,武器奇术!$A:$R,15,FALSE)="天工",0%,IF($C$17+VLOOKUP($E96,武器奇术!$A:$R,7,FALSE)&gt;80%,80%,$C$17+VLOOKUP($E96,武器奇术!$A:$R,7,FALSE))+IF($C$19&gt;20%,20%,$C$19))</f>
        <v>0.887</v>
      </c>
      <c r="M96" s="110">
        <f>IF(VLOOKUP($E96,武器奇术!$A:$R,15,FALSE)="天工",0%,IF($C$18+VLOOKUP($E96,武器奇术!$A:$R,9,FALSE)&gt;40%,40%,$C$18+VLOOKUP($E96,武器奇术!$A:$R,9,FALSE))+IF($C$20&gt;10%,10%,$C$20))</f>
        <v>0.0986</v>
      </c>
      <c r="N96" s="111">
        <f>IF(VLOOKUP($E96,武器奇术!$A:$R,15,FALSE)="天工",100%,MIN($C$16,1))</f>
        <v>1</v>
      </c>
      <c r="O96" s="112" t="str">
        <f>VLOOKUP($E96,武器奇术!$A:$R,16,FALSE)</f>
        <v>绳标</v>
      </c>
      <c r="P96" s="113">
        <f t="shared" si="108"/>
        <v>0.17</v>
      </c>
      <c r="Q96" s="99">
        <f>$B$5*(1+VLOOKUP($E96,武器奇术!$A:$R,5,FALSE)+IF($G$5="飞隼",0.1,0)+IF($G$5="撼天",0.05,0))-$F$9*IF(VLOOKUP($E96,武器奇术!$A:$S,19,FALSE)=1,0.9,1)+IF($I$5="√",160,0)</f>
        <v>2848.3</v>
      </c>
      <c r="R96" s="91">
        <f t="shared" si="60"/>
        <v>2848.3</v>
      </c>
      <c r="S96" s="91">
        <f>MAX($C$5,$B$5)*(1+VLOOKUP($E96,武器奇术!$A:$R,5,FALSE)+IF($G$5="飞隼",0.1,0)+IF($G$5="撼天",0.05,0))-$F$9*IF(VLOOKUP($E96,武器奇术!$A:$S,19,FALSE)=1,0.9,1)+IF($I$5="√",320,0)</f>
        <v>2848.3</v>
      </c>
      <c r="T96" s="93">
        <f>IF(($D$5+VLOOKUP($E96,武器奇术!$A:$R,13,FALSE)+IF($I$3="√",10,0)-VLOOKUP($F$7,目标属性!$A:$R,5,FALSE))&gt;0,($D$5+VLOOKUP($E96,武器奇术!$A:$R,13,FALSE)+IF($I$3="√",10,0)-VLOOKUP($F$7,目标属性!$A:$R,5,FALSE))/200,($D$5+VLOOKUP($E96,武器奇术!$A:$R,13,FALSE)+IF($I$3="√",10,0)-VLOOKUP($F$7,目标属性!$A:$R,5,FALSE))/100)</f>
        <v>0.2675</v>
      </c>
      <c r="U96" s="120">
        <f>$E$5+IF(VLOOKUP($E96,武器奇术!$A:$R,18,FALSE)="鼠鼠",0.24,0)+IF(期望!$G$5="燕归",6/22*8/100,0)</f>
        <v>0.261818181818182</v>
      </c>
      <c r="V96" s="91">
        <v>1</v>
      </c>
      <c r="W96" s="92">
        <f>Q96*VLOOKUP($E96,武器奇术!$A:$R,2,FALSE)*(1+T96)*(1+U96)*V96</f>
        <v>1594.40454313636</v>
      </c>
      <c r="X96" s="93">
        <f>(1-IF(VLOOKUP($E96,武器奇术!$A:$R,16,FALSE)="陌刀",1,$N96))*(1-$M96)</f>
        <v>0</v>
      </c>
      <c r="Y96" s="92">
        <f>R96*VLOOKUP($E96,武器奇术!$A:$R,2,FALSE)*(1+T96)*(1+U96)*V96*(1+$E$16+VLOOKUP($E96,武器奇术!$A:$R,8,FALSE))</f>
        <v>3418.40334048436</v>
      </c>
      <c r="Z96" s="93">
        <f t="shared" si="61"/>
        <v>0.887</v>
      </c>
      <c r="AA96" s="92">
        <f>S96*VLOOKUP($E96,武器奇术!$A:$R,2,FALSE)*(1+T96)*(1+U96)*V96*(1+$E$17+VLOOKUP($E96,武器奇术!$A:$R,10,FALSE))</f>
        <v>2152.44613323409</v>
      </c>
      <c r="AB96" s="93">
        <f t="shared" si="62"/>
        <v>0.0986</v>
      </c>
      <c r="AC96" s="92">
        <f>R96*VLOOKUP($E96,武器奇术!$A:$R,2,FALSE)*(1+T96)*(1+U96)*V96</f>
        <v>1594.40454313636</v>
      </c>
      <c r="AD96" s="93">
        <f t="shared" si="63"/>
        <v>0.0144</v>
      </c>
      <c r="AE96" s="101">
        <f t="shared" si="64"/>
        <v>3267.31437716767</v>
      </c>
      <c r="AF96" s="102">
        <f>VLOOKUP($E96,武器奇术!$A:$R,3,FALSE)*(1+IF(VLOOKUP($E96,武器奇术!$A:$R,15,FALSE)="武器",$E$15,0))</f>
        <v>0</v>
      </c>
      <c r="AG96" s="92">
        <f t="shared" si="65"/>
        <v>0</v>
      </c>
      <c r="AH96" s="92">
        <f>VLOOKUP($E96,武器奇术!$A:$R,3,FALSE)*(1+IF(VLOOKUP($E96,武器奇术!$A:$R,15,FALSE)="武器",$E$15,0))</f>
        <v>0</v>
      </c>
      <c r="AI96" s="93">
        <f>IF(($D$5+VLOOKUP($E96,武器奇术!$A:$R,13,FALSE)+IF($I$3="√",10,0)-VLOOKUP($F$7,目标属性!$A:$R,5,FALSE))&gt;0,($D$5+VLOOKUP($E96,武器奇术!$A:$R,13,FALSE)+IF($I$3="√",10,0)-VLOOKUP($F$7,目标属性!$A:$R,5,FALSE))/200,($D$5+VLOOKUP($E96,武器奇术!$A:$R,13,FALSE)+IF($I$3="√",10,0)-VLOOKUP($F$7,目标属性!$A:$R,5,FALSE))/100)</f>
        <v>0.2675</v>
      </c>
      <c r="AJ96" s="120">
        <f>$E$5+IF(VLOOKUP($E96,武器奇术!$A:$R,18,FALSE)="鼠鼠",0.24,0)+IF(期望!$G$5="燕归",6/22*8/100,0)</f>
        <v>0.261818181818182</v>
      </c>
      <c r="AK96" s="91">
        <v>1</v>
      </c>
      <c r="AL96" s="92">
        <f t="shared" si="109"/>
        <v>0</v>
      </c>
      <c r="AM96" s="93">
        <f>(1-IF(VLOOKUP($E96,武器奇术!$A:$R,16,FALSE)="陌刀",1,$N96))*(1-$M96)</f>
        <v>0</v>
      </c>
      <c r="AN96" s="92">
        <f>AG96*(1+AI96)*(1+AJ96)*AK96*(1+$E$16+VLOOKUP($E96,武器奇术!$A:$R,8,FALSE))</f>
        <v>0</v>
      </c>
      <c r="AO96" s="93">
        <f t="shared" si="94"/>
        <v>0.887</v>
      </c>
      <c r="AP96" s="92">
        <f>AH96*(1+AI96)*(1+AJ96)*AK96*(1+$E$17+VLOOKUP($E96,武器奇术!$A:$R,10,FALSE))</f>
        <v>0</v>
      </c>
      <c r="AQ96" s="93">
        <f t="shared" si="95"/>
        <v>0.0986</v>
      </c>
      <c r="AR96" s="92">
        <f t="shared" si="67"/>
        <v>0</v>
      </c>
      <c r="AS96" s="93">
        <f t="shared" si="68"/>
        <v>0.0144</v>
      </c>
      <c r="AT96" s="101">
        <f t="shared" si="69"/>
        <v>0</v>
      </c>
      <c r="AU96" s="99">
        <f>IF(VLOOKUP($E96,武器奇术!$A:$R,18,FALSE)="极乐",0,$B$7*IF($G$5="撼天",1.05,1)+IF(AND(VLOOKUP($E96,武器奇术!$A:$R,15,FALSE)="武器",VLOOKUP($E96,武器奇术!$A:$R,17,FALSE)="鸣金"),$E$3*(1+$E$15),0))</f>
        <v>0</v>
      </c>
      <c r="AV96" s="91">
        <f t="shared" si="70"/>
        <v>0</v>
      </c>
      <c r="AW96" s="91">
        <f>IF(VLOOKUP($E96,武器奇术!$A:$R,18,FALSE)="极乐",0,MAX($C$7*IF($G$5="撼天",1.05,1)+IF(AND(VLOOKUP($E96,武器奇术!$A:$R,15,FALSE)="武器",VLOOKUP($E96,武器奇术!$A:$R,17,FALSE)="鸣金"),$E$3*(1+$E$15),0),AU96))</f>
        <v>0</v>
      </c>
      <c r="AX96" s="93">
        <f>IF(($D$7+IF(VLOOKUP($E96,武器奇术!$A:$R,17,FALSE)="鸣金",$D$15,0)-VLOOKUP($F$7,目标属性!$A:$R,6,FALSE))&gt;0,($D$7+IF(VLOOKUP($E96,武器奇术!$A:$R,17,FALSE)="鸣金",$D$15,0)-VLOOKUP($F$7,目标属性!$A:$R,6,FALSE))/200,($D$7+IF(VLOOKUP($E96,武器奇术!$A:$R,17,FALSE)="鸣金",$D$15,0)-VLOOKUP($F$7,目标属性!$A:$R,6,FALSE))/100)</f>
        <v>-0.24</v>
      </c>
      <c r="AY96" s="100">
        <f t="shared" si="89"/>
        <v>0</v>
      </c>
      <c r="AZ96" s="91">
        <v>1</v>
      </c>
      <c r="BA96" s="92">
        <f>AU96*IF(VLOOKUP($E96,武器奇术!$A:$R,17,FALSE)="鸣金",VLOOKUP($E96,武器奇术!$A:$R,4,FALSE),VLOOKUP($E96,武器奇术!$A:$R,2,FALSE))*(1+AX96)*(1+AY96)*AZ96</f>
        <v>0</v>
      </c>
      <c r="BB96" s="93">
        <f>(1-IF(VLOOKUP($E96,武器奇术!$A:$R,16,FALSE)="陌刀",1,$N96))*(1-$M96)</f>
        <v>0</v>
      </c>
      <c r="BC96" s="92">
        <f>AV96*IF(VLOOKUP($E96,武器奇术!$A:$R,17,FALSE)="鸣金",VLOOKUP($E96,武器奇术!$A:$R,4,FALSE),VLOOKUP($E96,武器奇术!$A:$R,2,FALSE))*(1+AX96)*(1+AY96)*AZ96*(1+$E$16+VLOOKUP($E96,武器奇术!$A:$R,8,FALSE))</f>
        <v>0</v>
      </c>
      <c r="BD96" s="93">
        <f t="shared" si="96"/>
        <v>0.887</v>
      </c>
      <c r="BE96" s="92">
        <f>AW96*IF(VLOOKUP($E96,武器奇术!$A:$R,17,FALSE)="鸣金",VLOOKUP($E96,武器奇术!$A:$R,4,FALSE),VLOOKUP($E96,武器奇术!$A:$R,2,FALSE))*(1+AX96)*(1+AY96)*AZ96*(1+$E$17+VLOOKUP($E96,武器奇术!$A:$R,10,FALSE))</f>
        <v>0</v>
      </c>
      <c r="BF96" s="93">
        <f t="shared" si="97"/>
        <v>0.0986</v>
      </c>
      <c r="BG96" s="92">
        <f>AV96*IF(VLOOKUP($E96,武器奇术!$A:$R,17,FALSE)="鸣金",VLOOKUP($E96,武器奇术!$A:$R,4,FALSE),VLOOKUP($E96,武器奇术!$A:$R,2,FALSE))*(1+AX96)*(1+AY96)*AZ96</f>
        <v>0</v>
      </c>
      <c r="BH96" s="93">
        <f t="shared" si="71"/>
        <v>0.0144</v>
      </c>
      <c r="BI96" s="101">
        <f t="shared" si="72"/>
        <v>0</v>
      </c>
      <c r="BJ96" s="99">
        <f>IF(VLOOKUP($E96,武器奇术!$A:$R,18,FALSE)="极乐",0,$B$9*IF($G$5="撼天",1.05,1)+IF(AND(VLOOKUP($E96,武器奇术!$A:$R,15,FALSE)="武器",VLOOKUP($E96,武器奇术!$A:$R,17,FALSE)="裂石"),$E$3*(1+$E$15),0))</f>
        <v>0</v>
      </c>
      <c r="BK96" s="91">
        <f t="shared" si="73"/>
        <v>0</v>
      </c>
      <c r="BL96" s="91">
        <f>IF(VLOOKUP($E96,武器奇术!$A:$R,18,FALSE)="极乐",0,MAX($C$9*IF($G$5="撼天",1.05,1)+IF(AND(VLOOKUP($E96,武器奇术!$A:$R,15,FALSE)="武器",VLOOKUP($E96,武器奇术!$A:$R,17,FALSE)="裂石"),$E$3*(1+$E$15),0),BJ96))</f>
        <v>0</v>
      </c>
      <c r="BM96" s="93">
        <f>IF(($D$9+IF(VLOOKUP($E96,武器奇术!$A:$R,17,FALSE)="裂石",$D$15,0)-VLOOKUP($F$7,目标属性!$A:$R,6,FALSE))&gt;0,($D$9+IF(VLOOKUP($E96,武器奇术!$A:$R,17,FALSE)="裂石",$D$15,0)-VLOOKUP($F$7,目标属性!$A:$R,6,FALSE))/200,($D$9+IF(VLOOKUP($E96,武器奇术!$A:$R,17,FALSE)="裂石",$D$15,0)-VLOOKUP($F$7,目标属性!$A:$R,6,FALSE))/100)</f>
        <v>-0.24</v>
      </c>
      <c r="BN96" s="100">
        <f t="shared" si="90"/>
        <v>0</v>
      </c>
      <c r="BO96" s="91">
        <v>1</v>
      </c>
      <c r="BP96" s="92">
        <f>BJ96*IF(VLOOKUP($E96,武器奇术!$A:$R,17,FALSE)="裂石",VLOOKUP($E96,武器奇术!$A:$R,4,FALSE),VLOOKUP($E96,武器奇术!$A:$R,2,FALSE))*(1+BM96)*(1+BN96)*BO96</f>
        <v>0</v>
      </c>
      <c r="BQ96" s="93">
        <f>(1-IF(VLOOKUP($E96,武器奇术!$A:$R,16,FALSE)="陌刀",1,$N96))*(1-$M96)</f>
        <v>0</v>
      </c>
      <c r="BR96" s="92">
        <f>BK96*IF(VLOOKUP($E96,武器奇术!$A:$R,17,FALSE)="裂石",VLOOKUP($E96,武器奇术!$A:$R,4,FALSE),VLOOKUP($E96,武器奇术!$A:$R,2,FALSE))*(1+BM96)*(1+BN96)*BO96*(1+$E$16+VLOOKUP($E96,武器奇术!$A:$R,8,FALSE))</f>
        <v>0</v>
      </c>
      <c r="BS96" s="93">
        <f t="shared" si="98"/>
        <v>0.887</v>
      </c>
      <c r="BT96" s="92">
        <f>BL96*IF(VLOOKUP($E96,武器奇术!$A:$R,17,FALSE)="裂石",VLOOKUP($E96,武器奇术!$A:$R,4,FALSE),VLOOKUP($E96,武器奇术!$A:$R,2,FALSE))*(1+BM96)*(1+BN96)*BO96*(1+$E$17+VLOOKUP($E96,武器奇术!$A:$R,10,FALSE))</f>
        <v>0</v>
      </c>
      <c r="BU96" s="93">
        <f t="shared" si="99"/>
        <v>0.0986</v>
      </c>
      <c r="BV96" s="92">
        <f>BK96*IF(VLOOKUP($E96,武器奇术!$A:$R,17,FALSE)="裂石",VLOOKUP($E96,武器奇术!$A:$R,4,FALSE),VLOOKUP($E96,武器奇术!$A:$R,2,FALSE))*(1+BM96)*(1+BN96)*BO96</f>
        <v>0</v>
      </c>
      <c r="BW96" s="93">
        <f t="shared" si="74"/>
        <v>0.0144</v>
      </c>
      <c r="BX96" s="101">
        <f t="shared" si="75"/>
        <v>0</v>
      </c>
      <c r="BY96" s="99">
        <f>IF(VLOOKUP($E96,武器奇术!$A:$R,18,FALSE)="极乐",0,$B$11*IF($G$5="撼天",1.05,1)+IF(AND(VLOOKUP($E96,武器奇术!$A:$R,15,FALSE)="武器",VLOOKUP($E96,武器奇术!$A:$R,17,FALSE)="牵丝"),$E$3*(1+$E$15),0))</f>
        <v>0</v>
      </c>
      <c r="BZ96" s="91">
        <f t="shared" si="76"/>
        <v>0</v>
      </c>
      <c r="CA96" s="91">
        <f>IF(VLOOKUP($E96,武器奇术!$A:$R,18,FALSE)="极乐",0,MAX($C$11*IF($G$5="撼天",1.05,1)+IF(AND(VLOOKUP($E96,武器奇术!$A:$R,15,FALSE)="武器",VLOOKUP($E96,武器奇术!$A:$R,17,FALSE)="牵丝"),$E$3*(1+$E$15),0),BY96))</f>
        <v>0</v>
      </c>
      <c r="CB96" s="93">
        <f>IF(($D$11+IF(VLOOKUP($E96,武器奇术!$A:$R,17,FALSE)="牵丝",$D$15,0)-VLOOKUP($F$7,目标属性!$A:$R,6,FALSE))&gt;0,($D$11+IF(VLOOKUP($E96,武器奇术!$A:$R,17,FALSE)="牵丝",$D$15,0)-VLOOKUP($F$7,目标属性!$A:$R,6,FALSE))/200,($D$11+IF(VLOOKUP($E96,武器奇术!$A:$R,17,FALSE)="牵丝",$D$15,0)-VLOOKUP($F$7,目标属性!$A:$R,6,FALSE))/100)</f>
        <v>-0.24</v>
      </c>
      <c r="CC96" s="100">
        <f t="shared" si="91"/>
        <v>0</v>
      </c>
      <c r="CD96" s="91">
        <v>1</v>
      </c>
      <c r="CE96" s="92">
        <f>BY96*IF(VLOOKUP($E96,武器奇术!$A:$R,17,FALSE)="牵丝",VLOOKUP($E96,武器奇术!$A:$R,4,FALSE),VLOOKUP($E96,武器奇术!$A:$R,2,FALSE))*(1+CB96)*(1+CC96)*CD96</f>
        <v>0</v>
      </c>
      <c r="CF96" s="93">
        <f>(1-IF(VLOOKUP($E96,武器奇术!$A:$R,16,FALSE)="陌刀",1,$N96))*(1-$M96)</f>
        <v>0</v>
      </c>
      <c r="CG96" s="92">
        <f>BZ96*IF(VLOOKUP($E96,武器奇术!$A:$R,17,FALSE)="牵丝",VLOOKUP($E96,武器奇术!$A:$R,4,FALSE),VLOOKUP($E96,武器奇术!$A:$R,2,FALSE))*(1+CB96)*(1+CC96)*CD96*(1+$E$16+VLOOKUP($E96,武器奇术!$A:$R,8,FALSE))</f>
        <v>0</v>
      </c>
      <c r="CH96" s="93">
        <f t="shared" si="100"/>
        <v>0.887</v>
      </c>
      <c r="CI96" s="92">
        <f>CA96*IF(VLOOKUP($E96,武器奇术!$A:$R,17,FALSE)="牵丝",VLOOKUP($E96,武器奇术!$A:$R,4,FALSE),VLOOKUP($E96,武器奇术!$A:$R,2,FALSE))*(1+CB96)*(1+CC96)*CD96*(1+$E$17+VLOOKUP($E96,武器奇术!$A:$R,10,FALSE))</f>
        <v>0</v>
      </c>
      <c r="CJ96" s="93">
        <f t="shared" si="101"/>
        <v>0.0986</v>
      </c>
      <c r="CK96" s="92">
        <f>BZ96*IF(VLOOKUP($E96,武器奇术!$A:$R,17,FALSE)="牵丝",VLOOKUP($E96,武器奇术!$A:$R,4,FALSE),VLOOKUP($E96,武器奇术!$A:$R,2,FALSE))*(1+CB96)*(1+CC96)*CD96</f>
        <v>0</v>
      </c>
      <c r="CL96" s="93">
        <f t="shared" si="77"/>
        <v>0.0144</v>
      </c>
      <c r="CM96" s="101">
        <f t="shared" si="78"/>
        <v>0</v>
      </c>
      <c r="CN96" s="99">
        <f>IF(VLOOKUP($E96,武器奇术!$A:$R,18,FALSE)="极乐",0,$B$13*IF($G$5="撼天",1.05,1)+IF(AND(VLOOKUP($E96,武器奇术!$A:$R,15,FALSE)="武器",VLOOKUP($E96,武器奇术!$A:$R,17,FALSE)="破竹"),$E$3*(1+$E$15),0))</f>
        <v>490.8</v>
      </c>
      <c r="CO96" s="91">
        <f t="shared" si="79"/>
        <v>856.3</v>
      </c>
      <c r="CP96" s="91">
        <f>IF(VLOOKUP($E96,武器奇术!$A:$R,18,FALSE)="极乐",0,MAX($C$13*IF($G$5="撼天",1.05,1)+IF(AND(VLOOKUP($E96,武器奇术!$A:$R,15,FALSE)="武器",VLOOKUP($E96,武器奇术!$A:$R,17,FALSE)="破竹"),$E$3*(1+$E$15),0),CN96))</f>
        <v>1221.8</v>
      </c>
      <c r="CQ96" s="93">
        <f>IF(($D$13+IF(VLOOKUP($E96,武器奇术!$A:$R,17,FALSE)="破竹",$D$15,0)-VLOOKUP($F$7,目标属性!$A:$R,6,FALSE)+IF(VLOOKUP($E96,武器奇术!$A:$V,22,FALSE)=1,4,0)+IF(VLOOKUP($E96,武器奇术!$A:$T,20,FALSE)=1,10,0))&gt;0,($D$13+IF(VLOOKUP($E96,武器奇术!$A:$R,17,FALSE)="破竹",$D$15,0)-VLOOKUP($F$7,目标属性!$A:$R,6,FALSE)+IF(VLOOKUP($E96,武器奇术!$A:$V,22,FALSE)=1,4,0)+IF(VLOOKUP($E96,武器奇术!$A:$T,20,FALSE)=1,10,0))/200,($D$13+IF(VLOOKUP($E96,武器奇术!$A:$R,17,FALSE)="破竹",$D$15,0)-VLOOKUP($F$7,目标属性!$A:$R,6,FALSE)+IF(VLOOKUP($E96,武器奇术!$A:$V,22,FALSE)=1,4,0)+IF(VLOOKUP($E96,武器奇术!$A:$T,20,FALSE)=1,10,0))/100)</f>
        <v>0.028</v>
      </c>
      <c r="CR96" s="120">
        <f>$E$13+IF(期望!$G$5="燕归",6/22*8/100,0)</f>
        <v>0.169818181818182</v>
      </c>
      <c r="CS96" s="91">
        <v>1</v>
      </c>
      <c r="CT96" s="92">
        <f>CN96*IF(VLOOKUP($E96,武器奇术!$A:$R,17,FALSE)="破竹",VLOOKUP($E96,武器奇术!$A:$R,4,FALSE),VLOOKUP($E96,武器奇术!$A:$R,2,FALSE))*(1+CQ96)*(1+CR96)*CS96</f>
        <v>309.867008334546</v>
      </c>
      <c r="CU96" s="93">
        <f>(1-IF(VLOOKUP($E96,武器奇术!$A:$R,16,FALSE)="陌刀",1,$N96))*(1-$M96)</f>
        <v>0</v>
      </c>
      <c r="CV96" s="92">
        <f>CO96*IF(VLOOKUP($E96,武器奇术!$A:$R,17,FALSE)="破竹",VLOOKUP($E96,武器奇术!$A:$R,4,FALSE),VLOOKUP($E96,武器奇术!$A:$R,2,FALSE))*(1+CQ96)*(1+CR96)*CS96*(1+$E$16+VLOOKUP($E96,武器奇术!$A:$R,8,FALSE))</f>
        <v>1159.10161296628</v>
      </c>
      <c r="CW96" s="93">
        <f t="shared" si="102"/>
        <v>0.887</v>
      </c>
      <c r="CX96" s="92">
        <f>CP96*IF(VLOOKUP($E96,武器奇术!$A:$R,17,FALSE)="破竹",VLOOKUP($E96,武器奇术!$A:$R,4,FALSE),VLOOKUP($E96,武器奇术!$A:$R,2,FALSE))*(1+CQ96)*(1+CR96)*CS96*(1+$E$17+VLOOKUP($E96,武器奇术!$A:$R,10,FALSE))</f>
        <v>1041.36907000255</v>
      </c>
      <c r="CY96" s="93">
        <f t="shared" si="103"/>
        <v>0.0986</v>
      </c>
      <c r="CZ96" s="92">
        <f>CO96*IF(VLOOKUP($E96,武器奇术!$A:$R,17,FALSE)="破竹",VLOOKUP($E96,武器奇术!$A:$R,4,FALSE),VLOOKUP($E96,武器奇术!$A:$R,2,FALSE))*(1+CQ96)*(1+CR96)*CS96</f>
        <v>540.625752316364</v>
      </c>
      <c r="DA96" s="93">
        <f t="shared" si="80"/>
        <v>0.0144</v>
      </c>
      <c r="DB96" s="101">
        <f t="shared" si="81"/>
        <v>1138.5871318367</v>
      </c>
      <c r="DC96" s="99">
        <f>IF(VLOOKUP($E96,武器奇术!$A:$R,18,FALSE)="极乐",0,$B$15)</f>
        <v>66</v>
      </c>
      <c r="DD96" s="91">
        <f t="shared" si="82"/>
        <v>95.9</v>
      </c>
      <c r="DE96" s="91">
        <f>IF(VLOOKUP($E96,武器奇术!$A:$R,18,FALSE)="极乐",0,$C$15)</f>
        <v>125.8</v>
      </c>
      <c r="DF96" s="93">
        <f>IF((IF(VLOOKUP($E96,武器奇术!$A:$R,17,FALSE)="鸣金",$D$7,0)+IF(VLOOKUP($E96,武器奇术!$A:$R,17,FALSE)="裂石",$D$9,0)+IF(VLOOKUP($E96,武器奇术!$A:$R,17,FALSE)="牵丝",$D$11,0)+IF(VLOOKUP($E96,武器奇术!$A:$R,17,FALSE)="破竹",$D$13,0)+$D$15-VLOOKUP($F$7,目标属性!$A:$R,6,FALSE)+IF(VLOOKUP($E96,武器奇术!$A:$V,22,FALSE)=1,4,0)+IF(VLOOKUP($E96,武器奇术!$A:$T,20,FALSE)=1,10,0))&gt;0,(IF(VLOOKUP($E96,武器奇术!$A:$R,17,FALSE)="鸣金",$D$7,0)+IF(VLOOKUP($E96,武器奇术!$A:$R,17,FALSE)="裂石",$D$9,0)+IF(VLOOKUP($E96,武器奇术!$A:$R,17,FALSE)="牵丝",$D$11,0)+IF(VLOOKUP($E96,武器奇术!$A:$R,17,FALSE)="破竹",$D$13,0)+$D$15-VLOOKUP($F$7,目标属性!$A:$R,6,FALSE)+IF(VLOOKUP($E96,武器奇术!$A:$V,22,FALSE)=1,4,0)+IF(VLOOKUP($E96,武器奇术!$A:$T,20,FALSE)=1,10,0))/200,(IF(VLOOKUP($E96,武器奇术!$A:$R,17,FALSE)="鸣金",$D$7,0)+IF(VLOOKUP($E96,武器奇术!$A:$R,17,FALSE)="裂石",$D$9,0)+IF(VLOOKUP($E96,武器奇术!$A:$R,17,FALSE)="牵丝",$D$11,0)+IF(VLOOKUP($E96,武器奇术!$A:$R,17,FALSE)="破竹",$D$13,0)+$D$15-VLOOKUP($F$7,目标属性!$A:$R,6,FALSE)+IF(VLOOKUP($E96,武器奇术!$A:$V,22,FALSE)=1,4,0)+IF(VLOOKUP($E96,武器奇术!$A:$T,20,FALSE)=1,10,0))/100)</f>
        <v>0.028</v>
      </c>
      <c r="DG96" s="120">
        <f>$E$13+IF(期望!$G$5="燕归",6/22*8/100,0)</f>
        <v>0.169818181818182</v>
      </c>
      <c r="DH96" s="91">
        <v>1</v>
      </c>
      <c r="DI96" s="92">
        <f>DC96*IF(VLOOKUP($E96,武器奇术!$A:$R,17,FALSE)="破竹",VLOOKUP($E96,武器奇术!$A:$R,4,FALSE),VLOOKUP($E96,武器奇术!$A:$R,2,FALSE))*(1+DF96)*(1+DG96)*DH96</f>
        <v>41.6691576</v>
      </c>
      <c r="DJ96" s="93">
        <f>(1-IF(VLOOKUP($E96,武器奇术!$A:$R,16,FALSE)="陌刀",1,$N96))*(1-$M96)</f>
        <v>0</v>
      </c>
      <c r="DK96" s="92">
        <f>DD96*IF(VLOOKUP($E96,武器奇术!$A:$R,17,FALSE)="破竹",VLOOKUP($E96,武器奇术!$A:$R,4,FALSE),VLOOKUP($E96,武器奇术!$A:$R,2,FALSE))*(1+DF96)*(1+DG96)*DH96*(1+$E$16+VLOOKUP($E96,武器奇术!$A:$R,8,FALSE))</f>
        <v>129.811800401105</v>
      </c>
      <c r="DL96" s="93">
        <f t="shared" si="104"/>
        <v>0.887</v>
      </c>
      <c r="DM96" s="92">
        <f>DE96*IF(VLOOKUP($E96,武器奇术!$A:$R,17,FALSE)="破竹",VLOOKUP($E96,武器奇术!$A:$R,4,FALSE),VLOOKUP($E96,武器奇术!$A:$R,2,FALSE))*(1+DF96)*(1+DG96)*DH96*(1+$E$17+VLOOKUP($E96,武器奇术!$A:$R,10,FALSE))</f>
        <v>107.222318715273</v>
      </c>
      <c r="DN96" s="93">
        <f t="shared" si="105"/>
        <v>0.0986</v>
      </c>
      <c r="DO96" s="92">
        <f>DD96*IF(VLOOKUP($E96,武器奇术!$A:$R,17,FALSE)="破竹",VLOOKUP($E96,武器奇术!$A:$R,4,FALSE),VLOOKUP($E96,武器奇术!$A:$R,2,FALSE))*(1+DF96)*(1+DG96)*DH96</f>
        <v>60.5465486945455</v>
      </c>
      <c r="DP96" s="93">
        <f t="shared" si="106"/>
        <v>0.0144</v>
      </c>
      <c r="DQ96" s="101">
        <f t="shared" si="107"/>
        <v>126.587057882308</v>
      </c>
    </row>
    <row r="97" spans="1:121">
      <c r="A97" s="33"/>
      <c r="B97" t="s">
        <v>169</v>
      </c>
      <c r="C97">
        <v>0.5</v>
      </c>
      <c r="D97" s="33" t="s">
        <v>170</v>
      </c>
      <c r="E97" s="105" t="s">
        <v>188</v>
      </c>
      <c r="F97" s="106">
        <v>2</v>
      </c>
      <c r="G97" s="107"/>
      <c r="H97" s="92">
        <f>IF(VLOOKUP($E97,武器奇术!$A:$R,18,FALSE)="天工",AE97,(AE97+AT97+BI97+BX97+CM97+DB97+DQ97))*(1+J97)*F97*K97*(1+G97)</f>
        <v>53675.4689010178</v>
      </c>
      <c r="I97" s="93">
        <f t="shared" si="58"/>
        <v>0.00688563507504988</v>
      </c>
      <c r="J97" s="93">
        <f>$F$3+VLOOKUP($E97,武器奇术!$A:$R,12,FALSE)+VLOOKUP($E97,武器奇术!$A:$R,14,FALSE)*$G$3+$P97</f>
        <v>0.573</v>
      </c>
      <c r="K97" s="94">
        <f>VLOOKUP($E97,武器奇术!$A:$R,11,FALSE)</f>
        <v>1</v>
      </c>
      <c r="L97" s="109">
        <f>IF(VLOOKUP($E97,武器奇术!$A:$R,15,FALSE)="天工",0%,IF($C$17+VLOOKUP($E97,武器奇术!$A:$R,7,FALSE)&gt;80%,80%,$C$17+VLOOKUP($E97,武器奇术!$A:$R,7,FALSE))+IF($C$19&gt;20%,20%,$C$19))</f>
        <v>0.887</v>
      </c>
      <c r="M97" s="110">
        <f>IF(VLOOKUP($E97,武器奇术!$A:$R,15,FALSE)="天工",0%,IF($C$18+VLOOKUP($E97,武器奇术!$A:$R,9,FALSE)&gt;40%,40%,$C$18+VLOOKUP($E97,武器奇术!$A:$R,9,FALSE))+IF($C$20&gt;10%,10%,$C$20))</f>
        <v>0.0986</v>
      </c>
      <c r="N97" s="111">
        <f>IF(VLOOKUP($E97,武器奇术!$A:$R,15,FALSE)="天工",100%,MIN($C$16,1))</f>
        <v>1</v>
      </c>
      <c r="O97" s="112" t="str">
        <f>VLOOKUP($E97,武器奇术!$A:$R,16,FALSE)</f>
        <v>双刀</v>
      </c>
      <c r="P97" s="113">
        <f t="shared" si="108"/>
        <v>0.17</v>
      </c>
      <c r="Q97" s="99">
        <f>$B$5*(1+VLOOKUP($E97,武器奇术!$A:$R,5,FALSE)+IF($G$5="飞隼",0.1,0)+IF($G$5="撼天",0.05,0))-$F$9*IF(VLOOKUP($E97,武器奇术!$A:$S,19,FALSE)=1,0.9,1)+IF($I$5="√",160,0)</f>
        <v>2848.3</v>
      </c>
      <c r="R97" s="91">
        <f t="shared" si="60"/>
        <v>2848.3</v>
      </c>
      <c r="S97" s="91">
        <f>MAX($C$5,$B$5)*(1+VLOOKUP($E97,武器奇术!$A:$R,5,FALSE)+IF($G$5="飞隼",0.1,0)+IF($G$5="撼天",0.05,0))-$F$9*IF(VLOOKUP($E97,武器奇术!$A:$S,19,FALSE)=1,0.9,1)+IF($I$5="√",320,0)</f>
        <v>2848.3</v>
      </c>
      <c r="T97" s="93">
        <f>IF(($D$5+VLOOKUP($E97,武器奇术!$A:$R,13,FALSE)+IF($I$3="√",10,0)-VLOOKUP($F$7,目标属性!$A:$R,5,FALSE))&gt;0,($D$5+VLOOKUP($E97,武器奇术!$A:$R,13,FALSE)+IF($I$3="√",10,0)-VLOOKUP($F$7,目标属性!$A:$R,5,FALSE))/200,($D$5+VLOOKUP($E97,武器奇术!$A:$R,13,FALSE)+IF($I$3="√",10,0)-VLOOKUP($F$7,目标属性!$A:$R,5,FALSE))/100)</f>
        <v>0.2675</v>
      </c>
      <c r="U97" s="100">
        <f>$E$5+IF(VLOOKUP($E97,武器奇术!$A:$R,18,FALSE)="鼠鼠",0.24,0)</f>
        <v>0</v>
      </c>
      <c r="V97" s="91">
        <v>1</v>
      </c>
      <c r="W97" s="92">
        <f>Q97*VLOOKUP($E97,武器奇术!$A:$R,2,FALSE)*(1+T97)*(1+U97)*V97</f>
        <v>4891.1263947</v>
      </c>
      <c r="X97" s="93">
        <f>(1-IF(VLOOKUP($E97,武器奇术!$A:$R,16,FALSE)="陌刀",1,$N97))*(1-$M97)</f>
        <v>0</v>
      </c>
      <c r="Y97" s="92">
        <f>R97*VLOOKUP($E97,武器奇术!$A:$R,2,FALSE)*(1+T97)*(1+U97)*V97*(1+$E$16+VLOOKUP($E97,武器奇术!$A:$R,8,FALSE))</f>
        <v>10486.5749902368</v>
      </c>
      <c r="Z97" s="93">
        <f t="shared" si="61"/>
        <v>0.887</v>
      </c>
      <c r="AA97" s="92">
        <f>S97*VLOOKUP($E97,武器奇术!$A:$R,2,FALSE)*(1+T97)*(1+U97)*V97*(1+$E$17+VLOOKUP($E97,武器奇术!$A:$R,10,FALSE))</f>
        <v>6603.020632845</v>
      </c>
      <c r="AB97" s="93">
        <f t="shared" si="62"/>
        <v>0.0986</v>
      </c>
      <c r="AC97" s="92">
        <f>R97*VLOOKUP($E97,武器奇术!$A:$R,2,FALSE)*(1+T97)*(1+U97)*V97</f>
        <v>4891.1263947</v>
      </c>
      <c r="AD97" s="93">
        <f t="shared" si="63"/>
        <v>0.0144</v>
      </c>
      <c r="AE97" s="101">
        <f t="shared" si="64"/>
        <v>10023.0820708222</v>
      </c>
      <c r="AF97" s="102">
        <f>VLOOKUP($E97,武器奇术!$A:$R,3,FALSE)*(1+IF(VLOOKUP($E97,武器奇术!$A:$R,15,FALSE)="武器",$E$15,0))</f>
        <v>488.8</v>
      </c>
      <c r="AG97" s="92">
        <f t="shared" si="65"/>
        <v>488.8</v>
      </c>
      <c r="AH97" s="92">
        <f>VLOOKUP($E97,武器奇术!$A:$R,3,FALSE)*(1+IF(VLOOKUP($E97,武器奇术!$A:$R,15,FALSE)="武器",$E$15,0))</f>
        <v>488.8</v>
      </c>
      <c r="AI97" s="93">
        <f>IF(($D$5+VLOOKUP($E97,武器奇术!$A:$R,13,FALSE)+IF($I$3="√",10,0)-VLOOKUP($F$7,目标属性!$A:$R,5,FALSE))&gt;0,($D$5+VLOOKUP($E97,武器奇术!$A:$R,13,FALSE)+IF($I$3="√",10,0)-VLOOKUP($F$7,目标属性!$A:$R,5,FALSE))/200,($D$5+VLOOKUP($E97,武器奇术!$A:$R,13,FALSE)+IF($I$3="√",10,0)-VLOOKUP($F$7,目标属性!$A:$R,5,FALSE))/100)</f>
        <v>0.2675</v>
      </c>
      <c r="AJ97" s="100">
        <f>$E$5+IF(VLOOKUP($E97,武器奇术!$A:$R,18,FALSE)="鼠鼠",0.24,0)</f>
        <v>0</v>
      </c>
      <c r="AK97" s="91">
        <v>1</v>
      </c>
      <c r="AL97" s="92">
        <f t="shared" si="109"/>
        <v>619.554</v>
      </c>
      <c r="AM97" s="93">
        <f>(1-IF(VLOOKUP($E97,武器奇术!$A:$R,16,FALSE)="陌刀",1,$N97))*(1-$M97)</f>
        <v>0</v>
      </c>
      <c r="AN97" s="92">
        <f>AG97*(1+AI97)*(1+AJ97)*AK97*(1+$E$16+VLOOKUP($E97,武器奇术!$A:$R,8,FALSE))</f>
        <v>1328.323776</v>
      </c>
      <c r="AO97" s="93">
        <f t="shared" si="94"/>
        <v>0.887</v>
      </c>
      <c r="AP97" s="92">
        <f>AH97*(1+AI97)*(1+AJ97)*AK97*(1+$E$17+VLOOKUP($E97,武器奇术!$A:$R,10,FALSE))</f>
        <v>836.3979</v>
      </c>
      <c r="AQ97" s="93">
        <f t="shared" si="95"/>
        <v>0.0986</v>
      </c>
      <c r="AR97" s="92">
        <f t="shared" si="67"/>
        <v>619.554</v>
      </c>
      <c r="AS97" s="93">
        <f t="shared" si="68"/>
        <v>0.0144</v>
      </c>
      <c r="AT97" s="101">
        <f t="shared" si="69"/>
        <v>1269.613599852</v>
      </c>
      <c r="AU97" s="99">
        <f>IF(VLOOKUP($E97,武器奇术!$A:$R,18,FALSE)="极乐",0,$B$7*IF($G$5="撼天",1.05,1)+IF(AND(VLOOKUP($E97,武器奇术!$A:$R,15,FALSE)="武器",VLOOKUP($E97,武器奇术!$A:$R,17,FALSE)="鸣金"),$E$3*(1+$E$15),0))</f>
        <v>0</v>
      </c>
      <c r="AV97" s="91">
        <f t="shared" si="70"/>
        <v>0</v>
      </c>
      <c r="AW97" s="91">
        <f>IF(VLOOKUP($E97,武器奇术!$A:$R,18,FALSE)="极乐",0,MAX($C$7*IF($G$5="撼天",1.05,1)+IF(AND(VLOOKUP($E97,武器奇术!$A:$R,15,FALSE)="武器",VLOOKUP($E97,武器奇术!$A:$R,17,FALSE)="鸣金"),$E$3*(1+$E$15),0),AU97))</f>
        <v>0</v>
      </c>
      <c r="AX97" s="93">
        <f>IF(($D$7+IF(VLOOKUP($E97,武器奇术!$A:$R,17,FALSE)="鸣金",$D$15,0)-VLOOKUP($F$7,目标属性!$A:$R,6,FALSE))&gt;0,($D$7+IF(VLOOKUP($E97,武器奇术!$A:$R,17,FALSE)="鸣金",$D$15,0)-VLOOKUP($F$7,目标属性!$A:$R,6,FALSE))/200,($D$7+IF(VLOOKUP($E97,武器奇术!$A:$R,17,FALSE)="鸣金",$D$15,0)-VLOOKUP($F$7,目标属性!$A:$R,6,FALSE))/100)</f>
        <v>-0.24</v>
      </c>
      <c r="AY97" s="100">
        <f t="shared" si="89"/>
        <v>0</v>
      </c>
      <c r="AZ97" s="91">
        <v>1</v>
      </c>
      <c r="BA97" s="92">
        <f>AU97*IF(VLOOKUP($E97,武器奇术!$A:$R,17,FALSE)="鸣金",VLOOKUP($E97,武器奇术!$A:$R,4,FALSE),VLOOKUP($E97,武器奇术!$A:$R,2,FALSE))*(1+AX97)*(1+AY97)*AZ97</f>
        <v>0</v>
      </c>
      <c r="BB97" s="93">
        <f>(1-IF(VLOOKUP($E97,武器奇术!$A:$R,16,FALSE)="陌刀",1,$N97))*(1-$M97)</f>
        <v>0</v>
      </c>
      <c r="BC97" s="92">
        <f>AV97*IF(VLOOKUP($E97,武器奇术!$A:$R,17,FALSE)="鸣金",VLOOKUP($E97,武器奇术!$A:$R,4,FALSE),VLOOKUP($E97,武器奇术!$A:$R,2,FALSE))*(1+AX97)*(1+AY97)*AZ97*(1+$E$16+VLOOKUP($E97,武器奇术!$A:$R,8,FALSE))</f>
        <v>0</v>
      </c>
      <c r="BD97" s="93">
        <f t="shared" si="96"/>
        <v>0.887</v>
      </c>
      <c r="BE97" s="92">
        <f>AW97*IF(VLOOKUP($E97,武器奇术!$A:$R,17,FALSE)="鸣金",VLOOKUP($E97,武器奇术!$A:$R,4,FALSE),VLOOKUP($E97,武器奇术!$A:$R,2,FALSE))*(1+AX97)*(1+AY97)*AZ97*(1+$E$17+VLOOKUP($E97,武器奇术!$A:$R,10,FALSE))</f>
        <v>0</v>
      </c>
      <c r="BF97" s="93">
        <f t="shared" si="97"/>
        <v>0.0986</v>
      </c>
      <c r="BG97" s="92">
        <f>AV97*IF(VLOOKUP($E97,武器奇术!$A:$R,17,FALSE)="鸣金",VLOOKUP($E97,武器奇术!$A:$R,4,FALSE),VLOOKUP($E97,武器奇术!$A:$R,2,FALSE))*(1+AX97)*(1+AY97)*AZ97</f>
        <v>0</v>
      </c>
      <c r="BH97" s="93">
        <f t="shared" si="71"/>
        <v>0.0144</v>
      </c>
      <c r="BI97" s="101">
        <f t="shared" si="72"/>
        <v>0</v>
      </c>
      <c r="BJ97" s="99">
        <f>IF(VLOOKUP($E97,武器奇术!$A:$R,18,FALSE)="极乐",0,$B$9*IF($G$5="撼天",1.05,1)+IF(AND(VLOOKUP($E97,武器奇术!$A:$R,15,FALSE)="武器",VLOOKUP($E97,武器奇术!$A:$R,17,FALSE)="裂石"),$E$3*(1+$E$15),0))</f>
        <v>0</v>
      </c>
      <c r="BK97" s="91">
        <f t="shared" si="73"/>
        <v>0</v>
      </c>
      <c r="BL97" s="91">
        <f>IF(VLOOKUP($E97,武器奇术!$A:$R,18,FALSE)="极乐",0,MAX($C$9*IF($G$5="撼天",1.05,1)+IF(AND(VLOOKUP($E97,武器奇术!$A:$R,15,FALSE)="武器",VLOOKUP($E97,武器奇术!$A:$R,17,FALSE)="裂石"),$E$3*(1+$E$15),0),BJ97))</f>
        <v>0</v>
      </c>
      <c r="BM97" s="93">
        <f>IF(($D$9+IF(VLOOKUP($E97,武器奇术!$A:$R,17,FALSE)="裂石",$D$15,0)-VLOOKUP($F$7,目标属性!$A:$R,6,FALSE))&gt;0,($D$9+IF(VLOOKUP($E97,武器奇术!$A:$R,17,FALSE)="裂石",$D$15,0)-VLOOKUP($F$7,目标属性!$A:$R,6,FALSE))/200,($D$9+IF(VLOOKUP($E97,武器奇术!$A:$R,17,FALSE)="裂石",$D$15,0)-VLOOKUP($F$7,目标属性!$A:$R,6,FALSE))/100)</f>
        <v>-0.24</v>
      </c>
      <c r="BN97" s="100">
        <f t="shared" si="90"/>
        <v>0</v>
      </c>
      <c r="BO97" s="91">
        <v>1</v>
      </c>
      <c r="BP97" s="92">
        <f>BJ97*IF(VLOOKUP($E97,武器奇术!$A:$R,17,FALSE)="裂石",VLOOKUP($E97,武器奇术!$A:$R,4,FALSE),VLOOKUP($E97,武器奇术!$A:$R,2,FALSE))*(1+BM97)*(1+BN97)*BO97</f>
        <v>0</v>
      </c>
      <c r="BQ97" s="93">
        <f>(1-IF(VLOOKUP($E97,武器奇术!$A:$R,16,FALSE)="陌刀",1,$N97))*(1-$M97)</f>
        <v>0</v>
      </c>
      <c r="BR97" s="92">
        <f>BK97*IF(VLOOKUP($E97,武器奇术!$A:$R,17,FALSE)="裂石",VLOOKUP($E97,武器奇术!$A:$R,4,FALSE),VLOOKUP($E97,武器奇术!$A:$R,2,FALSE))*(1+BM97)*(1+BN97)*BO97*(1+$E$16+VLOOKUP($E97,武器奇术!$A:$R,8,FALSE))</f>
        <v>0</v>
      </c>
      <c r="BS97" s="93">
        <f t="shared" si="98"/>
        <v>0.887</v>
      </c>
      <c r="BT97" s="92">
        <f>BL97*IF(VLOOKUP($E97,武器奇术!$A:$R,17,FALSE)="裂石",VLOOKUP($E97,武器奇术!$A:$R,4,FALSE),VLOOKUP($E97,武器奇术!$A:$R,2,FALSE))*(1+BM97)*(1+BN97)*BO97*(1+$E$17+VLOOKUP($E97,武器奇术!$A:$R,10,FALSE))</f>
        <v>0</v>
      </c>
      <c r="BU97" s="93">
        <f t="shared" si="99"/>
        <v>0.0986</v>
      </c>
      <c r="BV97" s="92">
        <f>BK97*IF(VLOOKUP($E97,武器奇术!$A:$R,17,FALSE)="裂石",VLOOKUP($E97,武器奇术!$A:$R,4,FALSE),VLOOKUP($E97,武器奇术!$A:$R,2,FALSE))*(1+BM97)*(1+BN97)*BO97</f>
        <v>0</v>
      </c>
      <c r="BW97" s="93">
        <f t="shared" si="74"/>
        <v>0.0144</v>
      </c>
      <c r="BX97" s="101">
        <f t="shared" si="75"/>
        <v>0</v>
      </c>
      <c r="BY97" s="99">
        <f>IF(VLOOKUP($E97,武器奇术!$A:$R,18,FALSE)="极乐",0,$B$11*IF($G$5="撼天",1.05,1)+IF(AND(VLOOKUP($E97,武器奇术!$A:$R,15,FALSE)="武器",VLOOKUP($E97,武器奇术!$A:$R,17,FALSE)="牵丝"),$E$3*(1+$E$15),0))</f>
        <v>0</v>
      </c>
      <c r="BZ97" s="91">
        <f t="shared" si="76"/>
        <v>0</v>
      </c>
      <c r="CA97" s="91">
        <f>IF(VLOOKUP($E97,武器奇术!$A:$R,18,FALSE)="极乐",0,MAX($C$11*IF($G$5="撼天",1.05,1)+IF(AND(VLOOKUP($E97,武器奇术!$A:$R,15,FALSE)="武器",VLOOKUP($E97,武器奇术!$A:$R,17,FALSE)="牵丝"),$E$3*(1+$E$15),0),BY97))</f>
        <v>0</v>
      </c>
      <c r="CB97" s="93">
        <f>IF(($D$11+IF(VLOOKUP($E97,武器奇术!$A:$R,17,FALSE)="牵丝",$D$15,0)-VLOOKUP($F$7,目标属性!$A:$R,6,FALSE))&gt;0,($D$11+IF(VLOOKUP($E97,武器奇术!$A:$R,17,FALSE)="牵丝",$D$15,0)-VLOOKUP($F$7,目标属性!$A:$R,6,FALSE))/200,($D$11+IF(VLOOKUP($E97,武器奇术!$A:$R,17,FALSE)="牵丝",$D$15,0)-VLOOKUP($F$7,目标属性!$A:$R,6,FALSE))/100)</f>
        <v>-0.24</v>
      </c>
      <c r="CC97" s="100">
        <f t="shared" si="91"/>
        <v>0</v>
      </c>
      <c r="CD97" s="91">
        <v>1</v>
      </c>
      <c r="CE97" s="92">
        <f>BY97*IF(VLOOKUP($E97,武器奇术!$A:$R,17,FALSE)="牵丝",VLOOKUP($E97,武器奇术!$A:$R,4,FALSE),VLOOKUP($E97,武器奇术!$A:$R,2,FALSE))*(1+CB97)*(1+CC97)*CD97</f>
        <v>0</v>
      </c>
      <c r="CF97" s="93">
        <f>(1-IF(VLOOKUP($E97,武器奇术!$A:$R,16,FALSE)="陌刀",1,$N97))*(1-$M97)</f>
        <v>0</v>
      </c>
      <c r="CG97" s="92">
        <f>BZ97*IF(VLOOKUP($E97,武器奇术!$A:$R,17,FALSE)="牵丝",VLOOKUP($E97,武器奇术!$A:$R,4,FALSE),VLOOKUP($E97,武器奇术!$A:$R,2,FALSE))*(1+CB97)*(1+CC97)*CD97*(1+$E$16+VLOOKUP($E97,武器奇术!$A:$R,8,FALSE))</f>
        <v>0</v>
      </c>
      <c r="CH97" s="93">
        <f t="shared" si="100"/>
        <v>0.887</v>
      </c>
      <c r="CI97" s="92">
        <f>CA97*IF(VLOOKUP($E97,武器奇术!$A:$R,17,FALSE)="牵丝",VLOOKUP($E97,武器奇术!$A:$R,4,FALSE),VLOOKUP($E97,武器奇术!$A:$R,2,FALSE))*(1+CB97)*(1+CC97)*CD97*(1+$E$17+VLOOKUP($E97,武器奇术!$A:$R,10,FALSE))</f>
        <v>0</v>
      </c>
      <c r="CJ97" s="93">
        <f t="shared" si="101"/>
        <v>0.0986</v>
      </c>
      <c r="CK97" s="92">
        <f>BZ97*IF(VLOOKUP($E97,武器奇术!$A:$R,17,FALSE)="牵丝",VLOOKUP($E97,武器奇术!$A:$R,4,FALSE),VLOOKUP($E97,武器奇术!$A:$R,2,FALSE))*(1+CB97)*(1+CC97)*CD97</f>
        <v>0</v>
      </c>
      <c r="CL97" s="93">
        <f t="shared" si="77"/>
        <v>0.0144</v>
      </c>
      <c r="CM97" s="101">
        <f t="shared" si="78"/>
        <v>0</v>
      </c>
      <c r="CN97" s="99">
        <f>IF(VLOOKUP($E97,武器奇术!$A:$R,18,FALSE)="极乐",0,$B$13*IF($G$5="撼天",1.05,1)+IF(AND(VLOOKUP($E97,武器奇术!$A:$R,15,FALSE)="武器",VLOOKUP($E97,武器奇术!$A:$R,17,FALSE)="破竹"),$E$3*(1+$E$15),0))</f>
        <v>686.71</v>
      </c>
      <c r="CO97" s="91">
        <f t="shared" si="79"/>
        <v>1052.21</v>
      </c>
      <c r="CP97" s="91">
        <f>IF(VLOOKUP($E97,武器奇术!$A:$R,18,FALSE)="极乐",0,MAX($C$13*IF($G$5="撼天",1.05,1)+IF(AND(VLOOKUP($E97,武器奇术!$A:$R,15,FALSE)="武器",VLOOKUP($E97,武器奇术!$A:$R,17,FALSE)="破竹"),$E$3*(1+$E$15),0),CN97))</f>
        <v>1417.71</v>
      </c>
      <c r="CQ97" s="93">
        <f>IF(($D$13+IF(VLOOKUP($E97,武器奇术!$A:$R,17,FALSE)="破竹",$D$15,0)-VLOOKUP($F$7,目标属性!$A:$R,6,FALSE)+IF(VLOOKUP($E97,武器奇术!$A:$V,22,FALSE)=1,4,0)+IF(VLOOKUP($E97,武器奇术!$A:$T,20,FALSE)=1,10,0))&gt;0,($D$13+IF(VLOOKUP($E97,武器奇术!$A:$R,17,FALSE)="破竹",$D$15,0)-VLOOKUP($F$7,目标属性!$A:$R,6,FALSE)+IF(VLOOKUP($E97,武器奇术!$A:$V,22,FALSE)=1,4,0)+IF(VLOOKUP($E97,武器奇术!$A:$T,20,FALSE)=1,10,0))/200,($D$13+IF(VLOOKUP($E97,武器奇术!$A:$R,17,FALSE)="破竹",$D$15,0)-VLOOKUP($F$7,目标属性!$A:$R,6,FALSE)+IF(VLOOKUP($E97,武器奇术!$A:$V,22,FALSE)=1,4,0)+IF(VLOOKUP($E97,武器奇术!$A:$T,20,FALSE)=1,10,0))/100)</f>
        <v>0.028</v>
      </c>
      <c r="CR97" s="100">
        <f t="shared" si="83"/>
        <v>0.148</v>
      </c>
      <c r="CS97" s="91">
        <v>1</v>
      </c>
      <c r="CT97" s="92">
        <f>CN97*IF(VLOOKUP($E97,武器奇术!$A:$R,17,FALSE)="破竹",VLOOKUP($E97,武器奇术!$A:$R,4,FALSE),VLOOKUP($E97,武器奇术!$A:$R,2,FALSE))*(1+CQ97)*(1+CR97)*CS97</f>
        <v>1646.92878977693</v>
      </c>
      <c r="CU97" s="93">
        <f>(1-IF(VLOOKUP($E97,武器奇术!$A:$R,16,FALSE)="陌刀",1,$N97))*(1-$M97)</f>
        <v>0</v>
      </c>
      <c r="CV97" s="92">
        <f>CO97*IF(VLOOKUP($E97,武器奇术!$A:$R,17,FALSE)="破竹",VLOOKUP($E97,武器奇术!$A:$R,4,FALSE),VLOOKUP($E97,武器奇术!$A:$R,2,FALSE))*(1+CQ97)*(1+CR97)*CS97*(1+$E$16+VLOOKUP($E97,武器奇术!$A:$R,8,FALSE))</f>
        <v>5410.39104631459</v>
      </c>
      <c r="CW97" s="93">
        <f t="shared" si="102"/>
        <v>0.887</v>
      </c>
      <c r="CX97" s="92">
        <f>CP97*IF(VLOOKUP($E97,武器奇术!$A:$R,17,FALSE)="破竹",VLOOKUP($E97,武器奇术!$A:$R,4,FALSE),VLOOKUP($E97,武器奇术!$A:$R,2,FALSE))*(1+CQ97)*(1+CR97)*CS97*(1+$E$17+VLOOKUP($E97,武器奇术!$A:$R,10,FALSE))</f>
        <v>4590.10500742493</v>
      </c>
      <c r="CY97" s="93">
        <f t="shared" si="103"/>
        <v>0.0986</v>
      </c>
      <c r="CZ97" s="92">
        <f>CO97*IF(VLOOKUP($E97,武器奇术!$A:$R,17,FALSE)="破竹",VLOOKUP($E97,武器奇术!$A:$R,4,FALSE),VLOOKUP($E97,武器奇术!$A:$R,2,FALSE))*(1+CQ97)*(1+CR97)*CS97</f>
        <v>2523.50328652733</v>
      </c>
      <c r="DA97" s="93">
        <f t="shared" si="80"/>
        <v>0.0144</v>
      </c>
      <c r="DB97" s="101">
        <f t="shared" si="81"/>
        <v>5287.93965913913</v>
      </c>
      <c r="DC97" s="99">
        <f>IF(VLOOKUP($E97,武器奇术!$A:$R,18,FALSE)="极乐",0,$B$15)</f>
        <v>66</v>
      </c>
      <c r="DD97" s="91">
        <f t="shared" si="82"/>
        <v>95.9</v>
      </c>
      <c r="DE97" s="91">
        <f>IF(VLOOKUP($E97,武器奇术!$A:$R,18,FALSE)="极乐",0,$C$15)</f>
        <v>125.8</v>
      </c>
      <c r="DF97" s="93">
        <f>IF((IF(VLOOKUP($E97,武器奇术!$A:$R,17,FALSE)="鸣金",$D$7,0)+IF(VLOOKUP($E97,武器奇术!$A:$R,17,FALSE)="裂石",$D$9,0)+IF(VLOOKUP($E97,武器奇术!$A:$R,17,FALSE)="牵丝",$D$11,0)+IF(VLOOKUP($E97,武器奇术!$A:$R,17,FALSE)="破竹",$D$13,0)+$D$15-VLOOKUP($F$7,目标属性!$A:$R,6,FALSE)+IF(VLOOKUP($E97,武器奇术!$A:$V,22,FALSE)=1,4,0)+IF(VLOOKUP($E97,武器奇术!$A:$T,20,FALSE)=1,10,0))&gt;0,(IF(VLOOKUP($E97,武器奇术!$A:$R,17,FALSE)="鸣金",$D$7,0)+IF(VLOOKUP($E97,武器奇术!$A:$R,17,FALSE)="裂石",$D$9,0)+IF(VLOOKUP($E97,武器奇术!$A:$R,17,FALSE)="牵丝",$D$11,0)+IF(VLOOKUP($E97,武器奇术!$A:$R,17,FALSE)="破竹",$D$13,0)+$D$15-VLOOKUP($F$7,目标属性!$A:$R,6,FALSE)+IF(VLOOKUP($E97,武器奇术!$A:$V,22,FALSE)=1,4,0)+IF(VLOOKUP($E97,武器奇术!$A:$T,20,FALSE)=1,10,0))/200,(IF(VLOOKUP($E97,武器奇术!$A:$R,17,FALSE)="鸣金",$D$7,0)+IF(VLOOKUP($E97,武器奇术!$A:$R,17,FALSE)="裂石",$D$9,0)+IF(VLOOKUP($E97,武器奇术!$A:$R,17,FALSE)="牵丝",$D$11,0)+IF(VLOOKUP($E97,武器奇术!$A:$R,17,FALSE)="破竹",$D$13,0)+$D$15-VLOOKUP($F$7,目标属性!$A:$R,6,FALSE)+IF(VLOOKUP($E97,武器奇术!$A:$V,22,FALSE)=1,4,0)+IF(VLOOKUP($E97,武器奇术!$A:$T,20,FALSE)=1,10,0))/100)</f>
        <v>0.028</v>
      </c>
      <c r="DG97" s="100">
        <f t="shared" si="110"/>
        <v>0.148</v>
      </c>
      <c r="DH97" s="91">
        <v>1</v>
      </c>
      <c r="DI97" s="92">
        <f>DC97*IF(VLOOKUP($E97,武器奇术!$A:$R,17,FALSE)="破竹",VLOOKUP($E97,武器奇术!$A:$R,4,FALSE),VLOOKUP($E97,武器奇术!$A:$R,2,FALSE))*(1+DF97)*(1+DG97)*DH97</f>
        <v>158.2870500288</v>
      </c>
      <c r="DJ97" s="93">
        <f>(1-IF(VLOOKUP($E97,武器奇术!$A:$R,16,FALSE)="陌刀",1,$N97))*(1-$M97)</f>
        <v>0</v>
      </c>
      <c r="DK97" s="92">
        <f>DD97*IF(VLOOKUP($E97,武器奇术!$A:$R,17,FALSE)="破竹",VLOOKUP($E97,武器奇术!$A:$R,4,FALSE),VLOOKUP($E97,武器奇术!$A:$R,2,FALSE))*(1+DF97)*(1+DG97)*DH97*(1+$E$16+VLOOKUP($E97,武器奇术!$A:$R,8,FALSE))</f>
        <v>493.111167296993</v>
      </c>
      <c r="DL97" s="93">
        <f t="shared" si="104"/>
        <v>0.887</v>
      </c>
      <c r="DM97" s="92">
        <f>DE97*IF(VLOOKUP($E97,武器奇术!$A:$R,17,FALSE)="破竹",VLOOKUP($E97,武器奇术!$A:$R,4,FALSE),VLOOKUP($E97,武器奇术!$A:$R,2,FALSE))*(1+DF97)*(1+DG97)*DH97*(1+$E$17+VLOOKUP($E97,武器奇术!$A:$R,10,FALSE))</f>
        <v>407.301359187744</v>
      </c>
      <c r="DN97" s="93">
        <f t="shared" si="105"/>
        <v>0.0986</v>
      </c>
      <c r="DO97" s="92">
        <f>DD97*IF(VLOOKUP($E97,武器奇术!$A:$R,17,FALSE)="破竹",VLOOKUP($E97,武器奇术!$A:$R,4,FALSE),VLOOKUP($E97,武器奇术!$A:$R,2,FALSE))*(1+DF97)*(1+DG97)*DH97</f>
        <v>229.99588026912</v>
      </c>
      <c r="DP97" s="93">
        <f t="shared" si="106"/>
        <v>0.0144</v>
      </c>
      <c r="DQ97" s="101">
        <f t="shared" si="107"/>
        <v>480.86146008422</v>
      </c>
    </row>
    <row r="98" spans="1:121">
      <c r="A98" s="33"/>
      <c r="B98" t="s">
        <v>189</v>
      </c>
      <c r="C98">
        <v>1.5</v>
      </c>
      <c r="D98" s="33"/>
      <c r="E98" s="105" t="s">
        <v>190</v>
      </c>
      <c r="F98" s="123">
        <f>IF($K$3="×",0,(F91*2+F92+F93*8+F94*5+F95*5+F96+F97*6)*0.15/3.5)</f>
        <v>0</v>
      </c>
      <c r="G98" s="107"/>
      <c r="H98" s="92">
        <f>IF(VLOOKUP($E98,武器奇术!$A:$R,18,FALSE)="天工",AE98,(AE98+AT98+BI98+BX98+CM98+DB98+DQ98))*(1+J98)*F98*K98*(1+G98)</f>
        <v>0</v>
      </c>
      <c r="I98" s="93">
        <f t="shared" si="58"/>
        <v>0</v>
      </c>
      <c r="J98" s="93">
        <f>$F$3+VLOOKUP($E98,武器奇术!$A:$R,12,FALSE)+VLOOKUP($E98,武器奇术!$A:$R,14,FALSE)*$G$3+$P98</f>
        <v>0.403</v>
      </c>
      <c r="K98" s="94">
        <f>VLOOKUP($E98,武器奇术!$A:$R,11,FALSE)</f>
        <v>1</v>
      </c>
      <c r="L98" s="109">
        <f>IF(VLOOKUP($E98,武器奇术!$A:$R,15,FALSE)="天工",0%,IF($C$17+VLOOKUP($E98,武器奇术!$A:$R,7,FALSE)&gt;80%,80%,$C$17+VLOOKUP($E98,武器奇术!$A:$R,7,FALSE))+IF($C$19&gt;20%,20%,$C$19))</f>
        <v>0.887</v>
      </c>
      <c r="M98" s="110">
        <f>IF(VLOOKUP($E98,武器奇术!$A:$R,15,FALSE)="天工",0%,IF($C$18+VLOOKUP($E98,武器奇术!$A:$R,9,FALSE)&gt;40%,40%,$C$18+VLOOKUP($E98,武器奇术!$A:$R,9,FALSE))+IF($C$20&gt;10%,10%,$C$20))</f>
        <v>0.0986</v>
      </c>
      <c r="N98" s="111">
        <f>IF(VLOOKUP($E98,武器奇术!$A:$R,15,FALSE)="天工",100%,MIN($C$16,1))</f>
        <v>1</v>
      </c>
      <c r="O98" s="112" t="str">
        <f>VLOOKUP($E98,武器奇术!$A:$R,16,FALSE)</f>
        <v>N/A</v>
      </c>
      <c r="P98" s="113">
        <f t="shared" si="108"/>
        <v>0</v>
      </c>
      <c r="Q98" s="99">
        <f>$B$5*(1+VLOOKUP($E98,武器奇术!$A:$R,5,FALSE)+IF($G$5="飞隼",0.1,0)+IF($G$5="撼天",0.05,0))-$F$9*IF(VLOOKUP($E98,武器奇术!$A:$S,19,FALSE)=1,0.9,1)+IF($I$5="√",160,0)</f>
        <v>2848.3</v>
      </c>
      <c r="R98" s="91">
        <f t="shared" si="60"/>
        <v>2848.3</v>
      </c>
      <c r="S98" s="91">
        <f>MAX($C$5,$B$5)*(1+VLOOKUP($E98,武器奇术!$A:$R,5,FALSE)+IF($G$5="飞隼",0.1,0)+IF($G$5="撼天",0.05,0))-$F$9*IF(VLOOKUP($E98,武器奇术!$A:$S,19,FALSE)=1,0.9,1)+IF($I$5="√",320,0)</f>
        <v>2848.3</v>
      </c>
      <c r="T98" s="93">
        <f>IF(($D$5+VLOOKUP($E98,武器奇术!$A:$R,13,FALSE)+IF($I$3="√",10,0)-VLOOKUP($F$7,目标属性!$A:$R,5,FALSE))&gt;0,($D$5+VLOOKUP($E98,武器奇术!$A:$R,13,FALSE)+IF($I$3="√",10,0)-VLOOKUP($F$7,目标属性!$A:$R,5,FALSE))/200,($D$5+VLOOKUP($E98,武器奇术!$A:$R,13,FALSE)+IF($I$3="√",10,0)-VLOOKUP($F$7,目标属性!$A:$R,5,FALSE))/100)</f>
        <v>0.2675</v>
      </c>
      <c r="U98" s="100">
        <f>$E$5+IF(VLOOKUP($E98,武器奇术!$A:$R,18,FALSE)="鼠鼠",0.24,0)</f>
        <v>0</v>
      </c>
      <c r="V98" s="91">
        <v>1</v>
      </c>
      <c r="W98" s="92">
        <f>Q98*VLOOKUP($E98,武器奇术!$A:$R,2,FALSE)*(1+T98)*(1+U98)*V98</f>
        <v>7220.4405</v>
      </c>
      <c r="X98" s="93">
        <f>(1-IF(VLOOKUP($E98,武器奇术!$A:$R,16,FALSE)="陌刀",1,$N98))*(1-$M98)</f>
        <v>0</v>
      </c>
      <c r="Y98" s="92">
        <f>R98*VLOOKUP($E98,武器奇术!$A:$R,2,FALSE)*(1+T98)*(1+U98)*V98*(1+$E$16+VLOOKUP($E98,武器奇术!$A:$R,8,FALSE))</f>
        <v>15480.624432</v>
      </c>
      <c r="Z98" s="93">
        <f t="shared" si="61"/>
        <v>0.887</v>
      </c>
      <c r="AA98" s="92">
        <f>S98*VLOOKUP($E98,武器奇术!$A:$R,2,FALSE)*(1+T98)*(1+U98)*V98*(1+$E$17+VLOOKUP($E98,武器奇术!$A:$R,10,FALSE))</f>
        <v>9747.594675</v>
      </c>
      <c r="AB98" s="93">
        <f t="shared" si="62"/>
        <v>0.0986</v>
      </c>
      <c r="AC98" s="92">
        <f>R98*VLOOKUP($E98,武器奇术!$A:$R,2,FALSE)*(1+T98)*(1+U98)*V98</f>
        <v>7220.4405</v>
      </c>
      <c r="AD98" s="93">
        <f t="shared" si="63"/>
        <v>0.0144</v>
      </c>
      <c r="AE98" s="101">
        <f t="shared" si="64"/>
        <v>14796.401049339</v>
      </c>
      <c r="AF98" s="102">
        <f>VLOOKUP($E98,武器奇术!$A:$R,3,FALSE)*(1+IF(VLOOKUP($E98,武器奇术!$A:$R,15,FALSE)="武器",$E$15,0))</f>
        <v>0</v>
      </c>
      <c r="AG98" s="92">
        <f t="shared" si="65"/>
        <v>0</v>
      </c>
      <c r="AH98" s="92">
        <f>VLOOKUP($E98,武器奇术!$A:$R,3,FALSE)*(1+IF(VLOOKUP($E98,武器奇术!$A:$R,15,FALSE)="武器",$E$15,0))</f>
        <v>0</v>
      </c>
      <c r="AI98" s="93">
        <f>IF(($D$5+VLOOKUP($E98,武器奇术!$A:$R,13,FALSE)+IF($I$3="√",10,0)-VLOOKUP($F$7,目标属性!$A:$R,5,FALSE))&gt;0,($D$5+VLOOKUP($E98,武器奇术!$A:$R,13,FALSE)+IF($I$3="√",10,0)-VLOOKUP($F$7,目标属性!$A:$R,5,FALSE))/200,($D$5+VLOOKUP($E98,武器奇术!$A:$R,13,FALSE)+IF($I$3="√",10,0)-VLOOKUP($F$7,目标属性!$A:$R,5,FALSE))/100)</f>
        <v>0.2675</v>
      </c>
      <c r="AJ98" s="100">
        <f>$E$5+IF(VLOOKUP($E98,武器奇术!$A:$R,18,FALSE)="鼠鼠",0.24,0)</f>
        <v>0</v>
      </c>
      <c r="AK98" s="91">
        <v>1</v>
      </c>
      <c r="AL98" s="92">
        <f t="shared" si="109"/>
        <v>0</v>
      </c>
      <c r="AM98" s="93">
        <f>(1-IF(VLOOKUP($E98,武器奇术!$A:$R,16,FALSE)="陌刀",1,$N98))*(1-$M98)</f>
        <v>0</v>
      </c>
      <c r="AN98" s="92">
        <f>AG98*(1+AI98)*(1+AJ98)*AK98*(1+$E$16+VLOOKUP($E98,武器奇术!$A:$R,8,FALSE))</f>
        <v>0</v>
      </c>
      <c r="AO98" s="93">
        <f t="shared" si="94"/>
        <v>0.887</v>
      </c>
      <c r="AP98" s="92">
        <f>AH98*(1+AI98)*(1+AJ98)*AK98*(1+$E$17+VLOOKUP($E98,武器奇术!$A:$R,10,FALSE))</f>
        <v>0</v>
      </c>
      <c r="AQ98" s="93">
        <f t="shared" si="95"/>
        <v>0.0986</v>
      </c>
      <c r="AR98" s="92">
        <f t="shared" si="67"/>
        <v>0</v>
      </c>
      <c r="AS98" s="93">
        <f t="shared" si="68"/>
        <v>0.0144</v>
      </c>
      <c r="AT98" s="101">
        <f t="shared" si="69"/>
        <v>0</v>
      </c>
      <c r="AU98" s="99">
        <f>IF(VLOOKUP($E98,武器奇术!$A:$R,18,FALSE)="极乐",0,$B$7*IF($G$5="撼天",1.05,1)+IF(AND(VLOOKUP($E98,武器奇术!$A:$R,15,FALSE)="武器",VLOOKUP($E98,武器奇术!$A:$R,17,FALSE)="鸣金"),$E$3*(1+$E$15),0))</f>
        <v>0</v>
      </c>
      <c r="AV98" s="91">
        <f t="shared" si="70"/>
        <v>0</v>
      </c>
      <c r="AW98" s="91">
        <f>IF(VLOOKUP($E98,武器奇术!$A:$R,18,FALSE)="极乐",0,MAX($C$7*IF($G$5="撼天",1.05,1)+IF(AND(VLOOKUP($E98,武器奇术!$A:$R,15,FALSE)="武器",VLOOKUP($E98,武器奇术!$A:$R,17,FALSE)="鸣金"),$E$3*(1+$E$15),0),AU98))</f>
        <v>0</v>
      </c>
      <c r="AX98" s="93">
        <f>IF(($D$7+IF(VLOOKUP($E98,武器奇术!$A:$R,17,FALSE)="鸣金",$D$15,0)-VLOOKUP($F$7,目标属性!$A:$R,6,FALSE))&gt;0,($D$7+IF(VLOOKUP($E98,武器奇术!$A:$R,17,FALSE)="鸣金",$D$15,0)-VLOOKUP($F$7,目标属性!$A:$R,6,FALSE))/200,($D$7+IF(VLOOKUP($E98,武器奇术!$A:$R,17,FALSE)="鸣金",$D$15,0)-VLOOKUP($F$7,目标属性!$A:$R,6,FALSE))/100)</f>
        <v>-0.24</v>
      </c>
      <c r="AY98" s="100">
        <f t="shared" si="89"/>
        <v>0</v>
      </c>
      <c r="AZ98" s="91">
        <v>1</v>
      </c>
      <c r="BA98" s="92">
        <f>AU98*IF(VLOOKUP($E98,武器奇术!$A:$R,17,FALSE)="鸣金",VLOOKUP($E98,武器奇术!$A:$R,4,FALSE),VLOOKUP($E98,武器奇术!$A:$R,2,FALSE))*(1+AX98)*(1+AY98)*AZ98</f>
        <v>0</v>
      </c>
      <c r="BB98" s="93">
        <f>(1-IF(VLOOKUP($E98,武器奇术!$A:$R,16,FALSE)="陌刀",1,$N98))*(1-$M98)</f>
        <v>0</v>
      </c>
      <c r="BC98" s="92">
        <f>AV98*IF(VLOOKUP($E98,武器奇术!$A:$R,17,FALSE)="鸣金",VLOOKUP($E98,武器奇术!$A:$R,4,FALSE),VLOOKUP($E98,武器奇术!$A:$R,2,FALSE))*(1+AX98)*(1+AY98)*AZ98*(1+$E$16+VLOOKUP($E98,武器奇术!$A:$R,8,FALSE))</f>
        <v>0</v>
      </c>
      <c r="BD98" s="93">
        <f t="shared" si="96"/>
        <v>0.887</v>
      </c>
      <c r="BE98" s="92">
        <f>AW98*IF(VLOOKUP($E98,武器奇术!$A:$R,17,FALSE)="鸣金",VLOOKUP($E98,武器奇术!$A:$R,4,FALSE),VLOOKUP($E98,武器奇术!$A:$R,2,FALSE))*(1+AX98)*(1+AY98)*AZ98*(1+$E$17+VLOOKUP($E98,武器奇术!$A:$R,10,FALSE))</f>
        <v>0</v>
      </c>
      <c r="BF98" s="93">
        <f t="shared" si="97"/>
        <v>0.0986</v>
      </c>
      <c r="BG98" s="92">
        <f>AV98*IF(VLOOKUP($E98,武器奇术!$A:$R,17,FALSE)="鸣金",VLOOKUP($E98,武器奇术!$A:$R,4,FALSE),VLOOKUP($E98,武器奇术!$A:$R,2,FALSE))*(1+AX98)*(1+AY98)*AZ98</f>
        <v>0</v>
      </c>
      <c r="BH98" s="93">
        <f t="shared" si="71"/>
        <v>0.0144</v>
      </c>
      <c r="BI98" s="101">
        <f t="shared" si="72"/>
        <v>0</v>
      </c>
      <c r="BJ98" s="99">
        <f>IF(VLOOKUP($E98,武器奇术!$A:$R,18,FALSE)="极乐",0,$B$9*IF($G$5="撼天",1.05,1)+IF(AND(VLOOKUP($E98,武器奇术!$A:$R,15,FALSE)="武器",VLOOKUP($E98,武器奇术!$A:$R,17,FALSE)="裂石"),$E$3*(1+$E$15),0))</f>
        <v>0</v>
      </c>
      <c r="BK98" s="91">
        <f t="shared" si="73"/>
        <v>0</v>
      </c>
      <c r="BL98" s="91">
        <f>IF(VLOOKUP($E98,武器奇术!$A:$R,18,FALSE)="极乐",0,MAX($C$9*IF($G$5="撼天",1.05,1)+IF(AND(VLOOKUP($E98,武器奇术!$A:$R,15,FALSE)="武器",VLOOKUP($E98,武器奇术!$A:$R,17,FALSE)="裂石"),$E$3*(1+$E$15),0),BJ98))</f>
        <v>0</v>
      </c>
      <c r="BM98" s="93">
        <f>IF(($D$9+IF(VLOOKUP($E98,武器奇术!$A:$R,17,FALSE)="裂石",$D$15,0)-VLOOKUP($F$7,目标属性!$A:$R,6,FALSE))&gt;0,($D$9+IF(VLOOKUP($E98,武器奇术!$A:$R,17,FALSE)="裂石",$D$15,0)-VLOOKUP($F$7,目标属性!$A:$R,6,FALSE))/200,($D$9+IF(VLOOKUP($E98,武器奇术!$A:$R,17,FALSE)="裂石",$D$15,0)-VLOOKUP($F$7,目标属性!$A:$R,6,FALSE))/100)</f>
        <v>-0.24</v>
      </c>
      <c r="BN98" s="100">
        <f t="shared" si="90"/>
        <v>0</v>
      </c>
      <c r="BO98" s="91">
        <v>1</v>
      </c>
      <c r="BP98" s="92">
        <f>BJ98*IF(VLOOKUP($E98,武器奇术!$A:$R,17,FALSE)="裂石",VLOOKUP($E98,武器奇术!$A:$R,4,FALSE),VLOOKUP($E98,武器奇术!$A:$R,2,FALSE))*(1+BM98)*(1+BN98)*BO98</f>
        <v>0</v>
      </c>
      <c r="BQ98" s="93">
        <f>(1-IF(VLOOKUP($E98,武器奇术!$A:$R,16,FALSE)="陌刀",1,$N98))*(1-$M98)</f>
        <v>0</v>
      </c>
      <c r="BR98" s="92">
        <f>BK98*IF(VLOOKUP($E98,武器奇术!$A:$R,17,FALSE)="裂石",VLOOKUP($E98,武器奇术!$A:$R,4,FALSE),VLOOKUP($E98,武器奇术!$A:$R,2,FALSE))*(1+BM98)*(1+BN98)*BO98*(1+$E$16+VLOOKUP($E98,武器奇术!$A:$R,8,FALSE))</f>
        <v>0</v>
      </c>
      <c r="BS98" s="93">
        <f t="shared" si="98"/>
        <v>0.887</v>
      </c>
      <c r="BT98" s="92">
        <f>BL98*IF(VLOOKUP($E98,武器奇术!$A:$R,17,FALSE)="裂石",VLOOKUP($E98,武器奇术!$A:$R,4,FALSE),VLOOKUP($E98,武器奇术!$A:$R,2,FALSE))*(1+BM98)*(1+BN98)*BO98*(1+$E$17+VLOOKUP($E98,武器奇术!$A:$R,10,FALSE))</f>
        <v>0</v>
      </c>
      <c r="BU98" s="93">
        <f t="shared" si="99"/>
        <v>0.0986</v>
      </c>
      <c r="BV98" s="92">
        <f>BK98*IF(VLOOKUP($E98,武器奇术!$A:$R,17,FALSE)="裂石",VLOOKUP($E98,武器奇术!$A:$R,4,FALSE),VLOOKUP($E98,武器奇术!$A:$R,2,FALSE))*(1+BM98)*(1+BN98)*BO98</f>
        <v>0</v>
      </c>
      <c r="BW98" s="93">
        <f t="shared" si="74"/>
        <v>0.0144</v>
      </c>
      <c r="BX98" s="101">
        <f t="shared" si="75"/>
        <v>0</v>
      </c>
      <c r="BY98" s="99">
        <f>IF(VLOOKUP($E98,武器奇术!$A:$R,18,FALSE)="极乐",0,$B$11*IF($G$5="撼天",1.05,1)+IF(AND(VLOOKUP($E98,武器奇术!$A:$R,15,FALSE)="武器",VLOOKUP($E98,武器奇术!$A:$R,17,FALSE)="牵丝"),$E$3*(1+$E$15),0))</f>
        <v>0</v>
      </c>
      <c r="BZ98" s="91">
        <f t="shared" si="76"/>
        <v>0</v>
      </c>
      <c r="CA98" s="91">
        <f>IF(VLOOKUP($E98,武器奇术!$A:$R,18,FALSE)="极乐",0,MAX($C$11*IF($G$5="撼天",1.05,1)+IF(AND(VLOOKUP($E98,武器奇术!$A:$R,15,FALSE)="武器",VLOOKUP($E98,武器奇术!$A:$R,17,FALSE)="牵丝"),$E$3*(1+$E$15),0),BY98))</f>
        <v>0</v>
      </c>
      <c r="CB98" s="93">
        <f>IF(($D$11+IF(VLOOKUP($E98,武器奇术!$A:$R,17,FALSE)="牵丝",$D$15,0)-VLOOKUP($F$7,目标属性!$A:$R,6,FALSE))&gt;0,($D$11+IF(VLOOKUP($E98,武器奇术!$A:$R,17,FALSE)="牵丝",$D$15,0)-VLOOKUP($F$7,目标属性!$A:$R,6,FALSE))/200,($D$11+IF(VLOOKUP($E98,武器奇术!$A:$R,17,FALSE)="牵丝",$D$15,0)-VLOOKUP($F$7,目标属性!$A:$R,6,FALSE))/100)</f>
        <v>-0.24</v>
      </c>
      <c r="CC98" s="100">
        <f t="shared" si="91"/>
        <v>0</v>
      </c>
      <c r="CD98" s="91">
        <v>1</v>
      </c>
      <c r="CE98" s="92">
        <f>BY98*IF(VLOOKUP($E98,武器奇术!$A:$R,17,FALSE)="牵丝",VLOOKUP($E98,武器奇术!$A:$R,4,FALSE),VLOOKUP($E98,武器奇术!$A:$R,2,FALSE))*(1+CB98)*(1+CC98)*CD98</f>
        <v>0</v>
      </c>
      <c r="CF98" s="93">
        <f>(1-IF(VLOOKUP($E98,武器奇术!$A:$R,16,FALSE)="陌刀",1,$N98))*(1-$M98)</f>
        <v>0</v>
      </c>
      <c r="CG98" s="92">
        <f>BZ98*IF(VLOOKUP($E98,武器奇术!$A:$R,17,FALSE)="牵丝",VLOOKUP($E98,武器奇术!$A:$R,4,FALSE),VLOOKUP($E98,武器奇术!$A:$R,2,FALSE))*(1+CB98)*(1+CC98)*CD98*(1+$E$16+VLOOKUP($E98,武器奇术!$A:$R,8,FALSE))</f>
        <v>0</v>
      </c>
      <c r="CH98" s="93">
        <f t="shared" si="100"/>
        <v>0.887</v>
      </c>
      <c r="CI98" s="92">
        <f>CA98*IF(VLOOKUP($E98,武器奇术!$A:$R,17,FALSE)="牵丝",VLOOKUP($E98,武器奇术!$A:$R,4,FALSE),VLOOKUP($E98,武器奇术!$A:$R,2,FALSE))*(1+CB98)*(1+CC98)*CD98*(1+$E$17+VLOOKUP($E98,武器奇术!$A:$R,10,FALSE))</f>
        <v>0</v>
      </c>
      <c r="CJ98" s="93">
        <f t="shared" si="101"/>
        <v>0.0986</v>
      </c>
      <c r="CK98" s="92">
        <f>BZ98*IF(VLOOKUP($E98,武器奇术!$A:$R,17,FALSE)="牵丝",VLOOKUP($E98,武器奇术!$A:$R,4,FALSE),VLOOKUP($E98,武器奇术!$A:$R,2,FALSE))*(1+CB98)*(1+CC98)*CD98</f>
        <v>0</v>
      </c>
      <c r="CL98" s="93">
        <f t="shared" si="77"/>
        <v>0.0144</v>
      </c>
      <c r="CM98" s="101">
        <f t="shared" si="78"/>
        <v>0</v>
      </c>
      <c r="CN98" s="99">
        <f>IF(VLOOKUP($E98,武器奇术!$A:$R,18,FALSE)="极乐",0,$B$13*IF($G$5="撼天",1.05,1)+IF(AND(VLOOKUP($E98,武器奇术!$A:$R,15,FALSE)="武器",VLOOKUP($E98,武器奇术!$A:$R,17,FALSE)="破竹"),$E$3*(1+$E$15),0))</f>
        <v>0</v>
      </c>
      <c r="CO98" s="91">
        <f t="shared" si="79"/>
        <v>0</v>
      </c>
      <c r="CP98" s="91">
        <f>IF(VLOOKUP($E98,武器奇术!$A:$R,18,FALSE)="极乐",0,MAX($C$13*IF($G$5="撼天",1.05,1)+IF(AND(VLOOKUP($E98,武器奇术!$A:$R,15,FALSE)="武器",VLOOKUP($E98,武器奇术!$A:$R,17,FALSE)="破竹"),$E$3*(1+$E$15),0),CN98))</f>
        <v>0</v>
      </c>
      <c r="CQ98" s="93">
        <f>IF(($D$13+IF(VLOOKUP($E98,武器奇术!$A:$R,17,FALSE)="破竹",$D$15,0)-VLOOKUP($F$7,目标属性!$A:$R,6,FALSE)+IF(VLOOKUP($E98,武器奇术!$A:$V,22,FALSE)=1,4,0)+IF(VLOOKUP($E98,武器奇术!$A:$T,20,FALSE)=1,10,0))&gt;0,($D$13+IF(VLOOKUP($E98,武器奇术!$A:$R,17,FALSE)="破竹",$D$15,0)-VLOOKUP($F$7,目标属性!$A:$R,6,FALSE)+IF(VLOOKUP($E98,武器奇术!$A:$V,22,FALSE)=1,4,0)+IF(VLOOKUP($E98,武器奇术!$A:$T,20,FALSE)=1,10,0))/200,($D$13+IF(VLOOKUP($E98,武器奇术!$A:$R,17,FALSE)="破竹",$D$15,0)-VLOOKUP($F$7,目标属性!$A:$R,6,FALSE)+IF(VLOOKUP($E98,武器奇术!$A:$V,22,FALSE)=1,4,0)+IF(VLOOKUP($E98,武器奇术!$A:$T,20,FALSE)=1,10,0))/100)</f>
        <v>0.028</v>
      </c>
      <c r="CR98" s="100">
        <f t="shared" si="83"/>
        <v>0.148</v>
      </c>
      <c r="CS98" s="91">
        <v>1</v>
      </c>
      <c r="CT98" s="92">
        <f>CN98*IF(VLOOKUP($E98,武器奇术!$A:$R,17,FALSE)="破竹",VLOOKUP($E98,武器奇术!$A:$R,4,FALSE),VLOOKUP($E98,武器奇术!$A:$R,2,FALSE))*(1+CQ98)*(1+CR98)*CS98</f>
        <v>0</v>
      </c>
      <c r="CU98" s="93">
        <f>(1-IF(VLOOKUP($E98,武器奇术!$A:$R,16,FALSE)="陌刀",1,$N98))*(1-$M98)</f>
        <v>0</v>
      </c>
      <c r="CV98" s="92">
        <f>CO98*IF(VLOOKUP($E98,武器奇术!$A:$R,17,FALSE)="破竹",VLOOKUP($E98,武器奇术!$A:$R,4,FALSE),VLOOKUP($E98,武器奇术!$A:$R,2,FALSE))*(1+CQ98)*(1+CR98)*CS98*(1+$E$16+VLOOKUP($E98,武器奇术!$A:$R,8,FALSE))</f>
        <v>0</v>
      </c>
      <c r="CW98" s="93">
        <f t="shared" si="102"/>
        <v>0.887</v>
      </c>
      <c r="CX98" s="92">
        <f>CP98*IF(VLOOKUP($E98,武器奇术!$A:$R,17,FALSE)="破竹",VLOOKUP($E98,武器奇术!$A:$R,4,FALSE),VLOOKUP($E98,武器奇术!$A:$R,2,FALSE))*(1+CQ98)*(1+CR98)*CS98*(1+$E$17+VLOOKUP($E98,武器奇术!$A:$R,10,FALSE))</f>
        <v>0</v>
      </c>
      <c r="CY98" s="93">
        <f t="shared" si="103"/>
        <v>0.0986</v>
      </c>
      <c r="CZ98" s="92">
        <f>CO98*IF(VLOOKUP($E98,武器奇术!$A:$R,17,FALSE)="破竹",VLOOKUP($E98,武器奇术!$A:$R,4,FALSE),VLOOKUP($E98,武器奇术!$A:$R,2,FALSE))*(1+CQ98)*(1+CR98)*CS98</f>
        <v>0</v>
      </c>
      <c r="DA98" s="93">
        <f t="shared" si="80"/>
        <v>0.0144</v>
      </c>
      <c r="DB98" s="101">
        <f t="shared" si="81"/>
        <v>0</v>
      </c>
      <c r="DC98" s="99">
        <f>IF(VLOOKUP($E98,武器奇术!$A:$R,18,FALSE)="极乐",0,$B$15)</f>
        <v>0</v>
      </c>
      <c r="DD98" s="91">
        <f t="shared" si="82"/>
        <v>0</v>
      </c>
      <c r="DE98" s="91">
        <f>IF(VLOOKUP($E98,武器奇术!$A:$R,18,FALSE)="极乐",0,$C$15)</f>
        <v>0</v>
      </c>
      <c r="DF98" s="93">
        <f>IF((IF(VLOOKUP($E98,武器奇术!$A:$R,17,FALSE)="鸣金",$D$7,0)+IF(VLOOKUP($E98,武器奇术!$A:$R,17,FALSE)="裂石",$D$9,0)+IF(VLOOKUP($E98,武器奇术!$A:$R,17,FALSE)="牵丝",$D$11,0)+IF(VLOOKUP($E98,武器奇术!$A:$R,17,FALSE)="破竹",$D$13,0)+$D$15-VLOOKUP($F$7,目标属性!$A:$R,6,FALSE)+IF(VLOOKUP($E98,武器奇术!$A:$V,22,FALSE)=1,4,0)+IF(VLOOKUP($E98,武器奇术!$A:$T,20,FALSE)=1,10,0))&gt;0,(IF(VLOOKUP($E98,武器奇术!$A:$R,17,FALSE)="鸣金",$D$7,0)+IF(VLOOKUP($E98,武器奇术!$A:$R,17,FALSE)="裂石",$D$9,0)+IF(VLOOKUP($E98,武器奇术!$A:$R,17,FALSE)="牵丝",$D$11,0)+IF(VLOOKUP($E98,武器奇术!$A:$R,17,FALSE)="破竹",$D$13,0)+$D$15-VLOOKUP($F$7,目标属性!$A:$R,6,FALSE)+IF(VLOOKUP($E98,武器奇术!$A:$V,22,FALSE)=1,4,0)+IF(VLOOKUP($E98,武器奇术!$A:$T,20,FALSE)=1,10,0))/200,(IF(VLOOKUP($E98,武器奇术!$A:$R,17,FALSE)="鸣金",$D$7,0)+IF(VLOOKUP($E98,武器奇术!$A:$R,17,FALSE)="裂石",$D$9,0)+IF(VLOOKUP($E98,武器奇术!$A:$R,17,FALSE)="牵丝",$D$11,0)+IF(VLOOKUP($E98,武器奇术!$A:$R,17,FALSE)="破竹",$D$13,0)+$D$15-VLOOKUP($F$7,目标属性!$A:$R,6,FALSE)+IF(VLOOKUP($E98,武器奇术!$A:$V,22,FALSE)=1,4,0)+IF(VLOOKUP($E98,武器奇术!$A:$T,20,FALSE)=1,10,0))/100)</f>
        <v>0.028</v>
      </c>
      <c r="DG98" s="100">
        <f t="shared" si="110"/>
        <v>0.148</v>
      </c>
      <c r="DH98" s="91">
        <v>1</v>
      </c>
      <c r="DI98" s="92">
        <f>DC98*IF(VLOOKUP($E98,武器奇术!$A:$R,17,FALSE)="破竹",VLOOKUP($E98,武器奇术!$A:$R,4,FALSE),VLOOKUP($E98,武器奇术!$A:$R,2,FALSE))*(1+DF98)*(1+DG98)*DH98</f>
        <v>0</v>
      </c>
      <c r="DJ98" s="93">
        <f>(1-IF(VLOOKUP($E98,武器奇术!$A:$R,16,FALSE)="陌刀",1,$N98))*(1-$M98)</f>
        <v>0</v>
      </c>
      <c r="DK98" s="92">
        <f>DD98*IF(VLOOKUP($E98,武器奇术!$A:$R,17,FALSE)="破竹",VLOOKUP($E98,武器奇术!$A:$R,4,FALSE),VLOOKUP($E98,武器奇术!$A:$R,2,FALSE))*(1+DF98)*(1+DG98)*DH98*(1+$E$16+VLOOKUP($E98,武器奇术!$A:$R,8,FALSE))</f>
        <v>0</v>
      </c>
      <c r="DL98" s="93">
        <f t="shared" si="104"/>
        <v>0.887</v>
      </c>
      <c r="DM98" s="92">
        <f>DE98*IF(VLOOKUP($E98,武器奇术!$A:$R,17,FALSE)="破竹",VLOOKUP($E98,武器奇术!$A:$R,4,FALSE),VLOOKUP($E98,武器奇术!$A:$R,2,FALSE))*(1+DF98)*(1+DG98)*DH98*(1+$E$17+VLOOKUP($E98,武器奇术!$A:$R,10,FALSE))</f>
        <v>0</v>
      </c>
      <c r="DN98" s="93">
        <f t="shared" si="105"/>
        <v>0.0986</v>
      </c>
      <c r="DO98" s="92">
        <f>DD98*IF(VLOOKUP($E98,武器奇术!$A:$R,17,FALSE)="破竹",VLOOKUP($E98,武器奇术!$A:$R,4,FALSE),VLOOKUP($E98,武器奇术!$A:$R,2,FALSE))*(1+DF98)*(1+DG98)*DH98</f>
        <v>0</v>
      </c>
      <c r="DP98" s="93">
        <f t="shared" si="106"/>
        <v>0.0144</v>
      </c>
      <c r="DQ98" s="101">
        <f t="shared" si="107"/>
        <v>0</v>
      </c>
    </row>
    <row r="99" spans="1:121">
      <c r="A99" s="33"/>
      <c r="B99" t="s">
        <v>149</v>
      </c>
      <c r="C99">
        <v>0.2</v>
      </c>
      <c r="D99" s="33"/>
      <c r="E99" s="105" t="s">
        <v>191</v>
      </c>
      <c r="F99" s="106">
        <f>IF($E$26&gt;=12,0,1)</f>
        <v>1</v>
      </c>
      <c r="G99" s="107">
        <f t="shared" si="93"/>
        <v>0</v>
      </c>
      <c r="H99" s="92">
        <f>IF(VLOOKUP($E99,武器奇术!$A:$R,18,FALSE)="天工",AE99,(AE99+AT99+BI99+BX99+CM99+DB99+DQ99))*(1+J99)*F99*K99*(1+G99)</f>
        <v>49235.3682204781</v>
      </c>
      <c r="I99" s="93">
        <f t="shared" si="58"/>
        <v>0.00631604688870248</v>
      </c>
      <c r="J99" s="93">
        <f>$F$3+VLOOKUP($E99,武器奇术!$A:$R,12,FALSE)+VLOOKUP($E99,武器奇术!$A:$R,14,FALSE)*$G$3+$P99</f>
        <v>0.693</v>
      </c>
      <c r="K99" s="94">
        <f>VLOOKUP($E99,武器奇术!$A:$R,11,FALSE)</f>
        <v>1</v>
      </c>
      <c r="L99" s="109">
        <f>IF(VLOOKUP($E99,武器奇术!$A:$R,15,FALSE)="天工",0%,IF($C$17+VLOOKUP($E99,武器奇术!$A:$R,7,FALSE)&gt;80%,80%,$C$17+VLOOKUP($E99,武器奇术!$A:$R,7,FALSE))+IF($C$19&gt;20%,20%,$C$19))</f>
        <v>0.8135</v>
      </c>
      <c r="M99" s="110">
        <f>IF(VLOOKUP($E99,武器奇术!$A:$R,15,FALSE)="天工",0%,IF($C$18+VLOOKUP($E99,武器奇术!$A:$R,9,FALSE)&gt;40%,40%,$C$18+VLOOKUP($E99,武器奇术!$A:$R,9,FALSE))+IF($C$20&gt;10%,10%,$C$20))</f>
        <v>0.0986</v>
      </c>
      <c r="N99" s="111">
        <f>IF(VLOOKUP($E99,武器奇术!$A:$R,15,FALSE)="天工",100%,MIN($C$16,1))</f>
        <v>1</v>
      </c>
      <c r="O99" s="112" t="str">
        <f>VLOOKUP($E99,武器奇术!$A:$R,16,FALSE)</f>
        <v>双刀</v>
      </c>
      <c r="P99" s="113">
        <f t="shared" si="108"/>
        <v>0.17</v>
      </c>
      <c r="Q99" s="99">
        <f>$B$5*(1+VLOOKUP($E99,武器奇术!$A:$R,5,FALSE)+IF($G$5="飞隼",0.1,0)+IF($G$5="撼天",0.05,0))-$F$9*IF(VLOOKUP($E99,武器奇术!$A:$S,19,FALSE)=1,0.9,1)+IF($I$5="√",160,0)</f>
        <v>2904.2</v>
      </c>
      <c r="R99" s="91">
        <f t="shared" si="60"/>
        <v>2904.2</v>
      </c>
      <c r="S99" s="91">
        <f>MAX($C$5,$B$5)*(1+VLOOKUP($E99,武器奇术!$A:$R,5,FALSE)+IF($G$5="飞隼",0.1,0)+IF($G$5="撼天",0.05,0))-$F$9*IF(VLOOKUP($E99,武器奇术!$A:$S,19,FALSE)=1,0.9,1)+IF($I$5="√",320,0)</f>
        <v>2904.2</v>
      </c>
      <c r="T99" s="93">
        <f>IF(($D$5+VLOOKUP($E99,武器奇术!$A:$R,13,FALSE)+IF($I$3="√",10,0)-VLOOKUP($F$7,目标属性!$A:$R,5,FALSE))&gt;0,($D$5+VLOOKUP($E99,武器奇术!$A:$R,13,FALSE)+IF($I$3="√",10,0)-VLOOKUP($F$7,目标属性!$A:$R,5,FALSE))/200,($D$5+VLOOKUP($E99,武器奇术!$A:$R,13,FALSE)+IF($I$3="√",10,0)-VLOOKUP($F$7,目标属性!$A:$R,5,FALSE))/100)</f>
        <v>0.2675</v>
      </c>
      <c r="U99" s="120">
        <f>$E$5+IF(VLOOKUP($E99,武器奇术!$A:$R,18,FALSE)="鼠鼠",0.24,0)+IF(期望!$G$5="燕归",6/100,0)</f>
        <v>0.06</v>
      </c>
      <c r="V99" s="91">
        <v>1</v>
      </c>
      <c r="W99" s="92">
        <f>Q99*VLOOKUP($E99,武器奇术!$A:$R,2,FALSE)*(1+T99)*(1+U99)*V99</f>
        <v>10877.1201566742</v>
      </c>
      <c r="X99" s="93">
        <f>(1-IF(VLOOKUP($E99,武器奇术!$A:$R,16,FALSE)="陌刀",1,$N99))*(1-$M99)</f>
        <v>0</v>
      </c>
      <c r="Y99" s="92">
        <f>R99*VLOOKUP($E99,武器奇术!$A:$R,2,FALSE)*(1+T99)*(1+U99)*V99*(1+$E$16+VLOOKUP($E99,武器奇术!$A:$R,8,FALSE))</f>
        <v>17881.9855375724</v>
      </c>
      <c r="Z99" s="93">
        <f t="shared" si="61"/>
        <v>0.8135</v>
      </c>
      <c r="AA99" s="92">
        <f>S99*VLOOKUP($E99,武器奇术!$A:$R,2,FALSE)*(1+T99)*(1+U99)*V99*(1+$E$17+VLOOKUP($E99,武器奇术!$A:$R,10,FALSE))</f>
        <v>14684.1122115102</v>
      </c>
      <c r="AB99" s="93">
        <f t="shared" si="62"/>
        <v>0.0986</v>
      </c>
      <c r="AC99" s="92">
        <f>R99*VLOOKUP($E99,武器奇术!$A:$R,2,FALSE)*(1+T99)*(1+U99)*V99</f>
        <v>10877.1201566742</v>
      </c>
      <c r="AD99" s="93">
        <f t="shared" si="63"/>
        <v>0.0879</v>
      </c>
      <c r="AE99" s="101">
        <f t="shared" si="64"/>
        <v>16950.9475606417</v>
      </c>
      <c r="AF99" s="102">
        <f>VLOOKUP($E99,武器奇术!$A:$R,3,FALSE)*(1+IF(VLOOKUP($E99,武器奇术!$A:$R,15,FALSE)="武器",$E$15,0))</f>
        <v>1003.86</v>
      </c>
      <c r="AG99" s="92">
        <f t="shared" si="65"/>
        <v>1003.86</v>
      </c>
      <c r="AH99" s="92">
        <f>VLOOKUP($E99,武器奇术!$A:$R,3,FALSE)*(1+IF(VLOOKUP($E99,武器奇术!$A:$R,15,FALSE)="武器",$E$15,0))</f>
        <v>1003.86</v>
      </c>
      <c r="AI99" s="93">
        <f>IF(($D$5+VLOOKUP($E99,武器奇术!$A:$R,13,FALSE)+IF($I$3="√",10,0)-VLOOKUP($F$7,目标属性!$A:$R,5,FALSE))&gt;0,($D$5+VLOOKUP($E99,武器奇术!$A:$R,13,FALSE)+IF($I$3="√",10,0)-VLOOKUP($F$7,目标属性!$A:$R,5,FALSE))/200,($D$5+VLOOKUP($E99,武器奇术!$A:$R,13,FALSE)+IF($I$3="√",10,0)-VLOOKUP($F$7,目标属性!$A:$R,5,FALSE))/100)</f>
        <v>0.2675</v>
      </c>
      <c r="AJ99" s="120">
        <f>$E$5+IF(VLOOKUP($E99,武器奇术!$A:$R,18,FALSE)="鼠鼠",0.24,0)+IF(期望!$G$5="燕归",6/100,0)</f>
        <v>0.06</v>
      </c>
      <c r="AK99" s="91">
        <v>1</v>
      </c>
      <c r="AL99" s="92">
        <f t="shared" si="109"/>
        <v>1348.736103</v>
      </c>
      <c r="AM99" s="93">
        <f>(1-IF(VLOOKUP($E99,武器奇术!$A:$R,16,FALSE)="陌刀",1,$N99))*(1-$M99)</f>
        <v>0</v>
      </c>
      <c r="AN99" s="92">
        <f>AG99*(1+AI99)*(1+AJ99)*AK99*(1+$E$16+VLOOKUP($E99,武器奇术!$A:$R,8,FALSE))</f>
        <v>2217.322153332</v>
      </c>
      <c r="AO99" s="93">
        <f t="shared" si="94"/>
        <v>0.8135</v>
      </c>
      <c r="AP99" s="92">
        <f>AH99*(1+AI99)*(1+AJ99)*AK99*(1+$E$17+VLOOKUP($E99,武器奇术!$A:$R,10,FALSE))</f>
        <v>1820.79373905</v>
      </c>
      <c r="AQ99" s="93">
        <f t="shared" si="95"/>
        <v>0.0986</v>
      </c>
      <c r="AR99" s="92">
        <f t="shared" si="67"/>
        <v>1348.736103</v>
      </c>
      <c r="AS99" s="93">
        <f t="shared" si="68"/>
        <v>0.0879</v>
      </c>
      <c r="AT99" s="101">
        <f t="shared" si="69"/>
        <v>2101.87573785961</v>
      </c>
      <c r="AU99" s="99">
        <f>IF(VLOOKUP($E99,武器奇术!$A:$R,18,FALSE)="极乐",0,$B$7*IF($G$5="撼天",1.05,1)+IF(AND(VLOOKUP($E99,武器奇术!$A:$R,15,FALSE)="武器",VLOOKUP($E99,武器奇术!$A:$R,17,FALSE)="鸣金"),$E$3*(1+$E$15),0))</f>
        <v>0</v>
      </c>
      <c r="AV99" s="91">
        <f t="shared" si="70"/>
        <v>0</v>
      </c>
      <c r="AW99" s="91">
        <f>IF(VLOOKUP($E99,武器奇术!$A:$R,18,FALSE)="极乐",0,MAX($C$7*IF($G$5="撼天",1.05,1)+IF(AND(VLOOKUP($E99,武器奇术!$A:$R,15,FALSE)="武器",VLOOKUP($E99,武器奇术!$A:$R,17,FALSE)="鸣金"),$E$3*(1+$E$15),0),AU99))</f>
        <v>0</v>
      </c>
      <c r="AX99" s="93">
        <f>IF(($D$7+IF(VLOOKUP($E99,武器奇术!$A:$R,17,FALSE)="鸣金",$D$15,0)-VLOOKUP($F$7,目标属性!$A:$R,6,FALSE))&gt;0,($D$7+IF(VLOOKUP($E99,武器奇术!$A:$R,17,FALSE)="鸣金",$D$15,0)-VLOOKUP($F$7,目标属性!$A:$R,6,FALSE))/200,($D$7+IF(VLOOKUP($E99,武器奇术!$A:$R,17,FALSE)="鸣金",$D$15,0)-VLOOKUP($F$7,目标属性!$A:$R,6,FALSE))/100)</f>
        <v>-0.24</v>
      </c>
      <c r="AY99" s="100">
        <f t="shared" si="89"/>
        <v>0</v>
      </c>
      <c r="AZ99" s="91">
        <v>1</v>
      </c>
      <c r="BA99" s="92">
        <f>AU99*IF(VLOOKUP($E99,武器奇术!$A:$R,17,FALSE)="鸣金",VLOOKUP($E99,武器奇术!$A:$R,4,FALSE),VLOOKUP($E99,武器奇术!$A:$R,2,FALSE))*(1+AX99)*(1+AY99)*AZ99</f>
        <v>0</v>
      </c>
      <c r="BB99" s="93">
        <f>(1-IF(VLOOKUP($E99,武器奇术!$A:$R,16,FALSE)="陌刀",1,$N99))*(1-$M99)</f>
        <v>0</v>
      </c>
      <c r="BC99" s="92">
        <f>AV99*IF(VLOOKUP($E99,武器奇术!$A:$R,17,FALSE)="鸣金",VLOOKUP($E99,武器奇术!$A:$R,4,FALSE),VLOOKUP($E99,武器奇术!$A:$R,2,FALSE))*(1+AX99)*(1+AY99)*AZ99*(1+$E$16+VLOOKUP($E99,武器奇术!$A:$R,8,FALSE))</f>
        <v>0</v>
      </c>
      <c r="BD99" s="93">
        <f t="shared" si="96"/>
        <v>0.8135</v>
      </c>
      <c r="BE99" s="92">
        <f>AW99*IF(VLOOKUP($E99,武器奇术!$A:$R,17,FALSE)="鸣金",VLOOKUP($E99,武器奇术!$A:$R,4,FALSE),VLOOKUP($E99,武器奇术!$A:$R,2,FALSE))*(1+AX99)*(1+AY99)*AZ99*(1+$E$17+VLOOKUP($E99,武器奇术!$A:$R,10,FALSE))</f>
        <v>0</v>
      </c>
      <c r="BF99" s="93">
        <f t="shared" si="97"/>
        <v>0.0986</v>
      </c>
      <c r="BG99" s="92">
        <f>AV99*IF(VLOOKUP($E99,武器奇术!$A:$R,17,FALSE)="鸣金",VLOOKUP($E99,武器奇术!$A:$R,4,FALSE),VLOOKUP($E99,武器奇术!$A:$R,2,FALSE))*(1+AX99)*(1+AY99)*AZ99</f>
        <v>0</v>
      </c>
      <c r="BH99" s="93">
        <f t="shared" si="71"/>
        <v>0.0879</v>
      </c>
      <c r="BI99" s="101">
        <f t="shared" si="72"/>
        <v>0</v>
      </c>
      <c r="BJ99" s="99">
        <f>IF(VLOOKUP($E99,武器奇术!$A:$R,18,FALSE)="极乐",0,$B$9*IF($G$5="撼天",1.05,1)+IF(AND(VLOOKUP($E99,武器奇术!$A:$R,15,FALSE)="武器",VLOOKUP($E99,武器奇术!$A:$R,17,FALSE)="裂石"),$E$3*(1+$E$15),0))</f>
        <v>0</v>
      </c>
      <c r="BK99" s="91">
        <f t="shared" si="73"/>
        <v>0</v>
      </c>
      <c r="BL99" s="91">
        <f>IF(VLOOKUP($E99,武器奇术!$A:$R,18,FALSE)="极乐",0,MAX($C$9*IF($G$5="撼天",1.05,1)+IF(AND(VLOOKUP($E99,武器奇术!$A:$R,15,FALSE)="武器",VLOOKUP($E99,武器奇术!$A:$R,17,FALSE)="裂石"),$E$3*(1+$E$15),0),BJ99))</f>
        <v>0</v>
      </c>
      <c r="BM99" s="93">
        <f>IF(($D$9+IF(VLOOKUP($E99,武器奇术!$A:$R,17,FALSE)="裂石",$D$15,0)-VLOOKUP($F$7,目标属性!$A:$R,6,FALSE))&gt;0,($D$9+IF(VLOOKUP($E99,武器奇术!$A:$R,17,FALSE)="裂石",$D$15,0)-VLOOKUP($F$7,目标属性!$A:$R,6,FALSE))/200,($D$9+IF(VLOOKUP($E99,武器奇术!$A:$R,17,FALSE)="裂石",$D$15,0)-VLOOKUP($F$7,目标属性!$A:$R,6,FALSE))/100)</f>
        <v>-0.24</v>
      </c>
      <c r="BN99" s="100">
        <f t="shared" si="90"/>
        <v>0</v>
      </c>
      <c r="BO99" s="91">
        <v>1</v>
      </c>
      <c r="BP99" s="92">
        <f>BJ99*IF(VLOOKUP($E99,武器奇术!$A:$R,17,FALSE)="裂石",VLOOKUP($E99,武器奇术!$A:$R,4,FALSE),VLOOKUP($E99,武器奇术!$A:$R,2,FALSE))*(1+BM99)*(1+BN99)*BO99</f>
        <v>0</v>
      </c>
      <c r="BQ99" s="93">
        <f>(1-IF(VLOOKUP($E99,武器奇术!$A:$R,16,FALSE)="陌刀",1,$N99))*(1-$M99)</f>
        <v>0</v>
      </c>
      <c r="BR99" s="92">
        <f>BK99*IF(VLOOKUP($E99,武器奇术!$A:$R,17,FALSE)="裂石",VLOOKUP($E99,武器奇术!$A:$R,4,FALSE),VLOOKUP($E99,武器奇术!$A:$R,2,FALSE))*(1+BM99)*(1+BN99)*BO99*(1+$E$16+VLOOKUP($E99,武器奇术!$A:$R,8,FALSE))</f>
        <v>0</v>
      </c>
      <c r="BS99" s="93">
        <f t="shared" si="98"/>
        <v>0.8135</v>
      </c>
      <c r="BT99" s="92">
        <f>BL99*IF(VLOOKUP($E99,武器奇术!$A:$R,17,FALSE)="裂石",VLOOKUP($E99,武器奇术!$A:$R,4,FALSE),VLOOKUP($E99,武器奇术!$A:$R,2,FALSE))*(1+BM99)*(1+BN99)*BO99*(1+$E$17+VLOOKUP($E99,武器奇术!$A:$R,10,FALSE))</f>
        <v>0</v>
      </c>
      <c r="BU99" s="93">
        <f t="shared" si="99"/>
        <v>0.0986</v>
      </c>
      <c r="BV99" s="92">
        <f>BK99*IF(VLOOKUP($E99,武器奇术!$A:$R,17,FALSE)="裂石",VLOOKUP($E99,武器奇术!$A:$R,4,FALSE),VLOOKUP($E99,武器奇术!$A:$R,2,FALSE))*(1+BM99)*(1+BN99)*BO99</f>
        <v>0</v>
      </c>
      <c r="BW99" s="93">
        <f t="shared" si="74"/>
        <v>0.0879</v>
      </c>
      <c r="BX99" s="101">
        <f t="shared" si="75"/>
        <v>0</v>
      </c>
      <c r="BY99" s="99">
        <f>IF(VLOOKUP($E99,武器奇术!$A:$R,18,FALSE)="极乐",0,$B$11*IF($G$5="撼天",1.05,1)+IF(AND(VLOOKUP($E99,武器奇术!$A:$R,15,FALSE)="武器",VLOOKUP($E99,武器奇术!$A:$R,17,FALSE)="牵丝"),$E$3*(1+$E$15),0))</f>
        <v>0</v>
      </c>
      <c r="BZ99" s="91">
        <f t="shared" si="76"/>
        <v>0</v>
      </c>
      <c r="CA99" s="91">
        <f>IF(VLOOKUP($E99,武器奇术!$A:$R,18,FALSE)="极乐",0,MAX($C$11*IF($G$5="撼天",1.05,1)+IF(AND(VLOOKUP($E99,武器奇术!$A:$R,15,FALSE)="武器",VLOOKUP($E99,武器奇术!$A:$R,17,FALSE)="牵丝"),$E$3*(1+$E$15),0),BY99))</f>
        <v>0</v>
      </c>
      <c r="CB99" s="93">
        <f>IF(($D$11+IF(VLOOKUP($E99,武器奇术!$A:$R,17,FALSE)="牵丝",$D$15,0)-VLOOKUP($F$7,目标属性!$A:$R,6,FALSE))&gt;0,($D$11+IF(VLOOKUP($E99,武器奇术!$A:$R,17,FALSE)="牵丝",$D$15,0)-VLOOKUP($F$7,目标属性!$A:$R,6,FALSE))/200,($D$11+IF(VLOOKUP($E99,武器奇术!$A:$R,17,FALSE)="牵丝",$D$15,0)-VLOOKUP($F$7,目标属性!$A:$R,6,FALSE))/100)</f>
        <v>-0.24</v>
      </c>
      <c r="CC99" s="100">
        <f t="shared" si="91"/>
        <v>0</v>
      </c>
      <c r="CD99" s="91">
        <v>1</v>
      </c>
      <c r="CE99" s="92">
        <f>BY99*IF(VLOOKUP($E99,武器奇术!$A:$R,17,FALSE)="牵丝",VLOOKUP($E99,武器奇术!$A:$R,4,FALSE),VLOOKUP($E99,武器奇术!$A:$R,2,FALSE))*(1+CB99)*(1+CC99)*CD99</f>
        <v>0</v>
      </c>
      <c r="CF99" s="93">
        <f>(1-IF(VLOOKUP($E99,武器奇术!$A:$R,16,FALSE)="陌刀",1,$N99))*(1-$M99)</f>
        <v>0</v>
      </c>
      <c r="CG99" s="92">
        <f>BZ99*IF(VLOOKUP($E99,武器奇术!$A:$R,17,FALSE)="牵丝",VLOOKUP($E99,武器奇术!$A:$R,4,FALSE),VLOOKUP($E99,武器奇术!$A:$R,2,FALSE))*(1+CB99)*(1+CC99)*CD99*(1+$E$16+VLOOKUP($E99,武器奇术!$A:$R,8,FALSE))</f>
        <v>0</v>
      </c>
      <c r="CH99" s="93">
        <f t="shared" si="100"/>
        <v>0.8135</v>
      </c>
      <c r="CI99" s="92">
        <f>CA99*IF(VLOOKUP($E99,武器奇术!$A:$R,17,FALSE)="牵丝",VLOOKUP($E99,武器奇术!$A:$R,4,FALSE),VLOOKUP($E99,武器奇术!$A:$R,2,FALSE))*(1+CB99)*(1+CC99)*CD99*(1+$E$17+VLOOKUP($E99,武器奇术!$A:$R,10,FALSE))</f>
        <v>0</v>
      </c>
      <c r="CJ99" s="93">
        <f t="shared" si="101"/>
        <v>0.0986</v>
      </c>
      <c r="CK99" s="92">
        <f>BZ99*IF(VLOOKUP($E99,武器奇术!$A:$R,17,FALSE)="牵丝",VLOOKUP($E99,武器奇术!$A:$R,4,FALSE),VLOOKUP($E99,武器奇术!$A:$R,2,FALSE))*(1+CB99)*(1+CC99)*CD99</f>
        <v>0</v>
      </c>
      <c r="CL99" s="93">
        <f t="shared" si="77"/>
        <v>0.0879</v>
      </c>
      <c r="CM99" s="101">
        <f t="shared" si="78"/>
        <v>0</v>
      </c>
      <c r="CN99" s="99">
        <f>IF(VLOOKUP($E99,武器奇术!$A:$R,18,FALSE)="极乐",0,$B$13*IF($G$5="撼天",1.05,1)+IF(AND(VLOOKUP($E99,武器奇术!$A:$R,15,FALSE)="武器",VLOOKUP($E99,武器奇术!$A:$R,17,FALSE)="破竹"),$E$3*(1+$E$15),0))</f>
        <v>686.71</v>
      </c>
      <c r="CO99" s="91">
        <f t="shared" si="79"/>
        <v>1052.21</v>
      </c>
      <c r="CP99" s="91">
        <f>IF(VLOOKUP($E99,武器奇术!$A:$R,18,FALSE)="极乐",0,MAX($C$13*IF($G$5="撼天",1.05,1)+IF(AND(VLOOKUP($E99,武器奇术!$A:$R,15,FALSE)="武器",VLOOKUP($E99,武器奇术!$A:$R,17,FALSE)="破竹"),$E$3*(1+$E$15),0),CN99))</f>
        <v>1417.71</v>
      </c>
      <c r="CQ99" s="93">
        <f>IF(($D$13+IF(VLOOKUP($E99,武器奇术!$A:$R,17,FALSE)="破竹",$D$15,0)-VLOOKUP($F$7,目标属性!$A:$R,6,FALSE)+IF(VLOOKUP($E99,武器奇术!$A:$V,22,FALSE)=1,4,0)+IF(VLOOKUP($E99,武器奇术!$A:$T,20,FALSE)=1,10,0))&gt;0,($D$13+IF(VLOOKUP($E99,武器奇术!$A:$R,17,FALSE)="破竹",$D$15,0)-VLOOKUP($F$7,目标属性!$A:$R,6,FALSE)+IF(VLOOKUP($E99,武器奇术!$A:$V,22,FALSE)=1,4,0)+IF(VLOOKUP($E99,武器奇术!$A:$T,20,FALSE)=1,10,0))/200,($D$13+IF(VLOOKUP($E99,武器奇术!$A:$R,17,FALSE)="破竹",$D$15,0)-VLOOKUP($F$7,目标属性!$A:$R,6,FALSE)+IF(VLOOKUP($E99,武器奇术!$A:$V,22,FALSE)=1,4,0)+IF(VLOOKUP($E99,武器奇术!$A:$T,20,FALSE)=1,10,0))/100)</f>
        <v>0.078</v>
      </c>
      <c r="CR99" s="120">
        <f>$E$13+IF(期望!$G$5="燕归",6%,0)</f>
        <v>0.208</v>
      </c>
      <c r="CS99" s="91">
        <v>1</v>
      </c>
      <c r="CT99" s="92">
        <f>CN99*IF(VLOOKUP($E99,武器奇术!$A:$R,17,FALSE)="破竹",VLOOKUP($E99,武器奇术!$A:$R,4,FALSE),VLOOKUP($E99,武器奇术!$A:$R,2,FALSE))*(1+CQ99)*(1+CR99)*CS99</f>
        <v>3739.14642622801</v>
      </c>
      <c r="CU99" s="93">
        <f>(1-IF(VLOOKUP($E99,武器奇术!$A:$R,16,FALSE)="陌刀",1,$N99))*(1-$M99)</f>
        <v>0</v>
      </c>
      <c r="CV99" s="92">
        <f>CO99*IF(VLOOKUP($E99,武器奇术!$A:$R,17,FALSE)="破竹",VLOOKUP($E99,武器奇术!$A:$R,4,FALSE),VLOOKUP($E99,武器奇术!$A:$R,2,FALSE))*(1+CQ99)*(1+CR99)*CS99*(1+$E$16+VLOOKUP($E99,武器奇术!$A:$R,8,FALSE))</f>
        <v>9418.96838158236</v>
      </c>
      <c r="CW99" s="93">
        <f t="shared" si="102"/>
        <v>0.8135</v>
      </c>
      <c r="CX99" s="92">
        <f>CP99*IF(VLOOKUP($E99,武器奇术!$A:$R,17,FALSE)="破竹",VLOOKUP($E99,武器奇术!$A:$R,4,FALSE),VLOOKUP($E99,武器奇术!$A:$R,2,FALSE))*(1+CQ99)*(1+CR99)*CS99*(1+$E$17+VLOOKUP($E99,武器奇术!$A:$R,10,FALSE))</f>
        <v>10421.2609804756</v>
      </c>
      <c r="CY99" s="93">
        <f t="shared" si="103"/>
        <v>0.0986</v>
      </c>
      <c r="CZ99" s="92">
        <f>CO99*IF(VLOOKUP($E99,武器奇术!$A:$R,17,FALSE)="破竹",VLOOKUP($E99,武器奇术!$A:$R,4,FALSE),VLOOKUP($E99,武器奇术!$A:$R,2,FALSE))*(1+CQ99)*(1+CR99)*CS99</f>
        <v>5729.29950217905</v>
      </c>
      <c r="DA99" s="93">
        <f t="shared" si="80"/>
        <v>0.0879</v>
      </c>
      <c r="DB99" s="101">
        <f t="shared" si="81"/>
        <v>9193.47253733369</v>
      </c>
      <c r="DC99" s="99">
        <f>IF(VLOOKUP($E99,武器奇术!$A:$R,18,FALSE)="极乐",0,$B$15)</f>
        <v>66</v>
      </c>
      <c r="DD99" s="91">
        <f t="shared" si="82"/>
        <v>95.9</v>
      </c>
      <c r="DE99" s="91">
        <f>IF(VLOOKUP($E99,武器奇术!$A:$R,18,FALSE)="极乐",0,$C$15)</f>
        <v>125.8</v>
      </c>
      <c r="DF99" s="93">
        <f>IF((IF(VLOOKUP($E99,武器奇术!$A:$R,17,FALSE)="鸣金",$D$7,0)+IF(VLOOKUP($E99,武器奇术!$A:$R,17,FALSE)="裂石",$D$9,0)+IF(VLOOKUP($E99,武器奇术!$A:$R,17,FALSE)="牵丝",$D$11,0)+IF(VLOOKUP($E99,武器奇术!$A:$R,17,FALSE)="破竹",$D$13,0)+$D$15-VLOOKUP($F$7,目标属性!$A:$R,6,FALSE)+IF(VLOOKUP($E99,武器奇术!$A:$V,22,FALSE)=1,4,0)+IF(VLOOKUP($E99,武器奇术!$A:$T,20,FALSE)=1,10,0))&gt;0,(IF(VLOOKUP($E99,武器奇术!$A:$R,17,FALSE)="鸣金",$D$7,0)+IF(VLOOKUP($E99,武器奇术!$A:$R,17,FALSE)="裂石",$D$9,0)+IF(VLOOKUP($E99,武器奇术!$A:$R,17,FALSE)="牵丝",$D$11,0)+IF(VLOOKUP($E99,武器奇术!$A:$R,17,FALSE)="破竹",$D$13,0)+$D$15-VLOOKUP($F$7,目标属性!$A:$R,6,FALSE)+IF(VLOOKUP($E99,武器奇术!$A:$V,22,FALSE)=1,4,0)+IF(VLOOKUP($E99,武器奇术!$A:$T,20,FALSE)=1,10,0))/200,(IF(VLOOKUP($E99,武器奇术!$A:$R,17,FALSE)="鸣金",$D$7,0)+IF(VLOOKUP($E99,武器奇术!$A:$R,17,FALSE)="裂石",$D$9,0)+IF(VLOOKUP($E99,武器奇术!$A:$R,17,FALSE)="牵丝",$D$11,0)+IF(VLOOKUP($E99,武器奇术!$A:$R,17,FALSE)="破竹",$D$13,0)+$D$15-VLOOKUP($F$7,目标属性!$A:$R,6,FALSE)+IF(VLOOKUP($E99,武器奇术!$A:$V,22,FALSE)=1,4,0)+IF(VLOOKUP($E99,武器奇术!$A:$T,20,FALSE)=1,10,0))/100)</f>
        <v>0.078</v>
      </c>
      <c r="DG99" s="120">
        <f>$E$13+IF(期望!$G$5="燕归",6%,0)</f>
        <v>0.208</v>
      </c>
      <c r="DH99" s="91">
        <v>1</v>
      </c>
      <c r="DI99" s="92">
        <f>DC99*IF(VLOOKUP($E99,武器奇术!$A:$R,17,FALSE)="破竹",VLOOKUP($E99,武器奇术!$A:$R,4,FALSE),VLOOKUP($E99,武器奇术!$A:$R,2,FALSE))*(1+DF99)*(1+DG99)*DH99</f>
        <v>359.37100687488</v>
      </c>
      <c r="DJ99" s="93">
        <f>(1-IF(VLOOKUP($E99,武器奇术!$A:$R,16,FALSE)="陌刀",1,$N99))*(1-$M99)</f>
        <v>0</v>
      </c>
      <c r="DK99" s="92">
        <f>DD99*IF(VLOOKUP($E99,武器奇术!$A:$R,17,FALSE)="破竹",VLOOKUP($E99,武器奇术!$A:$R,4,FALSE),VLOOKUP($E99,武器奇术!$A:$R,2,FALSE))*(1+DF99)*(1+DG99)*DH99*(1+$E$16+VLOOKUP($E99,武器奇术!$A:$R,8,FALSE))</f>
        <v>858.458927204407</v>
      </c>
      <c r="DL99" s="93">
        <f t="shared" si="104"/>
        <v>0.8135</v>
      </c>
      <c r="DM99" s="92">
        <f>DE99*IF(VLOOKUP($E99,武器奇术!$A:$R,17,FALSE)="破竹",VLOOKUP($E99,武器奇术!$A:$R,4,FALSE),VLOOKUP($E99,武器奇术!$A:$R,2,FALSE))*(1+DF99)*(1+DG99)*DH99*(1+$E$17+VLOOKUP($E99,武器奇术!$A:$R,10,FALSE))</f>
        <v>924.726940872135</v>
      </c>
      <c r="DN99" s="93">
        <f t="shared" si="105"/>
        <v>0.0986</v>
      </c>
      <c r="DO99" s="92">
        <f>DD99*IF(VLOOKUP($E99,武器奇术!$A:$R,17,FALSE)="破竹",VLOOKUP($E99,武器奇术!$A:$R,4,FALSE),VLOOKUP($E99,武器奇术!$A:$R,2,FALSE))*(1+DF99)*(1+DG99)*DH99</f>
        <v>522.176963019712</v>
      </c>
      <c r="DP99" s="93">
        <f t="shared" si="106"/>
        <v>0.0879</v>
      </c>
      <c r="DQ99" s="101">
        <f t="shared" si="107"/>
        <v>835.43376870021</v>
      </c>
    </row>
    <row r="100" spans="1:121">
      <c r="A100" s="33"/>
      <c r="B100" t="s">
        <v>192</v>
      </c>
      <c r="C100">
        <v>1.5</v>
      </c>
      <c r="D100" s="33"/>
      <c r="E100" s="105" t="s">
        <v>112</v>
      </c>
      <c r="F100" s="106">
        <f>F99*3+5</f>
        <v>8</v>
      </c>
      <c r="G100" s="107">
        <f>$E$23</f>
        <v>0.32</v>
      </c>
      <c r="H100" s="92">
        <f>IF(VLOOKUP($E100,武器奇术!$A:$R,18,FALSE)="天工",AE100,(AE100+AT100+BI100+BX100+CM100+DB100+DQ100))*(1+J100)*F100*K100*(1+G100)</f>
        <v>93764.9196869801</v>
      </c>
      <c r="I100" s="93">
        <f t="shared" si="58"/>
        <v>0.01202841881077</v>
      </c>
      <c r="J100" s="93">
        <f>$F$3+VLOOKUP($E100,武器奇术!$A:$R,12,FALSE)+VLOOKUP($E100,武器奇术!$A:$R,14,FALSE)*$G$3+$P100</f>
        <v>1.493</v>
      </c>
      <c r="K100" s="94">
        <f>VLOOKUP($E100,武器奇术!$A:$R,11,FALSE)</f>
        <v>1</v>
      </c>
      <c r="L100" s="109">
        <f>IF(VLOOKUP($E100,武器奇术!$A:$R,15,FALSE)="天工",0%,IF($C$17+VLOOKUP($E100,武器奇术!$A:$R,7,FALSE)&gt;80%,80%,$C$17+VLOOKUP($E100,武器奇术!$A:$R,7,FALSE))+IF($C$19&gt;20%,20%,$C$19))</f>
        <v>0.8135</v>
      </c>
      <c r="M100" s="110">
        <f>IF(VLOOKUP($E100,武器奇术!$A:$R,15,FALSE)="天工",0%,IF($C$18+VLOOKUP($E100,武器奇术!$A:$R,9,FALSE)&gt;40%,40%,$C$18+VLOOKUP($E100,武器奇术!$A:$R,9,FALSE))+IF($C$20&gt;10%,10%,$C$20))</f>
        <v>0.0986</v>
      </c>
      <c r="N100" s="111">
        <f>IF(VLOOKUP($E100,武器奇术!$A:$R,15,FALSE)="天工",100%,MIN($C$16,1))</f>
        <v>1</v>
      </c>
      <c r="O100" s="112" t="str">
        <f>VLOOKUP($E100,武器奇术!$A:$R,16,FALSE)</f>
        <v>绳标</v>
      </c>
      <c r="P100" s="113">
        <f t="shared" si="108"/>
        <v>0.17</v>
      </c>
      <c r="Q100" s="99">
        <f>$B$5*(1+VLOOKUP($E100,武器奇术!$A:$R,5,FALSE)+IF($G$5="飞隼",0.1,0)+IF($G$5="撼天",0.05,0))-$F$9*IF(VLOOKUP($E100,武器奇术!$A:$S,19,FALSE)=1,0.9,1)+IF($I$5="√",160,0)</f>
        <v>2848.3</v>
      </c>
      <c r="R100" s="91">
        <f t="shared" si="60"/>
        <v>2848.3</v>
      </c>
      <c r="S100" s="91">
        <f>MAX($C$5,$B$5)*(1+VLOOKUP($E100,武器奇术!$A:$R,5,FALSE)+IF($G$5="飞隼",0.1,0)+IF($G$5="撼天",0.05,0))-$F$9*IF(VLOOKUP($E100,武器奇术!$A:$S,19,FALSE)=1,0.9,1)+IF($I$5="√",320,0)</f>
        <v>2848.3</v>
      </c>
      <c r="T100" s="93">
        <f>IF(($D$5+VLOOKUP($E100,武器奇术!$A:$R,13,FALSE)+IF($I$3="√",10,0)-VLOOKUP($F$7,目标属性!$A:$R,5,FALSE))&gt;0,($D$5+VLOOKUP($E100,武器奇术!$A:$R,13,FALSE)+IF($I$3="√",10,0)-VLOOKUP($F$7,目标属性!$A:$R,5,FALSE))/200,($D$5+VLOOKUP($E100,武器奇术!$A:$R,13,FALSE)+IF($I$3="√",10,0)-VLOOKUP($F$7,目标属性!$A:$R,5,FALSE))/100)</f>
        <v>0.2675</v>
      </c>
      <c r="U100" s="120">
        <f>$E$5+IF(VLOOKUP($E100,武器奇术!$A:$R,18,FALSE)="鼠鼠",0.24,0)+IF(期望!$G$5="燕归",6/100,0)</f>
        <v>0.3</v>
      </c>
      <c r="V100" s="91">
        <v>1</v>
      </c>
      <c r="W100" s="92">
        <f>Q100*VLOOKUP($E100,武器奇术!$A:$R,2,FALSE)*(1+T100)*(1+U100)*V100</f>
        <v>1642.65021375</v>
      </c>
      <c r="X100" s="93">
        <f>(1-IF(VLOOKUP($E100,武器奇术!$A:$R,16,FALSE)="陌刀",1,$N100))*(1-$M100)</f>
        <v>0</v>
      </c>
      <c r="Y100" s="92">
        <f>R100*VLOOKUP($E100,武器奇术!$A:$R,2,FALSE)*(1+T100)*(1+U100)*V100*(1+$E$16+VLOOKUP($E100,武器奇术!$A:$R,8,FALSE))</f>
        <v>2700.516951405</v>
      </c>
      <c r="Z100" s="93">
        <f t="shared" si="61"/>
        <v>0.8135</v>
      </c>
      <c r="AA100" s="92">
        <f>S100*VLOOKUP($E100,武器奇术!$A:$R,2,FALSE)*(1+T100)*(1+U100)*V100*(1+$E$17+VLOOKUP($E100,武器奇术!$A:$R,10,FALSE))</f>
        <v>2217.5777885625</v>
      </c>
      <c r="AB100" s="93">
        <f t="shared" si="62"/>
        <v>0.0986</v>
      </c>
      <c r="AC100" s="92">
        <f>R100*VLOOKUP($E100,武器奇术!$A:$R,2,FALSE)*(1+T100)*(1+U100)*V100</f>
        <v>1642.65021375</v>
      </c>
      <c r="AD100" s="93">
        <f t="shared" si="63"/>
        <v>0.0879</v>
      </c>
      <c r="AE100" s="101">
        <f t="shared" si="64"/>
        <v>2559.91266370885</v>
      </c>
      <c r="AF100" s="102">
        <f>VLOOKUP($E100,武器奇术!$A:$R,3,FALSE)*(1+IF(VLOOKUP($E100,武器奇术!$A:$R,15,FALSE)="武器",$E$15,0))</f>
        <v>0</v>
      </c>
      <c r="AG100" s="92">
        <f t="shared" si="65"/>
        <v>0</v>
      </c>
      <c r="AH100" s="92">
        <f>VLOOKUP($E100,武器奇术!$A:$R,3,FALSE)*(1+IF(VLOOKUP($E100,武器奇术!$A:$R,15,FALSE)="武器",$E$15,0))</f>
        <v>0</v>
      </c>
      <c r="AI100" s="93">
        <f>IF(($D$5+VLOOKUP($E100,武器奇术!$A:$R,13,FALSE)+IF($I$3="√",10,0)-VLOOKUP($F$7,目标属性!$A:$R,5,FALSE))&gt;0,($D$5+VLOOKUP($E100,武器奇术!$A:$R,13,FALSE)+IF($I$3="√",10,0)-VLOOKUP($F$7,目标属性!$A:$R,5,FALSE))/200,($D$5+VLOOKUP($E100,武器奇术!$A:$R,13,FALSE)+IF($I$3="√",10,0)-VLOOKUP($F$7,目标属性!$A:$R,5,FALSE))/100)</f>
        <v>0.2675</v>
      </c>
      <c r="AJ100" s="120">
        <f>$E$5+IF(VLOOKUP($E100,武器奇术!$A:$R,18,FALSE)="鼠鼠",0.24,0)+IF(期望!$G$5="燕归",6/100,0)</f>
        <v>0.3</v>
      </c>
      <c r="AK100" s="91">
        <v>1</v>
      </c>
      <c r="AL100" s="92">
        <f t="shared" si="109"/>
        <v>0</v>
      </c>
      <c r="AM100" s="93">
        <f>(1-IF(VLOOKUP($E100,武器奇术!$A:$R,16,FALSE)="陌刀",1,$N100))*(1-$M100)</f>
        <v>0</v>
      </c>
      <c r="AN100" s="92">
        <f>AG100*(1+AI100)*(1+AJ100)*AK100*(1+$E$16+VLOOKUP($E100,武器奇术!$A:$R,8,FALSE))</f>
        <v>0</v>
      </c>
      <c r="AO100" s="93">
        <f t="shared" si="94"/>
        <v>0.8135</v>
      </c>
      <c r="AP100" s="92">
        <f>AH100*(1+AI100)*(1+AJ100)*AK100*(1+$E$17+VLOOKUP($E100,武器奇术!$A:$R,10,FALSE))</f>
        <v>0</v>
      </c>
      <c r="AQ100" s="93">
        <f t="shared" si="95"/>
        <v>0.0986</v>
      </c>
      <c r="AR100" s="92">
        <f t="shared" si="67"/>
        <v>0</v>
      </c>
      <c r="AS100" s="93">
        <f t="shared" si="68"/>
        <v>0.0879</v>
      </c>
      <c r="AT100" s="101">
        <f t="shared" si="69"/>
        <v>0</v>
      </c>
      <c r="AU100" s="99">
        <f>IF(VLOOKUP($E100,武器奇术!$A:$R,18,FALSE)="极乐",0,$B$7*IF($G$5="撼天",1.05,1)+IF(AND(VLOOKUP($E100,武器奇术!$A:$R,15,FALSE)="武器",VLOOKUP($E100,武器奇术!$A:$R,17,FALSE)="鸣金"),$E$3*(1+$E$15),0))</f>
        <v>0</v>
      </c>
      <c r="AV100" s="91">
        <f t="shared" si="70"/>
        <v>0</v>
      </c>
      <c r="AW100" s="91">
        <f>IF(VLOOKUP($E100,武器奇术!$A:$R,18,FALSE)="极乐",0,MAX($C$7*IF($G$5="撼天",1.05,1)+IF(AND(VLOOKUP($E100,武器奇术!$A:$R,15,FALSE)="武器",VLOOKUP($E100,武器奇术!$A:$R,17,FALSE)="鸣金"),$E$3*(1+$E$15),0),AU100))</f>
        <v>0</v>
      </c>
      <c r="AX100" s="93">
        <f>IF(($D$7+IF(VLOOKUP($E100,武器奇术!$A:$R,17,FALSE)="鸣金",$D$15,0)-VLOOKUP($F$7,目标属性!$A:$R,6,FALSE))&gt;0,($D$7+IF(VLOOKUP($E100,武器奇术!$A:$R,17,FALSE)="鸣金",$D$15,0)-VLOOKUP($F$7,目标属性!$A:$R,6,FALSE))/200,($D$7+IF(VLOOKUP($E100,武器奇术!$A:$R,17,FALSE)="鸣金",$D$15,0)-VLOOKUP($F$7,目标属性!$A:$R,6,FALSE))/100)</f>
        <v>-0.24</v>
      </c>
      <c r="AY100" s="100">
        <f t="shared" si="89"/>
        <v>0</v>
      </c>
      <c r="AZ100" s="91">
        <v>1</v>
      </c>
      <c r="BA100" s="92">
        <f>AU100*IF(VLOOKUP($E100,武器奇术!$A:$R,17,FALSE)="鸣金",VLOOKUP($E100,武器奇术!$A:$R,4,FALSE),VLOOKUP($E100,武器奇术!$A:$R,2,FALSE))*(1+AX100)*(1+AY100)*AZ100</f>
        <v>0</v>
      </c>
      <c r="BB100" s="93">
        <f>(1-IF(VLOOKUP($E100,武器奇术!$A:$R,16,FALSE)="陌刀",1,$N100))*(1-$M100)</f>
        <v>0</v>
      </c>
      <c r="BC100" s="92">
        <f>AV100*IF(VLOOKUP($E100,武器奇术!$A:$R,17,FALSE)="鸣金",VLOOKUP($E100,武器奇术!$A:$R,4,FALSE),VLOOKUP($E100,武器奇术!$A:$R,2,FALSE))*(1+AX100)*(1+AY100)*AZ100*(1+$E$16+VLOOKUP($E100,武器奇术!$A:$R,8,FALSE))</f>
        <v>0</v>
      </c>
      <c r="BD100" s="93">
        <f t="shared" si="96"/>
        <v>0.8135</v>
      </c>
      <c r="BE100" s="92">
        <f>AW100*IF(VLOOKUP($E100,武器奇术!$A:$R,17,FALSE)="鸣金",VLOOKUP($E100,武器奇术!$A:$R,4,FALSE),VLOOKUP($E100,武器奇术!$A:$R,2,FALSE))*(1+AX100)*(1+AY100)*AZ100*(1+$E$17+VLOOKUP($E100,武器奇术!$A:$R,10,FALSE))</f>
        <v>0</v>
      </c>
      <c r="BF100" s="93">
        <f t="shared" si="97"/>
        <v>0.0986</v>
      </c>
      <c r="BG100" s="92">
        <f>AV100*IF(VLOOKUP($E100,武器奇术!$A:$R,17,FALSE)="鸣金",VLOOKUP($E100,武器奇术!$A:$R,4,FALSE),VLOOKUP($E100,武器奇术!$A:$R,2,FALSE))*(1+AX100)*(1+AY100)*AZ100</f>
        <v>0</v>
      </c>
      <c r="BH100" s="93">
        <f t="shared" si="71"/>
        <v>0.0879</v>
      </c>
      <c r="BI100" s="101">
        <f t="shared" si="72"/>
        <v>0</v>
      </c>
      <c r="BJ100" s="99">
        <f>IF(VLOOKUP($E100,武器奇术!$A:$R,18,FALSE)="极乐",0,$B$9*IF($G$5="撼天",1.05,1)+IF(AND(VLOOKUP($E100,武器奇术!$A:$R,15,FALSE)="武器",VLOOKUP($E100,武器奇术!$A:$R,17,FALSE)="裂石"),$E$3*(1+$E$15),0))</f>
        <v>0</v>
      </c>
      <c r="BK100" s="91">
        <f t="shared" si="73"/>
        <v>0</v>
      </c>
      <c r="BL100" s="91">
        <f>IF(VLOOKUP($E100,武器奇术!$A:$R,18,FALSE)="极乐",0,MAX($C$9*IF($G$5="撼天",1.05,1)+IF(AND(VLOOKUP($E100,武器奇术!$A:$R,15,FALSE)="武器",VLOOKUP($E100,武器奇术!$A:$R,17,FALSE)="裂石"),$E$3*(1+$E$15),0),BJ100))</f>
        <v>0</v>
      </c>
      <c r="BM100" s="93">
        <f>IF(($D$9+IF(VLOOKUP($E100,武器奇术!$A:$R,17,FALSE)="裂石",$D$15,0)-VLOOKUP($F$7,目标属性!$A:$R,6,FALSE))&gt;0,($D$9+IF(VLOOKUP($E100,武器奇术!$A:$R,17,FALSE)="裂石",$D$15,0)-VLOOKUP($F$7,目标属性!$A:$R,6,FALSE))/200,($D$9+IF(VLOOKUP($E100,武器奇术!$A:$R,17,FALSE)="裂石",$D$15,0)-VLOOKUP($F$7,目标属性!$A:$R,6,FALSE))/100)</f>
        <v>-0.24</v>
      </c>
      <c r="BN100" s="100">
        <f t="shared" si="90"/>
        <v>0</v>
      </c>
      <c r="BO100" s="91">
        <v>1</v>
      </c>
      <c r="BP100" s="92">
        <f>BJ100*IF(VLOOKUP($E100,武器奇术!$A:$R,17,FALSE)="裂石",VLOOKUP($E100,武器奇术!$A:$R,4,FALSE),VLOOKUP($E100,武器奇术!$A:$R,2,FALSE))*(1+BM100)*(1+BN100)*BO100</f>
        <v>0</v>
      </c>
      <c r="BQ100" s="93">
        <f>(1-IF(VLOOKUP($E100,武器奇术!$A:$R,16,FALSE)="陌刀",1,$N100))*(1-$M100)</f>
        <v>0</v>
      </c>
      <c r="BR100" s="92">
        <f>BK100*IF(VLOOKUP($E100,武器奇术!$A:$R,17,FALSE)="裂石",VLOOKUP($E100,武器奇术!$A:$R,4,FALSE),VLOOKUP($E100,武器奇术!$A:$R,2,FALSE))*(1+BM100)*(1+BN100)*BO100*(1+$E$16+VLOOKUP($E100,武器奇术!$A:$R,8,FALSE))</f>
        <v>0</v>
      </c>
      <c r="BS100" s="93">
        <f t="shared" si="98"/>
        <v>0.8135</v>
      </c>
      <c r="BT100" s="92">
        <f>BL100*IF(VLOOKUP($E100,武器奇术!$A:$R,17,FALSE)="裂石",VLOOKUP($E100,武器奇术!$A:$R,4,FALSE),VLOOKUP($E100,武器奇术!$A:$R,2,FALSE))*(1+BM100)*(1+BN100)*BO100*(1+$E$17+VLOOKUP($E100,武器奇术!$A:$R,10,FALSE))</f>
        <v>0</v>
      </c>
      <c r="BU100" s="93">
        <f t="shared" si="99"/>
        <v>0.0986</v>
      </c>
      <c r="BV100" s="92">
        <f>BK100*IF(VLOOKUP($E100,武器奇术!$A:$R,17,FALSE)="裂石",VLOOKUP($E100,武器奇术!$A:$R,4,FALSE),VLOOKUP($E100,武器奇术!$A:$R,2,FALSE))*(1+BM100)*(1+BN100)*BO100</f>
        <v>0</v>
      </c>
      <c r="BW100" s="93">
        <f t="shared" si="74"/>
        <v>0.0879</v>
      </c>
      <c r="BX100" s="101">
        <f t="shared" si="75"/>
        <v>0</v>
      </c>
      <c r="BY100" s="99">
        <f>IF(VLOOKUP($E100,武器奇术!$A:$R,18,FALSE)="极乐",0,$B$11*IF($G$5="撼天",1.05,1)+IF(AND(VLOOKUP($E100,武器奇术!$A:$R,15,FALSE)="武器",VLOOKUP($E100,武器奇术!$A:$R,17,FALSE)="牵丝"),$E$3*(1+$E$15),0))</f>
        <v>0</v>
      </c>
      <c r="BZ100" s="91">
        <f t="shared" si="76"/>
        <v>0</v>
      </c>
      <c r="CA100" s="91">
        <f>IF(VLOOKUP($E100,武器奇术!$A:$R,18,FALSE)="极乐",0,MAX($C$11*IF($G$5="撼天",1.05,1)+IF(AND(VLOOKUP($E100,武器奇术!$A:$R,15,FALSE)="武器",VLOOKUP($E100,武器奇术!$A:$R,17,FALSE)="牵丝"),$E$3*(1+$E$15),0),BY100))</f>
        <v>0</v>
      </c>
      <c r="CB100" s="93">
        <f>IF(($D$11+IF(VLOOKUP($E100,武器奇术!$A:$R,17,FALSE)="牵丝",$D$15,0)-VLOOKUP($F$7,目标属性!$A:$R,6,FALSE))&gt;0,($D$11+IF(VLOOKUP($E100,武器奇术!$A:$R,17,FALSE)="牵丝",$D$15,0)-VLOOKUP($F$7,目标属性!$A:$R,6,FALSE))/200,($D$11+IF(VLOOKUP($E100,武器奇术!$A:$R,17,FALSE)="牵丝",$D$15,0)-VLOOKUP($F$7,目标属性!$A:$R,6,FALSE))/100)</f>
        <v>-0.24</v>
      </c>
      <c r="CC100" s="100">
        <f t="shared" si="91"/>
        <v>0</v>
      </c>
      <c r="CD100" s="91">
        <v>1</v>
      </c>
      <c r="CE100" s="92">
        <f>BY100*IF(VLOOKUP($E100,武器奇术!$A:$R,17,FALSE)="牵丝",VLOOKUP($E100,武器奇术!$A:$R,4,FALSE),VLOOKUP($E100,武器奇术!$A:$R,2,FALSE))*(1+CB100)*(1+CC100)*CD100</f>
        <v>0</v>
      </c>
      <c r="CF100" s="93">
        <f>(1-IF(VLOOKUP($E100,武器奇术!$A:$R,16,FALSE)="陌刀",1,$N100))*(1-$M100)</f>
        <v>0</v>
      </c>
      <c r="CG100" s="92">
        <f>BZ100*IF(VLOOKUP($E100,武器奇术!$A:$R,17,FALSE)="牵丝",VLOOKUP($E100,武器奇术!$A:$R,4,FALSE),VLOOKUP($E100,武器奇术!$A:$R,2,FALSE))*(1+CB100)*(1+CC100)*CD100*(1+$E$16+VLOOKUP($E100,武器奇术!$A:$R,8,FALSE))</f>
        <v>0</v>
      </c>
      <c r="CH100" s="93">
        <f t="shared" si="100"/>
        <v>0.8135</v>
      </c>
      <c r="CI100" s="92">
        <f>CA100*IF(VLOOKUP($E100,武器奇术!$A:$R,17,FALSE)="牵丝",VLOOKUP($E100,武器奇术!$A:$R,4,FALSE),VLOOKUP($E100,武器奇术!$A:$R,2,FALSE))*(1+CB100)*(1+CC100)*CD100*(1+$E$17+VLOOKUP($E100,武器奇术!$A:$R,10,FALSE))</f>
        <v>0</v>
      </c>
      <c r="CJ100" s="93">
        <f t="shared" si="101"/>
        <v>0.0986</v>
      </c>
      <c r="CK100" s="92">
        <f>BZ100*IF(VLOOKUP($E100,武器奇术!$A:$R,17,FALSE)="牵丝",VLOOKUP($E100,武器奇术!$A:$R,4,FALSE),VLOOKUP($E100,武器奇术!$A:$R,2,FALSE))*(1+CB100)*(1+CC100)*CD100</f>
        <v>0</v>
      </c>
      <c r="CL100" s="93">
        <f t="shared" si="77"/>
        <v>0.0879</v>
      </c>
      <c r="CM100" s="101">
        <f t="shared" si="78"/>
        <v>0</v>
      </c>
      <c r="CN100" s="99">
        <f>IF(VLOOKUP($E100,武器奇术!$A:$R,18,FALSE)="极乐",0,$B$13*IF($G$5="撼天",1.05,1)+IF(AND(VLOOKUP($E100,武器奇术!$A:$R,15,FALSE)="武器",VLOOKUP($E100,武器奇术!$A:$R,17,FALSE)="破竹"),$E$3*(1+$E$15),0))</f>
        <v>490.8</v>
      </c>
      <c r="CO100" s="91">
        <f t="shared" si="79"/>
        <v>856.3</v>
      </c>
      <c r="CP100" s="91">
        <f>IF(VLOOKUP($E100,武器奇术!$A:$R,18,FALSE)="极乐",0,MAX($C$13*IF($G$5="撼天",1.05,1)+IF(AND(VLOOKUP($E100,武器奇术!$A:$R,15,FALSE)="武器",VLOOKUP($E100,武器奇术!$A:$R,17,FALSE)="破竹"),$E$3*(1+$E$15),0),CN100))</f>
        <v>1221.8</v>
      </c>
      <c r="CQ100" s="93">
        <f>IF(($D$13+IF(VLOOKUP($E100,武器奇术!$A:$R,17,FALSE)="破竹",$D$15,0)-VLOOKUP($F$7,目标属性!$A:$R,6,FALSE)+IF(VLOOKUP($E100,武器奇术!$A:$V,22,FALSE)=1,4,0)+IF(VLOOKUP($E100,武器奇术!$A:$T,20,FALSE)=1,10,0))&gt;0,($D$13+IF(VLOOKUP($E100,武器奇术!$A:$R,17,FALSE)="破竹",$D$15,0)-VLOOKUP($F$7,目标属性!$A:$R,6,FALSE)+IF(VLOOKUP($E100,武器奇术!$A:$V,22,FALSE)=1,4,0)+IF(VLOOKUP($E100,武器奇术!$A:$T,20,FALSE)=1,10,0))/200,($D$13+IF(VLOOKUP($E100,武器奇术!$A:$R,17,FALSE)="破竹",$D$15,0)-VLOOKUP($F$7,目标属性!$A:$R,6,FALSE)+IF(VLOOKUP($E100,武器奇术!$A:$V,22,FALSE)=1,4,0)+IF(VLOOKUP($E100,武器奇术!$A:$T,20,FALSE)=1,10,0))/100)</f>
        <v>0.028</v>
      </c>
      <c r="CR100" s="120">
        <f>$E$13+IF(期望!$G$5="燕归",6%,0)</f>
        <v>0.208</v>
      </c>
      <c r="CS100" s="91">
        <v>1</v>
      </c>
      <c r="CT100" s="92">
        <f>CN100*IF(VLOOKUP($E100,武器奇术!$A:$R,17,FALSE)="破竹",VLOOKUP($E100,武器奇术!$A:$R,4,FALSE),VLOOKUP($E100,武器奇术!$A:$R,2,FALSE))*(1+CQ100)*(1+CR100)*CS100</f>
        <v>319.98079008</v>
      </c>
      <c r="CU100" s="93">
        <f>(1-IF(VLOOKUP($E100,武器奇术!$A:$R,16,FALSE)="陌刀",1,$N100))*(1-$M100)</f>
        <v>0</v>
      </c>
      <c r="CV100" s="92">
        <f>CO100*IF(VLOOKUP($E100,武器奇术!$A:$R,17,FALSE)="破竹",VLOOKUP($E100,武器奇术!$A:$R,4,FALSE),VLOOKUP($E100,武器奇术!$A:$R,2,FALSE))*(1+CQ100)*(1+CR100)*CS100*(1+$E$16+VLOOKUP($E100,武器奇术!$A:$R,8,FALSE))</f>
        <v>917.79800549472</v>
      </c>
      <c r="CW100" s="93">
        <f t="shared" si="102"/>
        <v>0.8135</v>
      </c>
      <c r="CX100" s="92">
        <f>CP100*IF(VLOOKUP($E100,武器奇术!$A:$R,17,FALSE)="破竹",VLOOKUP($E100,武器奇术!$A:$R,4,FALSE),VLOOKUP($E100,武器奇术!$A:$R,2,FALSE))*(1+CQ100)*(1+CR100)*CS100*(1+$E$17+VLOOKUP($E100,武器奇术!$A:$R,10,FALSE))</f>
        <v>1075.358424168</v>
      </c>
      <c r="CY100" s="93">
        <f t="shared" si="103"/>
        <v>0.0986</v>
      </c>
      <c r="CZ100" s="92">
        <f>CO100*IF(VLOOKUP($E100,武器奇术!$A:$R,17,FALSE)="破竹",VLOOKUP($E100,武器奇术!$A:$R,4,FALSE),VLOOKUP($E100,武器奇术!$A:$R,2,FALSE))*(1+CQ100)*(1+CR100)*CS100</f>
        <v>558.27129288</v>
      </c>
      <c r="DA100" s="93">
        <f t="shared" si="80"/>
        <v>0.0879</v>
      </c>
      <c r="DB100" s="101">
        <f t="shared" si="81"/>
        <v>901.731064737072</v>
      </c>
      <c r="DC100" s="99">
        <f>IF(VLOOKUP($E100,武器奇术!$A:$R,18,FALSE)="极乐",0,$B$15)</f>
        <v>66</v>
      </c>
      <c r="DD100" s="91">
        <f t="shared" si="82"/>
        <v>95.9</v>
      </c>
      <c r="DE100" s="91">
        <f>IF(VLOOKUP($E100,武器奇术!$A:$R,18,FALSE)="极乐",0,$C$15)</f>
        <v>125.8</v>
      </c>
      <c r="DF100" s="93">
        <f>IF((IF(VLOOKUP($E100,武器奇术!$A:$R,17,FALSE)="鸣金",$D$7,0)+IF(VLOOKUP($E100,武器奇术!$A:$R,17,FALSE)="裂石",$D$9,0)+IF(VLOOKUP($E100,武器奇术!$A:$R,17,FALSE)="牵丝",$D$11,0)+IF(VLOOKUP($E100,武器奇术!$A:$R,17,FALSE)="破竹",$D$13,0)+$D$15-VLOOKUP($F$7,目标属性!$A:$R,6,FALSE)+IF(VLOOKUP($E100,武器奇术!$A:$V,22,FALSE)=1,4,0)+IF(VLOOKUP($E100,武器奇术!$A:$T,20,FALSE)=1,10,0))&gt;0,(IF(VLOOKUP($E100,武器奇术!$A:$R,17,FALSE)="鸣金",$D$7,0)+IF(VLOOKUP($E100,武器奇术!$A:$R,17,FALSE)="裂石",$D$9,0)+IF(VLOOKUP($E100,武器奇术!$A:$R,17,FALSE)="牵丝",$D$11,0)+IF(VLOOKUP($E100,武器奇术!$A:$R,17,FALSE)="破竹",$D$13,0)+$D$15-VLOOKUP($F$7,目标属性!$A:$R,6,FALSE)+IF(VLOOKUP($E100,武器奇术!$A:$V,22,FALSE)=1,4,0)+IF(VLOOKUP($E100,武器奇术!$A:$T,20,FALSE)=1,10,0))/200,(IF(VLOOKUP($E100,武器奇术!$A:$R,17,FALSE)="鸣金",$D$7,0)+IF(VLOOKUP($E100,武器奇术!$A:$R,17,FALSE)="裂石",$D$9,0)+IF(VLOOKUP($E100,武器奇术!$A:$R,17,FALSE)="牵丝",$D$11,0)+IF(VLOOKUP($E100,武器奇术!$A:$R,17,FALSE)="破竹",$D$13,0)+$D$15-VLOOKUP($F$7,目标属性!$A:$R,6,FALSE)+IF(VLOOKUP($E100,武器奇术!$A:$V,22,FALSE)=1,4,0)+IF(VLOOKUP($E100,武器奇术!$A:$T,20,FALSE)=1,10,0))/100)</f>
        <v>0.028</v>
      </c>
      <c r="DG100" s="120">
        <f>$E$13+IF(期望!$G$5="燕归",6%,0)</f>
        <v>0.208</v>
      </c>
      <c r="DH100" s="91">
        <v>1</v>
      </c>
      <c r="DI100" s="92">
        <f>DC100*IF(VLOOKUP($E100,武器奇术!$A:$R,17,FALSE)="破竹",VLOOKUP($E100,武器奇术!$A:$R,4,FALSE),VLOOKUP($E100,武器奇术!$A:$R,2,FALSE))*(1+DF100)*(1+DG100)*DH100</f>
        <v>43.0292016</v>
      </c>
      <c r="DJ100" s="93">
        <f>(1-IF(VLOOKUP($E100,武器奇术!$A:$R,16,FALSE)="陌刀",1,$N100))*(1-$M100)</f>
        <v>0</v>
      </c>
      <c r="DK100" s="92">
        <f>DD100*IF(VLOOKUP($E100,武器奇术!$A:$R,17,FALSE)="破竹",VLOOKUP($E100,武器奇术!$A:$R,4,FALSE),VLOOKUP($E100,武器奇术!$A:$R,2,FALSE))*(1+DF100)*(1+DG100)*DH100*(1+$E$16+VLOOKUP($E100,武器奇术!$A:$R,8,FALSE))</f>
        <v>102.78737443296</v>
      </c>
      <c r="DL100" s="93">
        <f t="shared" si="104"/>
        <v>0.8135</v>
      </c>
      <c r="DM100" s="92">
        <f>DE100*IF(VLOOKUP($E100,武器奇术!$A:$R,17,FALSE)="破竹",VLOOKUP($E100,武器奇术!$A:$R,4,FALSE),VLOOKUP($E100,武器奇术!$A:$R,2,FALSE))*(1+DF100)*(1+DG100)*DH100*(1+$E$17+VLOOKUP($E100,武器奇术!$A:$R,10,FALSE))</f>
        <v>110.721959208</v>
      </c>
      <c r="DN100" s="93">
        <f t="shared" si="105"/>
        <v>0.0986</v>
      </c>
      <c r="DO100" s="92">
        <f>DD100*IF(VLOOKUP($E100,武器奇术!$A:$R,17,FALSE)="破竹",VLOOKUP($E100,武器奇术!$A:$R,4,FALSE),VLOOKUP($E100,武器奇术!$A:$R,2,FALSE))*(1+DF100)*(1+DG100)*DH100</f>
        <v>62.52273384</v>
      </c>
      <c r="DP100" s="93">
        <f t="shared" si="106"/>
        <v>0.0879</v>
      </c>
      <c r="DQ100" s="101">
        <f t="shared" si="107"/>
        <v>100.030462583658</v>
      </c>
    </row>
    <row r="101" spans="1:121">
      <c r="A101" s="33"/>
      <c r="B101" t="s">
        <v>145</v>
      </c>
      <c r="C101">
        <v>1</v>
      </c>
      <c r="D101" s="33"/>
      <c r="E101" s="105" t="s">
        <v>193</v>
      </c>
      <c r="F101" s="123">
        <f>IF($K$3="×",0,(F99*5+F100)*0.15/3.5)</f>
        <v>0</v>
      </c>
      <c r="G101" s="107"/>
      <c r="H101" s="92">
        <f>IF(VLOOKUP($E101,武器奇术!$A:$R,18,FALSE)="天工",AE101,(AE101+AT101+BI101+BX101+CM101+DB101+DQ101))*(1+J101)*F101*K101*(1+G101)</f>
        <v>0</v>
      </c>
      <c r="I101" s="93">
        <f t="shared" si="58"/>
        <v>0</v>
      </c>
      <c r="J101" s="93">
        <f>$F$3+VLOOKUP($E101,武器奇术!$A:$R,12,FALSE)+VLOOKUP($E101,武器奇术!$A:$R,14,FALSE)*$G$3+$P101</f>
        <v>0.403</v>
      </c>
      <c r="K101" s="94">
        <f>VLOOKUP($E101,武器奇术!$A:$R,11,FALSE)</f>
        <v>1</v>
      </c>
      <c r="L101" s="109">
        <f>IF(VLOOKUP($E101,武器奇术!$A:$R,15,FALSE)="天工",0%,IF($C$17+VLOOKUP($E101,武器奇术!$A:$R,7,FALSE)&gt;80%,80%,$C$17+VLOOKUP($E101,武器奇术!$A:$R,7,FALSE))+IF($C$19&gt;20%,20%,$C$19))</f>
        <v>0.8135</v>
      </c>
      <c r="M101" s="110">
        <f>IF(VLOOKUP($E101,武器奇术!$A:$R,15,FALSE)="天工",0%,IF($C$18+VLOOKUP($E101,武器奇术!$A:$R,9,FALSE)&gt;40%,40%,$C$18+VLOOKUP($E101,武器奇术!$A:$R,9,FALSE))+IF($C$20&gt;10%,10%,$C$20))</f>
        <v>0.0986</v>
      </c>
      <c r="N101" s="111">
        <f>IF(VLOOKUP($E101,武器奇术!$A:$R,15,FALSE)="天工",100%,MIN($C$16,1))</f>
        <v>1</v>
      </c>
      <c r="O101" s="112" t="str">
        <f>VLOOKUP($E101,武器奇术!$A:$R,16,FALSE)</f>
        <v>N/A</v>
      </c>
      <c r="P101" s="113">
        <f t="shared" si="108"/>
        <v>0</v>
      </c>
      <c r="Q101" s="99">
        <f>$B$5*(1+VLOOKUP($E101,武器奇术!$A:$R,5,FALSE)+IF($G$5="飞隼",0.1,0)+IF($G$5="撼天",0.05,0))-$F$9*IF(VLOOKUP($E101,武器奇术!$A:$S,19,FALSE)=1,0.9,1)+IF($I$5="√",160,0)</f>
        <v>2848.3</v>
      </c>
      <c r="R101" s="91">
        <f t="shared" si="60"/>
        <v>2848.3</v>
      </c>
      <c r="S101" s="91">
        <f>MAX($C$5,$B$5)*(1+VLOOKUP($E101,武器奇术!$A:$R,5,FALSE)+IF($G$5="飞隼",0.1,0)+IF($G$5="撼天",0.05,0))-$F$9*IF(VLOOKUP($E101,武器奇术!$A:$S,19,FALSE)=1,0.9,1)+IF($I$5="√",320,0)</f>
        <v>2848.3</v>
      </c>
      <c r="T101" s="93">
        <f>IF(($D$5+VLOOKUP($E101,武器奇术!$A:$R,13,FALSE)+IF($I$3="√",10,0)-VLOOKUP($F$7,目标属性!$A:$R,5,FALSE))&gt;0,($D$5+VLOOKUP($E101,武器奇术!$A:$R,13,FALSE)+IF($I$3="√",10,0)-VLOOKUP($F$7,目标属性!$A:$R,5,FALSE))/200,($D$5+VLOOKUP($E101,武器奇术!$A:$R,13,FALSE)+IF($I$3="√",10,0)-VLOOKUP($F$7,目标属性!$A:$R,5,FALSE))/100)</f>
        <v>0.2675</v>
      </c>
      <c r="U101" s="100">
        <f>$E$5+IF(VLOOKUP($E101,武器奇术!$A:$R,18,FALSE)="鼠鼠",0.24,0)</f>
        <v>0</v>
      </c>
      <c r="V101" s="91">
        <v>1</v>
      </c>
      <c r="W101" s="92">
        <f>Q101*VLOOKUP($E101,武器奇术!$A:$R,2,FALSE)*(1+T101)*(1+U101)*V101</f>
        <v>7220.4405</v>
      </c>
      <c r="X101" s="93">
        <f>(1-IF(VLOOKUP($E101,武器奇术!$A:$R,16,FALSE)="陌刀",1,$N101))*(1-$M101)</f>
        <v>0</v>
      </c>
      <c r="Y101" s="92">
        <f>R101*VLOOKUP($E101,武器奇术!$A:$R,2,FALSE)*(1+T101)*(1+U101)*V101*(1+$E$16+VLOOKUP($E101,武器奇术!$A:$R,8,FALSE))</f>
        <v>11870.404182</v>
      </c>
      <c r="Z101" s="93">
        <f t="shared" si="61"/>
        <v>0.8135</v>
      </c>
      <c r="AA101" s="92">
        <f>S101*VLOOKUP($E101,武器奇术!$A:$R,2,FALSE)*(1+T101)*(1+U101)*V101*(1+$E$17+VLOOKUP($E101,武器奇术!$A:$R,10,FALSE))</f>
        <v>9747.594675</v>
      </c>
      <c r="AB101" s="93">
        <f t="shared" si="62"/>
        <v>0.0986</v>
      </c>
      <c r="AC101" s="92">
        <f>R101*VLOOKUP($E101,武器奇术!$A:$R,2,FALSE)*(1+T101)*(1+U101)*V101</f>
        <v>7220.4405</v>
      </c>
      <c r="AD101" s="93">
        <f t="shared" si="63"/>
        <v>0.0879</v>
      </c>
      <c r="AE101" s="101">
        <f t="shared" si="64"/>
        <v>11252.363356962</v>
      </c>
      <c r="AF101" s="102">
        <f>VLOOKUP($E101,武器奇术!$A:$R,3,FALSE)*(1+IF(VLOOKUP($E101,武器奇术!$A:$R,15,FALSE)="武器",$E$15,0))</f>
        <v>0</v>
      </c>
      <c r="AG101" s="92">
        <f t="shared" si="65"/>
        <v>0</v>
      </c>
      <c r="AH101" s="92">
        <f>VLOOKUP($E101,武器奇术!$A:$R,3,FALSE)*(1+IF(VLOOKUP($E101,武器奇术!$A:$R,15,FALSE)="武器",$E$15,0))</f>
        <v>0</v>
      </c>
      <c r="AI101" s="93">
        <f>IF(($D$5+VLOOKUP($E101,武器奇术!$A:$R,13,FALSE)+IF($I$3="√",10,0)-VLOOKUP($F$7,目标属性!$A:$R,5,FALSE))&gt;0,($D$5+VLOOKUP($E101,武器奇术!$A:$R,13,FALSE)+IF($I$3="√",10,0)-VLOOKUP($F$7,目标属性!$A:$R,5,FALSE))/200,($D$5+VLOOKUP($E101,武器奇术!$A:$R,13,FALSE)+IF($I$3="√",10,0)-VLOOKUP($F$7,目标属性!$A:$R,5,FALSE))/100)</f>
        <v>0.2675</v>
      </c>
      <c r="AJ101" s="100">
        <f>$E$5+IF(VLOOKUP($E101,武器奇术!$A:$R,18,FALSE)="鼠鼠",0.24,0)</f>
        <v>0</v>
      </c>
      <c r="AK101" s="91">
        <v>1</v>
      </c>
      <c r="AL101" s="92">
        <f t="shared" si="109"/>
        <v>0</v>
      </c>
      <c r="AM101" s="93">
        <f>(1-IF(VLOOKUP($E101,武器奇术!$A:$R,16,FALSE)="陌刀",1,$N101))*(1-$M101)</f>
        <v>0</v>
      </c>
      <c r="AN101" s="92">
        <f>AG101*(1+AI101)*(1+AJ101)*AK101*(1+$E$16+VLOOKUP($E101,武器奇术!$A:$R,8,FALSE))</f>
        <v>0</v>
      </c>
      <c r="AO101" s="93">
        <f t="shared" si="94"/>
        <v>0.8135</v>
      </c>
      <c r="AP101" s="92">
        <f>AH101*(1+AI101)*(1+AJ101)*AK101*(1+$E$17+VLOOKUP($E101,武器奇术!$A:$R,10,FALSE))</f>
        <v>0</v>
      </c>
      <c r="AQ101" s="93">
        <f t="shared" si="95"/>
        <v>0.0986</v>
      </c>
      <c r="AR101" s="92">
        <f t="shared" si="67"/>
        <v>0</v>
      </c>
      <c r="AS101" s="93">
        <f t="shared" si="68"/>
        <v>0.0879</v>
      </c>
      <c r="AT101" s="101">
        <f t="shared" si="69"/>
        <v>0</v>
      </c>
      <c r="AU101" s="99">
        <f>IF(VLOOKUP($E101,武器奇术!$A:$R,18,FALSE)="极乐",0,$B$7*IF($G$5="撼天",1.05,1)+IF(AND(VLOOKUP($E101,武器奇术!$A:$R,15,FALSE)="武器",VLOOKUP($E101,武器奇术!$A:$R,17,FALSE)="鸣金"),$E$3*(1+$E$15),0))</f>
        <v>0</v>
      </c>
      <c r="AV101" s="91">
        <f t="shared" si="70"/>
        <v>0</v>
      </c>
      <c r="AW101" s="91">
        <f>IF(VLOOKUP($E101,武器奇术!$A:$R,18,FALSE)="极乐",0,MAX($C$7*IF($G$5="撼天",1.05,1)+IF(AND(VLOOKUP($E101,武器奇术!$A:$R,15,FALSE)="武器",VLOOKUP($E101,武器奇术!$A:$R,17,FALSE)="鸣金"),$E$3*(1+$E$15),0),AU101))</f>
        <v>0</v>
      </c>
      <c r="AX101" s="93">
        <f>IF(($D$7+IF(VLOOKUP($E101,武器奇术!$A:$R,17,FALSE)="鸣金",$D$15,0)-VLOOKUP($F$7,目标属性!$A:$R,6,FALSE))&gt;0,($D$7+IF(VLOOKUP($E101,武器奇术!$A:$R,17,FALSE)="鸣金",$D$15,0)-VLOOKUP($F$7,目标属性!$A:$R,6,FALSE))/200,($D$7+IF(VLOOKUP($E101,武器奇术!$A:$R,17,FALSE)="鸣金",$D$15,0)-VLOOKUP($F$7,目标属性!$A:$R,6,FALSE))/100)</f>
        <v>-0.24</v>
      </c>
      <c r="AY101" s="100">
        <f t="shared" si="89"/>
        <v>0</v>
      </c>
      <c r="AZ101" s="91">
        <v>1</v>
      </c>
      <c r="BA101" s="92">
        <f>AU101*IF(VLOOKUP($E101,武器奇术!$A:$R,17,FALSE)="鸣金",VLOOKUP($E101,武器奇术!$A:$R,4,FALSE),VLOOKUP($E101,武器奇术!$A:$R,2,FALSE))*(1+AX101)*(1+AY101)*AZ101</f>
        <v>0</v>
      </c>
      <c r="BB101" s="93">
        <f>(1-IF(VLOOKUP($E101,武器奇术!$A:$R,16,FALSE)="陌刀",1,$N101))*(1-$M101)</f>
        <v>0</v>
      </c>
      <c r="BC101" s="92">
        <f>AV101*IF(VLOOKUP($E101,武器奇术!$A:$R,17,FALSE)="鸣金",VLOOKUP($E101,武器奇术!$A:$R,4,FALSE),VLOOKUP($E101,武器奇术!$A:$R,2,FALSE))*(1+AX101)*(1+AY101)*AZ101*(1+$E$16+VLOOKUP($E101,武器奇术!$A:$R,8,FALSE))</f>
        <v>0</v>
      </c>
      <c r="BD101" s="93">
        <f t="shared" si="96"/>
        <v>0.8135</v>
      </c>
      <c r="BE101" s="92">
        <f>AW101*IF(VLOOKUP($E101,武器奇术!$A:$R,17,FALSE)="鸣金",VLOOKUP($E101,武器奇术!$A:$R,4,FALSE),VLOOKUP($E101,武器奇术!$A:$R,2,FALSE))*(1+AX101)*(1+AY101)*AZ101*(1+$E$17+VLOOKUP($E101,武器奇术!$A:$R,10,FALSE))</f>
        <v>0</v>
      </c>
      <c r="BF101" s="93">
        <f t="shared" si="97"/>
        <v>0.0986</v>
      </c>
      <c r="BG101" s="92">
        <f>AV101*IF(VLOOKUP($E101,武器奇术!$A:$R,17,FALSE)="鸣金",VLOOKUP($E101,武器奇术!$A:$R,4,FALSE),VLOOKUP($E101,武器奇术!$A:$R,2,FALSE))*(1+AX101)*(1+AY101)*AZ101</f>
        <v>0</v>
      </c>
      <c r="BH101" s="93">
        <f t="shared" si="71"/>
        <v>0.0879</v>
      </c>
      <c r="BI101" s="101">
        <f t="shared" si="72"/>
        <v>0</v>
      </c>
      <c r="BJ101" s="99">
        <f>IF(VLOOKUP($E101,武器奇术!$A:$R,18,FALSE)="极乐",0,$B$9*IF($G$5="撼天",1.05,1)+IF(AND(VLOOKUP($E101,武器奇术!$A:$R,15,FALSE)="武器",VLOOKUP($E101,武器奇术!$A:$R,17,FALSE)="裂石"),$E$3*(1+$E$15),0))</f>
        <v>0</v>
      </c>
      <c r="BK101" s="91">
        <f t="shared" si="73"/>
        <v>0</v>
      </c>
      <c r="BL101" s="91">
        <f>IF(VLOOKUP($E101,武器奇术!$A:$R,18,FALSE)="极乐",0,MAX($C$9*IF($G$5="撼天",1.05,1)+IF(AND(VLOOKUP($E101,武器奇术!$A:$R,15,FALSE)="武器",VLOOKUP($E101,武器奇术!$A:$R,17,FALSE)="裂石"),$E$3*(1+$E$15),0),BJ101))</f>
        <v>0</v>
      </c>
      <c r="BM101" s="93">
        <f>IF(($D$9+IF(VLOOKUP($E101,武器奇术!$A:$R,17,FALSE)="裂石",$D$15,0)-VLOOKUP($F$7,目标属性!$A:$R,6,FALSE))&gt;0,($D$9+IF(VLOOKUP($E101,武器奇术!$A:$R,17,FALSE)="裂石",$D$15,0)-VLOOKUP($F$7,目标属性!$A:$R,6,FALSE))/200,($D$9+IF(VLOOKUP($E101,武器奇术!$A:$R,17,FALSE)="裂石",$D$15,0)-VLOOKUP($F$7,目标属性!$A:$R,6,FALSE))/100)</f>
        <v>-0.24</v>
      </c>
      <c r="BN101" s="100">
        <f t="shared" si="90"/>
        <v>0</v>
      </c>
      <c r="BO101" s="91">
        <v>1</v>
      </c>
      <c r="BP101" s="92">
        <f>BJ101*IF(VLOOKUP($E101,武器奇术!$A:$R,17,FALSE)="裂石",VLOOKUP($E101,武器奇术!$A:$R,4,FALSE),VLOOKUP($E101,武器奇术!$A:$R,2,FALSE))*(1+BM101)*(1+BN101)*BO101</f>
        <v>0</v>
      </c>
      <c r="BQ101" s="93">
        <f>(1-IF(VLOOKUP($E101,武器奇术!$A:$R,16,FALSE)="陌刀",1,$N101))*(1-$M101)</f>
        <v>0</v>
      </c>
      <c r="BR101" s="92">
        <f>BK101*IF(VLOOKUP($E101,武器奇术!$A:$R,17,FALSE)="裂石",VLOOKUP($E101,武器奇术!$A:$R,4,FALSE),VLOOKUP($E101,武器奇术!$A:$R,2,FALSE))*(1+BM101)*(1+BN101)*BO101*(1+$E$16+VLOOKUP($E101,武器奇术!$A:$R,8,FALSE))</f>
        <v>0</v>
      </c>
      <c r="BS101" s="93">
        <f t="shared" si="98"/>
        <v>0.8135</v>
      </c>
      <c r="BT101" s="92">
        <f>BL101*IF(VLOOKUP($E101,武器奇术!$A:$R,17,FALSE)="裂石",VLOOKUP($E101,武器奇术!$A:$R,4,FALSE),VLOOKUP($E101,武器奇术!$A:$R,2,FALSE))*(1+BM101)*(1+BN101)*BO101*(1+$E$17+VLOOKUP($E101,武器奇术!$A:$R,10,FALSE))</f>
        <v>0</v>
      </c>
      <c r="BU101" s="93">
        <f t="shared" si="99"/>
        <v>0.0986</v>
      </c>
      <c r="BV101" s="92">
        <f>BK101*IF(VLOOKUP($E101,武器奇术!$A:$R,17,FALSE)="裂石",VLOOKUP($E101,武器奇术!$A:$R,4,FALSE),VLOOKUP($E101,武器奇术!$A:$R,2,FALSE))*(1+BM101)*(1+BN101)*BO101</f>
        <v>0</v>
      </c>
      <c r="BW101" s="93">
        <f t="shared" si="74"/>
        <v>0.0879</v>
      </c>
      <c r="BX101" s="101">
        <f t="shared" si="75"/>
        <v>0</v>
      </c>
      <c r="BY101" s="99">
        <f>IF(VLOOKUP($E101,武器奇术!$A:$R,18,FALSE)="极乐",0,$B$11*IF($G$5="撼天",1.05,1)+IF(AND(VLOOKUP($E101,武器奇术!$A:$R,15,FALSE)="武器",VLOOKUP($E101,武器奇术!$A:$R,17,FALSE)="牵丝"),$E$3*(1+$E$15),0))</f>
        <v>0</v>
      </c>
      <c r="BZ101" s="91">
        <f t="shared" si="76"/>
        <v>0</v>
      </c>
      <c r="CA101" s="91">
        <f>IF(VLOOKUP($E101,武器奇术!$A:$R,18,FALSE)="极乐",0,MAX($C$11*IF($G$5="撼天",1.05,1)+IF(AND(VLOOKUP($E101,武器奇术!$A:$R,15,FALSE)="武器",VLOOKUP($E101,武器奇术!$A:$R,17,FALSE)="牵丝"),$E$3*(1+$E$15),0),BY101))</f>
        <v>0</v>
      </c>
      <c r="CB101" s="93">
        <f>IF(($D$11+IF(VLOOKUP($E101,武器奇术!$A:$R,17,FALSE)="牵丝",$D$15,0)-VLOOKUP($F$7,目标属性!$A:$R,6,FALSE))&gt;0,($D$11+IF(VLOOKUP($E101,武器奇术!$A:$R,17,FALSE)="牵丝",$D$15,0)-VLOOKUP($F$7,目标属性!$A:$R,6,FALSE))/200,($D$11+IF(VLOOKUP($E101,武器奇术!$A:$R,17,FALSE)="牵丝",$D$15,0)-VLOOKUP($F$7,目标属性!$A:$R,6,FALSE))/100)</f>
        <v>-0.24</v>
      </c>
      <c r="CC101" s="100">
        <f t="shared" si="91"/>
        <v>0</v>
      </c>
      <c r="CD101" s="91">
        <v>1</v>
      </c>
      <c r="CE101" s="92">
        <f>BY101*IF(VLOOKUP($E101,武器奇术!$A:$R,17,FALSE)="牵丝",VLOOKUP($E101,武器奇术!$A:$R,4,FALSE),VLOOKUP($E101,武器奇术!$A:$R,2,FALSE))*(1+CB101)*(1+CC101)*CD101</f>
        <v>0</v>
      </c>
      <c r="CF101" s="93">
        <f>(1-IF(VLOOKUP($E101,武器奇术!$A:$R,16,FALSE)="陌刀",1,$N101))*(1-$M101)</f>
        <v>0</v>
      </c>
      <c r="CG101" s="92">
        <f>BZ101*IF(VLOOKUP($E101,武器奇术!$A:$R,17,FALSE)="牵丝",VLOOKUP($E101,武器奇术!$A:$R,4,FALSE),VLOOKUP($E101,武器奇术!$A:$R,2,FALSE))*(1+CB101)*(1+CC101)*CD101*(1+$E$16+VLOOKUP($E101,武器奇术!$A:$R,8,FALSE))</f>
        <v>0</v>
      </c>
      <c r="CH101" s="93">
        <f t="shared" si="100"/>
        <v>0.8135</v>
      </c>
      <c r="CI101" s="92">
        <f>CA101*IF(VLOOKUP($E101,武器奇术!$A:$R,17,FALSE)="牵丝",VLOOKUP($E101,武器奇术!$A:$R,4,FALSE),VLOOKUP($E101,武器奇术!$A:$R,2,FALSE))*(1+CB101)*(1+CC101)*CD101*(1+$E$17+VLOOKUP($E101,武器奇术!$A:$R,10,FALSE))</f>
        <v>0</v>
      </c>
      <c r="CJ101" s="93">
        <f t="shared" si="101"/>
        <v>0.0986</v>
      </c>
      <c r="CK101" s="92">
        <f>BZ101*IF(VLOOKUP($E101,武器奇术!$A:$R,17,FALSE)="牵丝",VLOOKUP($E101,武器奇术!$A:$R,4,FALSE),VLOOKUP($E101,武器奇术!$A:$R,2,FALSE))*(1+CB101)*(1+CC101)*CD101</f>
        <v>0</v>
      </c>
      <c r="CL101" s="93">
        <f t="shared" si="77"/>
        <v>0.0879</v>
      </c>
      <c r="CM101" s="101">
        <f t="shared" si="78"/>
        <v>0</v>
      </c>
      <c r="CN101" s="99">
        <f>IF(VLOOKUP($E101,武器奇术!$A:$R,18,FALSE)="极乐",0,$B$13*IF($G$5="撼天",1.05,1)+IF(AND(VLOOKUP($E101,武器奇术!$A:$R,15,FALSE)="武器",VLOOKUP($E101,武器奇术!$A:$R,17,FALSE)="破竹"),$E$3*(1+$E$15),0))</f>
        <v>0</v>
      </c>
      <c r="CO101" s="91">
        <f t="shared" si="79"/>
        <v>0</v>
      </c>
      <c r="CP101" s="91">
        <f>IF(VLOOKUP($E101,武器奇术!$A:$R,18,FALSE)="极乐",0,MAX($C$13*IF($G$5="撼天",1.05,1)+IF(AND(VLOOKUP($E101,武器奇术!$A:$R,15,FALSE)="武器",VLOOKUP($E101,武器奇术!$A:$R,17,FALSE)="破竹"),$E$3*(1+$E$15),0),CN101))</f>
        <v>0</v>
      </c>
      <c r="CQ101" s="93">
        <f>IF(($D$13+IF(VLOOKUP($E101,武器奇术!$A:$R,17,FALSE)="破竹",$D$15,0)-VLOOKUP($F$7,目标属性!$A:$R,6,FALSE)+IF(VLOOKUP($E101,武器奇术!$A:$V,22,FALSE)=1,4,0)+IF(VLOOKUP($E101,武器奇术!$A:$T,20,FALSE)=1,10,0))&gt;0,($D$13+IF(VLOOKUP($E101,武器奇术!$A:$R,17,FALSE)="破竹",$D$15,0)-VLOOKUP($F$7,目标属性!$A:$R,6,FALSE)+IF(VLOOKUP($E101,武器奇术!$A:$V,22,FALSE)=1,4,0)+IF(VLOOKUP($E101,武器奇术!$A:$T,20,FALSE)=1,10,0))/200,($D$13+IF(VLOOKUP($E101,武器奇术!$A:$R,17,FALSE)="破竹",$D$15,0)-VLOOKUP($F$7,目标属性!$A:$R,6,FALSE)+IF(VLOOKUP($E101,武器奇术!$A:$V,22,FALSE)=1,4,0)+IF(VLOOKUP($E101,武器奇术!$A:$T,20,FALSE)=1,10,0))/100)</f>
        <v>0.028</v>
      </c>
      <c r="CR101" s="100">
        <f t="shared" si="83"/>
        <v>0.148</v>
      </c>
      <c r="CS101" s="91">
        <v>1</v>
      </c>
      <c r="CT101" s="92">
        <f>CN101*IF(VLOOKUP($E101,武器奇术!$A:$R,17,FALSE)="破竹",VLOOKUP($E101,武器奇术!$A:$R,4,FALSE),VLOOKUP($E101,武器奇术!$A:$R,2,FALSE))*(1+CQ101)*(1+CR101)*CS101</f>
        <v>0</v>
      </c>
      <c r="CU101" s="93">
        <f>(1-IF(VLOOKUP($E101,武器奇术!$A:$R,16,FALSE)="陌刀",1,$N101))*(1-$M101)</f>
        <v>0</v>
      </c>
      <c r="CV101" s="92">
        <f>CO101*IF(VLOOKUP($E101,武器奇术!$A:$R,17,FALSE)="破竹",VLOOKUP($E101,武器奇术!$A:$R,4,FALSE),VLOOKUP($E101,武器奇术!$A:$R,2,FALSE))*(1+CQ101)*(1+CR101)*CS101*(1+$E$16+VLOOKUP($E101,武器奇术!$A:$R,8,FALSE))</f>
        <v>0</v>
      </c>
      <c r="CW101" s="93">
        <f t="shared" si="102"/>
        <v>0.8135</v>
      </c>
      <c r="CX101" s="92">
        <f>CP101*IF(VLOOKUP($E101,武器奇术!$A:$R,17,FALSE)="破竹",VLOOKUP($E101,武器奇术!$A:$R,4,FALSE),VLOOKUP($E101,武器奇术!$A:$R,2,FALSE))*(1+CQ101)*(1+CR101)*CS101*(1+$E$17+VLOOKUP($E101,武器奇术!$A:$R,10,FALSE))</f>
        <v>0</v>
      </c>
      <c r="CY101" s="93">
        <f t="shared" si="103"/>
        <v>0.0986</v>
      </c>
      <c r="CZ101" s="92">
        <f>CO101*IF(VLOOKUP($E101,武器奇术!$A:$R,17,FALSE)="破竹",VLOOKUP($E101,武器奇术!$A:$R,4,FALSE),VLOOKUP($E101,武器奇术!$A:$R,2,FALSE))*(1+CQ101)*(1+CR101)*CS101</f>
        <v>0</v>
      </c>
      <c r="DA101" s="93">
        <f t="shared" si="80"/>
        <v>0.0879</v>
      </c>
      <c r="DB101" s="101">
        <f t="shared" si="81"/>
        <v>0</v>
      </c>
      <c r="DC101" s="99">
        <f>IF(VLOOKUP($E101,武器奇术!$A:$R,18,FALSE)="极乐",0,$B$15)</f>
        <v>0</v>
      </c>
      <c r="DD101" s="91">
        <f t="shared" ref="DD101:DD142" si="111">(DC101+DE101)/2</f>
        <v>0</v>
      </c>
      <c r="DE101" s="91">
        <f>IF(VLOOKUP($E101,武器奇术!$A:$R,18,FALSE)="极乐",0,$C$15)</f>
        <v>0</v>
      </c>
      <c r="DF101" s="93">
        <f>IF((IF(VLOOKUP($E101,武器奇术!$A:$R,17,FALSE)="鸣金",$D$7,0)+IF(VLOOKUP($E101,武器奇术!$A:$R,17,FALSE)="裂石",$D$9,0)+IF(VLOOKUP($E101,武器奇术!$A:$R,17,FALSE)="牵丝",$D$11,0)+IF(VLOOKUP($E101,武器奇术!$A:$R,17,FALSE)="破竹",$D$13,0)+$D$15-VLOOKUP($F$7,目标属性!$A:$R,6,FALSE)+IF(VLOOKUP($E101,武器奇术!$A:$V,22,FALSE)=1,4,0)+IF(VLOOKUP($E101,武器奇术!$A:$T,20,FALSE)=1,10,0))&gt;0,(IF(VLOOKUP($E101,武器奇术!$A:$R,17,FALSE)="鸣金",$D$7,0)+IF(VLOOKUP($E101,武器奇术!$A:$R,17,FALSE)="裂石",$D$9,0)+IF(VLOOKUP($E101,武器奇术!$A:$R,17,FALSE)="牵丝",$D$11,0)+IF(VLOOKUP($E101,武器奇术!$A:$R,17,FALSE)="破竹",$D$13,0)+$D$15-VLOOKUP($F$7,目标属性!$A:$R,6,FALSE)+IF(VLOOKUP($E101,武器奇术!$A:$V,22,FALSE)=1,4,0)+IF(VLOOKUP($E101,武器奇术!$A:$T,20,FALSE)=1,10,0))/200,(IF(VLOOKUP($E101,武器奇术!$A:$R,17,FALSE)="鸣金",$D$7,0)+IF(VLOOKUP($E101,武器奇术!$A:$R,17,FALSE)="裂石",$D$9,0)+IF(VLOOKUP($E101,武器奇术!$A:$R,17,FALSE)="牵丝",$D$11,0)+IF(VLOOKUP($E101,武器奇术!$A:$R,17,FALSE)="破竹",$D$13,0)+$D$15-VLOOKUP($F$7,目标属性!$A:$R,6,FALSE)+IF(VLOOKUP($E101,武器奇术!$A:$V,22,FALSE)=1,4,0)+IF(VLOOKUP($E101,武器奇术!$A:$T,20,FALSE)=1,10,0))/100)</f>
        <v>0.028</v>
      </c>
      <c r="DG101" s="100">
        <f t="shared" ref="DG101:DG104" si="112">$E$13</f>
        <v>0.148</v>
      </c>
      <c r="DH101" s="91">
        <v>1</v>
      </c>
      <c r="DI101" s="92">
        <f>DC101*IF(VLOOKUP($E101,武器奇术!$A:$R,17,FALSE)="破竹",VLOOKUP($E101,武器奇术!$A:$R,4,FALSE),VLOOKUP($E101,武器奇术!$A:$R,2,FALSE))*(1+DF101)*(1+DG101)*DH101</f>
        <v>0</v>
      </c>
      <c r="DJ101" s="93">
        <f>(1-IF(VLOOKUP($E101,武器奇术!$A:$R,16,FALSE)="陌刀",1,$N101))*(1-$M101)</f>
        <v>0</v>
      </c>
      <c r="DK101" s="92">
        <f>DD101*IF(VLOOKUP($E101,武器奇术!$A:$R,17,FALSE)="破竹",VLOOKUP($E101,武器奇术!$A:$R,4,FALSE),VLOOKUP($E101,武器奇术!$A:$R,2,FALSE))*(1+DF101)*(1+DG101)*DH101*(1+$E$16+VLOOKUP($E101,武器奇术!$A:$R,8,FALSE))</f>
        <v>0</v>
      </c>
      <c r="DL101" s="93">
        <f t="shared" si="104"/>
        <v>0.8135</v>
      </c>
      <c r="DM101" s="92">
        <f>DE101*IF(VLOOKUP($E101,武器奇术!$A:$R,17,FALSE)="破竹",VLOOKUP($E101,武器奇术!$A:$R,4,FALSE),VLOOKUP($E101,武器奇术!$A:$R,2,FALSE))*(1+DF101)*(1+DG101)*DH101*(1+$E$17+VLOOKUP($E101,武器奇术!$A:$R,10,FALSE))</f>
        <v>0</v>
      </c>
      <c r="DN101" s="93">
        <f t="shared" si="105"/>
        <v>0.0986</v>
      </c>
      <c r="DO101" s="92">
        <f>DD101*IF(VLOOKUP($E101,武器奇术!$A:$R,17,FALSE)="破竹",VLOOKUP($E101,武器奇术!$A:$R,4,FALSE),VLOOKUP($E101,武器奇术!$A:$R,2,FALSE))*(1+DF101)*(1+DG101)*DH101</f>
        <v>0</v>
      </c>
      <c r="DP101" s="93">
        <f t="shared" si="106"/>
        <v>0.0879</v>
      </c>
      <c r="DQ101" s="101">
        <f t="shared" si="107"/>
        <v>0</v>
      </c>
    </row>
    <row r="102" spans="1:121">
      <c r="A102" s="33"/>
      <c r="B102" t="s">
        <v>147</v>
      </c>
      <c r="C102">
        <v>1</v>
      </c>
      <c r="D102" s="33"/>
      <c r="E102" s="105" t="s">
        <v>128</v>
      </c>
      <c r="F102" s="106">
        <v>1</v>
      </c>
      <c r="G102" s="107"/>
      <c r="H102" s="127">
        <f>(H89+H96+H100)*0.3</f>
        <v>165694.87469841</v>
      </c>
      <c r="I102" s="93">
        <f t="shared" si="58"/>
        <v>0.0212557889914909</v>
      </c>
      <c r="J102" s="93">
        <f>$F$3+VLOOKUP($E102,武器奇术!$A:$R,12,FALSE)+VLOOKUP($E102,武器奇术!$A:$R,14,FALSE)*$G$3+$P102</f>
        <v>0</v>
      </c>
      <c r="K102" s="94">
        <f>VLOOKUP($E102,武器奇术!$A:$R,11,FALSE)</f>
        <v>1</v>
      </c>
      <c r="L102" s="109">
        <f>IF(VLOOKUP($E102,武器奇术!$A:$R,15,FALSE)="天工",0%,IF($C$17+VLOOKUP($E102,武器奇术!$A:$R,7,FALSE)&gt;80%,80%,$C$17+VLOOKUP($E102,武器奇术!$A:$R,7,FALSE))+IF($C$19&gt;20%,20%,$C$19))</f>
        <v>0.8135</v>
      </c>
      <c r="M102" s="110">
        <f>IF(VLOOKUP($E102,武器奇术!$A:$R,15,FALSE)="天工",0%,IF($C$18+VLOOKUP($E102,武器奇术!$A:$R,9,FALSE)&gt;40%,40%,$C$18+VLOOKUP($E102,武器奇术!$A:$R,9,FALSE))+IF($C$20&gt;10%,10%,$C$20))</f>
        <v>0.0986</v>
      </c>
      <c r="N102" s="111">
        <f>IF(VLOOKUP($E102,武器奇术!$A:$R,15,FALSE)="天工",100%,MIN($C$16,1))</f>
        <v>1</v>
      </c>
      <c r="O102" s="112" t="str">
        <f>VLOOKUP($E102,武器奇术!$A:$R,16,FALSE)</f>
        <v>N/A</v>
      </c>
      <c r="P102" s="113">
        <f t="shared" si="108"/>
        <v>0</v>
      </c>
      <c r="Q102" s="99">
        <f>$B$5*(1+VLOOKUP($E102,武器奇术!$A:$R,5,FALSE)+IF($G$5="飞隼",0.1,0)+IF($G$5="撼天",0.05,0))-$F$9*IF(VLOOKUP($E102,武器奇术!$A:$S,19,FALSE)=1,0.9,1)+IF($I$5="√",160,0)</f>
        <v>2848.3</v>
      </c>
      <c r="R102" s="91">
        <f t="shared" si="60"/>
        <v>2848.3</v>
      </c>
      <c r="S102" s="91">
        <f>MAX($C$5,$B$5)*(1+VLOOKUP($E102,武器奇术!$A:$R,5,FALSE)+IF($G$5="飞隼",0.1,0)+IF($G$5="撼天",0.05,0))-$F$9*IF(VLOOKUP($E102,武器奇术!$A:$S,19,FALSE)=1,0.9,1)+IF($I$5="√",320,0)</f>
        <v>2848.3</v>
      </c>
      <c r="T102" s="93">
        <f>IF(($D$5+VLOOKUP($E102,武器奇术!$A:$R,13,FALSE)+IF($I$3="√",10,0)-VLOOKUP($F$7,目标属性!$A:$R,5,FALSE))&gt;0,($D$5+VLOOKUP($E102,武器奇术!$A:$R,13,FALSE)+IF($I$3="√",10,0)-VLOOKUP($F$7,目标属性!$A:$R,5,FALSE))/200,($D$5+VLOOKUP($E102,武器奇术!$A:$R,13,FALSE)+IF($I$3="√",10,0)-VLOOKUP($F$7,目标属性!$A:$R,5,FALSE))/100)</f>
        <v>0.2675</v>
      </c>
      <c r="U102" s="100">
        <f>$E$5+IF(VLOOKUP($E102,武器奇术!$A:$R,18,FALSE)="鼠鼠",0.24,0)</f>
        <v>0</v>
      </c>
      <c r="V102" s="91">
        <v>1</v>
      </c>
      <c r="W102" s="92">
        <f>Q102*VLOOKUP($E102,武器奇术!$A:$R,2,FALSE)*(1+T102)*(1+U102)*V102</f>
        <v>0</v>
      </c>
      <c r="X102" s="93">
        <f>(1-IF(VLOOKUP($E102,武器奇术!$A:$R,16,FALSE)="陌刀",1,$N102))*(1-$M102)</f>
        <v>0</v>
      </c>
      <c r="Y102" s="92">
        <f>R102*VLOOKUP($E102,武器奇术!$A:$R,2,FALSE)*(1+T102)*(1+U102)*V102*(1+$E$16+VLOOKUP($E102,武器奇术!$A:$R,8,FALSE))</f>
        <v>0</v>
      </c>
      <c r="Z102" s="93">
        <f t="shared" si="61"/>
        <v>0.8135</v>
      </c>
      <c r="AA102" s="92">
        <f>S102*VLOOKUP($E102,武器奇术!$A:$R,2,FALSE)*(1+T102)*(1+U102)*V102*(1+$E$17+VLOOKUP($E102,武器奇术!$A:$R,10,FALSE))</f>
        <v>0</v>
      </c>
      <c r="AB102" s="93">
        <f t="shared" si="62"/>
        <v>0.0986</v>
      </c>
      <c r="AC102" s="92">
        <f>R102*VLOOKUP($E102,武器奇术!$A:$R,2,FALSE)*(1+T102)*(1+U102)*V102</f>
        <v>0</v>
      </c>
      <c r="AD102" s="93">
        <f t="shared" si="63"/>
        <v>0.0879</v>
      </c>
      <c r="AE102" s="101">
        <f t="shared" si="64"/>
        <v>0</v>
      </c>
      <c r="AF102" s="102">
        <f>VLOOKUP($E102,武器奇术!$A:$R,3,FALSE)*(1+IF(VLOOKUP($E102,武器奇术!$A:$R,15,FALSE)="武器",$E$15,0))</f>
        <v>0</v>
      </c>
      <c r="AG102" s="92">
        <f t="shared" si="65"/>
        <v>0</v>
      </c>
      <c r="AH102" s="92">
        <f>VLOOKUP($E102,武器奇术!$A:$R,3,FALSE)*(1+IF(VLOOKUP($E102,武器奇术!$A:$R,15,FALSE)="武器",$E$15,0))</f>
        <v>0</v>
      </c>
      <c r="AI102" s="93">
        <f>IF(($D$5+VLOOKUP($E102,武器奇术!$A:$R,13,FALSE)+IF($I$3="√",10,0)-VLOOKUP($F$7,目标属性!$A:$R,5,FALSE))&gt;0,($D$5+VLOOKUP($E102,武器奇术!$A:$R,13,FALSE)+IF($I$3="√",10,0)-VLOOKUP($F$7,目标属性!$A:$R,5,FALSE))/200,($D$5+VLOOKUP($E102,武器奇术!$A:$R,13,FALSE)+IF($I$3="√",10,0)-VLOOKUP($F$7,目标属性!$A:$R,5,FALSE))/100)</f>
        <v>0.2675</v>
      </c>
      <c r="AJ102" s="100">
        <f>$E$5+IF(VLOOKUP($E102,武器奇术!$A:$R,18,FALSE)="鼠鼠",0.24,0)</f>
        <v>0</v>
      </c>
      <c r="AK102" s="91">
        <v>1</v>
      </c>
      <c r="AL102" s="92">
        <f t="shared" si="109"/>
        <v>0</v>
      </c>
      <c r="AM102" s="93">
        <f>(1-IF(VLOOKUP($E102,武器奇术!$A:$R,16,FALSE)="陌刀",1,$N102))*(1-$M102)</f>
        <v>0</v>
      </c>
      <c r="AN102" s="92">
        <f>AG102*(1+AI102)*(1+AJ102)*AK102*(1+$E$16+VLOOKUP($E102,武器奇术!$A:$R,8,FALSE))</f>
        <v>0</v>
      </c>
      <c r="AO102" s="93">
        <f t="shared" si="94"/>
        <v>0.8135</v>
      </c>
      <c r="AP102" s="92">
        <f>AH102*(1+AI102)*(1+AJ102)*AK102*(1+$E$17+VLOOKUP($E102,武器奇术!$A:$R,10,FALSE))</f>
        <v>0</v>
      </c>
      <c r="AQ102" s="93">
        <f t="shared" si="95"/>
        <v>0.0986</v>
      </c>
      <c r="AR102" s="92">
        <f t="shared" si="67"/>
        <v>0</v>
      </c>
      <c r="AS102" s="93">
        <f t="shared" si="68"/>
        <v>0.0879</v>
      </c>
      <c r="AT102" s="101">
        <f t="shared" si="69"/>
        <v>0</v>
      </c>
      <c r="AU102" s="99">
        <f>IF(VLOOKUP($E102,武器奇术!$A:$R,18,FALSE)="极乐",0,$B$7*IF($G$5="撼天",1.05,1)+IF(AND(VLOOKUP($E102,武器奇术!$A:$R,15,FALSE)="武器",VLOOKUP($E102,武器奇术!$A:$R,17,FALSE)="鸣金"),$E$3*(1+$E$15),0))</f>
        <v>0</v>
      </c>
      <c r="AV102" s="91">
        <f t="shared" si="70"/>
        <v>0</v>
      </c>
      <c r="AW102" s="91">
        <f>IF(VLOOKUP($E102,武器奇术!$A:$R,18,FALSE)="极乐",0,MAX($C$7*IF($G$5="撼天",1.05,1)+IF(AND(VLOOKUP($E102,武器奇术!$A:$R,15,FALSE)="武器",VLOOKUP($E102,武器奇术!$A:$R,17,FALSE)="鸣金"),$E$3*(1+$E$15),0),AU102))</f>
        <v>0</v>
      </c>
      <c r="AX102" s="93">
        <f>IF(($D$7+IF(VLOOKUP($E102,武器奇术!$A:$R,17,FALSE)="鸣金",$D$15,0)-VLOOKUP($F$7,目标属性!$A:$R,6,FALSE))&gt;0,($D$7+IF(VLOOKUP($E102,武器奇术!$A:$R,17,FALSE)="鸣金",$D$15,0)-VLOOKUP($F$7,目标属性!$A:$R,6,FALSE))/200,($D$7+IF(VLOOKUP($E102,武器奇术!$A:$R,17,FALSE)="鸣金",$D$15,0)-VLOOKUP($F$7,目标属性!$A:$R,6,FALSE))/100)</f>
        <v>-0.24</v>
      </c>
      <c r="AY102" s="100">
        <f t="shared" si="89"/>
        <v>0</v>
      </c>
      <c r="AZ102" s="91">
        <v>1</v>
      </c>
      <c r="BA102" s="92">
        <f>AU102*IF(VLOOKUP($E102,武器奇术!$A:$R,17,FALSE)="鸣金",VLOOKUP($E102,武器奇术!$A:$R,4,FALSE),VLOOKUP($E102,武器奇术!$A:$R,2,FALSE))*(1+AX102)*(1+AY102)*AZ102</f>
        <v>0</v>
      </c>
      <c r="BB102" s="93">
        <f>(1-IF(VLOOKUP($E102,武器奇术!$A:$R,16,FALSE)="陌刀",1,$N102))*(1-$M102)</f>
        <v>0</v>
      </c>
      <c r="BC102" s="92">
        <f>AV102*IF(VLOOKUP($E102,武器奇术!$A:$R,17,FALSE)="鸣金",VLOOKUP($E102,武器奇术!$A:$R,4,FALSE),VLOOKUP($E102,武器奇术!$A:$R,2,FALSE))*(1+AX102)*(1+AY102)*AZ102*(1+$E$16+VLOOKUP($E102,武器奇术!$A:$R,8,FALSE))</f>
        <v>0</v>
      </c>
      <c r="BD102" s="93">
        <f t="shared" si="96"/>
        <v>0.8135</v>
      </c>
      <c r="BE102" s="92">
        <f>AW102*IF(VLOOKUP($E102,武器奇术!$A:$R,17,FALSE)="鸣金",VLOOKUP($E102,武器奇术!$A:$R,4,FALSE),VLOOKUP($E102,武器奇术!$A:$R,2,FALSE))*(1+AX102)*(1+AY102)*AZ102*(1+$E$17+VLOOKUP($E102,武器奇术!$A:$R,10,FALSE))</f>
        <v>0</v>
      </c>
      <c r="BF102" s="93">
        <f t="shared" si="97"/>
        <v>0.0986</v>
      </c>
      <c r="BG102" s="92">
        <f>AV102*IF(VLOOKUP($E102,武器奇术!$A:$R,17,FALSE)="鸣金",VLOOKUP($E102,武器奇术!$A:$R,4,FALSE),VLOOKUP($E102,武器奇术!$A:$R,2,FALSE))*(1+AX102)*(1+AY102)*AZ102</f>
        <v>0</v>
      </c>
      <c r="BH102" s="93">
        <f t="shared" si="71"/>
        <v>0.0879</v>
      </c>
      <c r="BI102" s="101">
        <f t="shared" si="72"/>
        <v>0</v>
      </c>
      <c r="BJ102" s="99">
        <f>IF(VLOOKUP($E102,武器奇术!$A:$R,18,FALSE)="极乐",0,$B$9*IF($G$5="撼天",1.05,1)+IF(AND(VLOOKUP($E102,武器奇术!$A:$R,15,FALSE)="武器",VLOOKUP($E102,武器奇术!$A:$R,17,FALSE)="裂石"),$E$3*(1+$E$15),0))</f>
        <v>0</v>
      </c>
      <c r="BK102" s="91">
        <f t="shared" si="73"/>
        <v>0</v>
      </c>
      <c r="BL102" s="91">
        <f>IF(VLOOKUP($E102,武器奇术!$A:$R,18,FALSE)="极乐",0,MAX($C$9*IF($G$5="撼天",1.05,1)+IF(AND(VLOOKUP($E102,武器奇术!$A:$R,15,FALSE)="武器",VLOOKUP($E102,武器奇术!$A:$R,17,FALSE)="裂石"),$E$3*(1+$E$15),0),BJ102))</f>
        <v>0</v>
      </c>
      <c r="BM102" s="93">
        <f>IF(($D$9+IF(VLOOKUP($E102,武器奇术!$A:$R,17,FALSE)="裂石",$D$15,0)-VLOOKUP($F$7,目标属性!$A:$R,6,FALSE))&gt;0,($D$9+IF(VLOOKUP($E102,武器奇术!$A:$R,17,FALSE)="裂石",$D$15,0)-VLOOKUP($F$7,目标属性!$A:$R,6,FALSE))/200,($D$9+IF(VLOOKUP($E102,武器奇术!$A:$R,17,FALSE)="裂石",$D$15,0)-VLOOKUP($F$7,目标属性!$A:$R,6,FALSE))/100)</f>
        <v>-0.24</v>
      </c>
      <c r="BN102" s="100">
        <f t="shared" si="90"/>
        <v>0</v>
      </c>
      <c r="BO102" s="91">
        <v>1</v>
      </c>
      <c r="BP102" s="92">
        <f>BJ102*IF(VLOOKUP($E102,武器奇术!$A:$R,17,FALSE)="裂石",VLOOKUP($E102,武器奇术!$A:$R,4,FALSE),VLOOKUP($E102,武器奇术!$A:$R,2,FALSE))*(1+BM102)*(1+BN102)*BO102</f>
        <v>0</v>
      </c>
      <c r="BQ102" s="93">
        <f>(1-IF(VLOOKUP($E102,武器奇术!$A:$R,16,FALSE)="陌刀",1,$N102))*(1-$M102)</f>
        <v>0</v>
      </c>
      <c r="BR102" s="92">
        <f>BK102*IF(VLOOKUP($E102,武器奇术!$A:$R,17,FALSE)="裂石",VLOOKUP($E102,武器奇术!$A:$R,4,FALSE),VLOOKUP($E102,武器奇术!$A:$R,2,FALSE))*(1+BM102)*(1+BN102)*BO102*(1+$E$16+VLOOKUP($E102,武器奇术!$A:$R,8,FALSE))</f>
        <v>0</v>
      </c>
      <c r="BS102" s="93">
        <f t="shared" si="98"/>
        <v>0.8135</v>
      </c>
      <c r="BT102" s="92">
        <f>BL102*IF(VLOOKUP($E102,武器奇术!$A:$R,17,FALSE)="裂石",VLOOKUP($E102,武器奇术!$A:$R,4,FALSE),VLOOKUP($E102,武器奇术!$A:$R,2,FALSE))*(1+BM102)*(1+BN102)*BO102*(1+$E$17+VLOOKUP($E102,武器奇术!$A:$R,10,FALSE))</f>
        <v>0</v>
      </c>
      <c r="BU102" s="93">
        <f t="shared" si="99"/>
        <v>0.0986</v>
      </c>
      <c r="BV102" s="92">
        <f>BK102*IF(VLOOKUP($E102,武器奇术!$A:$R,17,FALSE)="裂石",VLOOKUP($E102,武器奇术!$A:$R,4,FALSE),VLOOKUP($E102,武器奇术!$A:$R,2,FALSE))*(1+BM102)*(1+BN102)*BO102</f>
        <v>0</v>
      </c>
      <c r="BW102" s="93">
        <f t="shared" si="74"/>
        <v>0.0879</v>
      </c>
      <c r="BX102" s="101">
        <f t="shared" si="75"/>
        <v>0</v>
      </c>
      <c r="BY102" s="99">
        <f>IF(VLOOKUP($E102,武器奇术!$A:$R,18,FALSE)="极乐",0,$B$11*IF($G$5="撼天",1.05,1)+IF(AND(VLOOKUP($E102,武器奇术!$A:$R,15,FALSE)="武器",VLOOKUP($E102,武器奇术!$A:$R,17,FALSE)="牵丝"),$E$3*(1+$E$15),0))</f>
        <v>0</v>
      </c>
      <c r="BZ102" s="91">
        <f t="shared" si="76"/>
        <v>0</v>
      </c>
      <c r="CA102" s="91">
        <f>IF(VLOOKUP($E102,武器奇术!$A:$R,18,FALSE)="极乐",0,MAX($C$11*IF($G$5="撼天",1.05,1)+IF(AND(VLOOKUP($E102,武器奇术!$A:$R,15,FALSE)="武器",VLOOKUP($E102,武器奇术!$A:$R,17,FALSE)="牵丝"),$E$3*(1+$E$15),0),BY102))</f>
        <v>0</v>
      </c>
      <c r="CB102" s="93">
        <f>IF(($D$11+IF(VLOOKUP($E102,武器奇术!$A:$R,17,FALSE)="牵丝",$D$15,0)-VLOOKUP($F$7,目标属性!$A:$R,6,FALSE))&gt;0,($D$11+IF(VLOOKUP($E102,武器奇术!$A:$R,17,FALSE)="牵丝",$D$15,0)-VLOOKUP($F$7,目标属性!$A:$R,6,FALSE))/200,($D$11+IF(VLOOKUP($E102,武器奇术!$A:$R,17,FALSE)="牵丝",$D$15,0)-VLOOKUP($F$7,目标属性!$A:$R,6,FALSE))/100)</f>
        <v>-0.24</v>
      </c>
      <c r="CC102" s="100">
        <f t="shared" si="91"/>
        <v>0</v>
      </c>
      <c r="CD102" s="91">
        <v>1</v>
      </c>
      <c r="CE102" s="92">
        <f>BY102*IF(VLOOKUP($E102,武器奇术!$A:$R,17,FALSE)="牵丝",VLOOKUP($E102,武器奇术!$A:$R,4,FALSE),VLOOKUP($E102,武器奇术!$A:$R,2,FALSE))*(1+CB102)*(1+CC102)*CD102</f>
        <v>0</v>
      </c>
      <c r="CF102" s="93">
        <f>(1-IF(VLOOKUP($E102,武器奇术!$A:$R,16,FALSE)="陌刀",1,$N102))*(1-$M102)</f>
        <v>0</v>
      </c>
      <c r="CG102" s="92">
        <f>BZ102*IF(VLOOKUP($E102,武器奇术!$A:$R,17,FALSE)="牵丝",VLOOKUP($E102,武器奇术!$A:$R,4,FALSE),VLOOKUP($E102,武器奇术!$A:$R,2,FALSE))*(1+CB102)*(1+CC102)*CD102*(1+$E$16+VLOOKUP($E102,武器奇术!$A:$R,8,FALSE))</f>
        <v>0</v>
      </c>
      <c r="CH102" s="93">
        <f t="shared" si="100"/>
        <v>0.8135</v>
      </c>
      <c r="CI102" s="92">
        <f>CA102*IF(VLOOKUP($E102,武器奇术!$A:$R,17,FALSE)="牵丝",VLOOKUP($E102,武器奇术!$A:$R,4,FALSE),VLOOKUP($E102,武器奇术!$A:$R,2,FALSE))*(1+CB102)*(1+CC102)*CD102*(1+$E$17+VLOOKUP($E102,武器奇术!$A:$R,10,FALSE))</f>
        <v>0</v>
      </c>
      <c r="CJ102" s="93">
        <f t="shared" si="101"/>
        <v>0.0986</v>
      </c>
      <c r="CK102" s="92">
        <f>BZ102*IF(VLOOKUP($E102,武器奇术!$A:$R,17,FALSE)="牵丝",VLOOKUP($E102,武器奇术!$A:$R,4,FALSE),VLOOKUP($E102,武器奇术!$A:$R,2,FALSE))*(1+CB102)*(1+CC102)*CD102</f>
        <v>0</v>
      </c>
      <c r="CL102" s="93">
        <f t="shared" si="77"/>
        <v>0.0879</v>
      </c>
      <c r="CM102" s="101">
        <f t="shared" si="78"/>
        <v>0</v>
      </c>
      <c r="CN102" s="99">
        <f>IF(VLOOKUP($E102,武器奇术!$A:$R,18,FALSE)="极乐",0,$B$13*IF($G$5="撼天",1.05,1)+IF(AND(VLOOKUP($E102,武器奇术!$A:$R,15,FALSE)="武器",VLOOKUP($E102,武器奇术!$A:$R,17,FALSE)="破竹"),$E$3*(1+$E$15),0))</f>
        <v>490.8</v>
      </c>
      <c r="CO102" s="91">
        <f t="shared" si="79"/>
        <v>856.3</v>
      </c>
      <c r="CP102" s="91">
        <f>IF(VLOOKUP($E102,武器奇术!$A:$R,18,FALSE)="极乐",0,MAX($C$13*IF($G$5="撼天",1.05,1)+IF(AND(VLOOKUP($E102,武器奇术!$A:$R,15,FALSE)="武器",VLOOKUP($E102,武器奇术!$A:$R,17,FALSE)="破竹"),$E$3*(1+$E$15),0),CN102))</f>
        <v>1221.8</v>
      </c>
      <c r="CQ102" s="93">
        <f>IF(($D$13+IF(VLOOKUP($E102,武器奇术!$A:$R,17,FALSE)="破竹",$D$15,0)-VLOOKUP($F$7,目标属性!$A:$R,6,FALSE)+IF(VLOOKUP($E102,武器奇术!$A:$V,22,FALSE)=1,4,0)+IF(VLOOKUP($E102,武器奇术!$A:$T,20,FALSE)=1,10,0))&gt;0,($D$13+IF(VLOOKUP($E102,武器奇术!$A:$R,17,FALSE)="破竹",$D$15,0)-VLOOKUP($F$7,目标属性!$A:$R,6,FALSE)+IF(VLOOKUP($E102,武器奇术!$A:$V,22,FALSE)=1,4,0)+IF(VLOOKUP($E102,武器奇术!$A:$T,20,FALSE)=1,10,0))/200,($D$13+IF(VLOOKUP($E102,武器奇术!$A:$R,17,FALSE)="破竹",$D$15,0)-VLOOKUP($F$7,目标属性!$A:$R,6,FALSE)+IF(VLOOKUP($E102,武器奇术!$A:$V,22,FALSE)=1,4,0)+IF(VLOOKUP($E102,武器奇术!$A:$T,20,FALSE)=1,10,0))/100)</f>
        <v>0.028</v>
      </c>
      <c r="CR102" s="100">
        <f t="shared" si="83"/>
        <v>0.148</v>
      </c>
      <c r="CS102" s="91">
        <v>1</v>
      </c>
      <c r="CT102" s="92">
        <f>CN102*IF(VLOOKUP($E102,武器奇术!$A:$R,17,FALSE)="破竹",VLOOKUP($E102,武器奇术!$A:$R,4,FALSE),VLOOKUP($E102,武器奇术!$A:$R,2,FALSE))*(1+CQ102)*(1+CR102)*CS102</f>
        <v>0</v>
      </c>
      <c r="CU102" s="93">
        <f>(1-IF(VLOOKUP($E102,武器奇术!$A:$R,16,FALSE)="陌刀",1,$N102))*(1-$M102)</f>
        <v>0</v>
      </c>
      <c r="CV102" s="92">
        <f>CO102*IF(VLOOKUP($E102,武器奇术!$A:$R,17,FALSE)="破竹",VLOOKUP($E102,武器奇术!$A:$R,4,FALSE),VLOOKUP($E102,武器奇术!$A:$R,2,FALSE))*(1+CQ102)*(1+CR102)*CS102*(1+$E$16+VLOOKUP($E102,武器奇术!$A:$R,8,FALSE))</f>
        <v>0</v>
      </c>
      <c r="CW102" s="93">
        <f t="shared" si="102"/>
        <v>0.8135</v>
      </c>
      <c r="CX102" s="92">
        <f>CP102*IF(VLOOKUP($E102,武器奇术!$A:$R,17,FALSE)="破竹",VLOOKUP($E102,武器奇术!$A:$R,4,FALSE),VLOOKUP($E102,武器奇术!$A:$R,2,FALSE))*(1+CQ102)*(1+CR102)*CS102*(1+$E$17+VLOOKUP($E102,武器奇术!$A:$R,10,FALSE))</f>
        <v>0</v>
      </c>
      <c r="CY102" s="93">
        <f t="shared" si="103"/>
        <v>0.0986</v>
      </c>
      <c r="CZ102" s="92">
        <f>CO102*IF(VLOOKUP($E102,武器奇术!$A:$R,17,FALSE)="破竹",VLOOKUP($E102,武器奇术!$A:$R,4,FALSE),VLOOKUP($E102,武器奇术!$A:$R,2,FALSE))*(1+CQ102)*(1+CR102)*CS102</f>
        <v>0</v>
      </c>
      <c r="DA102" s="93">
        <f t="shared" si="80"/>
        <v>0.0879</v>
      </c>
      <c r="DB102" s="101">
        <f t="shared" si="81"/>
        <v>0</v>
      </c>
      <c r="DC102" s="99">
        <f>IF(VLOOKUP($E102,武器奇术!$A:$R,18,FALSE)="极乐",0,$B$15)</f>
        <v>66</v>
      </c>
      <c r="DD102" s="91">
        <f t="shared" si="111"/>
        <v>95.9</v>
      </c>
      <c r="DE102" s="91">
        <f>IF(VLOOKUP($E102,武器奇术!$A:$R,18,FALSE)="极乐",0,$C$15)</f>
        <v>125.8</v>
      </c>
      <c r="DF102" s="93">
        <f>IF((IF(VLOOKUP($E102,武器奇术!$A:$R,17,FALSE)="鸣金",$D$7,0)+IF(VLOOKUP($E102,武器奇术!$A:$R,17,FALSE)="裂石",$D$9,0)+IF(VLOOKUP($E102,武器奇术!$A:$R,17,FALSE)="牵丝",$D$11,0)+IF(VLOOKUP($E102,武器奇术!$A:$R,17,FALSE)="破竹",$D$13,0)+$D$15-VLOOKUP($F$7,目标属性!$A:$R,6,FALSE)+IF(VLOOKUP($E102,武器奇术!$A:$V,22,FALSE)=1,4,0)+IF(VLOOKUP($E102,武器奇术!$A:$T,20,FALSE)=1,10,0))&gt;0,(IF(VLOOKUP($E102,武器奇术!$A:$R,17,FALSE)="鸣金",$D$7,0)+IF(VLOOKUP($E102,武器奇术!$A:$R,17,FALSE)="裂石",$D$9,0)+IF(VLOOKUP($E102,武器奇术!$A:$R,17,FALSE)="牵丝",$D$11,0)+IF(VLOOKUP($E102,武器奇术!$A:$R,17,FALSE)="破竹",$D$13,0)+$D$15-VLOOKUP($F$7,目标属性!$A:$R,6,FALSE)+IF(VLOOKUP($E102,武器奇术!$A:$V,22,FALSE)=1,4,0)+IF(VLOOKUP($E102,武器奇术!$A:$T,20,FALSE)=1,10,0))/200,(IF(VLOOKUP($E102,武器奇术!$A:$R,17,FALSE)="鸣金",$D$7,0)+IF(VLOOKUP($E102,武器奇术!$A:$R,17,FALSE)="裂石",$D$9,0)+IF(VLOOKUP($E102,武器奇术!$A:$R,17,FALSE)="牵丝",$D$11,0)+IF(VLOOKUP($E102,武器奇术!$A:$R,17,FALSE)="破竹",$D$13,0)+$D$15-VLOOKUP($F$7,目标属性!$A:$R,6,FALSE)+IF(VLOOKUP($E102,武器奇术!$A:$V,22,FALSE)=1,4,0)+IF(VLOOKUP($E102,武器奇术!$A:$T,20,FALSE)=1,10,0))/100)</f>
        <v>-0.24</v>
      </c>
      <c r="DG102" s="100">
        <f t="shared" si="112"/>
        <v>0.148</v>
      </c>
      <c r="DH102" s="91">
        <v>1</v>
      </c>
      <c r="DI102" s="92">
        <f>DC102*IF(VLOOKUP($E102,武器奇术!$A:$R,17,FALSE)="破竹",VLOOKUP($E102,武器奇术!$A:$R,4,FALSE),VLOOKUP($E102,武器奇术!$A:$R,2,FALSE))*(1+DF102)*(1+DG102)*DH102</f>
        <v>0</v>
      </c>
      <c r="DJ102" s="93">
        <f>(1-IF(VLOOKUP($E102,武器奇术!$A:$R,16,FALSE)="陌刀",1,$N102))*(1-$M102)</f>
        <v>0</v>
      </c>
      <c r="DK102" s="92">
        <f>DD102*IF(VLOOKUP($E102,武器奇术!$A:$R,17,FALSE)="破竹",VLOOKUP($E102,武器奇术!$A:$R,4,FALSE),VLOOKUP($E102,武器奇术!$A:$R,2,FALSE))*(1+DF102)*(1+DG102)*DH102*(1+$E$16+VLOOKUP($E102,武器奇术!$A:$R,8,FALSE))</f>
        <v>0</v>
      </c>
      <c r="DL102" s="93">
        <f t="shared" si="104"/>
        <v>0.8135</v>
      </c>
      <c r="DM102" s="92">
        <f>DE102*IF(VLOOKUP($E102,武器奇术!$A:$R,17,FALSE)="破竹",VLOOKUP($E102,武器奇术!$A:$R,4,FALSE),VLOOKUP($E102,武器奇术!$A:$R,2,FALSE))*(1+DF102)*(1+DG102)*DH102*(1+$E$17+VLOOKUP($E102,武器奇术!$A:$R,10,FALSE))</f>
        <v>0</v>
      </c>
      <c r="DN102" s="93">
        <f t="shared" si="105"/>
        <v>0.0986</v>
      </c>
      <c r="DO102" s="92">
        <f>DD102*IF(VLOOKUP($E102,武器奇术!$A:$R,17,FALSE)="破竹",VLOOKUP($E102,武器奇术!$A:$R,4,FALSE),VLOOKUP($E102,武器奇术!$A:$R,2,FALSE))*(1+DF102)*(1+DG102)*DH102</f>
        <v>0</v>
      </c>
      <c r="DP102" s="93">
        <f t="shared" si="106"/>
        <v>0.0879</v>
      </c>
      <c r="DQ102" s="101">
        <f t="shared" si="107"/>
        <v>0</v>
      </c>
    </row>
    <row r="103" spans="1:121">
      <c r="B103" t="s">
        <v>149</v>
      </c>
      <c r="C103">
        <v>0.2</v>
      </c>
      <c r="D103" s="33"/>
      <c r="E103" s="105" t="s">
        <v>73</v>
      </c>
      <c r="F103" s="106">
        <v>0</v>
      </c>
      <c r="G103" s="107"/>
      <c r="H103" s="92">
        <f>IF(VLOOKUP($E103,武器奇术!$A:$R,18,FALSE)="天工",AE103,(AE103+AT103+BI103+BX103+CM103+DB103+DQ103))*(1+J103)*F103*K103*(1+G103)</f>
        <v>0</v>
      </c>
      <c r="I103" s="93">
        <f t="shared" si="58"/>
        <v>0</v>
      </c>
      <c r="J103" s="93">
        <f>$F$3+VLOOKUP($E103,武器奇术!$A:$R,12,FALSE)+VLOOKUP($E103,武器奇术!$A:$R,14,FALSE)*$G$3+$P103</f>
        <v>0.303</v>
      </c>
      <c r="K103" s="94">
        <f>VLOOKUP($E103,武器奇术!$A:$R,11,FALSE)</f>
        <v>1</v>
      </c>
      <c r="L103" s="109">
        <f>IF(VLOOKUP($E103,武器奇术!$A:$R,15,FALSE)="天工",0%,IF($C$17+VLOOKUP($E103,武器奇术!$A:$R,7,FALSE)&gt;80%,80%,$C$17+VLOOKUP($E103,武器奇术!$A:$R,7,FALSE))+IF($C$19&gt;20%,20%,$C$19))</f>
        <v>0.8135</v>
      </c>
      <c r="M103" s="110">
        <f>IF(VLOOKUP($E103,武器奇术!$A:$R,15,FALSE)="天工",0%,IF($C$18+VLOOKUP($E103,武器奇术!$A:$R,9,FALSE)&gt;40%,40%,$C$18+VLOOKUP($E103,武器奇术!$A:$R,9,FALSE))+IF($C$20&gt;10%,10%,$C$20))</f>
        <v>0.0986</v>
      </c>
      <c r="N103" s="111">
        <f>IF(VLOOKUP($E103,武器奇术!$A:$R,15,FALSE)="天工",100%,MIN($C$16,1))</f>
        <v>1</v>
      </c>
      <c r="O103" s="112" t="str">
        <f>VLOOKUP($E103,武器奇术!$A:$R,16,FALSE)</f>
        <v>N/A</v>
      </c>
      <c r="P103" s="113">
        <f t="shared" si="108"/>
        <v>0</v>
      </c>
      <c r="Q103" s="99">
        <f>$B$5*(1+VLOOKUP($E103,武器奇术!$A:$R,5,FALSE)+IF($G$5="飞隼",0.1,0)+IF($G$5="撼天",0.05,0))-$F$9*IF(VLOOKUP($E103,武器奇术!$A:$S,19,FALSE)=1,0.9,1)+IF($I$5="√",160,0)</f>
        <v>2848.3</v>
      </c>
      <c r="R103" s="91">
        <f t="shared" si="60"/>
        <v>2848.3</v>
      </c>
      <c r="S103" s="91">
        <f>MAX($C$5,$B$5)*(1+VLOOKUP($E103,武器奇术!$A:$R,5,FALSE)+IF($G$5="飞隼",0.1,0)+IF($G$5="撼天",0.05,0))-$F$9*IF(VLOOKUP($E103,武器奇术!$A:$S,19,FALSE)=1,0.9,1)+IF($I$5="√",320,0)</f>
        <v>2848.3</v>
      </c>
      <c r="T103" s="93">
        <f>IF(($D$5+VLOOKUP($E103,武器奇术!$A:$R,13,FALSE)+IF($I$3="√",10,0)-VLOOKUP($F$7,目标属性!$A:$R,5,FALSE))&gt;0,($D$5+VLOOKUP($E103,武器奇术!$A:$R,13,FALSE)+IF($I$3="√",10,0)-VLOOKUP($F$7,目标属性!$A:$R,5,FALSE))/200,($D$5+VLOOKUP($E103,武器奇术!$A:$R,13,FALSE)+IF($I$3="√",10,0)-VLOOKUP($F$7,目标属性!$A:$R,5,FALSE))/100)</f>
        <v>0.2675</v>
      </c>
      <c r="U103" s="100">
        <f>$E$5+IF(VLOOKUP($E103,武器奇术!$A:$R,18,FALSE)="鼠鼠",0.24,0)</f>
        <v>0</v>
      </c>
      <c r="V103" s="91">
        <v>1</v>
      </c>
      <c r="W103" s="92">
        <f>Q103*VLOOKUP($E103,武器奇术!$A:$R,2,FALSE)*(1+T103)*(1+U103)*V103</f>
        <v>0</v>
      </c>
      <c r="X103" s="93">
        <f>(1-IF(VLOOKUP($E103,武器奇术!$A:$R,16,FALSE)="陌刀",1,$N103))*(1-$M103)</f>
        <v>0</v>
      </c>
      <c r="Y103" s="92">
        <f>R103*VLOOKUP($E103,武器奇术!$A:$R,2,FALSE)*(1+T103)*(1+U103)*V103*(1+$E$16+VLOOKUP($E103,武器奇术!$A:$R,8,FALSE))</f>
        <v>0</v>
      </c>
      <c r="Z103" s="93">
        <f t="shared" si="61"/>
        <v>0.8135</v>
      </c>
      <c r="AA103" s="92">
        <f>S103*VLOOKUP($E103,武器奇术!$A:$R,2,FALSE)*(1+T103)*(1+U103)*V103*(1+$E$17+VLOOKUP($E103,武器奇术!$A:$R,10,FALSE))</f>
        <v>0</v>
      </c>
      <c r="AB103" s="93">
        <f t="shared" si="62"/>
        <v>0.0986</v>
      </c>
      <c r="AC103" s="92">
        <f>R103*VLOOKUP($E103,武器奇术!$A:$R,2,FALSE)*(1+T103)*(1+U103)*V103</f>
        <v>0</v>
      </c>
      <c r="AD103" s="93">
        <f t="shared" si="63"/>
        <v>0.0879</v>
      </c>
      <c r="AE103" s="101">
        <f t="shared" si="64"/>
        <v>0</v>
      </c>
      <c r="AF103" s="102">
        <f>VLOOKUP($E103,武器奇术!$A:$R,3,FALSE)*(1+IF(VLOOKUP($E103,武器奇术!$A:$R,15,FALSE)="武器",$E$15,0))</f>
        <v>0</v>
      </c>
      <c r="AG103" s="92">
        <f t="shared" si="65"/>
        <v>0</v>
      </c>
      <c r="AH103" s="92">
        <f>VLOOKUP($E103,武器奇术!$A:$R,3,FALSE)*(1+IF(VLOOKUP($E103,武器奇术!$A:$R,15,FALSE)="武器",$E$15,0))</f>
        <v>0</v>
      </c>
      <c r="AI103" s="93">
        <f>IF(($D$5+VLOOKUP($E103,武器奇术!$A:$R,13,FALSE)+IF($I$3="√",10,0)-VLOOKUP($F$7,目标属性!$A:$R,5,FALSE))&gt;0,($D$5+VLOOKUP($E103,武器奇术!$A:$R,13,FALSE)+IF($I$3="√",10,0)-VLOOKUP($F$7,目标属性!$A:$R,5,FALSE))/200,($D$5+VLOOKUP($E103,武器奇术!$A:$R,13,FALSE)+IF($I$3="√",10,0)-VLOOKUP($F$7,目标属性!$A:$R,5,FALSE))/100)</f>
        <v>0.2675</v>
      </c>
      <c r="AJ103" s="100">
        <f>$E$5+IF(VLOOKUP($E103,武器奇术!$A:$R,18,FALSE)="鼠鼠",0.24,0)</f>
        <v>0</v>
      </c>
      <c r="AK103" s="91">
        <v>1</v>
      </c>
      <c r="AL103" s="92">
        <f t="shared" si="109"/>
        <v>0</v>
      </c>
      <c r="AM103" s="93">
        <f>(1-IF(VLOOKUP($E103,武器奇术!$A:$R,16,FALSE)="陌刀",1,$N103))*(1-$M103)</f>
        <v>0</v>
      </c>
      <c r="AN103" s="92">
        <f>AG103*(1+AI103)*(1+AJ103)*AK103*(1+$E$16+VLOOKUP($E103,武器奇术!$A:$R,8,FALSE))</f>
        <v>0</v>
      </c>
      <c r="AO103" s="93">
        <f t="shared" si="94"/>
        <v>0.8135</v>
      </c>
      <c r="AP103" s="92">
        <f>AH103*(1+AI103)*(1+AJ103)*AK103*(1+$E$17+VLOOKUP($E103,武器奇术!$A:$R,10,FALSE))</f>
        <v>0</v>
      </c>
      <c r="AQ103" s="93">
        <f t="shared" si="95"/>
        <v>0.0986</v>
      </c>
      <c r="AR103" s="92">
        <f t="shared" si="67"/>
        <v>0</v>
      </c>
      <c r="AS103" s="93">
        <f t="shared" si="68"/>
        <v>0.0879</v>
      </c>
      <c r="AT103" s="101">
        <f t="shared" si="69"/>
        <v>0</v>
      </c>
      <c r="AU103" s="99">
        <f>IF(VLOOKUP($E103,武器奇术!$A:$R,18,FALSE)="极乐",0,$B$7*IF($G$5="撼天",1.05,1)+IF(AND(VLOOKUP($E103,武器奇术!$A:$R,15,FALSE)="武器",VLOOKUP($E103,武器奇术!$A:$R,17,FALSE)="鸣金"),$E$3*(1+$E$15),0))</f>
        <v>0</v>
      </c>
      <c r="AV103" s="91">
        <f t="shared" si="70"/>
        <v>0</v>
      </c>
      <c r="AW103" s="91">
        <f>IF(VLOOKUP($E103,武器奇术!$A:$R,18,FALSE)="极乐",0,MAX($C$7*IF($G$5="撼天",1.05,1)+IF(AND(VLOOKUP($E103,武器奇术!$A:$R,15,FALSE)="武器",VLOOKUP($E103,武器奇术!$A:$R,17,FALSE)="鸣金"),$E$3*(1+$E$15),0),AU103))</f>
        <v>0</v>
      </c>
      <c r="AX103" s="93">
        <f>IF(($D$7+IF(VLOOKUP($E103,武器奇术!$A:$R,17,FALSE)="鸣金",$D$15,0)-VLOOKUP($F$7,目标属性!$A:$R,6,FALSE))&gt;0,($D$7+IF(VLOOKUP($E103,武器奇术!$A:$R,17,FALSE)="鸣金",$D$15,0)-VLOOKUP($F$7,目标属性!$A:$R,6,FALSE))/200,($D$7+IF(VLOOKUP($E103,武器奇术!$A:$R,17,FALSE)="鸣金",$D$15,0)-VLOOKUP($F$7,目标属性!$A:$R,6,FALSE))/100)</f>
        <v>-0.24</v>
      </c>
      <c r="AY103" s="100">
        <f t="shared" si="89"/>
        <v>0</v>
      </c>
      <c r="AZ103" s="91">
        <v>1</v>
      </c>
      <c r="BA103" s="92">
        <f>AU103*IF(VLOOKUP($E103,武器奇术!$A:$R,17,FALSE)="鸣金",VLOOKUP($E103,武器奇术!$A:$R,4,FALSE),VLOOKUP($E103,武器奇术!$A:$R,2,FALSE))*(1+AX103)*(1+AY103)*AZ103</f>
        <v>0</v>
      </c>
      <c r="BB103" s="93">
        <f>(1-IF(VLOOKUP($E103,武器奇术!$A:$R,16,FALSE)="陌刀",1,$N103))*(1-$M103)</f>
        <v>0</v>
      </c>
      <c r="BC103" s="92">
        <f>AV103*IF(VLOOKUP($E103,武器奇术!$A:$R,17,FALSE)="鸣金",VLOOKUP($E103,武器奇术!$A:$R,4,FALSE),VLOOKUP($E103,武器奇术!$A:$R,2,FALSE))*(1+AX103)*(1+AY103)*AZ103*(1+$E$16+VLOOKUP($E103,武器奇术!$A:$R,8,FALSE))</f>
        <v>0</v>
      </c>
      <c r="BD103" s="93">
        <f t="shared" si="96"/>
        <v>0.8135</v>
      </c>
      <c r="BE103" s="92">
        <f>AW103*IF(VLOOKUP($E103,武器奇术!$A:$R,17,FALSE)="鸣金",VLOOKUP($E103,武器奇术!$A:$R,4,FALSE),VLOOKUP($E103,武器奇术!$A:$R,2,FALSE))*(1+AX103)*(1+AY103)*AZ103*(1+$E$17+VLOOKUP($E103,武器奇术!$A:$R,10,FALSE))</f>
        <v>0</v>
      </c>
      <c r="BF103" s="93">
        <f t="shared" si="97"/>
        <v>0.0986</v>
      </c>
      <c r="BG103" s="92">
        <f>AV103*IF(VLOOKUP($E103,武器奇术!$A:$R,17,FALSE)="鸣金",VLOOKUP($E103,武器奇术!$A:$R,4,FALSE),VLOOKUP($E103,武器奇术!$A:$R,2,FALSE))*(1+AX103)*(1+AY103)*AZ103</f>
        <v>0</v>
      </c>
      <c r="BH103" s="93">
        <f t="shared" si="71"/>
        <v>0.0879</v>
      </c>
      <c r="BI103" s="101">
        <f t="shared" si="72"/>
        <v>0</v>
      </c>
      <c r="BJ103" s="99">
        <f>IF(VLOOKUP($E103,武器奇术!$A:$R,18,FALSE)="极乐",0,$B$9*IF($G$5="撼天",1.05,1)+IF(AND(VLOOKUP($E103,武器奇术!$A:$R,15,FALSE)="武器",VLOOKUP($E103,武器奇术!$A:$R,17,FALSE)="裂石"),$E$3*(1+$E$15),0))</f>
        <v>0</v>
      </c>
      <c r="BK103" s="91">
        <f t="shared" si="73"/>
        <v>0</v>
      </c>
      <c r="BL103" s="91">
        <f>IF(VLOOKUP($E103,武器奇术!$A:$R,18,FALSE)="极乐",0,MAX($C$9*IF($G$5="撼天",1.05,1)+IF(AND(VLOOKUP($E103,武器奇术!$A:$R,15,FALSE)="武器",VLOOKUP($E103,武器奇术!$A:$R,17,FALSE)="裂石"),$E$3*(1+$E$15),0),BJ103))</f>
        <v>0</v>
      </c>
      <c r="BM103" s="93">
        <f>IF(($D$9+IF(VLOOKUP($E103,武器奇术!$A:$R,17,FALSE)="裂石",$D$15,0)-VLOOKUP($F$7,目标属性!$A:$R,6,FALSE))&gt;0,($D$9+IF(VLOOKUP($E103,武器奇术!$A:$R,17,FALSE)="裂石",$D$15,0)-VLOOKUP($F$7,目标属性!$A:$R,6,FALSE))/200,($D$9+IF(VLOOKUP($E103,武器奇术!$A:$R,17,FALSE)="裂石",$D$15,0)-VLOOKUP($F$7,目标属性!$A:$R,6,FALSE))/100)</f>
        <v>-0.24</v>
      </c>
      <c r="BN103" s="100">
        <f t="shared" si="90"/>
        <v>0</v>
      </c>
      <c r="BO103" s="91">
        <v>1</v>
      </c>
      <c r="BP103" s="92">
        <f>BJ103*IF(VLOOKUP($E103,武器奇术!$A:$R,17,FALSE)="裂石",VLOOKUP($E103,武器奇术!$A:$R,4,FALSE),VLOOKUP($E103,武器奇术!$A:$R,2,FALSE))*(1+BM103)*(1+BN103)*BO103</f>
        <v>0</v>
      </c>
      <c r="BQ103" s="93">
        <f>(1-IF(VLOOKUP($E103,武器奇术!$A:$R,16,FALSE)="陌刀",1,$N103))*(1-$M103)</f>
        <v>0</v>
      </c>
      <c r="BR103" s="92">
        <f>BK103*IF(VLOOKUP($E103,武器奇术!$A:$R,17,FALSE)="裂石",VLOOKUP($E103,武器奇术!$A:$R,4,FALSE),VLOOKUP($E103,武器奇术!$A:$R,2,FALSE))*(1+BM103)*(1+BN103)*BO103*(1+$E$16+VLOOKUP($E103,武器奇术!$A:$R,8,FALSE))</f>
        <v>0</v>
      </c>
      <c r="BS103" s="93">
        <f t="shared" si="98"/>
        <v>0.8135</v>
      </c>
      <c r="BT103" s="92">
        <f>BL103*IF(VLOOKUP($E103,武器奇术!$A:$R,17,FALSE)="裂石",VLOOKUP($E103,武器奇术!$A:$R,4,FALSE),VLOOKUP($E103,武器奇术!$A:$R,2,FALSE))*(1+BM103)*(1+BN103)*BO103*(1+$E$17+VLOOKUP($E103,武器奇术!$A:$R,10,FALSE))</f>
        <v>0</v>
      </c>
      <c r="BU103" s="93">
        <f t="shared" si="99"/>
        <v>0.0986</v>
      </c>
      <c r="BV103" s="92">
        <f>BK103*IF(VLOOKUP($E103,武器奇术!$A:$R,17,FALSE)="裂石",VLOOKUP($E103,武器奇术!$A:$R,4,FALSE),VLOOKUP($E103,武器奇术!$A:$R,2,FALSE))*(1+BM103)*(1+BN103)*BO103</f>
        <v>0</v>
      </c>
      <c r="BW103" s="93">
        <f t="shared" si="74"/>
        <v>0.0879</v>
      </c>
      <c r="BX103" s="101">
        <f t="shared" si="75"/>
        <v>0</v>
      </c>
      <c r="BY103" s="99">
        <f>IF(VLOOKUP($E103,武器奇术!$A:$R,18,FALSE)="极乐",0,$B$11*IF($G$5="撼天",1.05,1)+IF(AND(VLOOKUP($E103,武器奇术!$A:$R,15,FALSE)="武器",VLOOKUP($E103,武器奇术!$A:$R,17,FALSE)="牵丝"),$E$3*(1+$E$15),0))</f>
        <v>0</v>
      </c>
      <c r="BZ103" s="91">
        <f t="shared" si="76"/>
        <v>0</v>
      </c>
      <c r="CA103" s="91">
        <f>IF(VLOOKUP($E103,武器奇术!$A:$R,18,FALSE)="极乐",0,MAX($C$11*IF($G$5="撼天",1.05,1)+IF(AND(VLOOKUP($E103,武器奇术!$A:$R,15,FALSE)="武器",VLOOKUP($E103,武器奇术!$A:$R,17,FALSE)="牵丝"),$E$3*(1+$E$15),0),BY103))</f>
        <v>0</v>
      </c>
      <c r="CB103" s="93">
        <f>IF(($D$11+IF(VLOOKUP($E103,武器奇术!$A:$R,17,FALSE)="牵丝",$D$15,0)-VLOOKUP($F$7,目标属性!$A:$R,6,FALSE))&gt;0,($D$11+IF(VLOOKUP($E103,武器奇术!$A:$R,17,FALSE)="牵丝",$D$15,0)-VLOOKUP($F$7,目标属性!$A:$R,6,FALSE))/200,($D$11+IF(VLOOKUP($E103,武器奇术!$A:$R,17,FALSE)="牵丝",$D$15,0)-VLOOKUP($F$7,目标属性!$A:$R,6,FALSE))/100)</f>
        <v>-0.24</v>
      </c>
      <c r="CC103" s="100">
        <f t="shared" si="91"/>
        <v>0</v>
      </c>
      <c r="CD103" s="91">
        <v>1</v>
      </c>
      <c r="CE103" s="92">
        <f>BY103*IF(VLOOKUP($E103,武器奇术!$A:$R,17,FALSE)="牵丝",VLOOKUP($E103,武器奇术!$A:$R,4,FALSE),VLOOKUP($E103,武器奇术!$A:$R,2,FALSE))*(1+CB103)*(1+CC103)*CD103</f>
        <v>0</v>
      </c>
      <c r="CF103" s="93">
        <f>(1-IF(VLOOKUP($E103,武器奇术!$A:$R,16,FALSE)="陌刀",1,$N103))*(1-$M103)</f>
        <v>0</v>
      </c>
      <c r="CG103" s="92">
        <f>BZ103*IF(VLOOKUP($E103,武器奇术!$A:$R,17,FALSE)="牵丝",VLOOKUP($E103,武器奇术!$A:$R,4,FALSE),VLOOKUP($E103,武器奇术!$A:$R,2,FALSE))*(1+CB103)*(1+CC103)*CD103*(1+$E$16+VLOOKUP($E103,武器奇术!$A:$R,8,FALSE))</f>
        <v>0</v>
      </c>
      <c r="CH103" s="93">
        <f t="shared" si="100"/>
        <v>0.8135</v>
      </c>
      <c r="CI103" s="92">
        <f>CA103*IF(VLOOKUP($E103,武器奇术!$A:$R,17,FALSE)="牵丝",VLOOKUP($E103,武器奇术!$A:$R,4,FALSE),VLOOKUP($E103,武器奇术!$A:$R,2,FALSE))*(1+CB103)*(1+CC103)*CD103*(1+$E$17+VLOOKUP($E103,武器奇术!$A:$R,10,FALSE))</f>
        <v>0</v>
      </c>
      <c r="CJ103" s="93">
        <f t="shared" si="101"/>
        <v>0.0986</v>
      </c>
      <c r="CK103" s="92">
        <f>BZ103*IF(VLOOKUP($E103,武器奇术!$A:$R,17,FALSE)="牵丝",VLOOKUP($E103,武器奇术!$A:$R,4,FALSE),VLOOKUP($E103,武器奇术!$A:$R,2,FALSE))*(1+CB103)*(1+CC103)*CD103</f>
        <v>0</v>
      </c>
      <c r="CL103" s="93">
        <f t="shared" si="77"/>
        <v>0.0879</v>
      </c>
      <c r="CM103" s="101">
        <f t="shared" si="78"/>
        <v>0</v>
      </c>
      <c r="CN103" s="99">
        <f>IF(VLOOKUP($E103,武器奇术!$A:$R,18,FALSE)="极乐",0,$B$13*IF($G$5="撼天",1.05,1)+IF(AND(VLOOKUP($E103,武器奇术!$A:$R,15,FALSE)="武器",VLOOKUP($E103,武器奇术!$A:$R,17,FALSE)="破竹"),$E$3*(1+$E$15),0))</f>
        <v>490.8</v>
      </c>
      <c r="CO103" s="91">
        <f t="shared" si="79"/>
        <v>856.3</v>
      </c>
      <c r="CP103" s="91">
        <f>IF(VLOOKUP($E103,武器奇术!$A:$R,18,FALSE)="极乐",0,MAX($C$13*IF($G$5="撼天",1.05,1)+IF(AND(VLOOKUP($E103,武器奇术!$A:$R,15,FALSE)="武器",VLOOKUP($E103,武器奇术!$A:$R,17,FALSE)="破竹"),$E$3*(1+$E$15),0),CN103))</f>
        <v>1221.8</v>
      </c>
      <c r="CQ103" s="93">
        <f>IF(($D$13+IF(VLOOKUP($E103,武器奇术!$A:$R,17,FALSE)="破竹",$D$15,0)-VLOOKUP($F$7,目标属性!$A:$R,6,FALSE)+IF(VLOOKUP($E103,武器奇术!$A:$V,22,FALSE)=1,4,0)+IF(VLOOKUP($E103,武器奇术!$A:$T,20,FALSE)=1,10,0))&gt;0,($D$13+IF(VLOOKUP($E103,武器奇术!$A:$R,17,FALSE)="破竹",$D$15,0)-VLOOKUP($F$7,目标属性!$A:$R,6,FALSE)+IF(VLOOKUP($E103,武器奇术!$A:$V,22,FALSE)=1,4,0)+IF(VLOOKUP($E103,武器奇术!$A:$T,20,FALSE)=1,10,0))/200,($D$13+IF(VLOOKUP($E103,武器奇术!$A:$R,17,FALSE)="破竹",$D$15,0)-VLOOKUP($F$7,目标属性!$A:$R,6,FALSE)+IF(VLOOKUP($E103,武器奇术!$A:$V,22,FALSE)=1,4,0)+IF(VLOOKUP($E103,武器奇术!$A:$T,20,FALSE)=1,10,0))/100)</f>
        <v>0.028</v>
      </c>
      <c r="CR103" s="100">
        <f t="shared" si="83"/>
        <v>0.148</v>
      </c>
      <c r="CS103" s="91">
        <v>1</v>
      </c>
      <c r="CT103" s="92">
        <f>CN103*IF(VLOOKUP($E103,武器奇术!$A:$R,17,FALSE)="破竹",VLOOKUP($E103,武器奇术!$A:$R,4,FALSE),VLOOKUP($E103,武器奇术!$A:$R,2,FALSE))*(1+CQ103)*(1+CR103)*CS103</f>
        <v>0</v>
      </c>
      <c r="CU103" s="93">
        <f>(1-IF(VLOOKUP($E103,武器奇术!$A:$R,16,FALSE)="陌刀",1,$N103))*(1-$M103)</f>
        <v>0</v>
      </c>
      <c r="CV103" s="92">
        <f>CO103*IF(VLOOKUP($E103,武器奇术!$A:$R,17,FALSE)="破竹",VLOOKUP($E103,武器奇术!$A:$R,4,FALSE),VLOOKUP($E103,武器奇术!$A:$R,2,FALSE))*(1+CQ103)*(1+CR103)*CS103*(1+$E$16+VLOOKUP($E103,武器奇术!$A:$R,8,FALSE))</f>
        <v>0</v>
      </c>
      <c r="CW103" s="93">
        <f t="shared" si="102"/>
        <v>0.8135</v>
      </c>
      <c r="CX103" s="92">
        <f>CP103*IF(VLOOKUP($E103,武器奇术!$A:$R,17,FALSE)="破竹",VLOOKUP($E103,武器奇术!$A:$R,4,FALSE),VLOOKUP($E103,武器奇术!$A:$R,2,FALSE))*(1+CQ103)*(1+CR103)*CS103*(1+$E$17+VLOOKUP($E103,武器奇术!$A:$R,10,FALSE))</f>
        <v>0</v>
      </c>
      <c r="CY103" s="93">
        <f t="shared" si="103"/>
        <v>0.0986</v>
      </c>
      <c r="CZ103" s="92">
        <f>CO103*IF(VLOOKUP($E103,武器奇术!$A:$R,17,FALSE)="破竹",VLOOKUP($E103,武器奇术!$A:$R,4,FALSE),VLOOKUP($E103,武器奇术!$A:$R,2,FALSE))*(1+CQ103)*(1+CR103)*CS103</f>
        <v>0</v>
      </c>
      <c r="DA103" s="93">
        <f t="shared" si="80"/>
        <v>0.0879</v>
      </c>
      <c r="DB103" s="101">
        <f t="shared" si="81"/>
        <v>0</v>
      </c>
      <c r="DC103" s="99">
        <f>IF(VLOOKUP($E103,武器奇术!$A:$R,18,FALSE)="极乐",0,$B$15)</f>
        <v>66</v>
      </c>
      <c r="DD103" s="91">
        <f t="shared" si="111"/>
        <v>95.9</v>
      </c>
      <c r="DE103" s="91">
        <f>IF(VLOOKUP($E103,武器奇术!$A:$R,18,FALSE)="极乐",0,$C$15)</f>
        <v>125.8</v>
      </c>
      <c r="DF103" s="93">
        <f>IF((IF(VLOOKUP($E103,武器奇术!$A:$R,17,FALSE)="鸣金",$D$7,0)+IF(VLOOKUP($E103,武器奇术!$A:$R,17,FALSE)="裂石",$D$9,0)+IF(VLOOKUP($E103,武器奇术!$A:$R,17,FALSE)="牵丝",$D$11,0)+IF(VLOOKUP($E103,武器奇术!$A:$R,17,FALSE)="破竹",$D$13,0)+$D$15-VLOOKUP($F$7,目标属性!$A:$R,6,FALSE)+IF(VLOOKUP($E103,武器奇术!$A:$V,22,FALSE)=1,4,0)+IF(VLOOKUP($E103,武器奇术!$A:$T,20,FALSE)=1,10,0))&gt;0,(IF(VLOOKUP($E103,武器奇术!$A:$R,17,FALSE)="鸣金",$D$7,0)+IF(VLOOKUP($E103,武器奇术!$A:$R,17,FALSE)="裂石",$D$9,0)+IF(VLOOKUP($E103,武器奇术!$A:$R,17,FALSE)="牵丝",$D$11,0)+IF(VLOOKUP($E103,武器奇术!$A:$R,17,FALSE)="破竹",$D$13,0)+$D$15-VLOOKUP($F$7,目标属性!$A:$R,6,FALSE)+IF(VLOOKUP($E103,武器奇术!$A:$V,22,FALSE)=1,4,0)+IF(VLOOKUP($E103,武器奇术!$A:$T,20,FALSE)=1,10,0))/200,(IF(VLOOKUP($E103,武器奇术!$A:$R,17,FALSE)="鸣金",$D$7,0)+IF(VLOOKUP($E103,武器奇术!$A:$R,17,FALSE)="裂石",$D$9,0)+IF(VLOOKUP($E103,武器奇术!$A:$R,17,FALSE)="牵丝",$D$11,0)+IF(VLOOKUP($E103,武器奇术!$A:$R,17,FALSE)="破竹",$D$13,0)+$D$15-VLOOKUP($F$7,目标属性!$A:$R,6,FALSE)+IF(VLOOKUP($E103,武器奇术!$A:$V,22,FALSE)=1,4,0)+IF(VLOOKUP($E103,武器奇术!$A:$T,20,FALSE)=1,10,0))/100)</f>
        <v>0.028</v>
      </c>
      <c r="DG103" s="100">
        <f t="shared" si="112"/>
        <v>0.148</v>
      </c>
      <c r="DH103" s="91">
        <v>1</v>
      </c>
      <c r="DI103" s="92">
        <f>DC103*IF(VLOOKUP($E103,武器奇术!$A:$R,17,FALSE)="破竹",VLOOKUP($E103,武器奇术!$A:$R,4,FALSE),VLOOKUP($E103,武器奇术!$A:$R,2,FALSE))*(1+DF103)*(1+DG103)*DH103</f>
        <v>0</v>
      </c>
      <c r="DJ103" s="93">
        <f>(1-IF(VLOOKUP($E103,武器奇术!$A:$R,16,FALSE)="陌刀",1,$N103))*(1-$M103)</f>
        <v>0</v>
      </c>
      <c r="DK103" s="92">
        <f>DD103*IF(VLOOKUP($E103,武器奇术!$A:$R,17,FALSE)="破竹",VLOOKUP($E103,武器奇术!$A:$R,4,FALSE),VLOOKUP($E103,武器奇术!$A:$R,2,FALSE))*(1+DF103)*(1+DG103)*DH103*(1+$E$16+VLOOKUP($E103,武器奇术!$A:$R,8,FALSE))</f>
        <v>0</v>
      </c>
      <c r="DL103" s="93">
        <f t="shared" si="104"/>
        <v>0.8135</v>
      </c>
      <c r="DM103" s="92">
        <f>DE103*IF(VLOOKUP($E103,武器奇术!$A:$R,17,FALSE)="破竹",VLOOKUP($E103,武器奇术!$A:$R,4,FALSE),VLOOKUP($E103,武器奇术!$A:$R,2,FALSE))*(1+DF103)*(1+DG103)*DH103*(1+$E$17+VLOOKUP($E103,武器奇术!$A:$R,10,FALSE))</f>
        <v>0</v>
      </c>
      <c r="DN103" s="93">
        <f t="shared" si="105"/>
        <v>0.0986</v>
      </c>
      <c r="DO103" s="92">
        <f>DD103*IF(VLOOKUP($E103,武器奇术!$A:$R,17,FALSE)="破竹",VLOOKUP($E103,武器奇术!$A:$R,4,FALSE),VLOOKUP($E103,武器奇术!$A:$R,2,FALSE))*(1+DF103)*(1+DG103)*DH103</f>
        <v>0</v>
      </c>
      <c r="DP103" s="93">
        <f t="shared" si="106"/>
        <v>0.0879</v>
      </c>
      <c r="DQ103" s="101">
        <f t="shared" si="107"/>
        <v>0</v>
      </c>
    </row>
    <row r="104" spans="1:121">
      <c r="B104" t="s">
        <v>151</v>
      </c>
      <c r="C104">
        <v>0.2</v>
      </c>
      <c r="D104" s="33"/>
      <c r="E104" s="105" t="s">
        <v>111</v>
      </c>
      <c r="F104" s="106">
        <v>1</v>
      </c>
      <c r="G104" s="107"/>
      <c r="H104" s="131">
        <f>IF(VLOOKUP($E104,武器奇术!$A:$R,18,FALSE)="天工",AE104,(AE104+AT104+BI104+BX104+CM104+DB104+DQ104))*(1+J104)*F104*K104*(1+G104)*(1+$G$21*5%)</f>
        <v>1311.68233666852</v>
      </c>
      <c r="I104" s="93">
        <f t="shared" si="58"/>
        <v>0.000168266176143585</v>
      </c>
      <c r="J104" s="93">
        <f>$F$3+VLOOKUP($E104,武器奇术!$A:$R,12,FALSE)+VLOOKUP($E104,武器奇术!$A:$R,14,FALSE)*$G$3+$P104</f>
        <v>0.573</v>
      </c>
      <c r="K104" s="94">
        <f>VLOOKUP($E104,武器奇术!$A:$R,11,FALSE)</f>
        <v>1</v>
      </c>
      <c r="L104" s="109">
        <f>IF(VLOOKUP($E104,武器奇术!$A:$R,15,FALSE)="天工",0%,IF($C$17+VLOOKUP($E104,武器奇术!$A:$R,7,FALSE)&gt;80%,80%,$C$17+VLOOKUP($E104,武器奇术!$A:$R,7,FALSE))+IF($C$19&gt;20%,20%,$C$19))</f>
        <v>0.8135</v>
      </c>
      <c r="M104" s="110">
        <f>IF(VLOOKUP($E104,武器奇术!$A:$R,15,FALSE)="天工",0%,IF($C$18+VLOOKUP($E104,武器奇术!$A:$R,9,FALSE)&gt;40%,40%,$C$18+VLOOKUP($E104,武器奇术!$A:$R,9,FALSE))+IF($C$20&gt;10%,10%,$C$20))</f>
        <v>0.0986</v>
      </c>
      <c r="N104" s="111">
        <f>IF(VLOOKUP($E104,武器奇术!$A:$R,15,FALSE)="天工",100%,MIN($C$16,1))</f>
        <v>1</v>
      </c>
      <c r="O104" s="112" t="str">
        <f>VLOOKUP($E104,武器奇术!$A:$R,16,FALSE)</f>
        <v>绳标</v>
      </c>
      <c r="P104" s="113">
        <f t="shared" si="108"/>
        <v>0.17</v>
      </c>
      <c r="Q104" s="99">
        <f>$B$5*(1+VLOOKUP($E104,武器奇术!$A:$R,5,FALSE)+IF($G$5="飞隼",0.1,0)+IF($G$5="撼天",0.05,0))-$F$9*IF(VLOOKUP($E104,武器奇术!$A:$S,19,FALSE)=1,0.9,1)+IF($I$5="√",160,0)</f>
        <v>2848.3</v>
      </c>
      <c r="R104" s="91">
        <f t="shared" si="60"/>
        <v>2848.3</v>
      </c>
      <c r="S104" s="91">
        <f>MAX($C$5,$B$5)*(1+VLOOKUP($E104,武器奇术!$A:$R,5,FALSE)+IF($G$5="飞隼",0.1,0)+IF($G$5="撼天",0.05,0))-$F$9*IF(VLOOKUP($E104,武器奇术!$A:$S,19,FALSE)=1,0.9,1)+IF($I$5="√",320,0)</f>
        <v>2848.3</v>
      </c>
      <c r="T104" s="93">
        <f>IF(($D$5+VLOOKUP($E104,武器奇术!$A:$R,13,FALSE)+IF($I$3="√",10,0)-VLOOKUP($F$7,目标属性!$A:$R,5,FALSE))&gt;0,($D$5+VLOOKUP($E104,武器奇术!$A:$R,13,FALSE)+IF($I$3="√",10,0)-VLOOKUP($F$7,目标属性!$A:$R,5,FALSE))/200,($D$5+VLOOKUP($E104,武器奇术!$A:$R,13,FALSE)+IF($I$3="√",10,0)-VLOOKUP($F$7,目标属性!$A:$R,5,FALSE))/100)</f>
        <v>0.2675</v>
      </c>
      <c r="U104" s="100">
        <f>$E$5+IF(VLOOKUP($E104,武器奇术!$A:$R,18,FALSE)="鼠鼠",0.24,0)</f>
        <v>0</v>
      </c>
      <c r="V104" s="91">
        <v>1</v>
      </c>
      <c r="W104" s="92">
        <f>Q104*VLOOKUP($E104,武器奇术!$A:$R,2,FALSE)*(1+T104)*(1+U104)*V104</f>
        <v>224.194677525</v>
      </c>
      <c r="X104" s="93">
        <f>(1-IF(VLOOKUP($E104,武器奇术!$A:$R,16,FALSE)="陌刀",1,$N104))*(1-$M104)</f>
        <v>0</v>
      </c>
      <c r="Y104" s="92">
        <f>R104*VLOOKUP($E104,武器奇术!$A:$R,2,FALSE)*(1+T104)*(1+U104)*V104*(1+$E$16+VLOOKUP($E104,武器奇术!$A:$R,8,FALSE))</f>
        <v>368.5760498511</v>
      </c>
      <c r="Z104" s="93">
        <f t="shared" si="61"/>
        <v>0.8135</v>
      </c>
      <c r="AA104" s="92">
        <f>S104*VLOOKUP($E104,武器奇术!$A:$R,2,FALSE)*(1+T104)*(1+U104)*V104*(1+$E$17+VLOOKUP($E104,武器奇术!$A:$R,10,FALSE))</f>
        <v>302.66281465875</v>
      </c>
      <c r="AB104" s="93">
        <f t="shared" si="62"/>
        <v>0.0986</v>
      </c>
      <c r="AC104" s="92">
        <f>R104*VLOOKUP($E104,武器奇术!$A:$R,2,FALSE)*(1+T104)*(1+U104)*V104</f>
        <v>224.194677525</v>
      </c>
      <c r="AD104" s="93">
        <f t="shared" si="63"/>
        <v>0.0879</v>
      </c>
      <c r="AE104" s="101">
        <f t="shared" si="64"/>
        <v>349.38588223367</v>
      </c>
      <c r="AF104" s="102">
        <f>VLOOKUP($E104,武器奇术!$A:$R,3,FALSE)*(1+IF(VLOOKUP($E104,武器奇术!$A:$R,15,FALSE)="武器",$E$15,0))</f>
        <v>22.1</v>
      </c>
      <c r="AG104" s="92">
        <f t="shared" si="65"/>
        <v>22.1</v>
      </c>
      <c r="AH104" s="92">
        <f>VLOOKUP($E104,武器奇术!$A:$R,3,FALSE)*(1+IF(VLOOKUP($E104,武器奇术!$A:$R,15,FALSE)="武器",$E$15,0))</f>
        <v>22.1</v>
      </c>
      <c r="AI104" s="93">
        <f>IF(($D$5+VLOOKUP($E104,武器奇术!$A:$R,13,FALSE)+IF($I$3="√",10,0)-VLOOKUP($F$7,目标属性!$A:$R,5,FALSE))&gt;0,($D$5+VLOOKUP($E104,武器奇术!$A:$R,13,FALSE)+IF($I$3="√",10,0)-VLOOKUP($F$7,目标属性!$A:$R,5,FALSE))/200,($D$5+VLOOKUP($E104,武器奇术!$A:$R,13,FALSE)+IF($I$3="√",10,0)-VLOOKUP($F$7,目标属性!$A:$R,5,FALSE))/100)</f>
        <v>0.2675</v>
      </c>
      <c r="AJ104" s="100">
        <f>$E$5+IF(VLOOKUP($E104,武器奇术!$A:$R,18,FALSE)="鼠鼠",0.24,0)</f>
        <v>0</v>
      </c>
      <c r="AK104" s="91">
        <v>1</v>
      </c>
      <c r="AL104" s="92">
        <f t="shared" si="109"/>
        <v>28.01175</v>
      </c>
      <c r="AM104" s="93">
        <f>(1-IF(VLOOKUP($E104,武器奇术!$A:$R,16,FALSE)="陌刀",1,$N104))*(1-$M104)</f>
        <v>0</v>
      </c>
      <c r="AN104" s="92">
        <f>AG104*(1+AI104)*(1+AJ104)*AK104*(1+$E$16+VLOOKUP($E104,武器奇术!$A:$R,8,FALSE))</f>
        <v>46.051317</v>
      </c>
      <c r="AO104" s="93">
        <f t="shared" si="94"/>
        <v>0.8135</v>
      </c>
      <c r="AP104" s="92">
        <f>AH104*(1+AI104)*(1+AJ104)*AK104*(1+$E$17+VLOOKUP($E104,武器奇术!$A:$R,10,FALSE))</f>
        <v>37.8158625</v>
      </c>
      <c r="AQ104" s="93">
        <f t="shared" si="95"/>
        <v>0.0986</v>
      </c>
      <c r="AR104" s="92">
        <f t="shared" si="67"/>
        <v>28.01175</v>
      </c>
      <c r="AS104" s="93">
        <f t="shared" si="68"/>
        <v>0.0879</v>
      </c>
      <c r="AT104" s="101">
        <f t="shared" si="69"/>
        <v>43.653623247</v>
      </c>
      <c r="AU104" s="99">
        <f>IF(VLOOKUP($E104,武器奇术!$A:$R,18,FALSE)="极乐",0,$B$7*IF($G$5="撼天",1.05,1)+IF(AND(VLOOKUP($E104,武器奇术!$A:$R,15,FALSE)="武器",VLOOKUP($E104,武器奇术!$A:$R,17,FALSE)="鸣金"),$E$3*(1+$E$15),0))</f>
        <v>0</v>
      </c>
      <c r="AV104" s="91">
        <f t="shared" si="70"/>
        <v>0</v>
      </c>
      <c r="AW104" s="91">
        <f>IF(VLOOKUP($E104,武器奇术!$A:$R,18,FALSE)="极乐",0,MAX($C$7*IF($G$5="撼天",1.05,1)+IF(AND(VLOOKUP($E104,武器奇术!$A:$R,15,FALSE)="武器",VLOOKUP($E104,武器奇术!$A:$R,17,FALSE)="鸣金"),$E$3*(1+$E$15),0),AU104))</f>
        <v>0</v>
      </c>
      <c r="AX104" s="93">
        <f>IF(($D$7+IF(VLOOKUP($E104,武器奇术!$A:$R,17,FALSE)="鸣金",$D$15,0)-VLOOKUP($F$7,目标属性!$A:$R,6,FALSE))&gt;0,($D$7+IF(VLOOKUP($E104,武器奇术!$A:$R,17,FALSE)="鸣金",$D$15,0)-VLOOKUP($F$7,目标属性!$A:$R,6,FALSE))/200,($D$7+IF(VLOOKUP($E104,武器奇术!$A:$R,17,FALSE)="鸣金",$D$15,0)-VLOOKUP($F$7,目标属性!$A:$R,6,FALSE))/100)</f>
        <v>-0.24</v>
      </c>
      <c r="AY104" s="100">
        <f t="shared" si="89"/>
        <v>0</v>
      </c>
      <c r="AZ104" s="91">
        <v>1</v>
      </c>
      <c r="BA104" s="92">
        <f>AU104*IF(VLOOKUP($E104,武器奇术!$A:$R,17,FALSE)="鸣金",VLOOKUP($E104,武器奇术!$A:$R,4,FALSE),VLOOKUP($E104,武器奇术!$A:$R,2,FALSE))*(1+AX104)*(1+AY104)*AZ104</f>
        <v>0</v>
      </c>
      <c r="BB104" s="93">
        <f>(1-IF(VLOOKUP($E104,武器奇术!$A:$R,16,FALSE)="陌刀",1,$N104))*(1-$M104)</f>
        <v>0</v>
      </c>
      <c r="BC104" s="92">
        <f>AV104*IF(VLOOKUP($E104,武器奇术!$A:$R,17,FALSE)="鸣金",VLOOKUP($E104,武器奇术!$A:$R,4,FALSE),VLOOKUP($E104,武器奇术!$A:$R,2,FALSE))*(1+AX104)*(1+AY104)*AZ104*(1+$E$16+VLOOKUP($E104,武器奇术!$A:$R,8,FALSE))</f>
        <v>0</v>
      </c>
      <c r="BD104" s="93">
        <f t="shared" si="96"/>
        <v>0.8135</v>
      </c>
      <c r="BE104" s="92">
        <f>AW104*IF(VLOOKUP($E104,武器奇术!$A:$R,17,FALSE)="鸣金",VLOOKUP($E104,武器奇术!$A:$R,4,FALSE),VLOOKUP($E104,武器奇术!$A:$R,2,FALSE))*(1+AX104)*(1+AY104)*AZ104*(1+$E$17+VLOOKUP($E104,武器奇术!$A:$R,10,FALSE))</f>
        <v>0</v>
      </c>
      <c r="BF104" s="93">
        <f t="shared" si="97"/>
        <v>0.0986</v>
      </c>
      <c r="BG104" s="92">
        <f>AV104*IF(VLOOKUP($E104,武器奇术!$A:$R,17,FALSE)="鸣金",VLOOKUP($E104,武器奇术!$A:$R,4,FALSE),VLOOKUP($E104,武器奇术!$A:$R,2,FALSE))*(1+AX104)*(1+AY104)*AZ104</f>
        <v>0</v>
      </c>
      <c r="BH104" s="93">
        <f t="shared" si="71"/>
        <v>0.0879</v>
      </c>
      <c r="BI104" s="101">
        <f t="shared" si="72"/>
        <v>0</v>
      </c>
      <c r="BJ104" s="99">
        <f>IF(VLOOKUP($E104,武器奇术!$A:$R,18,FALSE)="极乐",0,$B$9*IF($G$5="撼天",1.05,1)+IF(AND(VLOOKUP($E104,武器奇术!$A:$R,15,FALSE)="武器",VLOOKUP($E104,武器奇术!$A:$R,17,FALSE)="裂石"),$E$3*(1+$E$15),0))</f>
        <v>0</v>
      </c>
      <c r="BK104" s="91">
        <f t="shared" si="73"/>
        <v>0</v>
      </c>
      <c r="BL104" s="91">
        <f>IF(VLOOKUP($E104,武器奇术!$A:$R,18,FALSE)="极乐",0,MAX($C$9*IF($G$5="撼天",1.05,1)+IF(AND(VLOOKUP($E104,武器奇术!$A:$R,15,FALSE)="武器",VLOOKUP($E104,武器奇术!$A:$R,17,FALSE)="裂石"),$E$3*(1+$E$15),0),BJ104))</f>
        <v>0</v>
      </c>
      <c r="BM104" s="93">
        <f>IF(($D$9+IF(VLOOKUP($E104,武器奇术!$A:$R,17,FALSE)="裂石",$D$15,0)-VLOOKUP($F$7,目标属性!$A:$R,6,FALSE))&gt;0,($D$9+IF(VLOOKUP($E104,武器奇术!$A:$R,17,FALSE)="裂石",$D$15,0)-VLOOKUP($F$7,目标属性!$A:$R,6,FALSE))/200,($D$9+IF(VLOOKUP($E104,武器奇术!$A:$R,17,FALSE)="裂石",$D$15,0)-VLOOKUP($F$7,目标属性!$A:$R,6,FALSE))/100)</f>
        <v>-0.24</v>
      </c>
      <c r="BN104" s="100">
        <f t="shared" si="90"/>
        <v>0</v>
      </c>
      <c r="BO104" s="91">
        <v>1</v>
      </c>
      <c r="BP104" s="92">
        <f>BJ104*IF(VLOOKUP($E104,武器奇术!$A:$R,17,FALSE)="裂石",VLOOKUP($E104,武器奇术!$A:$R,4,FALSE),VLOOKUP($E104,武器奇术!$A:$R,2,FALSE))*(1+BM104)*(1+BN104)*BO104</f>
        <v>0</v>
      </c>
      <c r="BQ104" s="93">
        <f>(1-IF(VLOOKUP($E104,武器奇术!$A:$R,16,FALSE)="陌刀",1,$N104))*(1-$M104)</f>
        <v>0</v>
      </c>
      <c r="BR104" s="92">
        <f>BK104*IF(VLOOKUP($E104,武器奇术!$A:$R,17,FALSE)="裂石",VLOOKUP($E104,武器奇术!$A:$R,4,FALSE),VLOOKUP($E104,武器奇术!$A:$R,2,FALSE))*(1+BM104)*(1+BN104)*BO104*(1+$E$16+VLOOKUP($E104,武器奇术!$A:$R,8,FALSE))</f>
        <v>0</v>
      </c>
      <c r="BS104" s="93">
        <f t="shared" si="98"/>
        <v>0.8135</v>
      </c>
      <c r="BT104" s="92">
        <f>BL104*IF(VLOOKUP($E104,武器奇术!$A:$R,17,FALSE)="裂石",VLOOKUP($E104,武器奇术!$A:$R,4,FALSE),VLOOKUP($E104,武器奇术!$A:$R,2,FALSE))*(1+BM104)*(1+BN104)*BO104*(1+$E$17+VLOOKUP($E104,武器奇术!$A:$R,10,FALSE))</f>
        <v>0</v>
      </c>
      <c r="BU104" s="93">
        <f t="shared" si="99"/>
        <v>0.0986</v>
      </c>
      <c r="BV104" s="92">
        <f>BK104*IF(VLOOKUP($E104,武器奇术!$A:$R,17,FALSE)="裂石",VLOOKUP($E104,武器奇术!$A:$R,4,FALSE),VLOOKUP($E104,武器奇术!$A:$R,2,FALSE))*(1+BM104)*(1+BN104)*BO104</f>
        <v>0</v>
      </c>
      <c r="BW104" s="93">
        <f t="shared" si="74"/>
        <v>0.0879</v>
      </c>
      <c r="BX104" s="101">
        <f t="shared" si="75"/>
        <v>0</v>
      </c>
      <c r="BY104" s="99">
        <f>IF(VLOOKUP($E104,武器奇术!$A:$R,18,FALSE)="极乐",0,$B$11*IF($G$5="撼天",1.05,1)+IF(AND(VLOOKUP($E104,武器奇术!$A:$R,15,FALSE)="武器",VLOOKUP($E104,武器奇术!$A:$R,17,FALSE)="牵丝"),$E$3*(1+$E$15),0))</f>
        <v>0</v>
      </c>
      <c r="BZ104" s="91">
        <f t="shared" si="76"/>
        <v>0</v>
      </c>
      <c r="CA104" s="91">
        <f>IF(VLOOKUP($E104,武器奇术!$A:$R,18,FALSE)="极乐",0,MAX($C$11*IF($G$5="撼天",1.05,1)+IF(AND(VLOOKUP($E104,武器奇术!$A:$R,15,FALSE)="武器",VLOOKUP($E104,武器奇术!$A:$R,17,FALSE)="牵丝"),$E$3*(1+$E$15),0),BY104))</f>
        <v>0</v>
      </c>
      <c r="CB104" s="93">
        <f>IF(($D$11+IF(VLOOKUP($E104,武器奇术!$A:$R,17,FALSE)="牵丝",$D$15,0)-VLOOKUP($F$7,目标属性!$A:$R,6,FALSE))&gt;0,($D$11+IF(VLOOKUP($E104,武器奇术!$A:$R,17,FALSE)="牵丝",$D$15,0)-VLOOKUP($F$7,目标属性!$A:$R,6,FALSE))/200,($D$11+IF(VLOOKUP($E104,武器奇术!$A:$R,17,FALSE)="牵丝",$D$15,0)-VLOOKUP($F$7,目标属性!$A:$R,6,FALSE))/100)</f>
        <v>-0.24</v>
      </c>
      <c r="CC104" s="100">
        <f t="shared" si="91"/>
        <v>0</v>
      </c>
      <c r="CD104" s="91">
        <v>1</v>
      </c>
      <c r="CE104" s="92">
        <f>BY104*IF(VLOOKUP($E104,武器奇术!$A:$R,17,FALSE)="牵丝",VLOOKUP($E104,武器奇术!$A:$R,4,FALSE),VLOOKUP($E104,武器奇术!$A:$R,2,FALSE))*(1+CB104)*(1+CC104)*CD104</f>
        <v>0</v>
      </c>
      <c r="CF104" s="93">
        <f>(1-IF(VLOOKUP($E104,武器奇术!$A:$R,16,FALSE)="陌刀",1,$N104))*(1-$M104)</f>
        <v>0</v>
      </c>
      <c r="CG104" s="92">
        <f>BZ104*IF(VLOOKUP($E104,武器奇术!$A:$R,17,FALSE)="牵丝",VLOOKUP($E104,武器奇术!$A:$R,4,FALSE),VLOOKUP($E104,武器奇术!$A:$R,2,FALSE))*(1+CB104)*(1+CC104)*CD104*(1+$E$16+VLOOKUP($E104,武器奇术!$A:$R,8,FALSE))</f>
        <v>0</v>
      </c>
      <c r="CH104" s="93">
        <f t="shared" si="100"/>
        <v>0.8135</v>
      </c>
      <c r="CI104" s="92">
        <f>CA104*IF(VLOOKUP($E104,武器奇术!$A:$R,17,FALSE)="牵丝",VLOOKUP($E104,武器奇术!$A:$R,4,FALSE),VLOOKUP($E104,武器奇术!$A:$R,2,FALSE))*(1+CB104)*(1+CC104)*CD104*(1+$E$17+VLOOKUP($E104,武器奇术!$A:$R,10,FALSE))</f>
        <v>0</v>
      </c>
      <c r="CJ104" s="93">
        <f t="shared" si="101"/>
        <v>0.0986</v>
      </c>
      <c r="CK104" s="92">
        <f>BZ104*IF(VLOOKUP($E104,武器奇术!$A:$R,17,FALSE)="牵丝",VLOOKUP($E104,武器奇术!$A:$R,4,FALSE),VLOOKUP($E104,武器奇术!$A:$R,2,FALSE))*(1+CB104)*(1+CC104)*CD104</f>
        <v>0</v>
      </c>
      <c r="CL104" s="93">
        <f t="shared" si="77"/>
        <v>0.0879</v>
      </c>
      <c r="CM104" s="101">
        <f t="shared" si="78"/>
        <v>0</v>
      </c>
      <c r="CN104" s="99">
        <f>IF(VLOOKUP($E104,武器奇术!$A:$R,18,FALSE)="极乐",0,$B$13*IF($G$5="撼天",1.05,1)+IF(AND(VLOOKUP($E104,武器奇术!$A:$R,15,FALSE)="武器",VLOOKUP($E104,武器奇术!$A:$R,17,FALSE)="破竹"),$E$3*(1+$E$15),0))</f>
        <v>686.71</v>
      </c>
      <c r="CO104" s="91">
        <f t="shared" si="79"/>
        <v>1052.21</v>
      </c>
      <c r="CP104" s="91">
        <f>IF(VLOOKUP($E104,武器奇术!$A:$R,18,FALSE)="极乐",0,MAX($C$13*IF($G$5="撼天",1.05,1)+IF(AND(VLOOKUP($E104,武器奇术!$A:$R,15,FALSE)="武器",VLOOKUP($E104,武器奇术!$A:$R,17,FALSE)="破竹"),$E$3*(1+$E$15),0),CN104))</f>
        <v>1417.71</v>
      </c>
      <c r="CQ104" s="93">
        <f>IF(($D$13+IF(VLOOKUP($E104,武器奇术!$A:$R,17,FALSE)="破竹",$D$15,0)-VLOOKUP($F$7,目标属性!$A:$R,6,FALSE)+IF(VLOOKUP($E104,武器奇术!$A:$V,22,FALSE)=1,4,0)+IF(VLOOKUP($E104,武器奇术!$A:$T,20,FALSE)=1,10,0))&gt;0,($D$13+IF(VLOOKUP($E104,武器奇术!$A:$R,17,FALSE)="破竹",$D$15,0)-VLOOKUP($F$7,目标属性!$A:$R,6,FALSE)+IF(VLOOKUP($E104,武器奇术!$A:$V,22,FALSE)=1,4,0)+IF(VLOOKUP($E104,武器奇术!$A:$T,20,FALSE)=1,10,0))/200,($D$13+IF(VLOOKUP($E104,武器奇术!$A:$R,17,FALSE)="破竹",$D$15,0)-VLOOKUP($F$7,目标属性!$A:$R,6,FALSE)+IF(VLOOKUP($E104,武器奇术!$A:$V,22,FALSE)=1,4,0)+IF(VLOOKUP($E104,武器奇术!$A:$T,20,FALSE)=1,10,0))/100)</f>
        <v>0.028</v>
      </c>
      <c r="CR104" s="100">
        <f t="shared" si="83"/>
        <v>0.148</v>
      </c>
      <c r="CS104" s="91">
        <v>1</v>
      </c>
      <c r="CT104" s="92">
        <f>CN104*IF(VLOOKUP($E104,武器奇术!$A:$R,17,FALSE)="破竹",VLOOKUP($E104,武器奇术!$A:$R,4,FALSE),VLOOKUP($E104,武器奇术!$A:$R,2,FALSE))*(1+CQ104)*(1+CR104)*CS104</f>
        <v>75.530835157568</v>
      </c>
      <c r="CU104" s="93">
        <f>(1-IF(VLOOKUP($E104,武器奇术!$A:$R,16,FALSE)="陌刀",1,$N104))*(1-$M104)</f>
        <v>0</v>
      </c>
      <c r="CV104" s="92">
        <f>CO104*IF(VLOOKUP($E104,武器奇术!$A:$R,17,FALSE)="破竹",VLOOKUP($E104,武器奇术!$A:$R,4,FALSE),VLOOKUP($E104,武器奇术!$A:$R,2,FALSE))*(1+CQ104)*(1+CR104)*CS104*(1+$E$16+VLOOKUP($E104,武器奇术!$A:$R,8,FALSE))</f>
        <v>190.263356148187</v>
      </c>
      <c r="CW104" s="93">
        <f t="shared" si="102"/>
        <v>0.8135</v>
      </c>
      <c r="CX104" s="92">
        <f>CP104*IF(VLOOKUP($E104,武器奇术!$A:$R,17,FALSE)="破竹",VLOOKUP($E104,武器奇术!$A:$R,4,FALSE),VLOOKUP($E104,武器奇术!$A:$R,2,FALSE))*(1+CQ104)*(1+CR104)*CS104*(1+$E$17+VLOOKUP($E104,武器奇术!$A:$R,10,FALSE))</f>
        <v>210.509687379197</v>
      </c>
      <c r="CY104" s="93">
        <f t="shared" si="103"/>
        <v>0.0986</v>
      </c>
      <c r="CZ104" s="92">
        <f>CO104*IF(VLOOKUP($E104,武器奇术!$A:$R,17,FALSE)="破竹",VLOOKUP($E104,武器奇术!$A:$R,4,FALSE),VLOOKUP($E104,武器奇术!$A:$R,2,FALSE))*(1+CQ104)*(1+CR104)*CS104</f>
        <v>115.731968459968</v>
      </c>
      <c r="DA104" s="93">
        <f t="shared" si="80"/>
        <v>0.0879</v>
      </c>
      <c r="DB104" s="101">
        <f t="shared" si="81"/>
        <v>185.70833542977</v>
      </c>
      <c r="DC104" s="99">
        <f>IF(VLOOKUP($E104,武器奇术!$A:$R,18,FALSE)="极乐",0,$B$15)</f>
        <v>66</v>
      </c>
      <c r="DD104" s="91">
        <f t="shared" si="111"/>
        <v>95.9</v>
      </c>
      <c r="DE104" s="91">
        <f>IF(VLOOKUP($E104,武器奇术!$A:$R,18,FALSE)="极乐",0,$C$15)</f>
        <v>125.8</v>
      </c>
      <c r="DF104" s="93">
        <f>IF((IF(VLOOKUP($E104,武器奇术!$A:$R,17,FALSE)="鸣金",$D$7,0)+IF(VLOOKUP($E104,武器奇术!$A:$R,17,FALSE)="裂石",$D$9,0)+IF(VLOOKUP($E104,武器奇术!$A:$R,17,FALSE)="牵丝",$D$11,0)+IF(VLOOKUP($E104,武器奇术!$A:$R,17,FALSE)="破竹",$D$13,0)+$D$15-VLOOKUP($F$7,目标属性!$A:$R,6,FALSE)+IF(VLOOKUP($E104,武器奇术!$A:$V,22,FALSE)=1,4,0)+IF(VLOOKUP($E104,武器奇术!$A:$T,20,FALSE)=1,10,0))&gt;0,(IF(VLOOKUP($E104,武器奇术!$A:$R,17,FALSE)="鸣金",$D$7,0)+IF(VLOOKUP($E104,武器奇术!$A:$R,17,FALSE)="裂石",$D$9,0)+IF(VLOOKUP($E104,武器奇术!$A:$R,17,FALSE)="牵丝",$D$11,0)+IF(VLOOKUP($E104,武器奇术!$A:$R,17,FALSE)="破竹",$D$13,0)+$D$15-VLOOKUP($F$7,目标属性!$A:$R,6,FALSE)+IF(VLOOKUP($E104,武器奇术!$A:$V,22,FALSE)=1,4,0)+IF(VLOOKUP($E104,武器奇术!$A:$T,20,FALSE)=1,10,0))/200,(IF(VLOOKUP($E104,武器奇术!$A:$R,17,FALSE)="鸣金",$D$7,0)+IF(VLOOKUP($E104,武器奇术!$A:$R,17,FALSE)="裂石",$D$9,0)+IF(VLOOKUP($E104,武器奇术!$A:$R,17,FALSE)="牵丝",$D$11,0)+IF(VLOOKUP($E104,武器奇术!$A:$R,17,FALSE)="破竹",$D$13,0)+$D$15-VLOOKUP($F$7,目标属性!$A:$R,6,FALSE)+IF(VLOOKUP($E104,武器奇术!$A:$V,22,FALSE)=1,4,0)+IF(VLOOKUP($E104,武器奇术!$A:$T,20,FALSE)=1,10,0))/100)</f>
        <v>0.028</v>
      </c>
      <c r="DG104" s="100">
        <f t="shared" si="112"/>
        <v>0.148</v>
      </c>
      <c r="DH104" s="91">
        <v>1</v>
      </c>
      <c r="DI104" s="92">
        <f>DC104*IF(VLOOKUP($E104,武器奇术!$A:$R,17,FALSE)="破竹",VLOOKUP($E104,武器奇术!$A:$R,4,FALSE),VLOOKUP($E104,武器奇术!$A:$R,2,FALSE))*(1+DF104)*(1+DG104)*DH104</f>
        <v>7.2593017728</v>
      </c>
      <c r="DJ104" s="93">
        <f>(1-IF(VLOOKUP($E104,武器奇术!$A:$R,16,FALSE)="陌刀",1,$N104))*(1-$M104)</f>
        <v>0</v>
      </c>
      <c r="DK104" s="92">
        <f>DD104*IF(VLOOKUP($E104,武器奇术!$A:$R,17,FALSE)="破竹",VLOOKUP($E104,武器奇术!$A:$R,4,FALSE),VLOOKUP($E104,武器奇术!$A:$R,2,FALSE))*(1+DF104)*(1+DG104)*DH104*(1+$E$16+VLOOKUP($E104,武器奇术!$A:$R,8,FALSE))</f>
        <v>17.3408880875597</v>
      </c>
      <c r="DL104" s="93">
        <f t="shared" si="104"/>
        <v>0.8135</v>
      </c>
      <c r="DM104" s="92">
        <f>DE104*IF(VLOOKUP($E104,武器奇术!$A:$R,17,FALSE)="破竹",VLOOKUP($E104,武器奇术!$A:$R,4,FALSE),VLOOKUP($E104,武器奇术!$A:$R,2,FALSE))*(1+DF104)*(1+DG104)*DH104*(1+$E$17+VLOOKUP($E104,武器奇术!$A:$R,10,FALSE))</f>
        <v>18.679503334464</v>
      </c>
      <c r="DN104" s="93">
        <f t="shared" si="105"/>
        <v>0.0986</v>
      </c>
      <c r="DO104" s="92">
        <f>DD104*IF(VLOOKUP($E104,武器奇术!$A:$R,17,FALSE)="破竹",VLOOKUP($E104,武器奇术!$A:$R,4,FALSE),VLOOKUP($E104,武器奇术!$A:$R,2,FALSE))*(1+DF104)*(1+DG104)*DH104</f>
        <v>10.54798545472</v>
      </c>
      <c r="DP104" s="93">
        <f t="shared" si="106"/>
        <v>0.0879</v>
      </c>
      <c r="DQ104" s="101">
        <f t="shared" si="107"/>
        <v>16.8757794094779</v>
      </c>
    </row>
    <row r="105" spans="1:121">
      <c r="B105" s="130" t="s">
        <v>153</v>
      </c>
      <c r="C105">
        <v>0.166</v>
      </c>
      <c r="D105" s="33"/>
      <c r="E105" s="105" t="s">
        <v>124</v>
      </c>
      <c r="F105" s="106">
        <v>1</v>
      </c>
      <c r="G105" s="107">
        <f>$E$24</f>
        <v>0</v>
      </c>
      <c r="H105" s="131">
        <f>IF(VLOOKUP($E105,武器奇术!$A:$R,18,FALSE)="天工",AE105,(AE105+AT105+BI105+BX105+CM105+DB105+DQ105))*(1+J105)*F105*K105*(1+G105)*(1+$G$21*5%)</f>
        <v>11258.0075270277</v>
      </c>
      <c r="I105" s="93">
        <f t="shared" si="58"/>
        <v>0.00144420781206827</v>
      </c>
      <c r="J105" s="93">
        <f>$F$3+VLOOKUP($E105,武器奇术!$A:$R,12,FALSE)+VLOOKUP($E105,武器奇术!$A:$R,14,FALSE)*$G$3+$P105</f>
        <v>0.693</v>
      </c>
      <c r="K105" s="94">
        <f>VLOOKUP($E105,武器奇术!$A:$R,11,FALSE)</f>
        <v>1</v>
      </c>
      <c r="L105" s="109">
        <f>IF(VLOOKUP($E105,武器奇术!$A:$R,15,FALSE)="天工",0%,IF($C$17+VLOOKUP($E105,武器奇术!$A:$R,7,FALSE)&gt;80%,80%,$C$17+VLOOKUP($E105,武器奇术!$A:$R,7,FALSE))+IF($C$19&gt;20%,20%,$C$19))</f>
        <v>0.8135</v>
      </c>
      <c r="M105" s="110">
        <f>IF(VLOOKUP($E105,武器奇术!$A:$R,15,FALSE)="天工",0%,IF($C$18+VLOOKUP($E105,武器奇术!$A:$R,9,FALSE)&gt;40%,40%,$C$18+VLOOKUP($E105,武器奇术!$A:$R,9,FALSE))+IF($C$20&gt;10%,10%,$C$20))</f>
        <v>0.0986</v>
      </c>
      <c r="N105" s="111">
        <f>IF(VLOOKUP($E105,武器奇术!$A:$R,15,FALSE)="天工",100%,MIN($C$16,1))</f>
        <v>1</v>
      </c>
      <c r="O105" s="112" t="str">
        <f>VLOOKUP($E105,武器奇术!$A:$R,16,FALSE)</f>
        <v>双刀</v>
      </c>
      <c r="P105" s="113">
        <f t="shared" si="108"/>
        <v>0.17</v>
      </c>
      <c r="Q105" s="99">
        <f>$B$5*(1+VLOOKUP($E105,武器奇术!$A:$R,5,FALSE)+IF($G$5="飞隼",0.1,0)+IF($G$5="撼天",0.05,0))-$F$9*IF(VLOOKUP($E105,武器奇术!$A:$S,19,FALSE)=1,0.9,1)+IF($I$5="√",160,0)</f>
        <v>2904.2</v>
      </c>
      <c r="R105" s="91">
        <f t="shared" si="60"/>
        <v>2904.2</v>
      </c>
      <c r="S105" s="91">
        <f>MAX($C$5,$B$5)*(1+VLOOKUP($E105,武器奇术!$A:$R,5,FALSE)+IF($G$5="飞隼",0.1,0)+IF($G$5="撼天",0.05,0))-$F$9*IF(VLOOKUP($E105,武器奇术!$A:$S,19,FALSE)=1,0.9,1)+IF($I$5="√",320,0)</f>
        <v>2904.2</v>
      </c>
      <c r="T105" s="93">
        <f>IF(($D$5+VLOOKUP($E105,武器奇术!$A:$R,13,FALSE)+IF($I$3="√",10,0)-VLOOKUP($F$7,目标属性!$A:$R,5,FALSE))&gt;0,($D$5+VLOOKUP($E105,武器奇术!$A:$R,13,FALSE)+IF($I$3="√",10,0)-VLOOKUP($F$7,目标属性!$A:$R,5,FALSE))/200,($D$5+VLOOKUP($E105,武器奇术!$A:$R,13,FALSE)+IF($I$3="√",10,0)-VLOOKUP($F$7,目标属性!$A:$R,5,FALSE))/100)</f>
        <v>0.2675</v>
      </c>
      <c r="U105" s="120">
        <f>$E$5+IF(VLOOKUP($E105,武器奇术!$A:$R,18,FALSE)="鼠鼠",0.24,0)+IF(期望!$G$5="燕归",6/100,0)</f>
        <v>0.06</v>
      </c>
      <c r="V105" s="91">
        <v>1</v>
      </c>
      <c r="W105" s="92">
        <f>Q105*VLOOKUP($E105,武器奇术!$A:$R,2,FALSE)*(1+T105)*(1+U105)*V105</f>
        <v>1804.8413802705</v>
      </c>
      <c r="X105" s="93">
        <f>(1-IF(VLOOKUP($E105,武器奇术!$A:$R,16,FALSE)="陌刀",1,$N105))*(1-$M105)</f>
        <v>0</v>
      </c>
      <c r="Y105" s="92">
        <f>R105*VLOOKUP($E105,武器奇术!$A:$R,2,FALSE)*(1+T105)*(1+U105)*V105*(1+$E$16+VLOOKUP($E105,武器奇术!$A:$R,8,FALSE))</f>
        <v>2967.1592291647</v>
      </c>
      <c r="Z105" s="93">
        <f t="shared" si="61"/>
        <v>0.8135</v>
      </c>
      <c r="AA105" s="92">
        <f>S105*VLOOKUP($E105,武器奇术!$A:$R,2,FALSE)*(1+T105)*(1+U105)*V105*(1+$E$17+VLOOKUP($E105,武器奇术!$A:$R,10,FALSE))</f>
        <v>2436.53586336518</v>
      </c>
      <c r="AB105" s="93">
        <f t="shared" si="62"/>
        <v>0.0986</v>
      </c>
      <c r="AC105" s="92">
        <f>R105*VLOOKUP($E105,武器奇术!$A:$R,2,FALSE)*(1+T105)*(1+U105)*V105</f>
        <v>1804.8413802705</v>
      </c>
      <c r="AD105" s="93">
        <f t="shared" si="63"/>
        <v>0.0879</v>
      </c>
      <c r="AE105" s="101">
        <f t="shared" si="64"/>
        <v>2812.67202637907</v>
      </c>
      <c r="AF105" s="102">
        <f>VLOOKUP($E105,武器奇术!$A:$R,3,FALSE)*(1+IF(VLOOKUP($E105,武器奇术!$A:$R,15,FALSE)="武器",$E$15,0))</f>
        <v>167.31</v>
      </c>
      <c r="AG105" s="92">
        <f t="shared" si="65"/>
        <v>167.31</v>
      </c>
      <c r="AH105" s="92">
        <f>VLOOKUP($E105,武器奇术!$A:$R,3,FALSE)*(1+IF(VLOOKUP($E105,武器奇术!$A:$R,15,FALSE)="武器",$E$15,0))</f>
        <v>167.31</v>
      </c>
      <c r="AI105" s="93">
        <f>IF(($D$5+VLOOKUP($E105,武器奇术!$A:$R,13,FALSE)+IF($I$3="√",10,0)-VLOOKUP($F$7,目标属性!$A:$R,5,FALSE))&gt;0,($D$5+VLOOKUP($E105,武器奇术!$A:$R,13,FALSE)+IF($I$3="√",10,0)-VLOOKUP($F$7,目标属性!$A:$R,5,FALSE))/200,($D$5+VLOOKUP($E105,武器奇术!$A:$R,13,FALSE)+IF($I$3="√",10,0)-VLOOKUP($F$7,目标属性!$A:$R,5,FALSE))/100)</f>
        <v>0.2675</v>
      </c>
      <c r="AJ105" s="120">
        <f>$E$5+IF(VLOOKUP($E105,武器奇术!$A:$R,18,FALSE)="鼠鼠",0.24,0)+IF(期望!$G$5="燕归",6/100,0)</f>
        <v>0.06</v>
      </c>
      <c r="AK105" s="91">
        <v>1</v>
      </c>
      <c r="AL105" s="92">
        <f t="shared" si="109"/>
        <v>224.7893505</v>
      </c>
      <c r="AM105" s="93">
        <f>(1-IF(VLOOKUP($E105,武器奇术!$A:$R,16,FALSE)="陌刀",1,$N105))*(1-$M105)</f>
        <v>0</v>
      </c>
      <c r="AN105" s="92">
        <f>AG105*(1+AI105)*(1+AJ105)*AK105*(1+$E$16+VLOOKUP($E105,武器奇术!$A:$R,8,FALSE))</f>
        <v>369.553692222</v>
      </c>
      <c r="AO105" s="93">
        <f t="shared" si="94"/>
        <v>0.8135</v>
      </c>
      <c r="AP105" s="92">
        <f>AH105*(1+AI105)*(1+AJ105)*AK105*(1+$E$17+VLOOKUP($E105,武器奇术!$A:$R,10,FALSE))</f>
        <v>303.465623175</v>
      </c>
      <c r="AQ105" s="93">
        <f t="shared" si="95"/>
        <v>0.0986</v>
      </c>
      <c r="AR105" s="92">
        <f t="shared" si="67"/>
        <v>224.7893505</v>
      </c>
      <c r="AS105" s="93">
        <f t="shared" si="68"/>
        <v>0.0879</v>
      </c>
      <c r="AT105" s="101">
        <f t="shared" si="69"/>
        <v>350.312622976602</v>
      </c>
      <c r="AU105" s="99">
        <f>IF(VLOOKUP($E105,武器奇术!$A:$R,18,FALSE)="极乐",0,$B$7*IF($G$5="撼天",1.05,1)+IF(AND(VLOOKUP($E105,武器奇术!$A:$R,15,FALSE)="武器",VLOOKUP($E105,武器奇术!$A:$R,17,FALSE)="鸣金"),$E$3*(1+$E$15),0))</f>
        <v>0</v>
      </c>
      <c r="AV105" s="91">
        <f t="shared" si="70"/>
        <v>0</v>
      </c>
      <c r="AW105" s="91">
        <f>IF(VLOOKUP($E105,武器奇术!$A:$R,18,FALSE)="极乐",0,MAX($C$7*IF($G$5="撼天",1.05,1)+IF(AND(VLOOKUP($E105,武器奇术!$A:$R,15,FALSE)="武器",VLOOKUP($E105,武器奇术!$A:$R,17,FALSE)="鸣金"),$E$3*(1+$E$15),0),AU105))</f>
        <v>0</v>
      </c>
      <c r="AX105" s="93">
        <f>IF(($D$7+IF(VLOOKUP($E105,武器奇术!$A:$R,17,FALSE)="鸣金",$D$15,0)-VLOOKUP($F$7,目标属性!$A:$R,6,FALSE))&gt;0,($D$7+IF(VLOOKUP($E105,武器奇术!$A:$R,17,FALSE)="鸣金",$D$15,0)-VLOOKUP($F$7,目标属性!$A:$R,6,FALSE))/200,($D$7+IF(VLOOKUP($E105,武器奇术!$A:$R,17,FALSE)="鸣金",$D$15,0)-VLOOKUP($F$7,目标属性!$A:$R,6,FALSE))/100)</f>
        <v>-0.24</v>
      </c>
      <c r="AY105" s="100">
        <f t="shared" si="89"/>
        <v>0</v>
      </c>
      <c r="AZ105" s="91">
        <v>1</v>
      </c>
      <c r="BA105" s="92">
        <f>AU105*IF(VLOOKUP($E105,武器奇术!$A:$R,17,FALSE)="鸣金",VLOOKUP($E105,武器奇术!$A:$R,4,FALSE),VLOOKUP($E105,武器奇术!$A:$R,2,FALSE))*(1+AX105)*(1+AY105)*AZ105</f>
        <v>0</v>
      </c>
      <c r="BB105" s="93">
        <f>(1-IF(VLOOKUP($E105,武器奇术!$A:$R,16,FALSE)="陌刀",1,$N105))*(1-$M105)</f>
        <v>0</v>
      </c>
      <c r="BC105" s="92">
        <f>AV105*IF(VLOOKUP($E105,武器奇术!$A:$R,17,FALSE)="鸣金",VLOOKUP($E105,武器奇术!$A:$R,4,FALSE),VLOOKUP($E105,武器奇术!$A:$R,2,FALSE))*(1+AX105)*(1+AY105)*AZ105*(1+$E$16+VLOOKUP($E105,武器奇术!$A:$R,8,FALSE))</f>
        <v>0</v>
      </c>
      <c r="BD105" s="93">
        <f t="shared" si="96"/>
        <v>0.8135</v>
      </c>
      <c r="BE105" s="92">
        <f>AW105*IF(VLOOKUP($E105,武器奇术!$A:$R,17,FALSE)="鸣金",VLOOKUP($E105,武器奇术!$A:$R,4,FALSE),VLOOKUP($E105,武器奇术!$A:$R,2,FALSE))*(1+AX105)*(1+AY105)*AZ105*(1+$E$17+VLOOKUP($E105,武器奇术!$A:$R,10,FALSE))</f>
        <v>0</v>
      </c>
      <c r="BF105" s="93">
        <f t="shared" si="97"/>
        <v>0.0986</v>
      </c>
      <c r="BG105" s="92">
        <f>AV105*IF(VLOOKUP($E105,武器奇术!$A:$R,17,FALSE)="鸣金",VLOOKUP($E105,武器奇术!$A:$R,4,FALSE),VLOOKUP($E105,武器奇术!$A:$R,2,FALSE))*(1+AX105)*(1+AY105)*AZ105</f>
        <v>0</v>
      </c>
      <c r="BH105" s="93">
        <f t="shared" si="71"/>
        <v>0.0879</v>
      </c>
      <c r="BI105" s="101">
        <f t="shared" si="72"/>
        <v>0</v>
      </c>
      <c r="BJ105" s="99">
        <f>IF(VLOOKUP($E105,武器奇术!$A:$R,18,FALSE)="极乐",0,$B$9*IF($G$5="撼天",1.05,1)+IF(AND(VLOOKUP($E105,武器奇术!$A:$R,15,FALSE)="武器",VLOOKUP($E105,武器奇术!$A:$R,17,FALSE)="裂石"),$E$3*(1+$E$15),0))</f>
        <v>0</v>
      </c>
      <c r="BK105" s="91">
        <f t="shared" si="73"/>
        <v>0</v>
      </c>
      <c r="BL105" s="91">
        <f>IF(VLOOKUP($E105,武器奇术!$A:$R,18,FALSE)="极乐",0,MAX($C$9*IF($G$5="撼天",1.05,1)+IF(AND(VLOOKUP($E105,武器奇术!$A:$R,15,FALSE)="武器",VLOOKUP($E105,武器奇术!$A:$R,17,FALSE)="裂石"),$E$3*(1+$E$15),0),BJ105))</f>
        <v>0</v>
      </c>
      <c r="BM105" s="93">
        <f>IF(($D$9+IF(VLOOKUP($E105,武器奇术!$A:$R,17,FALSE)="裂石",$D$15,0)-VLOOKUP($F$7,目标属性!$A:$R,6,FALSE))&gt;0,($D$9+IF(VLOOKUP($E105,武器奇术!$A:$R,17,FALSE)="裂石",$D$15,0)-VLOOKUP($F$7,目标属性!$A:$R,6,FALSE))/200,($D$9+IF(VLOOKUP($E105,武器奇术!$A:$R,17,FALSE)="裂石",$D$15,0)-VLOOKUP($F$7,目标属性!$A:$R,6,FALSE))/100)</f>
        <v>-0.24</v>
      </c>
      <c r="BN105" s="100">
        <f t="shared" si="90"/>
        <v>0</v>
      </c>
      <c r="BO105" s="91">
        <v>1</v>
      </c>
      <c r="BP105" s="92">
        <f>BJ105*IF(VLOOKUP($E105,武器奇术!$A:$R,17,FALSE)="裂石",VLOOKUP($E105,武器奇术!$A:$R,4,FALSE),VLOOKUP($E105,武器奇术!$A:$R,2,FALSE))*(1+BM105)*(1+BN105)*BO105</f>
        <v>0</v>
      </c>
      <c r="BQ105" s="93">
        <f>(1-IF(VLOOKUP($E105,武器奇术!$A:$R,16,FALSE)="陌刀",1,$N105))*(1-$M105)</f>
        <v>0</v>
      </c>
      <c r="BR105" s="92">
        <f>BK105*IF(VLOOKUP($E105,武器奇术!$A:$R,17,FALSE)="裂石",VLOOKUP($E105,武器奇术!$A:$R,4,FALSE),VLOOKUP($E105,武器奇术!$A:$R,2,FALSE))*(1+BM105)*(1+BN105)*BO105*(1+$E$16+VLOOKUP($E105,武器奇术!$A:$R,8,FALSE))</f>
        <v>0</v>
      </c>
      <c r="BS105" s="93">
        <f t="shared" si="98"/>
        <v>0.8135</v>
      </c>
      <c r="BT105" s="92">
        <f>BL105*IF(VLOOKUP($E105,武器奇术!$A:$R,17,FALSE)="裂石",VLOOKUP($E105,武器奇术!$A:$R,4,FALSE),VLOOKUP($E105,武器奇术!$A:$R,2,FALSE))*(1+BM105)*(1+BN105)*BO105*(1+$E$17+VLOOKUP($E105,武器奇术!$A:$R,10,FALSE))</f>
        <v>0</v>
      </c>
      <c r="BU105" s="93">
        <f t="shared" si="99"/>
        <v>0.0986</v>
      </c>
      <c r="BV105" s="92">
        <f>BK105*IF(VLOOKUP($E105,武器奇术!$A:$R,17,FALSE)="裂石",VLOOKUP($E105,武器奇术!$A:$R,4,FALSE),VLOOKUP($E105,武器奇术!$A:$R,2,FALSE))*(1+BM105)*(1+BN105)*BO105</f>
        <v>0</v>
      </c>
      <c r="BW105" s="93">
        <f t="shared" si="74"/>
        <v>0.0879</v>
      </c>
      <c r="BX105" s="101">
        <f t="shared" si="75"/>
        <v>0</v>
      </c>
      <c r="BY105" s="99">
        <f>IF(VLOOKUP($E105,武器奇术!$A:$R,18,FALSE)="极乐",0,$B$11*IF($G$5="撼天",1.05,1)+IF(AND(VLOOKUP($E105,武器奇术!$A:$R,15,FALSE)="武器",VLOOKUP($E105,武器奇术!$A:$R,17,FALSE)="牵丝"),$E$3*(1+$E$15),0))</f>
        <v>0</v>
      </c>
      <c r="BZ105" s="91">
        <f t="shared" si="76"/>
        <v>0</v>
      </c>
      <c r="CA105" s="91">
        <f>IF(VLOOKUP($E105,武器奇术!$A:$R,18,FALSE)="极乐",0,MAX($C$11*IF($G$5="撼天",1.05,1)+IF(AND(VLOOKUP($E105,武器奇术!$A:$R,15,FALSE)="武器",VLOOKUP($E105,武器奇术!$A:$R,17,FALSE)="牵丝"),$E$3*(1+$E$15),0),BY105))</f>
        <v>0</v>
      </c>
      <c r="CB105" s="93">
        <f>IF(($D$11+IF(VLOOKUP($E105,武器奇术!$A:$R,17,FALSE)="牵丝",$D$15,0)-VLOOKUP($F$7,目标属性!$A:$R,6,FALSE))&gt;0,($D$11+IF(VLOOKUP($E105,武器奇术!$A:$R,17,FALSE)="牵丝",$D$15,0)-VLOOKUP($F$7,目标属性!$A:$R,6,FALSE))/200,($D$11+IF(VLOOKUP($E105,武器奇术!$A:$R,17,FALSE)="牵丝",$D$15,0)-VLOOKUP($F$7,目标属性!$A:$R,6,FALSE))/100)</f>
        <v>-0.24</v>
      </c>
      <c r="CC105" s="100">
        <f t="shared" si="91"/>
        <v>0</v>
      </c>
      <c r="CD105" s="91">
        <v>1</v>
      </c>
      <c r="CE105" s="92">
        <f>BY105*IF(VLOOKUP($E105,武器奇术!$A:$R,17,FALSE)="牵丝",VLOOKUP($E105,武器奇术!$A:$R,4,FALSE),VLOOKUP($E105,武器奇术!$A:$R,2,FALSE))*(1+CB105)*(1+CC105)*CD105</f>
        <v>0</v>
      </c>
      <c r="CF105" s="93">
        <f>(1-IF(VLOOKUP($E105,武器奇术!$A:$R,16,FALSE)="陌刀",1,$N105))*(1-$M105)</f>
        <v>0</v>
      </c>
      <c r="CG105" s="92">
        <f>BZ105*IF(VLOOKUP($E105,武器奇术!$A:$R,17,FALSE)="牵丝",VLOOKUP($E105,武器奇术!$A:$R,4,FALSE),VLOOKUP($E105,武器奇术!$A:$R,2,FALSE))*(1+CB105)*(1+CC105)*CD105*(1+$E$16+VLOOKUP($E105,武器奇术!$A:$R,8,FALSE))</f>
        <v>0</v>
      </c>
      <c r="CH105" s="93">
        <f t="shared" si="100"/>
        <v>0.8135</v>
      </c>
      <c r="CI105" s="92">
        <f>CA105*IF(VLOOKUP($E105,武器奇术!$A:$R,17,FALSE)="牵丝",VLOOKUP($E105,武器奇术!$A:$R,4,FALSE),VLOOKUP($E105,武器奇术!$A:$R,2,FALSE))*(1+CB105)*(1+CC105)*CD105*(1+$E$17+VLOOKUP($E105,武器奇术!$A:$R,10,FALSE))</f>
        <v>0</v>
      </c>
      <c r="CJ105" s="93">
        <f t="shared" si="101"/>
        <v>0.0986</v>
      </c>
      <c r="CK105" s="92">
        <f>BZ105*IF(VLOOKUP($E105,武器奇术!$A:$R,17,FALSE)="牵丝",VLOOKUP($E105,武器奇术!$A:$R,4,FALSE),VLOOKUP($E105,武器奇术!$A:$R,2,FALSE))*(1+CB105)*(1+CC105)*CD105</f>
        <v>0</v>
      </c>
      <c r="CL105" s="93">
        <f t="shared" si="77"/>
        <v>0.0879</v>
      </c>
      <c r="CM105" s="101">
        <f t="shared" si="78"/>
        <v>0</v>
      </c>
      <c r="CN105" s="99">
        <f>IF(VLOOKUP($E105,武器奇术!$A:$R,18,FALSE)="极乐",0,$B$13*IF($G$5="撼天",1.05,1)+IF(AND(VLOOKUP($E105,武器奇术!$A:$R,15,FALSE)="武器",VLOOKUP($E105,武器奇术!$A:$R,17,FALSE)="破竹"),$E$3*(1+$E$15),0))</f>
        <v>686.71</v>
      </c>
      <c r="CO105" s="91">
        <f t="shared" si="79"/>
        <v>1052.21</v>
      </c>
      <c r="CP105" s="91">
        <f>IF(VLOOKUP($E105,武器奇术!$A:$R,18,FALSE)="极乐",0,MAX($C$13*IF($G$5="撼天",1.05,1)+IF(AND(VLOOKUP($E105,武器奇术!$A:$R,15,FALSE)="武器",VLOOKUP($E105,武器奇术!$A:$R,17,FALSE)="破竹"),$E$3*(1+$E$15),0),CN105))</f>
        <v>1417.71</v>
      </c>
      <c r="CQ105" s="93">
        <f>IF(($D$13+IF(VLOOKUP($E105,武器奇术!$A:$R,17,FALSE)="破竹",$D$15,0)-VLOOKUP($F$7,目标属性!$A:$R,6,FALSE)+IF(VLOOKUP($E105,武器奇术!$A:$V,22,FALSE)=1,4,0)+IF(VLOOKUP($E105,武器奇术!$A:$T,20,FALSE)=1,10,0))&gt;0,($D$13+IF(VLOOKUP($E105,武器奇术!$A:$R,17,FALSE)="破竹",$D$15,0)-VLOOKUP($F$7,目标属性!$A:$R,6,FALSE)+IF(VLOOKUP($E105,武器奇术!$A:$V,22,FALSE)=1,4,0)+IF(VLOOKUP($E105,武器奇术!$A:$T,20,FALSE)=1,10,0))/200,($D$13+IF(VLOOKUP($E105,武器奇术!$A:$R,17,FALSE)="破竹",$D$15,0)-VLOOKUP($F$7,目标属性!$A:$R,6,FALSE)+IF(VLOOKUP($E105,武器奇术!$A:$V,22,FALSE)=1,4,0)+IF(VLOOKUP($E105,武器奇术!$A:$T,20,FALSE)=1,10,0))/100)</f>
        <v>0.028</v>
      </c>
      <c r="CR105" s="120">
        <f>$E$13+IF(期望!$G$5="燕归",6%,0)</f>
        <v>0.208</v>
      </c>
      <c r="CS105" s="91">
        <v>1</v>
      </c>
      <c r="CT105" s="92">
        <f>CN105*IF(VLOOKUP($E105,武器奇术!$A:$R,17,FALSE)="破竹",VLOOKUP($E105,武器奇术!$A:$R,4,FALSE),VLOOKUP($E105,武器奇术!$A:$R,2,FALSE))*(1+CQ105)*(1+CR105)*CS105</f>
        <v>591.628295793181</v>
      </c>
      <c r="CU105" s="93">
        <f>(1-IF(VLOOKUP($E105,武器奇术!$A:$R,16,FALSE)="陌刀",1,$N105))*(1-$M105)</f>
        <v>0</v>
      </c>
      <c r="CV105" s="92">
        <f>CO105*IF(VLOOKUP($E105,武器奇术!$A:$R,17,FALSE)="破竹",VLOOKUP($E105,武器奇术!$A:$R,4,FALSE),VLOOKUP($E105,武器奇术!$A:$R,2,FALSE))*(1+CQ105)*(1+CR105)*CS105*(1+$E$16+VLOOKUP($E105,武器奇术!$A:$R,8,FALSE))</f>
        <v>1490.32093866056</v>
      </c>
      <c r="CW105" s="93">
        <f t="shared" si="102"/>
        <v>0.8135</v>
      </c>
      <c r="CX105" s="92">
        <f>CP105*IF(VLOOKUP($E105,武器奇术!$A:$R,17,FALSE)="破竹",VLOOKUP($E105,武器奇术!$A:$R,4,FALSE),VLOOKUP($E105,武器奇术!$A:$R,2,FALSE))*(1+CQ105)*(1+CR105)*CS105*(1+$E$17+VLOOKUP($E105,武器奇术!$A:$R,10,FALSE))</f>
        <v>1648.90918169108</v>
      </c>
      <c r="CY105" s="93">
        <f t="shared" si="103"/>
        <v>0.0986</v>
      </c>
      <c r="CZ105" s="92">
        <f>CO105*IF(VLOOKUP($E105,武器奇术!$A:$R,17,FALSE)="破竹",VLOOKUP($E105,武器奇术!$A:$R,4,FALSE),VLOOKUP($E105,武器奇术!$A:$R,2,FALSE))*(1+CQ105)*(1+CR105)*CS105</f>
        <v>906.521252226621</v>
      </c>
      <c r="DA105" s="93">
        <f t="shared" si="80"/>
        <v>0.0879</v>
      </c>
      <c r="DB105" s="101">
        <f t="shared" si="81"/>
        <v>1454.64174698583</v>
      </c>
      <c r="DC105" s="99">
        <f>IF(VLOOKUP($E105,武器奇术!$A:$R,18,FALSE)="极乐",0,$B$15)</f>
        <v>66</v>
      </c>
      <c r="DD105" s="91">
        <f t="shared" si="111"/>
        <v>95.9</v>
      </c>
      <c r="DE105" s="91">
        <f>IF(VLOOKUP($E105,武器奇术!$A:$R,18,FALSE)="极乐",0,$C$15)</f>
        <v>125.8</v>
      </c>
      <c r="DF105" s="93">
        <f>IF((IF(VLOOKUP($E105,武器奇术!$A:$R,17,FALSE)="鸣金",$D$7,0)+IF(VLOOKUP($E105,武器奇术!$A:$R,17,FALSE)="裂石",$D$9,0)+IF(VLOOKUP($E105,武器奇术!$A:$R,17,FALSE)="牵丝",$D$11,0)+IF(VLOOKUP($E105,武器奇术!$A:$R,17,FALSE)="破竹",$D$13,0)+$D$15-VLOOKUP($F$7,目标属性!$A:$R,6,FALSE)+IF(VLOOKUP($E105,武器奇术!$A:$V,22,FALSE)=1,4,0)+IF(VLOOKUP($E105,武器奇术!$A:$T,20,FALSE)=1,10,0))&gt;0,(IF(VLOOKUP($E105,武器奇术!$A:$R,17,FALSE)="鸣金",$D$7,0)+IF(VLOOKUP($E105,武器奇术!$A:$R,17,FALSE)="裂石",$D$9,0)+IF(VLOOKUP($E105,武器奇术!$A:$R,17,FALSE)="牵丝",$D$11,0)+IF(VLOOKUP($E105,武器奇术!$A:$R,17,FALSE)="破竹",$D$13,0)+$D$15-VLOOKUP($F$7,目标属性!$A:$R,6,FALSE)+IF(VLOOKUP($E105,武器奇术!$A:$V,22,FALSE)=1,4,0)+IF(VLOOKUP($E105,武器奇术!$A:$T,20,FALSE)=1,10,0))/200,(IF(VLOOKUP($E105,武器奇术!$A:$R,17,FALSE)="鸣金",$D$7,0)+IF(VLOOKUP($E105,武器奇术!$A:$R,17,FALSE)="裂石",$D$9,0)+IF(VLOOKUP($E105,武器奇术!$A:$R,17,FALSE)="牵丝",$D$11,0)+IF(VLOOKUP($E105,武器奇术!$A:$R,17,FALSE)="破竹",$D$13,0)+$D$15-VLOOKUP($F$7,目标属性!$A:$R,6,FALSE)+IF(VLOOKUP($E105,武器奇术!$A:$V,22,FALSE)=1,4,0)+IF(VLOOKUP($E105,武器奇术!$A:$T,20,FALSE)=1,10,0))/100)</f>
        <v>0.028</v>
      </c>
      <c r="DG105" s="120">
        <f>$E$13+IF(期望!$G$5="燕归",6%,0)</f>
        <v>0.208</v>
      </c>
      <c r="DH105" s="91">
        <v>1</v>
      </c>
      <c r="DI105" s="92">
        <f>DC105*IF(VLOOKUP($E105,武器奇术!$A:$R,17,FALSE)="破竹",VLOOKUP($E105,武器奇术!$A:$R,4,FALSE),VLOOKUP($E105,武器奇术!$A:$R,2,FALSE))*(1+DF105)*(1+DG105)*DH105</f>
        <v>56.86165560768</v>
      </c>
      <c r="DJ105" s="93">
        <f>(1-IF(VLOOKUP($E105,武器奇术!$A:$R,16,FALSE)="陌刀",1,$N105))*(1-$M105)</f>
        <v>0</v>
      </c>
      <c r="DK105" s="92">
        <f>DD105*IF(VLOOKUP($E105,武器奇术!$A:$R,17,FALSE)="破竹",VLOOKUP($E105,武器奇术!$A:$R,4,FALSE),VLOOKUP($E105,武器奇术!$A:$R,2,FALSE))*(1+DF105)*(1+DG105)*DH105*(1+$E$16+VLOOKUP($E105,武器奇术!$A:$R,8,FALSE))</f>
        <v>135.830089067342</v>
      </c>
      <c r="DL105" s="93">
        <f t="shared" si="104"/>
        <v>0.8135</v>
      </c>
      <c r="DM105" s="92">
        <f>DE105*IF(VLOOKUP($E105,武器奇术!$A:$R,17,FALSE)="破竹",VLOOKUP($E105,武器奇术!$A:$R,4,FALSE),VLOOKUP($E105,武器奇术!$A:$R,2,FALSE))*(1+DF105)*(1+DG105)*DH105*(1+$E$17+VLOOKUP($E105,武器奇术!$A:$R,10,FALSE))</f>
        <v>146.315378361398</v>
      </c>
      <c r="DN105" s="93">
        <f t="shared" si="105"/>
        <v>0.0986</v>
      </c>
      <c r="DO105" s="92">
        <f>DD105*IF(VLOOKUP($E105,武器奇术!$A:$R,17,FALSE)="破竹",VLOOKUP($E105,武器奇术!$A:$R,4,FALSE),VLOOKUP($E105,武器奇术!$A:$R,2,FALSE))*(1+DF105)*(1+DG105)*DH105</f>
        <v>82.621708678432</v>
      </c>
      <c r="DP105" s="93">
        <f t="shared" si="106"/>
        <v>0.0879</v>
      </c>
      <c r="DQ105" s="101">
        <f t="shared" si="107"/>
        <v>132.186921955551</v>
      </c>
    </row>
    <row r="106" spans="1:121">
      <c r="B106" s="130" t="s">
        <v>155</v>
      </c>
      <c r="C106">
        <v>0.633</v>
      </c>
      <c r="D106" s="33"/>
      <c r="E106" s="105" t="s">
        <v>125</v>
      </c>
      <c r="F106" s="106">
        <v>1</v>
      </c>
      <c r="G106" s="107">
        <f>$E$24</f>
        <v>0</v>
      </c>
      <c r="H106" s="131">
        <f>IF(VLOOKUP($E106,武器奇术!$A:$R,18,FALSE)="天工",AE106,(AE106+AT106+BI106+BX106+CM106+DB106+DQ106))*(1+J106)*F106*K106*(1+G106)*(1+$G$21*5%)</f>
        <v>12074.1829052319</v>
      </c>
      <c r="I106" s="93">
        <f t="shared" si="58"/>
        <v>0.00154890900847363</v>
      </c>
      <c r="J106" s="93">
        <f>$F$3+VLOOKUP($E106,武器奇术!$A:$R,12,FALSE)+VLOOKUP($E106,武器奇术!$A:$R,14,FALSE)*$G$3+$P106</f>
        <v>0.693</v>
      </c>
      <c r="K106" s="94">
        <f>VLOOKUP($E106,武器奇术!$A:$R,11,FALSE)</f>
        <v>1</v>
      </c>
      <c r="L106" s="109">
        <f>IF(VLOOKUP($E106,武器奇术!$A:$R,15,FALSE)="天工",0%,IF($C$17+VLOOKUP($E106,武器奇术!$A:$R,7,FALSE)&gt;80%,80%,$C$17+VLOOKUP($E106,武器奇术!$A:$R,7,FALSE))+IF($C$19&gt;20%,20%,$C$19))</f>
        <v>0.8135</v>
      </c>
      <c r="M106" s="110">
        <f>IF(VLOOKUP($E106,武器奇术!$A:$R,15,FALSE)="天工",0%,IF($C$18+VLOOKUP($E106,武器奇术!$A:$R,9,FALSE)&gt;40%,40%,$C$18+VLOOKUP($E106,武器奇术!$A:$R,9,FALSE))+IF($C$20&gt;10%,10%,$C$20))</f>
        <v>0.0986</v>
      </c>
      <c r="N106" s="111">
        <f>IF(VLOOKUP($E106,武器奇术!$A:$R,15,FALSE)="天工",100%,MIN($C$16,1))</f>
        <v>1</v>
      </c>
      <c r="O106" s="112" t="str">
        <f>VLOOKUP($E106,武器奇术!$A:$R,16,FALSE)</f>
        <v>双刀</v>
      </c>
      <c r="P106" s="113">
        <f t="shared" si="108"/>
        <v>0.17</v>
      </c>
      <c r="Q106" s="99">
        <f>$B$5*(1+VLOOKUP($E106,武器奇术!$A:$R,5,FALSE)+IF($G$5="飞隼",0.1,0)+IF($G$5="撼天",0.05,0))-$F$9*IF(VLOOKUP($E106,武器奇术!$A:$S,19,FALSE)=1,0.9,1)+IF($I$5="√",160,0)</f>
        <v>2904.2</v>
      </c>
      <c r="R106" s="91">
        <f t="shared" si="60"/>
        <v>2904.2</v>
      </c>
      <c r="S106" s="91">
        <f>MAX($C$5,$B$5)*(1+VLOOKUP($E106,武器奇术!$A:$R,5,FALSE)+IF($G$5="飞隼",0.1,0)+IF($G$5="撼天",0.05,0))-$F$9*IF(VLOOKUP($E106,武器奇术!$A:$S,19,FALSE)=1,0.9,1)+IF($I$5="√",320,0)</f>
        <v>2904.2</v>
      </c>
      <c r="T106" s="93">
        <f>IF(($D$5+VLOOKUP($E106,武器奇术!$A:$R,13,FALSE)+IF($I$3="√",10,0)-VLOOKUP($F$7,目标属性!$A:$R,5,FALSE))&gt;0,($D$5+VLOOKUP($E106,武器奇术!$A:$R,13,FALSE)+IF($I$3="√",10,0)-VLOOKUP($F$7,目标属性!$A:$R,5,FALSE))/200,($D$5+VLOOKUP($E106,武器奇术!$A:$R,13,FALSE)+IF($I$3="√",10,0)-VLOOKUP($F$7,目标属性!$A:$R,5,FALSE))/100)</f>
        <v>0.2675</v>
      </c>
      <c r="U106" s="120">
        <f>$E$5+IF(VLOOKUP($E106,武器奇术!$A:$R,18,FALSE)="鼠鼠",0.24,0)+IF(期望!$G$5="燕归",6/100,0)</f>
        <v>0.06</v>
      </c>
      <c r="V106" s="91">
        <v>1</v>
      </c>
      <c r="W106" s="92">
        <f>Q106*VLOOKUP($E106,武器奇术!$A:$R,2,FALSE)*(1+T106)*(1+U106)*V106</f>
        <v>1934.8929708108</v>
      </c>
      <c r="X106" s="93">
        <f>(1-IF(VLOOKUP($E106,武器奇术!$A:$R,16,FALSE)="陌刀",1,$N106))*(1-$M106)</f>
        <v>0</v>
      </c>
      <c r="Y106" s="92">
        <f>R106*VLOOKUP($E106,武器奇术!$A:$R,2,FALSE)*(1+T106)*(1+U106)*V106*(1+$E$16+VLOOKUP($E106,武器奇术!$A:$R,8,FALSE))</f>
        <v>3180.96404401296</v>
      </c>
      <c r="Z106" s="93">
        <f t="shared" si="61"/>
        <v>0.8135</v>
      </c>
      <c r="AA106" s="92">
        <f>S106*VLOOKUP($E106,武器奇术!$A:$R,2,FALSE)*(1+T106)*(1+U106)*V106*(1+$E$17+VLOOKUP($E106,武器奇术!$A:$R,10,FALSE))</f>
        <v>2612.10551059458</v>
      </c>
      <c r="AB106" s="93">
        <f t="shared" si="62"/>
        <v>0.0986</v>
      </c>
      <c r="AC106" s="92">
        <f>R106*VLOOKUP($E106,武器奇术!$A:$R,2,FALSE)*(1+T106)*(1+U106)*V106</f>
        <v>1934.8929708108</v>
      </c>
      <c r="AD106" s="93">
        <f t="shared" si="63"/>
        <v>0.0879</v>
      </c>
      <c r="AE106" s="101">
        <f t="shared" si="64"/>
        <v>3015.34494528344</v>
      </c>
      <c r="AF106" s="102">
        <f>VLOOKUP($E106,武器奇术!$A:$R,3,FALSE)*(1+IF(VLOOKUP($E106,武器奇术!$A:$R,15,FALSE)="武器",$E$15,0))</f>
        <v>180.18</v>
      </c>
      <c r="AG106" s="92">
        <f t="shared" si="65"/>
        <v>180.18</v>
      </c>
      <c r="AH106" s="92">
        <f>VLOOKUP($E106,武器奇术!$A:$R,3,FALSE)*(1+IF(VLOOKUP($E106,武器奇术!$A:$R,15,FALSE)="武器",$E$15,0))</f>
        <v>180.18</v>
      </c>
      <c r="AI106" s="93">
        <f>IF(($D$5+VLOOKUP($E106,武器奇术!$A:$R,13,FALSE)+IF($I$3="√",10,0)-VLOOKUP($F$7,目标属性!$A:$R,5,FALSE))&gt;0,($D$5+VLOOKUP($E106,武器奇术!$A:$R,13,FALSE)+IF($I$3="√",10,0)-VLOOKUP($F$7,目标属性!$A:$R,5,FALSE))/200,($D$5+VLOOKUP($E106,武器奇术!$A:$R,13,FALSE)+IF($I$3="√",10,0)-VLOOKUP($F$7,目标属性!$A:$R,5,FALSE))/100)</f>
        <v>0.2675</v>
      </c>
      <c r="AJ106" s="120">
        <f>$E$5+IF(VLOOKUP($E106,武器奇术!$A:$R,18,FALSE)="鼠鼠",0.24,0)+IF(期望!$G$5="燕归",6/100,0)</f>
        <v>0.06</v>
      </c>
      <c r="AK106" s="91">
        <v>1</v>
      </c>
      <c r="AL106" s="92">
        <f t="shared" si="109"/>
        <v>242.080839</v>
      </c>
      <c r="AM106" s="93">
        <f>(1-IF(VLOOKUP($E106,武器奇术!$A:$R,16,FALSE)="陌刀",1,$N106))*(1-$M106)</f>
        <v>0</v>
      </c>
      <c r="AN106" s="92">
        <f>AG106*(1+AI106)*(1+AJ106)*AK106*(1+$E$16+VLOOKUP($E106,武器奇术!$A:$R,8,FALSE))</f>
        <v>397.980899316</v>
      </c>
      <c r="AO106" s="93">
        <f t="shared" si="94"/>
        <v>0.8135</v>
      </c>
      <c r="AP106" s="92">
        <f>AH106*(1+AI106)*(1+AJ106)*AK106*(1+$E$17+VLOOKUP($E106,武器奇术!$A:$R,10,FALSE))</f>
        <v>326.80913265</v>
      </c>
      <c r="AQ106" s="93">
        <f t="shared" si="95"/>
        <v>0.0986</v>
      </c>
      <c r="AR106" s="92">
        <f t="shared" si="67"/>
        <v>242.080839</v>
      </c>
      <c r="AS106" s="93">
        <f t="shared" si="68"/>
        <v>0.0879</v>
      </c>
      <c r="AT106" s="101">
        <f t="shared" si="69"/>
        <v>377.259747820956</v>
      </c>
      <c r="AU106" s="99">
        <f>IF(VLOOKUP($E106,武器奇术!$A:$R,18,FALSE)="极乐",0,$B$7*IF($G$5="撼天",1.05,1)+IF(AND(VLOOKUP($E106,武器奇术!$A:$R,15,FALSE)="武器",VLOOKUP($E106,武器奇术!$A:$R,17,FALSE)="鸣金"),$E$3*(1+$E$15),0))</f>
        <v>0</v>
      </c>
      <c r="AV106" s="91">
        <f t="shared" si="70"/>
        <v>0</v>
      </c>
      <c r="AW106" s="91">
        <f>IF(VLOOKUP($E106,武器奇术!$A:$R,18,FALSE)="极乐",0,MAX($C$7*IF($G$5="撼天",1.05,1)+IF(AND(VLOOKUP($E106,武器奇术!$A:$R,15,FALSE)="武器",VLOOKUP($E106,武器奇术!$A:$R,17,FALSE)="鸣金"),$E$3*(1+$E$15),0),AU106))</f>
        <v>0</v>
      </c>
      <c r="AX106" s="93">
        <f>IF(($D$7+IF(VLOOKUP($E106,武器奇术!$A:$R,17,FALSE)="鸣金",$D$15,0)-VLOOKUP($F$7,目标属性!$A:$R,6,FALSE))&gt;0,($D$7+IF(VLOOKUP($E106,武器奇术!$A:$R,17,FALSE)="鸣金",$D$15,0)-VLOOKUP($F$7,目标属性!$A:$R,6,FALSE))/200,($D$7+IF(VLOOKUP($E106,武器奇术!$A:$R,17,FALSE)="鸣金",$D$15,0)-VLOOKUP($F$7,目标属性!$A:$R,6,FALSE))/100)</f>
        <v>-0.24</v>
      </c>
      <c r="AY106" s="100">
        <f t="shared" si="89"/>
        <v>0</v>
      </c>
      <c r="AZ106" s="91">
        <v>1</v>
      </c>
      <c r="BA106" s="92">
        <f>AU106*IF(VLOOKUP($E106,武器奇术!$A:$R,17,FALSE)="鸣金",VLOOKUP($E106,武器奇术!$A:$R,4,FALSE),VLOOKUP($E106,武器奇术!$A:$R,2,FALSE))*(1+AX106)*(1+AY106)*AZ106</f>
        <v>0</v>
      </c>
      <c r="BB106" s="93">
        <f>(1-IF(VLOOKUP($E106,武器奇术!$A:$R,16,FALSE)="陌刀",1,$N106))*(1-$M106)</f>
        <v>0</v>
      </c>
      <c r="BC106" s="92">
        <f>AV106*IF(VLOOKUP($E106,武器奇术!$A:$R,17,FALSE)="鸣金",VLOOKUP($E106,武器奇术!$A:$R,4,FALSE),VLOOKUP($E106,武器奇术!$A:$R,2,FALSE))*(1+AX106)*(1+AY106)*AZ106*(1+$E$16+VLOOKUP($E106,武器奇术!$A:$R,8,FALSE))</f>
        <v>0</v>
      </c>
      <c r="BD106" s="93">
        <f t="shared" si="96"/>
        <v>0.8135</v>
      </c>
      <c r="BE106" s="92">
        <f>AW106*IF(VLOOKUP($E106,武器奇术!$A:$R,17,FALSE)="鸣金",VLOOKUP($E106,武器奇术!$A:$R,4,FALSE),VLOOKUP($E106,武器奇术!$A:$R,2,FALSE))*(1+AX106)*(1+AY106)*AZ106*(1+$E$17+VLOOKUP($E106,武器奇术!$A:$R,10,FALSE))</f>
        <v>0</v>
      </c>
      <c r="BF106" s="93">
        <f t="shared" si="97"/>
        <v>0.0986</v>
      </c>
      <c r="BG106" s="92">
        <f>AV106*IF(VLOOKUP($E106,武器奇术!$A:$R,17,FALSE)="鸣金",VLOOKUP($E106,武器奇术!$A:$R,4,FALSE),VLOOKUP($E106,武器奇术!$A:$R,2,FALSE))*(1+AX106)*(1+AY106)*AZ106</f>
        <v>0</v>
      </c>
      <c r="BH106" s="93">
        <f t="shared" si="71"/>
        <v>0.0879</v>
      </c>
      <c r="BI106" s="101">
        <f t="shared" si="72"/>
        <v>0</v>
      </c>
      <c r="BJ106" s="99">
        <f>IF(VLOOKUP($E106,武器奇术!$A:$R,18,FALSE)="极乐",0,$B$9*IF($G$5="撼天",1.05,1)+IF(AND(VLOOKUP($E106,武器奇术!$A:$R,15,FALSE)="武器",VLOOKUP($E106,武器奇术!$A:$R,17,FALSE)="裂石"),$E$3*(1+$E$15),0))</f>
        <v>0</v>
      </c>
      <c r="BK106" s="91">
        <f t="shared" si="73"/>
        <v>0</v>
      </c>
      <c r="BL106" s="91">
        <f>IF(VLOOKUP($E106,武器奇术!$A:$R,18,FALSE)="极乐",0,MAX($C$9*IF($G$5="撼天",1.05,1)+IF(AND(VLOOKUP($E106,武器奇术!$A:$R,15,FALSE)="武器",VLOOKUP($E106,武器奇术!$A:$R,17,FALSE)="裂石"),$E$3*(1+$E$15),0),BJ106))</f>
        <v>0</v>
      </c>
      <c r="BM106" s="93">
        <f>IF(($D$9+IF(VLOOKUP($E106,武器奇术!$A:$R,17,FALSE)="裂石",$D$15,0)-VLOOKUP($F$7,目标属性!$A:$R,6,FALSE))&gt;0,($D$9+IF(VLOOKUP($E106,武器奇术!$A:$R,17,FALSE)="裂石",$D$15,0)-VLOOKUP($F$7,目标属性!$A:$R,6,FALSE))/200,($D$9+IF(VLOOKUP($E106,武器奇术!$A:$R,17,FALSE)="裂石",$D$15,0)-VLOOKUP($F$7,目标属性!$A:$R,6,FALSE))/100)</f>
        <v>-0.24</v>
      </c>
      <c r="BN106" s="100">
        <f t="shared" si="90"/>
        <v>0</v>
      </c>
      <c r="BO106" s="91">
        <v>1</v>
      </c>
      <c r="BP106" s="92">
        <f>BJ106*IF(VLOOKUP($E106,武器奇术!$A:$R,17,FALSE)="裂石",VLOOKUP($E106,武器奇术!$A:$R,4,FALSE),VLOOKUP($E106,武器奇术!$A:$R,2,FALSE))*(1+BM106)*(1+BN106)*BO106</f>
        <v>0</v>
      </c>
      <c r="BQ106" s="93">
        <f>(1-IF(VLOOKUP($E106,武器奇术!$A:$R,16,FALSE)="陌刀",1,$N106))*(1-$M106)</f>
        <v>0</v>
      </c>
      <c r="BR106" s="92">
        <f>BK106*IF(VLOOKUP($E106,武器奇术!$A:$R,17,FALSE)="裂石",VLOOKUP($E106,武器奇术!$A:$R,4,FALSE),VLOOKUP($E106,武器奇术!$A:$R,2,FALSE))*(1+BM106)*(1+BN106)*BO106*(1+$E$16+VLOOKUP($E106,武器奇术!$A:$R,8,FALSE))</f>
        <v>0</v>
      </c>
      <c r="BS106" s="93">
        <f t="shared" si="98"/>
        <v>0.8135</v>
      </c>
      <c r="BT106" s="92">
        <f>BL106*IF(VLOOKUP($E106,武器奇术!$A:$R,17,FALSE)="裂石",VLOOKUP($E106,武器奇术!$A:$R,4,FALSE),VLOOKUP($E106,武器奇术!$A:$R,2,FALSE))*(1+BM106)*(1+BN106)*BO106*(1+$E$17+VLOOKUP($E106,武器奇术!$A:$R,10,FALSE))</f>
        <v>0</v>
      </c>
      <c r="BU106" s="93">
        <f t="shared" si="99"/>
        <v>0.0986</v>
      </c>
      <c r="BV106" s="92">
        <f>BK106*IF(VLOOKUP($E106,武器奇术!$A:$R,17,FALSE)="裂石",VLOOKUP($E106,武器奇术!$A:$R,4,FALSE),VLOOKUP($E106,武器奇术!$A:$R,2,FALSE))*(1+BM106)*(1+BN106)*BO106</f>
        <v>0</v>
      </c>
      <c r="BW106" s="93">
        <f t="shared" si="74"/>
        <v>0.0879</v>
      </c>
      <c r="BX106" s="101">
        <f t="shared" si="75"/>
        <v>0</v>
      </c>
      <c r="BY106" s="99">
        <f>IF(VLOOKUP($E106,武器奇术!$A:$R,18,FALSE)="极乐",0,$B$11*IF($G$5="撼天",1.05,1)+IF(AND(VLOOKUP($E106,武器奇术!$A:$R,15,FALSE)="武器",VLOOKUP($E106,武器奇术!$A:$R,17,FALSE)="牵丝"),$E$3*(1+$E$15),0))</f>
        <v>0</v>
      </c>
      <c r="BZ106" s="91">
        <f t="shared" si="76"/>
        <v>0</v>
      </c>
      <c r="CA106" s="91">
        <f>IF(VLOOKUP($E106,武器奇术!$A:$R,18,FALSE)="极乐",0,MAX($C$11*IF($G$5="撼天",1.05,1)+IF(AND(VLOOKUP($E106,武器奇术!$A:$R,15,FALSE)="武器",VLOOKUP($E106,武器奇术!$A:$R,17,FALSE)="牵丝"),$E$3*(1+$E$15),0),BY106))</f>
        <v>0</v>
      </c>
      <c r="CB106" s="93">
        <f>IF(($D$11+IF(VLOOKUP($E106,武器奇术!$A:$R,17,FALSE)="牵丝",$D$15,0)-VLOOKUP($F$7,目标属性!$A:$R,6,FALSE))&gt;0,($D$11+IF(VLOOKUP($E106,武器奇术!$A:$R,17,FALSE)="牵丝",$D$15,0)-VLOOKUP($F$7,目标属性!$A:$R,6,FALSE))/200,($D$11+IF(VLOOKUP($E106,武器奇术!$A:$R,17,FALSE)="牵丝",$D$15,0)-VLOOKUP($F$7,目标属性!$A:$R,6,FALSE))/100)</f>
        <v>-0.24</v>
      </c>
      <c r="CC106" s="100">
        <f t="shared" si="91"/>
        <v>0</v>
      </c>
      <c r="CD106" s="91">
        <v>1</v>
      </c>
      <c r="CE106" s="92">
        <f>BY106*IF(VLOOKUP($E106,武器奇术!$A:$R,17,FALSE)="牵丝",VLOOKUP($E106,武器奇术!$A:$R,4,FALSE),VLOOKUP($E106,武器奇术!$A:$R,2,FALSE))*(1+CB106)*(1+CC106)*CD106</f>
        <v>0</v>
      </c>
      <c r="CF106" s="93">
        <f>(1-IF(VLOOKUP($E106,武器奇术!$A:$R,16,FALSE)="陌刀",1,$N106))*(1-$M106)</f>
        <v>0</v>
      </c>
      <c r="CG106" s="92">
        <f>BZ106*IF(VLOOKUP($E106,武器奇术!$A:$R,17,FALSE)="牵丝",VLOOKUP($E106,武器奇术!$A:$R,4,FALSE),VLOOKUP($E106,武器奇术!$A:$R,2,FALSE))*(1+CB106)*(1+CC106)*CD106*(1+$E$16+VLOOKUP($E106,武器奇术!$A:$R,8,FALSE))</f>
        <v>0</v>
      </c>
      <c r="CH106" s="93">
        <f t="shared" si="100"/>
        <v>0.8135</v>
      </c>
      <c r="CI106" s="92">
        <f>CA106*IF(VLOOKUP($E106,武器奇术!$A:$R,17,FALSE)="牵丝",VLOOKUP($E106,武器奇术!$A:$R,4,FALSE),VLOOKUP($E106,武器奇术!$A:$R,2,FALSE))*(1+CB106)*(1+CC106)*CD106*(1+$E$17+VLOOKUP($E106,武器奇术!$A:$R,10,FALSE))</f>
        <v>0</v>
      </c>
      <c r="CJ106" s="93">
        <f t="shared" si="101"/>
        <v>0.0986</v>
      </c>
      <c r="CK106" s="92">
        <f>BZ106*IF(VLOOKUP($E106,武器奇术!$A:$R,17,FALSE)="牵丝",VLOOKUP($E106,武器奇术!$A:$R,4,FALSE),VLOOKUP($E106,武器奇术!$A:$R,2,FALSE))*(1+CB106)*(1+CC106)*CD106</f>
        <v>0</v>
      </c>
      <c r="CL106" s="93">
        <f t="shared" si="77"/>
        <v>0.0879</v>
      </c>
      <c r="CM106" s="101">
        <f t="shared" si="78"/>
        <v>0</v>
      </c>
      <c r="CN106" s="99">
        <f>IF(VLOOKUP($E106,武器奇术!$A:$R,18,FALSE)="极乐",0,$B$13*IF($G$5="撼天",1.05,1)+IF(AND(VLOOKUP($E106,武器奇术!$A:$R,15,FALSE)="武器",VLOOKUP($E106,武器奇术!$A:$R,17,FALSE)="破竹"),$E$3*(1+$E$15),0))</f>
        <v>686.71</v>
      </c>
      <c r="CO106" s="91">
        <f t="shared" si="79"/>
        <v>1052.21</v>
      </c>
      <c r="CP106" s="91">
        <f>IF(VLOOKUP($E106,武器奇术!$A:$R,18,FALSE)="极乐",0,MAX($C$13*IF($G$5="撼天",1.05,1)+IF(AND(VLOOKUP($E106,武器奇术!$A:$R,15,FALSE)="武器",VLOOKUP($E106,武器奇术!$A:$R,17,FALSE)="破竹"),$E$3*(1+$E$15),0),CN106))</f>
        <v>1417.71</v>
      </c>
      <c r="CQ106" s="93">
        <f>IF(($D$13+IF(VLOOKUP($E106,武器奇术!$A:$R,17,FALSE)="破竹",$D$15,0)-VLOOKUP($F$7,目标属性!$A:$R,6,FALSE)+IF(VLOOKUP($E106,武器奇术!$A:$V,22,FALSE)=1,4,0)+IF(VLOOKUP($E106,武器奇术!$A:$T,20,FALSE)=1,10,0))&gt;0,($D$13+IF(VLOOKUP($E106,武器奇术!$A:$R,17,FALSE)="破竹",$D$15,0)-VLOOKUP($F$7,目标属性!$A:$R,6,FALSE)+IF(VLOOKUP($E106,武器奇术!$A:$V,22,FALSE)=1,4,0)+IF(VLOOKUP($E106,武器奇术!$A:$T,20,FALSE)=1,10,0))/200,($D$13+IF(VLOOKUP($E106,武器奇术!$A:$R,17,FALSE)="破竹",$D$15,0)-VLOOKUP($F$7,目标属性!$A:$R,6,FALSE)+IF(VLOOKUP($E106,武器奇术!$A:$V,22,FALSE)=1,4,0)+IF(VLOOKUP($E106,武器奇术!$A:$T,20,FALSE)=1,10,0))/100)</f>
        <v>0.028</v>
      </c>
      <c r="CR106" s="120">
        <f>$E$13+IF(期望!$G$5="燕归",6%,0)</f>
        <v>0.208</v>
      </c>
      <c r="CS106" s="91">
        <v>1</v>
      </c>
      <c r="CT106" s="92">
        <f>CN106*IF(VLOOKUP($E106,武器奇术!$A:$R,17,FALSE)="破竹",VLOOKUP($E106,武器奇术!$A:$R,4,FALSE),VLOOKUP($E106,武器奇术!$A:$R,2,FALSE))*(1+CQ106)*(1+CR106)*CS106</f>
        <v>634.403387418627</v>
      </c>
      <c r="CU106" s="93">
        <f>(1-IF(VLOOKUP($E106,武器奇术!$A:$R,16,FALSE)="陌刀",1,$N106))*(1-$M106)</f>
        <v>0</v>
      </c>
      <c r="CV106" s="92">
        <f>CO106*IF(VLOOKUP($E106,武器奇术!$A:$R,17,FALSE)="破竹",VLOOKUP($E106,武器奇术!$A:$R,4,FALSE),VLOOKUP($E106,武器奇术!$A:$R,2,FALSE))*(1+CQ106)*(1+CR106)*CS106*(1+$E$16+VLOOKUP($E106,武器奇术!$A:$R,8,FALSE))</f>
        <v>1598.0720640814</v>
      </c>
      <c r="CW106" s="93">
        <f t="shared" si="102"/>
        <v>0.8135</v>
      </c>
      <c r="CX106" s="92">
        <f>CP106*IF(VLOOKUP($E106,武器奇术!$A:$R,17,FALSE)="破竹",VLOOKUP($E106,武器奇术!$A:$R,4,FALSE),VLOOKUP($E106,武器奇术!$A:$R,2,FALSE))*(1+CQ106)*(1+CR106)*CS106*(1+$E$17+VLOOKUP($E106,武器奇术!$A:$R,10,FALSE))</f>
        <v>1768.12633514774</v>
      </c>
      <c r="CY106" s="93">
        <f t="shared" si="103"/>
        <v>0.0986</v>
      </c>
      <c r="CZ106" s="92">
        <f>CO106*IF(VLOOKUP($E106,武器奇术!$A:$R,17,FALSE)="破竹",VLOOKUP($E106,武器奇术!$A:$R,4,FALSE),VLOOKUP($E106,武器奇术!$A:$R,2,FALSE))*(1+CQ106)*(1+CR106)*CS106</f>
        <v>972.063299319587</v>
      </c>
      <c r="DA106" s="93">
        <f t="shared" si="80"/>
        <v>0.0879</v>
      </c>
      <c r="DB106" s="101">
        <f t="shared" si="81"/>
        <v>1559.81324478598</v>
      </c>
      <c r="DC106" s="99">
        <f>IF(VLOOKUP($E106,武器奇术!$A:$R,18,FALSE)="极乐",0,$B$15)</f>
        <v>66</v>
      </c>
      <c r="DD106" s="91">
        <f t="shared" si="111"/>
        <v>95.9</v>
      </c>
      <c r="DE106" s="91">
        <f>IF(VLOOKUP($E106,武器奇术!$A:$R,18,FALSE)="极乐",0,$C$15)</f>
        <v>125.8</v>
      </c>
      <c r="DF106" s="93">
        <f>IF((IF(VLOOKUP($E106,武器奇术!$A:$R,17,FALSE)="鸣金",$D$7,0)+IF(VLOOKUP($E106,武器奇术!$A:$R,17,FALSE)="裂石",$D$9,0)+IF(VLOOKUP($E106,武器奇术!$A:$R,17,FALSE)="牵丝",$D$11,0)+IF(VLOOKUP($E106,武器奇术!$A:$R,17,FALSE)="破竹",$D$13,0)+$D$15-VLOOKUP($F$7,目标属性!$A:$R,6,FALSE)+IF(VLOOKUP($E106,武器奇术!$A:$V,22,FALSE)=1,4,0)+IF(VLOOKUP($E106,武器奇术!$A:$T,20,FALSE)=1,10,0))&gt;0,(IF(VLOOKUP($E106,武器奇术!$A:$R,17,FALSE)="鸣金",$D$7,0)+IF(VLOOKUP($E106,武器奇术!$A:$R,17,FALSE)="裂石",$D$9,0)+IF(VLOOKUP($E106,武器奇术!$A:$R,17,FALSE)="牵丝",$D$11,0)+IF(VLOOKUP($E106,武器奇术!$A:$R,17,FALSE)="破竹",$D$13,0)+$D$15-VLOOKUP($F$7,目标属性!$A:$R,6,FALSE)+IF(VLOOKUP($E106,武器奇术!$A:$V,22,FALSE)=1,4,0)+IF(VLOOKUP($E106,武器奇术!$A:$T,20,FALSE)=1,10,0))/200,(IF(VLOOKUP($E106,武器奇术!$A:$R,17,FALSE)="鸣金",$D$7,0)+IF(VLOOKUP($E106,武器奇术!$A:$R,17,FALSE)="裂石",$D$9,0)+IF(VLOOKUP($E106,武器奇术!$A:$R,17,FALSE)="牵丝",$D$11,0)+IF(VLOOKUP($E106,武器奇术!$A:$R,17,FALSE)="破竹",$D$13,0)+$D$15-VLOOKUP($F$7,目标属性!$A:$R,6,FALSE)+IF(VLOOKUP($E106,武器奇术!$A:$V,22,FALSE)=1,4,0)+IF(VLOOKUP($E106,武器奇术!$A:$T,20,FALSE)=1,10,0))/100)</f>
        <v>0.028</v>
      </c>
      <c r="DG106" s="120">
        <f>$E$13+IF(期望!$G$5="燕归",6%,0)</f>
        <v>0.208</v>
      </c>
      <c r="DH106" s="91">
        <v>1</v>
      </c>
      <c r="DI106" s="92">
        <f>DC106*IF(VLOOKUP($E106,武器奇术!$A:$R,17,FALSE)="破竹",VLOOKUP($E106,武器奇术!$A:$R,4,FALSE),VLOOKUP($E106,武器奇术!$A:$R,2,FALSE))*(1+DF106)*(1+DG106)*DH106</f>
        <v>60.97278846912</v>
      </c>
      <c r="DJ106" s="93">
        <f>(1-IF(VLOOKUP($E106,武器奇术!$A:$R,16,FALSE)="陌刀",1,$N106))*(1-$M106)</f>
        <v>0</v>
      </c>
      <c r="DK106" s="92">
        <f>DD106*IF(VLOOKUP($E106,武器奇术!$A:$R,17,FALSE)="破竹",VLOOKUP($E106,武器奇术!$A:$R,4,FALSE),VLOOKUP($E106,武器奇术!$A:$R,2,FALSE))*(1+DF106)*(1+DG106)*DH106*(1+$E$16+VLOOKUP($E106,武器奇术!$A:$R,8,FALSE))</f>
        <v>145.65068849888</v>
      </c>
      <c r="DL106" s="93">
        <f t="shared" si="104"/>
        <v>0.8135</v>
      </c>
      <c r="DM106" s="92">
        <f>DE106*IF(VLOOKUP($E106,武器奇术!$A:$R,17,FALSE)="破竹",VLOOKUP($E106,武器奇术!$A:$R,4,FALSE),VLOOKUP($E106,武器奇术!$A:$R,2,FALSE))*(1+DF106)*(1+DG106)*DH106*(1+$E$17+VLOOKUP($E106,武器奇术!$A:$R,10,FALSE))</f>
        <v>156.894070692586</v>
      </c>
      <c r="DN106" s="93">
        <f t="shared" si="105"/>
        <v>0.0986</v>
      </c>
      <c r="DO106" s="92">
        <f>DD106*IF(VLOOKUP($E106,武器奇术!$A:$R,17,FALSE)="破竹",VLOOKUP($E106,武器奇术!$A:$R,4,FALSE),VLOOKUP($E106,武器奇术!$A:$R,2,FALSE))*(1+DF106)*(1+DG106)*DH106</f>
        <v>88.595309305888</v>
      </c>
      <c r="DP106" s="93">
        <f t="shared" si="106"/>
        <v>0.0879</v>
      </c>
      <c r="DQ106" s="101">
        <f t="shared" si="107"/>
        <v>141.744118152115</v>
      </c>
    </row>
    <row r="107" spans="1:121">
      <c r="B107" s="130">
        <v>1234</v>
      </c>
      <c r="C107">
        <v>2.4</v>
      </c>
      <c r="D107" s="33"/>
      <c r="E107" s="105" t="s">
        <v>126</v>
      </c>
      <c r="F107" s="106">
        <v>1</v>
      </c>
      <c r="G107" s="107">
        <f t="shared" ref="G107:G113" si="113">$E$24</f>
        <v>0</v>
      </c>
      <c r="H107" s="131">
        <f>IF(VLOOKUP($E107,武器奇术!$A:$R,18,FALSE)="天工",AE107,(AE107+AT107+BI107+BX107+CM107+DB107+DQ107))*(1+J107)*F107*K107*(1+G107)*(1+$G$21*5%)</f>
        <v>15456.5683679145</v>
      </c>
      <c r="I107" s="93">
        <f t="shared" si="58"/>
        <v>0.00198281061112445</v>
      </c>
      <c r="J107" s="93">
        <f>$F$3+VLOOKUP($E107,武器奇术!$A:$R,12,FALSE)+VLOOKUP($E107,武器奇术!$A:$R,14,FALSE)*$G$3+$P107</f>
        <v>0.693</v>
      </c>
      <c r="K107" s="94">
        <f>VLOOKUP($E107,武器奇术!$A:$R,11,FALSE)</f>
        <v>1</v>
      </c>
      <c r="L107" s="109">
        <f>IF(VLOOKUP($E107,武器奇术!$A:$R,15,FALSE)="天工",0%,IF($C$17+VLOOKUP($E107,武器奇术!$A:$R,7,FALSE)&gt;80%,80%,$C$17+VLOOKUP($E107,武器奇术!$A:$R,7,FALSE))+IF($C$19&gt;20%,20%,$C$19))</f>
        <v>0.8135</v>
      </c>
      <c r="M107" s="110">
        <f>IF(VLOOKUP($E107,武器奇术!$A:$R,15,FALSE)="天工",0%,IF($C$18+VLOOKUP($E107,武器奇术!$A:$R,9,FALSE)&gt;40%,40%,$C$18+VLOOKUP($E107,武器奇术!$A:$R,9,FALSE))+IF($C$20&gt;10%,10%,$C$20))</f>
        <v>0.0986</v>
      </c>
      <c r="N107" s="111">
        <f>IF(VLOOKUP($E107,武器奇术!$A:$R,15,FALSE)="天工",100%,MIN($C$16,1))</f>
        <v>1</v>
      </c>
      <c r="O107" s="112" t="str">
        <f>VLOOKUP($E107,武器奇术!$A:$R,16,FALSE)</f>
        <v>双刀</v>
      </c>
      <c r="P107" s="113">
        <f t="shared" si="108"/>
        <v>0.17</v>
      </c>
      <c r="Q107" s="99">
        <f>$B$5*(1+VLOOKUP($E107,武器奇术!$A:$R,5,FALSE)+IF($G$5="飞隼",0.1,0)+IF($G$5="撼天",0.05,0))-$F$9*IF(VLOOKUP($E107,武器奇术!$A:$S,19,FALSE)=1,0.9,1)+IF($I$5="√",160,0)</f>
        <v>2904.2</v>
      </c>
      <c r="R107" s="91">
        <f t="shared" si="60"/>
        <v>2904.2</v>
      </c>
      <c r="S107" s="91">
        <f>MAX($C$5,$B$5)*(1+VLOOKUP($E107,武器奇术!$A:$R,5,FALSE)+IF($G$5="飞隼",0.1,0)+IF($G$5="撼天",0.05,0))-$F$9*IF(VLOOKUP($E107,武器奇术!$A:$S,19,FALSE)=1,0.9,1)+IF($I$5="√",320,0)</f>
        <v>2904.2</v>
      </c>
      <c r="T107" s="93">
        <f>IF(($D$5+VLOOKUP($E107,武器奇术!$A:$R,13,FALSE)+IF($I$3="√",10,0)-VLOOKUP($F$7,目标属性!$A:$R,5,FALSE))&gt;0,($D$5+VLOOKUP($E107,武器奇术!$A:$R,13,FALSE)+IF($I$3="√",10,0)-VLOOKUP($F$7,目标属性!$A:$R,5,FALSE))/200,($D$5+VLOOKUP($E107,武器奇术!$A:$R,13,FALSE)+IF($I$3="√",10,0)-VLOOKUP($F$7,目标属性!$A:$R,5,FALSE))/100)</f>
        <v>0.2675</v>
      </c>
      <c r="U107" s="120">
        <f>$E$5+IF(VLOOKUP($E107,武器奇术!$A:$R,18,FALSE)="鼠鼠",0.24,0)+IF(期望!$G$5="燕归",6/100,0)</f>
        <v>0.06</v>
      </c>
      <c r="V107" s="91">
        <v>1</v>
      </c>
      <c r="W107" s="92">
        <f>Q107*VLOOKUP($E107,武器奇术!$A:$R,2,FALSE)*(1+T107)*(1+U107)*V107</f>
        <v>2477.4184178172</v>
      </c>
      <c r="X107" s="93">
        <f>(1-IF(VLOOKUP($E107,武器奇术!$A:$R,16,FALSE)="陌刀",1,$N107))*(1-$M107)</f>
        <v>0</v>
      </c>
      <c r="Y107" s="92">
        <f>R107*VLOOKUP($E107,武器奇术!$A:$R,2,FALSE)*(1+T107)*(1+U107)*V107*(1+$E$16+VLOOKUP($E107,武器奇术!$A:$R,8,FALSE))</f>
        <v>4072.87587889148</v>
      </c>
      <c r="Z107" s="93">
        <f t="shared" si="61"/>
        <v>0.8135</v>
      </c>
      <c r="AA107" s="92">
        <f>S107*VLOOKUP($E107,武器奇术!$A:$R,2,FALSE)*(1+T107)*(1+U107)*V107*(1+$E$17+VLOOKUP($E107,武器奇术!$A:$R,10,FALSE))</f>
        <v>3344.51486405322</v>
      </c>
      <c r="AB107" s="93">
        <f t="shared" si="62"/>
        <v>0.0986</v>
      </c>
      <c r="AC107" s="92">
        <f>R107*VLOOKUP($E107,武器奇术!$A:$R,2,FALSE)*(1+T107)*(1+U107)*V107</f>
        <v>2477.4184178172</v>
      </c>
      <c r="AD107" s="93">
        <f t="shared" si="63"/>
        <v>0.0879</v>
      </c>
      <c r="AE107" s="101">
        <f t="shared" si="64"/>
        <v>3860.818772</v>
      </c>
      <c r="AF107" s="102">
        <f>VLOOKUP($E107,武器奇术!$A:$R,3,FALSE)*(1+IF(VLOOKUP($E107,武器奇术!$A:$R,15,FALSE)="武器",$E$15,0))</f>
        <v>230.23</v>
      </c>
      <c r="AG107" s="92">
        <f t="shared" si="65"/>
        <v>230.23</v>
      </c>
      <c r="AH107" s="92">
        <f>VLOOKUP($E107,武器奇术!$A:$R,3,FALSE)*(1+IF(VLOOKUP($E107,武器奇术!$A:$R,15,FALSE)="武器",$E$15,0))</f>
        <v>230.23</v>
      </c>
      <c r="AI107" s="93">
        <f>IF(($D$5+VLOOKUP($E107,武器奇术!$A:$R,13,FALSE)+IF($I$3="√",10,0)-VLOOKUP($F$7,目标属性!$A:$R,5,FALSE))&gt;0,($D$5+VLOOKUP($E107,武器奇术!$A:$R,13,FALSE)+IF($I$3="√",10,0)-VLOOKUP($F$7,目标属性!$A:$R,5,FALSE))/200,($D$5+VLOOKUP($E107,武器奇术!$A:$R,13,FALSE)+IF($I$3="√",10,0)-VLOOKUP($F$7,目标属性!$A:$R,5,FALSE))/100)</f>
        <v>0.2675</v>
      </c>
      <c r="AJ107" s="120">
        <f>$E$5+IF(VLOOKUP($E107,武器奇术!$A:$R,18,FALSE)="鼠鼠",0.24,0)+IF(期望!$G$5="燕归",6/100,0)</f>
        <v>0.06</v>
      </c>
      <c r="AK107" s="91">
        <v>1</v>
      </c>
      <c r="AL107" s="92">
        <f t="shared" si="109"/>
        <v>309.3255165</v>
      </c>
      <c r="AM107" s="93">
        <f>(1-IF(VLOOKUP($E107,武器奇术!$A:$R,16,FALSE)="陌刀",1,$N107))*(1-$M107)</f>
        <v>0</v>
      </c>
      <c r="AN107" s="92">
        <f>AG107*(1+AI107)*(1+AJ107)*AK107*(1+$E$16+VLOOKUP($E107,武器奇术!$A:$R,8,FALSE))</f>
        <v>508.531149126</v>
      </c>
      <c r="AO107" s="93">
        <f t="shared" si="94"/>
        <v>0.8135</v>
      </c>
      <c r="AP107" s="92">
        <f>AH107*(1+AI107)*(1+AJ107)*AK107*(1+$E$17+VLOOKUP($E107,武器奇术!$A:$R,10,FALSE))</f>
        <v>417.589447275</v>
      </c>
      <c r="AQ107" s="93">
        <f t="shared" si="95"/>
        <v>0.0986</v>
      </c>
      <c r="AR107" s="92">
        <f t="shared" si="67"/>
        <v>309.3255165</v>
      </c>
      <c r="AS107" s="93">
        <f t="shared" si="68"/>
        <v>0.0879</v>
      </c>
      <c r="AT107" s="101">
        <f t="shared" si="69"/>
        <v>482.054122215666</v>
      </c>
      <c r="AU107" s="99">
        <f>IF(VLOOKUP($E107,武器奇术!$A:$R,18,FALSE)="极乐",0,$B$7*IF($G$5="撼天",1.05,1)+IF(AND(VLOOKUP($E107,武器奇术!$A:$R,15,FALSE)="武器",VLOOKUP($E107,武器奇术!$A:$R,17,FALSE)="鸣金"),$E$3*(1+$E$15),0))</f>
        <v>0</v>
      </c>
      <c r="AV107" s="91">
        <f t="shared" si="70"/>
        <v>0</v>
      </c>
      <c r="AW107" s="91">
        <f>IF(VLOOKUP($E107,武器奇术!$A:$R,18,FALSE)="极乐",0,MAX($C$7*IF($G$5="撼天",1.05,1)+IF(AND(VLOOKUP($E107,武器奇术!$A:$R,15,FALSE)="武器",VLOOKUP($E107,武器奇术!$A:$R,17,FALSE)="鸣金"),$E$3*(1+$E$15),0),AU107))</f>
        <v>0</v>
      </c>
      <c r="AX107" s="93">
        <f>IF(($D$7+IF(VLOOKUP($E107,武器奇术!$A:$R,17,FALSE)="鸣金",$D$15,0)-VLOOKUP($F$7,目标属性!$A:$R,6,FALSE))&gt;0,($D$7+IF(VLOOKUP($E107,武器奇术!$A:$R,17,FALSE)="鸣金",$D$15,0)-VLOOKUP($F$7,目标属性!$A:$R,6,FALSE))/200,($D$7+IF(VLOOKUP($E107,武器奇术!$A:$R,17,FALSE)="鸣金",$D$15,0)-VLOOKUP($F$7,目标属性!$A:$R,6,FALSE))/100)</f>
        <v>-0.24</v>
      </c>
      <c r="AY107" s="100">
        <f t="shared" si="89"/>
        <v>0</v>
      </c>
      <c r="AZ107" s="91">
        <v>1</v>
      </c>
      <c r="BA107" s="92">
        <f>AU107*IF(VLOOKUP($E107,武器奇术!$A:$R,17,FALSE)="鸣金",VLOOKUP($E107,武器奇术!$A:$R,4,FALSE),VLOOKUP($E107,武器奇术!$A:$R,2,FALSE))*(1+AX107)*(1+AY107)*AZ107</f>
        <v>0</v>
      </c>
      <c r="BB107" s="93">
        <f>(1-IF(VLOOKUP($E107,武器奇术!$A:$R,16,FALSE)="陌刀",1,$N107))*(1-$M107)</f>
        <v>0</v>
      </c>
      <c r="BC107" s="92">
        <f>AV107*IF(VLOOKUP($E107,武器奇术!$A:$R,17,FALSE)="鸣金",VLOOKUP($E107,武器奇术!$A:$R,4,FALSE),VLOOKUP($E107,武器奇术!$A:$R,2,FALSE))*(1+AX107)*(1+AY107)*AZ107*(1+$E$16+VLOOKUP($E107,武器奇术!$A:$R,8,FALSE))</f>
        <v>0</v>
      </c>
      <c r="BD107" s="93">
        <f t="shared" si="96"/>
        <v>0.8135</v>
      </c>
      <c r="BE107" s="92">
        <f>AW107*IF(VLOOKUP($E107,武器奇术!$A:$R,17,FALSE)="鸣金",VLOOKUP($E107,武器奇术!$A:$R,4,FALSE),VLOOKUP($E107,武器奇术!$A:$R,2,FALSE))*(1+AX107)*(1+AY107)*AZ107*(1+$E$17+VLOOKUP($E107,武器奇术!$A:$R,10,FALSE))</f>
        <v>0</v>
      </c>
      <c r="BF107" s="93">
        <f t="shared" si="97"/>
        <v>0.0986</v>
      </c>
      <c r="BG107" s="92">
        <f>AV107*IF(VLOOKUP($E107,武器奇术!$A:$R,17,FALSE)="鸣金",VLOOKUP($E107,武器奇术!$A:$R,4,FALSE),VLOOKUP($E107,武器奇术!$A:$R,2,FALSE))*(1+AX107)*(1+AY107)*AZ107</f>
        <v>0</v>
      </c>
      <c r="BH107" s="93">
        <f t="shared" si="71"/>
        <v>0.0879</v>
      </c>
      <c r="BI107" s="101">
        <f t="shared" si="72"/>
        <v>0</v>
      </c>
      <c r="BJ107" s="99">
        <f>IF(VLOOKUP($E107,武器奇术!$A:$R,18,FALSE)="极乐",0,$B$9*IF($G$5="撼天",1.05,1)+IF(AND(VLOOKUP($E107,武器奇术!$A:$R,15,FALSE)="武器",VLOOKUP($E107,武器奇术!$A:$R,17,FALSE)="裂石"),$E$3*(1+$E$15),0))</f>
        <v>0</v>
      </c>
      <c r="BK107" s="91">
        <f t="shared" si="73"/>
        <v>0</v>
      </c>
      <c r="BL107" s="91">
        <f>IF(VLOOKUP($E107,武器奇术!$A:$R,18,FALSE)="极乐",0,MAX($C$9*IF($G$5="撼天",1.05,1)+IF(AND(VLOOKUP($E107,武器奇术!$A:$R,15,FALSE)="武器",VLOOKUP($E107,武器奇术!$A:$R,17,FALSE)="裂石"),$E$3*(1+$E$15),0),BJ107))</f>
        <v>0</v>
      </c>
      <c r="BM107" s="93">
        <f>IF(($D$9+IF(VLOOKUP($E107,武器奇术!$A:$R,17,FALSE)="裂石",$D$15,0)-VLOOKUP($F$7,目标属性!$A:$R,6,FALSE))&gt;0,($D$9+IF(VLOOKUP($E107,武器奇术!$A:$R,17,FALSE)="裂石",$D$15,0)-VLOOKUP($F$7,目标属性!$A:$R,6,FALSE))/200,($D$9+IF(VLOOKUP($E107,武器奇术!$A:$R,17,FALSE)="裂石",$D$15,0)-VLOOKUP($F$7,目标属性!$A:$R,6,FALSE))/100)</f>
        <v>-0.24</v>
      </c>
      <c r="BN107" s="100">
        <f t="shared" si="90"/>
        <v>0</v>
      </c>
      <c r="BO107" s="91">
        <v>1</v>
      </c>
      <c r="BP107" s="92">
        <f>BJ107*IF(VLOOKUP($E107,武器奇术!$A:$R,17,FALSE)="裂石",VLOOKUP($E107,武器奇术!$A:$R,4,FALSE),VLOOKUP($E107,武器奇术!$A:$R,2,FALSE))*(1+BM107)*(1+BN107)*BO107</f>
        <v>0</v>
      </c>
      <c r="BQ107" s="93">
        <f>(1-IF(VLOOKUP($E107,武器奇术!$A:$R,16,FALSE)="陌刀",1,$N107))*(1-$M107)</f>
        <v>0</v>
      </c>
      <c r="BR107" s="92">
        <f>BK107*IF(VLOOKUP($E107,武器奇术!$A:$R,17,FALSE)="裂石",VLOOKUP($E107,武器奇术!$A:$R,4,FALSE),VLOOKUP($E107,武器奇术!$A:$R,2,FALSE))*(1+BM107)*(1+BN107)*BO107*(1+$E$16+VLOOKUP($E107,武器奇术!$A:$R,8,FALSE))</f>
        <v>0</v>
      </c>
      <c r="BS107" s="93">
        <f t="shared" si="98"/>
        <v>0.8135</v>
      </c>
      <c r="BT107" s="92">
        <f>BL107*IF(VLOOKUP($E107,武器奇术!$A:$R,17,FALSE)="裂石",VLOOKUP($E107,武器奇术!$A:$R,4,FALSE),VLOOKUP($E107,武器奇术!$A:$R,2,FALSE))*(1+BM107)*(1+BN107)*BO107*(1+$E$17+VLOOKUP($E107,武器奇术!$A:$R,10,FALSE))</f>
        <v>0</v>
      </c>
      <c r="BU107" s="93">
        <f t="shared" si="99"/>
        <v>0.0986</v>
      </c>
      <c r="BV107" s="92">
        <f>BK107*IF(VLOOKUP($E107,武器奇术!$A:$R,17,FALSE)="裂石",VLOOKUP($E107,武器奇术!$A:$R,4,FALSE),VLOOKUP($E107,武器奇术!$A:$R,2,FALSE))*(1+BM107)*(1+BN107)*BO107</f>
        <v>0</v>
      </c>
      <c r="BW107" s="93">
        <f t="shared" si="74"/>
        <v>0.0879</v>
      </c>
      <c r="BX107" s="101">
        <f t="shared" si="75"/>
        <v>0</v>
      </c>
      <c r="BY107" s="99">
        <f>IF(VLOOKUP($E107,武器奇术!$A:$R,18,FALSE)="极乐",0,$B$11*IF($G$5="撼天",1.05,1)+IF(AND(VLOOKUP($E107,武器奇术!$A:$R,15,FALSE)="武器",VLOOKUP($E107,武器奇术!$A:$R,17,FALSE)="牵丝"),$E$3*(1+$E$15),0))</f>
        <v>0</v>
      </c>
      <c r="BZ107" s="91">
        <f t="shared" si="76"/>
        <v>0</v>
      </c>
      <c r="CA107" s="91">
        <f>IF(VLOOKUP($E107,武器奇术!$A:$R,18,FALSE)="极乐",0,MAX($C$11*IF($G$5="撼天",1.05,1)+IF(AND(VLOOKUP($E107,武器奇术!$A:$R,15,FALSE)="武器",VLOOKUP($E107,武器奇术!$A:$R,17,FALSE)="牵丝"),$E$3*(1+$E$15),0),BY107))</f>
        <v>0</v>
      </c>
      <c r="CB107" s="93">
        <f>IF(($D$11+IF(VLOOKUP($E107,武器奇术!$A:$R,17,FALSE)="牵丝",$D$15,0)-VLOOKUP($F$7,目标属性!$A:$R,6,FALSE))&gt;0,($D$11+IF(VLOOKUP($E107,武器奇术!$A:$R,17,FALSE)="牵丝",$D$15,0)-VLOOKUP($F$7,目标属性!$A:$R,6,FALSE))/200,($D$11+IF(VLOOKUP($E107,武器奇术!$A:$R,17,FALSE)="牵丝",$D$15,0)-VLOOKUP($F$7,目标属性!$A:$R,6,FALSE))/100)</f>
        <v>-0.24</v>
      </c>
      <c r="CC107" s="100">
        <f t="shared" si="91"/>
        <v>0</v>
      </c>
      <c r="CD107" s="91">
        <v>1</v>
      </c>
      <c r="CE107" s="92">
        <f>BY107*IF(VLOOKUP($E107,武器奇术!$A:$R,17,FALSE)="牵丝",VLOOKUP($E107,武器奇术!$A:$R,4,FALSE),VLOOKUP($E107,武器奇术!$A:$R,2,FALSE))*(1+CB107)*(1+CC107)*CD107</f>
        <v>0</v>
      </c>
      <c r="CF107" s="93">
        <f>(1-IF(VLOOKUP($E107,武器奇术!$A:$R,16,FALSE)="陌刀",1,$N107))*(1-$M107)</f>
        <v>0</v>
      </c>
      <c r="CG107" s="92">
        <f>BZ107*IF(VLOOKUP($E107,武器奇术!$A:$R,17,FALSE)="牵丝",VLOOKUP($E107,武器奇术!$A:$R,4,FALSE),VLOOKUP($E107,武器奇术!$A:$R,2,FALSE))*(1+CB107)*(1+CC107)*CD107*(1+$E$16+VLOOKUP($E107,武器奇术!$A:$R,8,FALSE))</f>
        <v>0</v>
      </c>
      <c r="CH107" s="93">
        <f t="shared" si="100"/>
        <v>0.8135</v>
      </c>
      <c r="CI107" s="92">
        <f>CA107*IF(VLOOKUP($E107,武器奇术!$A:$R,17,FALSE)="牵丝",VLOOKUP($E107,武器奇术!$A:$R,4,FALSE),VLOOKUP($E107,武器奇术!$A:$R,2,FALSE))*(1+CB107)*(1+CC107)*CD107*(1+$E$17+VLOOKUP($E107,武器奇术!$A:$R,10,FALSE))</f>
        <v>0</v>
      </c>
      <c r="CJ107" s="93">
        <f t="shared" si="101"/>
        <v>0.0986</v>
      </c>
      <c r="CK107" s="92">
        <f>BZ107*IF(VLOOKUP($E107,武器奇术!$A:$R,17,FALSE)="牵丝",VLOOKUP($E107,武器奇术!$A:$R,4,FALSE),VLOOKUP($E107,武器奇术!$A:$R,2,FALSE))*(1+CB107)*(1+CC107)*CD107</f>
        <v>0</v>
      </c>
      <c r="CL107" s="93">
        <f t="shared" si="77"/>
        <v>0.0879</v>
      </c>
      <c r="CM107" s="101">
        <f t="shared" si="78"/>
        <v>0</v>
      </c>
      <c r="CN107" s="99">
        <f>IF(VLOOKUP($E107,武器奇术!$A:$R,18,FALSE)="极乐",0,$B$13*IF($G$5="撼天",1.05,1)+IF(AND(VLOOKUP($E107,武器奇术!$A:$R,15,FALSE)="武器",VLOOKUP($E107,武器奇术!$A:$R,17,FALSE)="破竹"),$E$3*(1+$E$15),0))</f>
        <v>686.71</v>
      </c>
      <c r="CO107" s="91">
        <f t="shared" si="79"/>
        <v>1052.21</v>
      </c>
      <c r="CP107" s="91">
        <f>IF(VLOOKUP($E107,武器奇术!$A:$R,18,FALSE)="极乐",0,MAX($C$13*IF($G$5="撼天",1.05,1)+IF(AND(VLOOKUP($E107,武器奇术!$A:$R,15,FALSE)="武器",VLOOKUP($E107,武器奇术!$A:$R,17,FALSE)="破竹"),$E$3*(1+$E$15),0),CN107))</f>
        <v>1417.71</v>
      </c>
      <c r="CQ107" s="93">
        <f>IF(($D$13+IF(VLOOKUP($E107,武器奇术!$A:$R,17,FALSE)="破竹",$D$15,0)-VLOOKUP($F$7,目标属性!$A:$R,6,FALSE)+IF(VLOOKUP($E107,武器奇术!$A:$V,22,FALSE)=1,4,0)+IF(VLOOKUP($E107,武器奇术!$A:$T,20,FALSE)=1,10,0))&gt;0,($D$13+IF(VLOOKUP($E107,武器奇术!$A:$R,17,FALSE)="破竹",$D$15,0)-VLOOKUP($F$7,目标属性!$A:$R,6,FALSE)+IF(VLOOKUP($E107,武器奇术!$A:$V,22,FALSE)=1,4,0)+IF(VLOOKUP($E107,武器奇术!$A:$T,20,FALSE)=1,10,0))/200,($D$13+IF(VLOOKUP($E107,武器奇术!$A:$R,17,FALSE)="破竹",$D$15,0)-VLOOKUP($F$7,目标属性!$A:$R,6,FALSE)+IF(VLOOKUP($E107,武器奇术!$A:$V,22,FALSE)=1,4,0)+IF(VLOOKUP($E107,武器奇术!$A:$T,20,FALSE)=1,10,0))/100)</f>
        <v>0.028</v>
      </c>
      <c r="CR107" s="120">
        <f>$E$13+IF(期望!$G$5="燕归",6%,0)</f>
        <v>0.208</v>
      </c>
      <c r="CS107" s="91">
        <v>1</v>
      </c>
      <c r="CT107" s="92">
        <f>CN107*IF(VLOOKUP($E107,武器奇术!$A:$R,17,FALSE)="破竹",VLOOKUP($E107,武器奇术!$A:$R,4,FALSE),VLOOKUP($E107,武器奇术!$A:$R,2,FALSE))*(1+CQ107)*(1+CR107)*CS107</f>
        <v>812.163910730515</v>
      </c>
      <c r="CU107" s="93">
        <f>(1-IF(VLOOKUP($E107,武器奇术!$A:$R,16,FALSE)="陌刀",1,$N107))*(1-$M107)</f>
        <v>0</v>
      </c>
      <c r="CV107" s="92">
        <f>CO107*IF(VLOOKUP($E107,武器奇术!$A:$R,17,FALSE)="破竹",VLOOKUP($E107,武器奇术!$A:$R,4,FALSE),VLOOKUP($E107,武器奇术!$A:$R,2,FALSE))*(1+CQ107)*(1+CR107)*CS107*(1+$E$16+VLOOKUP($E107,武器奇术!$A:$R,8,FALSE))</f>
        <v>2045.85360502984</v>
      </c>
      <c r="CW107" s="93">
        <f t="shared" si="102"/>
        <v>0.8135</v>
      </c>
      <c r="CX107" s="92">
        <f>CP107*IF(VLOOKUP($E107,武器奇术!$A:$R,17,FALSE)="破竹",VLOOKUP($E107,武器奇术!$A:$R,4,FALSE),VLOOKUP($E107,武器奇术!$A:$R,2,FALSE))*(1+CQ107)*(1+CR107)*CS107*(1+$E$17+VLOOKUP($E107,武器奇术!$A:$R,10,FALSE))</f>
        <v>2263.55726892047</v>
      </c>
      <c r="CY107" s="93">
        <f t="shared" si="103"/>
        <v>0.0986</v>
      </c>
      <c r="CZ107" s="92">
        <f>CO107*IF(VLOOKUP($E107,武器奇术!$A:$R,17,FALSE)="破竹",VLOOKUP($E107,武器奇术!$A:$R,4,FALSE),VLOOKUP($E107,武器奇术!$A:$R,2,FALSE))*(1+CQ107)*(1+CR107)*CS107</f>
        <v>1244.43649940988</v>
      </c>
      <c r="DA107" s="93">
        <f t="shared" si="80"/>
        <v>0.0879</v>
      </c>
      <c r="DB107" s="101">
        <f t="shared" si="81"/>
        <v>1996.87462270546</v>
      </c>
      <c r="DC107" s="99">
        <f>IF(VLOOKUP($E107,武器奇术!$A:$R,18,FALSE)="极乐",0,$B$15)</f>
        <v>66</v>
      </c>
      <c r="DD107" s="91">
        <f t="shared" si="111"/>
        <v>95.9</v>
      </c>
      <c r="DE107" s="91">
        <f>IF(VLOOKUP($E107,武器奇术!$A:$R,18,FALSE)="极乐",0,$C$15)</f>
        <v>125.8</v>
      </c>
      <c r="DF107" s="93">
        <f>IF((IF(VLOOKUP($E107,武器奇术!$A:$R,17,FALSE)="鸣金",$D$7,0)+IF(VLOOKUP($E107,武器奇术!$A:$R,17,FALSE)="裂石",$D$9,0)+IF(VLOOKUP($E107,武器奇术!$A:$R,17,FALSE)="牵丝",$D$11,0)+IF(VLOOKUP($E107,武器奇术!$A:$R,17,FALSE)="破竹",$D$13,0)+$D$15-VLOOKUP($F$7,目标属性!$A:$R,6,FALSE)+IF(VLOOKUP($E107,武器奇术!$A:$V,22,FALSE)=1,4,0)+IF(VLOOKUP($E107,武器奇术!$A:$T,20,FALSE)=1,10,0))&gt;0,(IF(VLOOKUP($E107,武器奇术!$A:$R,17,FALSE)="鸣金",$D$7,0)+IF(VLOOKUP($E107,武器奇术!$A:$R,17,FALSE)="裂石",$D$9,0)+IF(VLOOKUP($E107,武器奇术!$A:$R,17,FALSE)="牵丝",$D$11,0)+IF(VLOOKUP($E107,武器奇术!$A:$R,17,FALSE)="破竹",$D$13,0)+$D$15-VLOOKUP($F$7,目标属性!$A:$R,6,FALSE)+IF(VLOOKUP($E107,武器奇术!$A:$V,22,FALSE)=1,4,0)+IF(VLOOKUP($E107,武器奇术!$A:$T,20,FALSE)=1,10,0))/200,(IF(VLOOKUP($E107,武器奇术!$A:$R,17,FALSE)="鸣金",$D$7,0)+IF(VLOOKUP($E107,武器奇术!$A:$R,17,FALSE)="裂石",$D$9,0)+IF(VLOOKUP($E107,武器奇术!$A:$R,17,FALSE)="牵丝",$D$11,0)+IF(VLOOKUP($E107,武器奇术!$A:$R,17,FALSE)="破竹",$D$13,0)+$D$15-VLOOKUP($F$7,目标属性!$A:$R,6,FALSE)+IF(VLOOKUP($E107,武器奇术!$A:$V,22,FALSE)=1,4,0)+IF(VLOOKUP($E107,武器奇术!$A:$T,20,FALSE)=1,10,0))/100)</f>
        <v>0.028</v>
      </c>
      <c r="DG107" s="120">
        <f>$E$13+IF(期望!$G$5="燕归",6%,0)</f>
        <v>0.208</v>
      </c>
      <c r="DH107" s="91">
        <v>1</v>
      </c>
      <c r="DI107" s="92">
        <f>DC107*IF(VLOOKUP($E107,武器奇术!$A:$R,17,FALSE)="破竹",VLOOKUP($E107,武器奇术!$A:$R,4,FALSE),VLOOKUP($E107,武器奇术!$A:$R,2,FALSE))*(1+DF107)*(1+DG107)*DH107</f>
        <v>78.05743051392</v>
      </c>
      <c r="DJ107" s="93">
        <f>(1-IF(VLOOKUP($E107,武器奇术!$A:$R,16,FALSE)="陌刀",1,$N107))*(1-$M107)</f>
        <v>0</v>
      </c>
      <c r="DK107" s="92">
        <f>DD107*IF(VLOOKUP($E107,武器奇术!$A:$R,17,FALSE)="破竹",VLOOKUP($E107,武器奇术!$A:$R,4,FALSE),VLOOKUP($E107,武器奇术!$A:$R,2,FALSE))*(1+DF107)*(1+DG107)*DH107*(1+$E$16+VLOOKUP($E107,武器奇术!$A:$R,8,FALSE))</f>
        <v>186.462170785643</v>
      </c>
      <c r="DL107" s="93">
        <f t="shared" si="104"/>
        <v>0.8135</v>
      </c>
      <c r="DM107" s="92">
        <f>DE107*IF(VLOOKUP($E107,武器奇术!$A:$R,17,FALSE)="破竹",VLOOKUP($E107,武器奇术!$A:$R,4,FALSE),VLOOKUP($E107,武器奇术!$A:$R,2,FALSE))*(1+DF107)*(1+DG107)*DH107*(1+$E$17+VLOOKUP($E107,武器奇术!$A:$R,10,FALSE))</f>
        <v>200.85596097241</v>
      </c>
      <c r="DN107" s="93">
        <f t="shared" si="105"/>
        <v>0.0986</v>
      </c>
      <c r="DO107" s="92">
        <f>DD107*IF(VLOOKUP($E107,武器奇术!$A:$R,17,FALSE)="破竹",VLOOKUP($E107,武器奇术!$A:$R,4,FALSE),VLOOKUP($E107,武器奇术!$A:$R,2,FALSE))*(1+DF107)*(1+DG107)*DH107</f>
        <v>113.419811913408</v>
      </c>
      <c r="DP107" s="93">
        <f t="shared" si="106"/>
        <v>0.0879</v>
      </c>
      <c r="DQ107" s="101">
        <f t="shared" si="107"/>
        <v>181.460975153189</v>
      </c>
    </row>
    <row r="108" spans="1:121">
      <c r="B108" s="130">
        <v>5</v>
      </c>
      <c r="C108">
        <v>0.9</v>
      </c>
      <c r="E108" s="105" t="s">
        <v>127</v>
      </c>
      <c r="F108" s="106">
        <v>1</v>
      </c>
      <c r="G108" s="107">
        <f t="shared" si="113"/>
        <v>0</v>
      </c>
      <c r="H108" s="131">
        <f>IF(VLOOKUP($E108,武器奇术!$A:$R,18,FALSE)="天工",AE108,(AE108+AT108+BI108+BX108+CM108+DB108+DQ108))*(1+J108)*F108*K108*(1+G108)*(1+$G$21*5%)</f>
        <v>13610.5980453292</v>
      </c>
      <c r="I108" s="93">
        <f t="shared" si="58"/>
        <v>0.00174600451960927</v>
      </c>
      <c r="J108" s="93">
        <f>$F$3+VLOOKUP($E108,武器奇术!$A:$R,12,FALSE)+VLOOKUP($E108,武器奇术!$A:$R,14,FALSE)*$G$3+$P108</f>
        <v>0.693</v>
      </c>
      <c r="K108" s="94">
        <f>VLOOKUP($E108,武器奇术!$A:$R,11,FALSE)</f>
        <v>1</v>
      </c>
      <c r="L108" s="109">
        <f>IF(VLOOKUP($E108,武器奇术!$A:$R,15,FALSE)="天工",0%,IF($C$17+VLOOKUP($E108,武器奇术!$A:$R,7,FALSE)&gt;80%,80%,$C$17+VLOOKUP($E108,武器奇术!$A:$R,7,FALSE))+IF($C$19&gt;20%,20%,$C$19))</f>
        <v>0.8135</v>
      </c>
      <c r="M108" s="110">
        <f>IF(VLOOKUP($E108,武器奇术!$A:$R,15,FALSE)="天工",0%,IF($C$18+VLOOKUP($E108,武器奇术!$A:$R,9,FALSE)&gt;40%,40%,$C$18+VLOOKUP($E108,武器奇术!$A:$R,9,FALSE))+IF($C$20&gt;10%,10%,$C$20))</f>
        <v>0.0986</v>
      </c>
      <c r="N108" s="111">
        <f>IF(VLOOKUP($E108,武器奇术!$A:$R,15,FALSE)="天工",100%,MIN($C$16,1))</f>
        <v>1</v>
      </c>
      <c r="O108" s="112" t="str">
        <f>VLOOKUP($E108,武器奇术!$A:$R,16,FALSE)</f>
        <v>双刀</v>
      </c>
      <c r="P108" s="113">
        <f t="shared" si="108"/>
        <v>0.17</v>
      </c>
      <c r="Q108" s="99">
        <f>$B$5*(1+VLOOKUP($E108,武器奇术!$A:$R,5,FALSE)+IF($G$5="飞隼",0.1,0)+IF($G$5="撼天",0.05,0))-$F$9*IF(VLOOKUP($E108,武器奇术!$A:$S,19,FALSE)=1,0.9,1)+IF($I$5="√",160,0)</f>
        <v>2904.2</v>
      </c>
      <c r="R108" s="91">
        <f t="shared" si="60"/>
        <v>2904.2</v>
      </c>
      <c r="S108" s="91">
        <f>MAX($C$5,$B$5)*(1+VLOOKUP($E108,武器奇术!$A:$R,5,FALSE)+IF($G$5="飞隼",0.1,0)+IF($G$5="撼天",0.05,0))-$F$9*IF(VLOOKUP($E108,武器奇术!$A:$S,19,FALSE)=1,0.9,1)+IF($I$5="√",320,0)</f>
        <v>2904.2</v>
      </c>
      <c r="T108" s="93">
        <f>IF(($D$5+VLOOKUP($E108,武器奇术!$A:$R,13,FALSE)+IF($I$3="√",10,0)-VLOOKUP($F$7,目标属性!$A:$R,5,FALSE))&gt;0,($D$5+VLOOKUP($E108,武器奇术!$A:$R,13,FALSE)+IF($I$3="√",10,0)-VLOOKUP($F$7,目标属性!$A:$R,5,FALSE))/200,($D$5+VLOOKUP($E108,武器奇术!$A:$R,13,FALSE)+IF($I$3="√",10,0)-VLOOKUP($F$7,目标属性!$A:$R,5,FALSE))/100)</f>
        <v>0.2675</v>
      </c>
      <c r="U108" s="120">
        <f>$E$5+IF(VLOOKUP($E108,武器奇术!$A:$R,18,FALSE)="鼠鼠",0.24,0)+IF(期望!$G$5="燕归",6/100,0)</f>
        <v>0.06</v>
      </c>
      <c r="V108" s="91">
        <v>1</v>
      </c>
      <c r="W108" s="92">
        <f>Q108*VLOOKUP($E108,武器奇术!$A:$R,2,FALSE)*(1+T108)*(1+U108)*V108</f>
        <v>2181.2613304482</v>
      </c>
      <c r="X108" s="93">
        <f>(1-IF(VLOOKUP($E108,武器奇术!$A:$R,16,FALSE)="陌刀",1,$N108))*(1-$M108)</f>
        <v>0</v>
      </c>
      <c r="Y108" s="92">
        <f>R108*VLOOKUP($E108,武器奇术!$A:$R,2,FALSE)*(1+T108)*(1+U108)*V108*(1+$E$16+VLOOKUP($E108,武器奇术!$A:$R,8,FALSE))</f>
        <v>3585.99362725684</v>
      </c>
      <c r="Z108" s="93">
        <f t="shared" si="61"/>
        <v>0.8135</v>
      </c>
      <c r="AA108" s="92">
        <f>S108*VLOOKUP($E108,武器奇术!$A:$R,2,FALSE)*(1+T108)*(1+U108)*V108*(1+$E$17+VLOOKUP($E108,武器奇术!$A:$R,10,FALSE))</f>
        <v>2944.70279610507</v>
      </c>
      <c r="AB108" s="93">
        <f t="shared" si="62"/>
        <v>0.0986</v>
      </c>
      <c r="AC108" s="92">
        <f>R108*VLOOKUP($E108,武器奇术!$A:$R,2,FALSE)*(1+T108)*(1+U108)*V108</f>
        <v>2181.2613304482</v>
      </c>
      <c r="AD108" s="93">
        <f t="shared" si="63"/>
        <v>0.0879</v>
      </c>
      <c r="AE108" s="101">
        <f t="shared" si="64"/>
        <v>3399.2863824158</v>
      </c>
      <c r="AF108" s="102">
        <f>VLOOKUP($E108,武器奇术!$A:$R,3,FALSE)*(1+IF(VLOOKUP($E108,武器奇术!$A:$R,15,FALSE)="武器",$E$15,0))</f>
        <v>203.06</v>
      </c>
      <c r="AG108" s="92">
        <f t="shared" si="65"/>
        <v>203.06</v>
      </c>
      <c r="AH108" s="92">
        <f>VLOOKUP($E108,武器奇术!$A:$R,3,FALSE)*(1+IF(VLOOKUP($E108,武器奇术!$A:$R,15,FALSE)="武器",$E$15,0))</f>
        <v>203.06</v>
      </c>
      <c r="AI108" s="93">
        <f>IF(($D$5+VLOOKUP($E108,武器奇术!$A:$R,13,FALSE)+IF($I$3="√",10,0)-VLOOKUP($F$7,目标属性!$A:$R,5,FALSE))&gt;0,($D$5+VLOOKUP($E108,武器奇术!$A:$R,13,FALSE)+IF($I$3="√",10,0)-VLOOKUP($F$7,目标属性!$A:$R,5,FALSE))/200,($D$5+VLOOKUP($E108,武器奇术!$A:$R,13,FALSE)+IF($I$3="√",10,0)-VLOOKUP($F$7,目标属性!$A:$R,5,FALSE))/100)</f>
        <v>0.2675</v>
      </c>
      <c r="AJ108" s="120">
        <f>$E$5+IF(VLOOKUP($E108,武器奇术!$A:$R,18,FALSE)="鼠鼠",0.24,0)+IF(期望!$G$5="燕归",6/100,0)</f>
        <v>0.06</v>
      </c>
      <c r="AK108" s="91">
        <v>1</v>
      </c>
      <c r="AL108" s="92">
        <f t="shared" si="109"/>
        <v>272.821263</v>
      </c>
      <c r="AM108" s="93">
        <f>(1-IF(VLOOKUP($E108,武器奇术!$A:$R,16,FALSE)="陌刀",1,$N108))*(1-$M108)</f>
        <v>0</v>
      </c>
      <c r="AN108" s="92">
        <f>AG108*(1+AI108)*(1+AJ108)*AK108*(1+$E$16+VLOOKUP($E108,武器奇术!$A:$R,8,FALSE))</f>
        <v>448.518156372</v>
      </c>
      <c r="AO108" s="93">
        <f t="shared" si="94"/>
        <v>0.8135</v>
      </c>
      <c r="AP108" s="92">
        <f>AH108*(1+AI108)*(1+AJ108)*AK108*(1+$E$17+VLOOKUP($E108,武器奇术!$A:$R,10,FALSE))</f>
        <v>368.30870505</v>
      </c>
      <c r="AQ108" s="93">
        <f t="shared" si="95"/>
        <v>0.0986</v>
      </c>
      <c r="AR108" s="92">
        <f t="shared" si="67"/>
        <v>272.821263</v>
      </c>
      <c r="AS108" s="93">
        <f t="shared" si="68"/>
        <v>0.0879</v>
      </c>
      <c r="AT108" s="101">
        <f t="shared" si="69"/>
        <v>425.165747544252</v>
      </c>
      <c r="AU108" s="99">
        <f>IF(VLOOKUP($E108,武器奇术!$A:$R,18,FALSE)="极乐",0,$B$7*IF($G$5="撼天",1.05,1)+IF(AND(VLOOKUP($E108,武器奇术!$A:$R,15,FALSE)="武器",VLOOKUP($E108,武器奇术!$A:$R,17,FALSE)="鸣金"),$E$3*(1+$E$15),0))</f>
        <v>0</v>
      </c>
      <c r="AV108" s="91">
        <f t="shared" si="70"/>
        <v>0</v>
      </c>
      <c r="AW108" s="91">
        <f>IF(VLOOKUP($E108,武器奇术!$A:$R,18,FALSE)="极乐",0,MAX($C$7*IF($G$5="撼天",1.05,1)+IF(AND(VLOOKUP($E108,武器奇术!$A:$R,15,FALSE)="武器",VLOOKUP($E108,武器奇术!$A:$R,17,FALSE)="鸣金"),$E$3*(1+$E$15),0),AU108))</f>
        <v>0</v>
      </c>
      <c r="AX108" s="93">
        <f>IF(($D$7+IF(VLOOKUP($E108,武器奇术!$A:$R,17,FALSE)="鸣金",$D$15,0)-VLOOKUP($F$7,目标属性!$A:$R,6,FALSE))&gt;0,($D$7+IF(VLOOKUP($E108,武器奇术!$A:$R,17,FALSE)="鸣金",$D$15,0)-VLOOKUP($F$7,目标属性!$A:$R,6,FALSE))/200,($D$7+IF(VLOOKUP($E108,武器奇术!$A:$R,17,FALSE)="鸣金",$D$15,0)-VLOOKUP($F$7,目标属性!$A:$R,6,FALSE))/100)</f>
        <v>-0.24</v>
      </c>
      <c r="AY108" s="100">
        <f t="shared" si="89"/>
        <v>0</v>
      </c>
      <c r="AZ108" s="91">
        <v>1</v>
      </c>
      <c r="BA108" s="92">
        <f>AU108*IF(VLOOKUP($E108,武器奇术!$A:$R,17,FALSE)="鸣金",VLOOKUP($E108,武器奇术!$A:$R,4,FALSE),VLOOKUP($E108,武器奇术!$A:$R,2,FALSE))*(1+AX108)*(1+AY108)*AZ108</f>
        <v>0</v>
      </c>
      <c r="BB108" s="93">
        <f>(1-IF(VLOOKUP($E108,武器奇术!$A:$R,16,FALSE)="陌刀",1,$N108))*(1-$M108)</f>
        <v>0</v>
      </c>
      <c r="BC108" s="92">
        <f>AV108*IF(VLOOKUP($E108,武器奇术!$A:$R,17,FALSE)="鸣金",VLOOKUP($E108,武器奇术!$A:$R,4,FALSE),VLOOKUP($E108,武器奇术!$A:$R,2,FALSE))*(1+AX108)*(1+AY108)*AZ108*(1+$E$16+VLOOKUP($E108,武器奇术!$A:$R,8,FALSE))</f>
        <v>0</v>
      </c>
      <c r="BD108" s="93">
        <f t="shared" si="96"/>
        <v>0.8135</v>
      </c>
      <c r="BE108" s="92">
        <f>AW108*IF(VLOOKUP($E108,武器奇术!$A:$R,17,FALSE)="鸣金",VLOOKUP($E108,武器奇术!$A:$R,4,FALSE),VLOOKUP($E108,武器奇术!$A:$R,2,FALSE))*(1+AX108)*(1+AY108)*AZ108*(1+$E$17+VLOOKUP($E108,武器奇术!$A:$R,10,FALSE))</f>
        <v>0</v>
      </c>
      <c r="BF108" s="93">
        <f t="shared" si="97"/>
        <v>0.0986</v>
      </c>
      <c r="BG108" s="92">
        <f>AV108*IF(VLOOKUP($E108,武器奇术!$A:$R,17,FALSE)="鸣金",VLOOKUP($E108,武器奇术!$A:$R,4,FALSE),VLOOKUP($E108,武器奇术!$A:$R,2,FALSE))*(1+AX108)*(1+AY108)*AZ108</f>
        <v>0</v>
      </c>
      <c r="BH108" s="93">
        <f t="shared" si="71"/>
        <v>0.0879</v>
      </c>
      <c r="BI108" s="101">
        <f t="shared" si="72"/>
        <v>0</v>
      </c>
      <c r="BJ108" s="99">
        <f>IF(VLOOKUP($E108,武器奇术!$A:$R,18,FALSE)="极乐",0,$B$9*IF($G$5="撼天",1.05,1)+IF(AND(VLOOKUP($E108,武器奇术!$A:$R,15,FALSE)="武器",VLOOKUP($E108,武器奇术!$A:$R,17,FALSE)="裂石"),$E$3*(1+$E$15),0))</f>
        <v>0</v>
      </c>
      <c r="BK108" s="91">
        <f t="shared" si="73"/>
        <v>0</v>
      </c>
      <c r="BL108" s="91">
        <f>IF(VLOOKUP($E108,武器奇术!$A:$R,18,FALSE)="极乐",0,MAX($C$9*IF($G$5="撼天",1.05,1)+IF(AND(VLOOKUP($E108,武器奇术!$A:$R,15,FALSE)="武器",VLOOKUP($E108,武器奇术!$A:$R,17,FALSE)="裂石"),$E$3*(1+$E$15),0),BJ108))</f>
        <v>0</v>
      </c>
      <c r="BM108" s="93">
        <f>IF(($D$9+IF(VLOOKUP($E108,武器奇术!$A:$R,17,FALSE)="裂石",$D$15,0)-VLOOKUP($F$7,目标属性!$A:$R,6,FALSE))&gt;0,($D$9+IF(VLOOKUP($E108,武器奇术!$A:$R,17,FALSE)="裂石",$D$15,0)-VLOOKUP($F$7,目标属性!$A:$R,6,FALSE))/200,($D$9+IF(VLOOKUP($E108,武器奇术!$A:$R,17,FALSE)="裂石",$D$15,0)-VLOOKUP($F$7,目标属性!$A:$R,6,FALSE))/100)</f>
        <v>-0.24</v>
      </c>
      <c r="BN108" s="100">
        <f t="shared" si="90"/>
        <v>0</v>
      </c>
      <c r="BO108" s="91">
        <v>1</v>
      </c>
      <c r="BP108" s="92">
        <f>BJ108*IF(VLOOKUP($E108,武器奇术!$A:$R,17,FALSE)="裂石",VLOOKUP($E108,武器奇术!$A:$R,4,FALSE),VLOOKUP($E108,武器奇术!$A:$R,2,FALSE))*(1+BM108)*(1+BN108)*BO108</f>
        <v>0</v>
      </c>
      <c r="BQ108" s="93">
        <f>(1-IF(VLOOKUP($E108,武器奇术!$A:$R,16,FALSE)="陌刀",1,$N108))*(1-$M108)</f>
        <v>0</v>
      </c>
      <c r="BR108" s="92">
        <f>BK108*IF(VLOOKUP($E108,武器奇术!$A:$R,17,FALSE)="裂石",VLOOKUP($E108,武器奇术!$A:$R,4,FALSE),VLOOKUP($E108,武器奇术!$A:$R,2,FALSE))*(1+BM108)*(1+BN108)*BO108*(1+$E$16+VLOOKUP($E108,武器奇术!$A:$R,8,FALSE))</f>
        <v>0</v>
      </c>
      <c r="BS108" s="93">
        <f t="shared" si="98"/>
        <v>0.8135</v>
      </c>
      <c r="BT108" s="92">
        <f>BL108*IF(VLOOKUP($E108,武器奇术!$A:$R,17,FALSE)="裂石",VLOOKUP($E108,武器奇术!$A:$R,4,FALSE),VLOOKUP($E108,武器奇术!$A:$R,2,FALSE))*(1+BM108)*(1+BN108)*BO108*(1+$E$17+VLOOKUP($E108,武器奇术!$A:$R,10,FALSE))</f>
        <v>0</v>
      </c>
      <c r="BU108" s="93">
        <f t="shared" si="99"/>
        <v>0.0986</v>
      </c>
      <c r="BV108" s="92">
        <f>BK108*IF(VLOOKUP($E108,武器奇术!$A:$R,17,FALSE)="裂石",VLOOKUP($E108,武器奇术!$A:$R,4,FALSE),VLOOKUP($E108,武器奇术!$A:$R,2,FALSE))*(1+BM108)*(1+BN108)*BO108</f>
        <v>0</v>
      </c>
      <c r="BW108" s="93">
        <f t="shared" si="74"/>
        <v>0.0879</v>
      </c>
      <c r="BX108" s="101">
        <f t="shared" si="75"/>
        <v>0</v>
      </c>
      <c r="BY108" s="99">
        <f>IF(VLOOKUP($E108,武器奇术!$A:$R,18,FALSE)="极乐",0,$B$11*IF($G$5="撼天",1.05,1)+IF(AND(VLOOKUP($E108,武器奇术!$A:$R,15,FALSE)="武器",VLOOKUP($E108,武器奇术!$A:$R,17,FALSE)="牵丝"),$E$3*(1+$E$15),0))</f>
        <v>0</v>
      </c>
      <c r="BZ108" s="91">
        <f t="shared" si="76"/>
        <v>0</v>
      </c>
      <c r="CA108" s="91">
        <f>IF(VLOOKUP($E108,武器奇术!$A:$R,18,FALSE)="极乐",0,MAX($C$11*IF($G$5="撼天",1.05,1)+IF(AND(VLOOKUP($E108,武器奇术!$A:$R,15,FALSE)="武器",VLOOKUP($E108,武器奇术!$A:$R,17,FALSE)="牵丝"),$E$3*(1+$E$15),0),BY108))</f>
        <v>0</v>
      </c>
      <c r="CB108" s="93">
        <f>IF(($D$11+IF(VLOOKUP($E108,武器奇术!$A:$R,17,FALSE)="牵丝",$D$15,0)-VLOOKUP($F$7,目标属性!$A:$R,6,FALSE))&gt;0,($D$11+IF(VLOOKUP($E108,武器奇术!$A:$R,17,FALSE)="牵丝",$D$15,0)-VLOOKUP($F$7,目标属性!$A:$R,6,FALSE))/200,($D$11+IF(VLOOKUP($E108,武器奇术!$A:$R,17,FALSE)="牵丝",$D$15,0)-VLOOKUP($F$7,目标属性!$A:$R,6,FALSE))/100)</f>
        <v>-0.24</v>
      </c>
      <c r="CC108" s="100">
        <f t="shared" si="91"/>
        <v>0</v>
      </c>
      <c r="CD108" s="91">
        <v>1</v>
      </c>
      <c r="CE108" s="92">
        <f>BY108*IF(VLOOKUP($E108,武器奇术!$A:$R,17,FALSE)="牵丝",VLOOKUP($E108,武器奇术!$A:$R,4,FALSE),VLOOKUP($E108,武器奇术!$A:$R,2,FALSE))*(1+CB108)*(1+CC108)*CD108</f>
        <v>0</v>
      </c>
      <c r="CF108" s="93">
        <f>(1-IF(VLOOKUP($E108,武器奇术!$A:$R,16,FALSE)="陌刀",1,$N108))*(1-$M108)</f>
        <v>0</v>
      </c>
      <c r="CG108" s="92">
        <f>BZ108*IF(VLOOKUP($E108,武器奇术!$A:$R,17,FALSE)="牵丝",VLOOKUP($E108,武器奇术!$A:$R,4,FALSE),VLOOKUP($E108,武器奇术!$A:$R,2,FALSE))*(1+CB108)*(1+CC108)*CD108*(1+$E$16+VLOOKUP($E108,武器奇术!$A:$R,8,FALSE))</f>
        <v>0</v>
      </c>
      <c r="CH108" s="93">
        <f t="shared" si="100"/>
        <v>0.8135</v>
      </c>
      <c r="CI108" s="92">
        <f>CA108*IF(VLOOKUP($E108,武器奇术!$A:$R,17,FALSE)="牵丝",VLOOKUP($E108,武器奇术!$A:$R,4,FALSE),VLOOKUP($E108,武器奇术!$A:$R,2,FALSE))*(1+CB108)*(1+CC108)*CD108*(1+$E$17+VLOOKUP($E108,武器奇术!$A:$R,10,FALSE))</f>
        <v>0</v>
      </c>
      <c r="CJ108" s="93">
        <f t="shared" si="101"/>
        <v>0.0986</v>
      </c>
      <c r="CK108" s="92">
        <f>BZ108*IF(VLOOKUP($E108,武器奇术!$A:$R,17,FALSE)="牵丝",VLOOKUP($E108,武器奇术!$A:$R,4,FALSE),VLOOKUP($E108,武器奇术!$A:$R,2,FALSE))*(1+CB108)*(1+CC108)*CD108</f>
        <v>0</v>
      </c>
      <c r="CL108" s="93">
        <f t="shared" si="77"/>
        <v>0.0879</v>
      </c>
      <c r="CM108" s="101">
        <f t="shared" si="78"/>
        <v>0</v>
      </c>
      <c r="CN108" s="99">
        <f>IF(VLOOKUP($E108,武器奇术!$A:$R,18,FALSE)="极乐",0,$B$13*IF($G$5="撼天",1.05,1)+IF(AND(VLOOKUP($E108,武器奇术!$A:$R,15,FALSE)="武器",VLOOKUP($E108,武器奇术!$A:$R,17,FALSE)="破竹"),$E$3*(1+$E$15),0))</f>
        <v>686.71</v>
      </c>
      <c r="CO108" s="91">
        <f t="shared" si="79"/>
        <v>1052.21</v>
      </c>
      <c r="CP108" s="91">
        <f>IF(VLOOKUP($E108,武器奇术!$A:$R,18,FALSE)="极乐",0,MAX($C$13*IF($G$5="撼天",1.05,1)+IF(AND(VLOOKUP($E108,武器奇术!$A:$R,15,FALSE)="武器",VLOOKUP($E108,武器奇术!$A:$R,17,FALSE)="破竹"),$E$3*(1+$E$15),0),CN108))</f>
        <v>1417.71</v>
      </c>
      <c r="CQ108" s="93">
        <f>IF(($D$13+IF(VLOOKUP($E108,武器奇术!$A:$R,17,FALSE)="破竹",$D$15,0)-VLOOKUP($F$7,目标属性!$A:$R,6,FALSE)+IF(VLOOKUP($E108,武器奇术!$A:$V,22,FALSE)=1,4,0)+IF(VLOOKUP($E108,武器奇术!$A:$T,20,FALSE)=1,10,0))&gt;0,($D$13+IF(VLOOKUP($E108,武器奇术!$A:$R,17,FALSE)="破竹",$D$15,0)-VLOOKUP($F$7,目标属性!$A:$R,6,FALSE)+IF(VLOOKUP($E108,武器奇术!$A:$V,22,FALSE)=1,4,0)+IF(VLOOKUP($E108,武器奇术!$A:$T,20,FALSE)=1,10,0))/200,($D$13+IF(VLOOKUP($E108,武器奇术!$A:$R,17,FALSE)="破竹",$D$15,0)-VLOOKUP($F$7,目标属性!$A:$R,6,FALSE)+IF(VLOOKUP($E108,武器奇术!$A:$V,22,FALSE)=1,4,0)+IF(VLOOKUP($E108,武器奇术!$A:$T,20,FALSE)=1,10,0))/100)</f>
        <v>0.028</v>
      </c>
      <c r="CR108" s="120">
        <f>$E$13+IF(期望!$G$5="燕归",6%,0)</f>
        <v>0.208</v>
      </c>
      <c r="CS108" s="91">
        <v>1</v>
      </c>
      <c r="CT108" s="92">
        <f>CN108*IF(VLOOKUP($E108,武器奇术!$A:$R,17,FALSE)="破竹",VLOOKUP($E108,武器奇术!$A:$R,4,FALSE),VLOOKUP($E108,武器奇术!$A:$R,2,FALSE))*(1+CQ108)*(1+CR108)*CS108</f>
        <v>715.075709343811</v>
      </c>
      <c r="CU108" s="93">
        <f>(1-IF(VLOOKUP($E108,武器奇术!$A:$R,16,FALSE)="陌刀",1,$N108))*(1-$M108)</f>
        <v>0</v>
      </c>
      <c r="CV108" s="92">
        <f>CO108*IF(VLOOKUP($E108,武器奇术!$A:$R,17,FALSE)="破竹",VLOOKUP($E108,武器奇术!$A:$R,4,FALSE),VLOOKUP($E108,武器奇术!$A:$R,2,FALSE))*(1+CQ108)*(1+CR108)*CS108*(1+$E$16+VLOOKUP($E108,武器奇术!$A:$R,8,FALSE))</f>
        <v>1801.28690588386</v>
      </c>
      <c r="CW108" s="93">
        <f t="shared" si="102"/>
        <v>0.8135</v>
      </c>
      <c r="CX108" s="92">
        <f>CP108*IF(VLOOKUP($E108,武器奇术!$A:$R,17,FALSE)="破竹",VLOOKUP($E108,武器奇术!$A:$R,4,FALSE),VLOOKUP($E108,武器奇术!$A:$R,2,FALSE))*(1+CQ108)*(1+CR108)*CS108*(1+$E$17+VLOOKUP($E108,武器奇术!$A:$R,10,FALSE))</f>
        <v>1992.96570350898</v>
      </c>
      <c r="CY108" s="93">
        <f t="shared" si="103"/>
        <v>0.0986</v>
      </c>
      <c r="CZ108" s="92">
        <f>CO108*IF(VLOOKUP($E108,武器奇术!$A:$R,17,FALSE)="破竹",VLOOKUP($E108,武器奇术!$A:$R,4,FALSE),VLOOKUP($E108,武器奇术!$A:$R,2,FALSE))*(1+CQ108)*(1+CR108)*CS108</f>
        <v>1095.67330041597</v>
      </c>
      <c r="DA108" s="93">
        <f t="shared" si="80"/>
        <v>0.0879</v>
      </c>
      <c r="DB108" s="101">
        <f t="shared" si="81"/>
        <v>1758.16299940907</v>
      </c>
      <c r="DC108" s="99">
        <f>IF(VLOOKUP($E108,武器奇术!$A:$R,18,FALSE)="极乐",0,$B$15)</f>
        <v>66</v>
      </c>
      <c r="DD108" s="91">
        <f t="shared" si="111"/>
        <v>95.9</v>
      </c>
      <c r="DE108" s="91">
        <f>IF(VLOOKUP($E108,武器奇术!$A:$R,18,FALSE)="极乐",0,$C$15)</f>
        <v>125.8</v>
      </c>
      <c r="DF108" s="93">
        <f>IF((IF(VLOOKUP($E108,武器奇术!$A:$R,17,FALSE)="鸣金",$D$7,0)+IF(VLOOKUP($E108,武器奇术!$A:$R,17,FALSE)="裂石",$D$9,0)+IF(VLOOKUP($E108,武器奇术!$A:$R,17,FALSE)="牵丝",$D$11,0)+IF(VLOOKUP($E108,武器奇术!$A:$R,17,FALSE)="破竹",$D$13,0)+$D$15-VLOOKUP($F$7,目标属性!$A:$R,6,FALSE)+IF(VLOOKUP($E108,武器奇术!$A:$V,22,FALSE)=1,4,0)+IF(VLOOKUP($E108,武器奇术!$A:$T,20,FALSE)=1,10,0))&gt;0,(IF(VLOOKUP($E108,武器奇术!$A:$R,17,FALSE)="鸣金",$D$7,0)+IF(VLOOKUP($E108,武器奇术!$A:$R,17,FALSE)="裂石",$D$9,0)+IF(VLOOKUP($E108,武器奇术!$A:$R,17,FALSE)="牵丝",$D$11,0)+IF(VLOOKUP($E108,武器奇术!$A:$R,17,FALSE)="破竹",$D$13,0)+$D$15-VLOOKUP($F$7,目标属性!$A:$R,6,FALSE)+IF(VLOOKUP($E108,武器奇术!$A:$V,22,FALSE)=1,4,0)+IF(VLOOKUP($E108,武器奇术!$A:$T,20,FALSE)=1,10,0))/200,(IF(VLOOKUP($E108,武器奇术!$A:$R,17,FALSE)="鸣金",$D$7,0)+IF(VLOOKUP($E108,武器奇术!$A:$R,17,FALSE)="裂石",$D$9,0)+IF(VLOOKUP($E108,武器奇术!$A:$R,17,FALSE)="牵丝",$D$11,0)+IF(VLOOKUP($E108,武器奇术!$A:$R,17,FALSE)="破竹",$D$13,0)+$D$15-VLOOKUP($F$7,目标属性!$A:$R,6,FALSE)+IF(VLOOKUP($E108,武器奇术!$A:$V,22,FALSE)=1,4,0)+IF(VLOOKUP($E108,武器奇术!$A:$T,20,FALSE)=1,10,0))/100)</f>
        <v>0.028</v>
      </c>
      <c r="DG108" s="120">
        <f>$E$13+IF(期望!$G$5="燕归",6%,0)</f>
        <v>0.208</v>
      </c>
      <c r="DH108" s="91">
        <v>1</v>
      </c>
      <c r="DI108" s="92">
        <f>DC108*IF(VLOOKUP($E108,武器奇术!$A:$R,17,FALSE)="破竹",VLOOKUP($E108,武器奇术!$A:$R,4,FALSE),VLOOKUP($E108,武器奇术!$A:$R,2,FALSE))*(1+DF108)*(1+DG108)*DH108</f>
        <v>68.72624079552</v>
      </c>
      <c r="DJ108" s="93">
        <f>(1-IF(VLOOKUP($E108,武器奇术!$A:$R,16,FALSE)="陌刀",1,$N108))*(1-$M108)</f>
        <v>0</v>
      </c>
      <c r="DK108" s="92">
        <f>DD108*IF(VLOOKUP($E108,武器奇术!$A:$R,17,FALSE)="破竹",VLOOKUP($E108,武器奇术!$A:$R,4,FALSE),VLOOKUP($E108,武器奇术!$A:$R,2,FALSE))*(1+DF108)*(1+DG108)*DH108*(1+$E$16+VLOOKUP($E108,武器奇术!$A:$R,8,FALSE))</f>
        <v>164.171994444324</v>
      </c>
      <c r="DL108" s="93">
        <f t="shared" si="104"/>
        <v>0.8135</v>
      </c>
      <c r="DM108" s="92">
        <f>DE108*IF(VLOOKUP($E108,武器奇术!$A:$R,17,FALSE)="破竹",VLOOKUP($E108,武器奇术!$A:$R,4,FALSE),VLOOKUP($E108,武器奇术!$A:$R,2,FALSE))*(1+DF108)*(1+DG108)*DH108*(1+$E$17+VLOOKUP($E108,武器奇术!$A:$R,10,FALSE))</f>
        <v>176.845113247018</v>
      </c>
      <c r="DN108" s="93">
        <f t="shared" si="105"/>
        <v>0.0986</v>
      </c>
      <c r="DO108" s="92">
        <f>DD108*IF(VLOOKUP($E108,武器奇术!$A:$R,17,FALSE)="破竹",VLOOKUP($E108,武器奇术!$A:$R,4,FALSE),VLOOKUP($E108,武器奇术!$A:$R,2,FALSE))*(1+DF108)*(1+DG108)*DH108</f>
        <v>99.861310489248</v>
      </c>
      <c r="DP108" s="93">
        <f t="shared" si="106"/>
        <v>0.0879</v>
      </c>
      <c r="DQ108" s="101">
        <f t="shared" si="107"/>
        <v>159.768654838618</v>
      </c>
    </row>
    <row r="109" spans="1:121">
      <c r="B109" s="130" t="s">
        <v>158</v>
      </c>
      <c r="C109">
        <v>0.6</v>
      </c>
      <c r="E109" s="105" t="s">
        <v>112</v>
      </c>
      <c r="F109" s="106">
        <f>SUM(F105:F108)+4</f>
        <v>8</v>
      </c>
      <c r="G109" s="107">
        <f>$E$23</f>
        <v>0.32</v>
      </c>
      <c r="H109" s="131">
        <f>IF(VLOOKUP($E109,武器奇术!$A:$R,18,FALSE)="天工",AE109,(AE109+AT109+BI109+BX109+CM109+DB109+DQ109))*(1+J109)*F109*K109*(1+G109)*(1+$G$21*5%)</f>
        <v>131270.887561772</v>
      </c>
      <c r="I109" s="93">
        <f t="shared" si="58"/>
        <v>0.0168397863350781</v>
      </c>
      <c r="J109" s="93">
        <f>$F$3+VLOOKUP($E109,武器奇术!$A:$R,12,FALSE)+VLOOKUP($E109,武器奇术!$A:$R,14,FALSE)*$G$3+$P109</f>
        <v>1.493</v>
      </c>
      <c r="K109" s="94">
        <f>VLOOKUP($E109,武器奇术!$A:$R,11,FALSE)</f>
        <v>1</v>
      </c>
      <c r="L109" s="109">
        <f>IF(VLOOKUP($E109,武器奇术!$A:$R,15,FALSE)="天工",0%,IF($C$17+VLOOKUP($E109,武器奇术!$A:$R,7,FALSE)&gt;80%,80%,$C$17+VLOOKUP($E109,武器奇术!$A:$R,7,FALSE))+IF($C$19&gt;20%,20%,$C$19))</f>
        <v>0.8135</v>
      </c>
      <c r="M109" s="110">
        <f>IF(VLOOKUP($E109,武器奇术!$A:$R,15,FALSE)="天工",0%,IF($C$18+VLOOKUP($E109,武器奇术!$A:$R,9,FALSE)&gt;40%,40%,$C$18+VLOOKUP($E109,武器奇术!$A:$R,9,FALSE))+IF($C$20&gt;10%,10%,$C$20))</f>
        <v>0.0986</v>
      </c>
      <c r="N109" s="111">
        <f>IF(VLOOKUP($E109,武器奇术!$A:$R,15,FALSE)="天工",100%,MIN($C$16,1))</f>
        <v>1</v>
      </c>
      <c r="O109" s="112" t="str">
        <f>VLOOKUP($E109,武器奇术!$A:$R,16,FALSE)</f>
        <v>绳标</v>
      </c>
      <c r="P109" s="113">
        <f t="shared" si="108"/>
        <v>0.17</v>
      </c>
      <c r="Q109" s="99">
        <f>$B$5*(1+VLOOKUP($E109,武器奇术!$A:$R,5,FALSE)+IF($G$5="飞隼",0.1,0)+IF($G$5="撼天",0.05,0))-$F$9*IF(VLOOKUP($E109,武器奇术!$A:$S,19,FALSE)=1,0.9,1)+IF($I$5="√",160,0)</f>
        <v>2848.3</v>
      </c>
      <c r="R109" s="91">
        <f t="shared" si="60"/>
        <v>2848.3</v>
      </c>
      <c r="S109" s="91">
        <f>MAX($C$5,$B$5)*(1+VLOOKUP($E109,武器奇术!$A:$R,5,FALSE)+IF($G$5="飞隼",0.1,0)+IF($G$5="撼天",0.05,0))-$F$9*IF(VLOOKUP($E109,武器奇术!$A:$S,19,FALSE)=1,0.9,1)+IF($I$5="√",320,0)</f>
        <v>2848.3</v>
      </c>
      <c r="T109" s="93">
        <f>IF(($D$5+VLOOKUP($E109,武器奇术!$A:$R,13,FALSE)+IF($I$3="√",10,0)-VLOOKUP($F$7,目标属性!$A:$R,5,FALSE))&gt;0,($D$5+VLOOKUP($E109,武器奇术!$A:$R,13,FALSE)+IF($I$3="√",10,0)-VLOOKUP($F$7,目标属性!$A:$R,5,FALSE))/200,($D$5+VLOOKUP($E109,武器奇术!$A:$R,13,FALSE)+IF($I$3="√",10,0)-VLOOKUP($F$7,目标属性!$A:$R,5,FALSE))/100)</f>
        <v>0.2675</v>
      </c>
      <c r="U109" s="120">
        <f>$E$5+IF(VLOOKUP($E109,武器奇术!$A:$R,18,FALSE)="鼠鼠",0.24,0)+IF(期望!$G$5="燕归",6/100,0)</f>
        <v>0.3</v>
      </c>
      <c r="V109" s="91">
        <v>1</v>
      </c>
      <c r="W109" s="92">
        <f>Q109*VLOOKUP($E109,武器奇术!$A:$R,2,FALSE)*(1+T109)*(1+U109)*V109</f>
        <v>1642.65021375</v>
      </c>
      <c r="X109" s="93">
        <f>(1-IF(VLOOKUP($E109,武器奇术!$A:$R,16,FALSE)="陌刀",1,$N109))*(1-$M109)</f>
        <v>0</v>
      </c>
      <c r="Y109" s="92">
        <f>R109*VLOOKUP($E109,武器奇术!$A:$R,2,FALSE)*(1+T109)*(1+U109)*V109*(1+$E$16+VLOOKUP($E109,武器奇术!$A:$R,8,FALSE))</f>
        <v>2700.516951405</v>
      </c>
      <c r="Z109" s="93">
        <f t="shared" si="61"/>
        <v>0.8135</v>
      </c>
      <c r="AA109" s="92">
        <f>S109*VLOOKUP($E109,武器奇术!$A:$R,2,FALSE)*(1+T109)*(1+U109)*V109*(1+$E$17+VLOOKUP($E109,武器奇术!$A:$R,10,FALSE))</f>
        <v>2217.5777885625</v>
      </c>
      <c r="AB109" s="93">
        <f t="shared" si="62"/>
        <v>0.0986</v>
      </c>
      <c r="AC109" s="92">
        <f>R109*VLOOKUP($E109,武器奇术!$A:$R,2,FALSE)*(1+T109)*(1+U109)*V109</f>
        <v>1642.65021375</v>
      </c>
      <c r="AD109" s="93">
        <f t="shared" si="63"/>
        <v>0.0879</v>
      </c>
      <c r="AE109" s="101">
        <f t="shared" si="64"/>
        <v>2559.91266370885</v>
      </c>
      <c r="AF109" s="102">
        <f>VLOOKUP($E109,武器奇术!$A:$R,3,FALSE)*(1+IF(VLOOKUP($E109,武器奇术!$A:$R,15,FALSE)="武器",$E$15,0))</f>
        <v>0</v>
      </c>
      <c r="AG109" s="92">
        <f t="shared" si="65"/>
        <v>0</v>
      </c>
      <c r="AH109" s="92">
        <f>VLOOKUP($E109,武器奇术!$A:$R,3,FALSE)*(1+IF(VLOOKUP($E109,武器奇术!$A:$R,15,FALSE)="武器",$E$15,0))</f>
        <v>0</v>
      </c>
      <c r="AI109" s="93">
        <f>IF(($D$5+VLOOKUP($E109,武器奇术!$A:$R,13,FALSE)+IF($I$3="√",10,0)-VLOOKUP($F$7,目标属性!$A:$R,5,FALSE))&gt;0,($D$5+VLOOKUP($E109,武器奇术!$A:$R,13,FALSE)+IF($I$3="√",10,0)-VLOOKUP($F$7,目标属性!$A:$R,5,FALSE))/200,($D$5+VLOOKUP($E109,武器奇术!$A:$R,13,FALSE)+IF($I$3="√",10,0)-VLOOKUP($F$7,目标属性!$A:$R,5,FALSE))/100)</f>
        <v>0.2675</v>
      </c>
      <c r="AJ109" s="120">
        <f>$E$5+IF(VLOOKUP($E109,武器奇术!$A:$R,18,FALSE)="鼠鼠",0.24,0)+IF(期望!$G$5="燕归",6/100,0)</f>
        <v>0.3</v>
      </c>
      <c r="AK109" s="91">
        <v>1</v>
      </c>
      <c r="AL109" s="92">
        <f t="shared" si="109"/>
        <v>0</v>
      </c>
      <c r="AM109" s="93">
        <f>(1-IF(VLOOKUP($E109,武器奇术!$A:$R,16,FALSE)="陌刀",1,$N109))*(1-$M109)</f>
        <v>0</v>
      </c>
      <c r="AN109" s="92">
        <f>AG109*(1+AI109)*(1+AJ109)*AK109*(1+$E$16+VLOOKUP($E109,武器奇术!$A:$R,8,FALSE))</f>
        <v>0</v>
      </c>
      <c r="AO109" s="93">
        <f t="shared" si="94"/>
        <v>0.8135</v>
      </c>
      <c r="AP109" s="92">
        <f>AH109*(1+AI109)*(1+AJ109)*AK109*(1+$E$17+VLOOKUP($E109,武器奇术!$A:$R,10,FALSE))</f>
        <v>0</v>
      </c>
      <c r="AQ109" s="93">
        <f t="shared" si="95"/>
        <v>0.0986</v>
      </c>
      <c r="AR109" s="92">
        <f t="shared" si="67"/>
        <v>0</v>
      </c>
      <c r="AS109" s="93">
        <f t="shared" si="68"/>
        <v>0.0879</v>
      </c>
      <c r="AT109" s="101">
        <f t="shared" si="69"/>
        <v>0</v>
      </c>
      <c r="AU109" s="99">
        <f>IF(VLOOKUP($E109,武器奇术!$A:$R,18,FALSE)="极乐",0,$B$7*IF($G$5="撼天",1.05,1)+IF(AND(VLOOKUP($E109,武器奇术!$A:$R,15,FALSE)="武器",VLOOKUP($E109,武器奇术!$A:$R,17,FALSE)="鸣金"),$E$3*(1+$E$15),0))</f>
        <v>0</v>
      </c>
      <c r="AV109" s="91">
        <f t="shared" si="70"/>
        <v>0</v>
      </c>
      <c r="AW109" s="91">
        <f>IF(VLOOKUP($E109,武器奇术!$A:$R,18,FALSE)="极乐",0,MAX($C$7*IF($G$5="撼天",1.05,1)+IF(AND(VLOOKUP($E109,武器奇术!$A:$R,15,FALSE)="武器",VLOOKUP($E109,武器奇术!$A:$R,17,FALSE)="鸣金"),$E$3*(1+$E$15),0),AU109))</f>
        <v>0</v>
      </c>
      <c r="AX109" s="93">
        <f>IF(($D$7+IF(VLOOKUP($E109,武器奇术!$A:$R,17,FALSE)="鸣金",$D$15,0)-VLOOKUP($F$7,目标属性!$A:$R,6,FALSE))&gt;0,($D$7+IF(VLOOKUP($E109,武器奇术!$A:$R,17,FALSE)="鸣金",$D$15,0)-VLOOKUP($F$7,目标属性!$A:$R,6,FALSE))/200,($D$7+IF(VLOOKUP($E109,武器奇术!$A:$R,17,FALSE)="鸣金",$D$15,0)-VLOOKUP($F$7,目标属性!$A:$R,6,FALSE))/100)</f>
        <v>-0.24</v>
      </c>
      <c r="AY109" s="100">
        <f t="shared" si="89"/>
        <v>0</v>
      </c>
      <c r="AZ109" s="91">
        <v>1</v>
      </c>
      <c r="BA109" s="92">
        <f>AU109*IF(VLOOKUP($E109,武器奇术!$A:$R,17,FALSE)="鸣金",VLOOKUP($E109,武器奇术!$A:$R,4,FALSE),VLOOKUP($E109,武器奇术!$A:$R,2,FALSE))*(1+AX109)*(1+AY109)*AZ109</f>
        <v>0</v>
      </c>
      <c r="BB109" s="93">
        <f>(1-IF(VLOOKUP($E109,武器奇术!$A:$R,16,FALSE)="陌刀",1,$N109))*(1-$M109)</f>
        <v>0</v>
      </c>
      <c r="BC109" s="92">
        <f>AV109*IF(VLOOKUP($E109,武器奇术!$A:$R,17,FALSE)="鸣金",VLOOKUP($E109,武器奇术!$A:$R,4,FALSE),VLOOKUP($E109,武器奇术!$A:$R,2,FALSE))*(1+AX109)*(1+AY109)*AZ109*(1+$E$16+VLOOKUP($E109,武器奇术!$A:$R,8,FALSE))</f>
        <v>0</v>
      </c>
      <c r="BD109" s="93">
        <f t="shared" si="96"/>
        <v>0.8135</v>
      </c>
      <c r="BE109" s="92">
        <f>AW109*IF(VLOOKUP($E109,武器奇术!$A:$R,17,FALSE)="鸣金",VLOOKUP($E109,武器奇术!$A:$R,4,FALSE),VLOOKUP($E109,武器奇术!$A:$R,2,FALSE))*(1+AX109)*(1+AY109)*AZ109*(1+$E$17+VLOOKUP($E109,武器奇术!$A:$R,10,FALSE))</f>
        <v>0</v>
      </c>
      <c r="BF109" s="93">
        <f t="shared" si="97"/>
        <v>0.0986</v>
      </c>
      <c r="BG109" s="92">
        <f>AV109*IF(VLOOKUP($E109,武器奇术!$A:$R,17,FALSE)="鸣金",VLOOKUP($E109,武器奇术!$A:$R,4,FALSE),VLOOKUP($E109,武器奇术!$A:$R,2,FALSE))*(1+AX109)*(1+AY109)*AZ109</f>
        <v>0</v>
      </c>
      <c r="BH109" s="93">
        <f t="shared" si="71"/>
        <v>0.0879</v>
      </c>
      <c r="BI109" s="101">
        <f t="shared" si="72"/>
        <v>0</v>
      </c>
      <c r="BJ109" s="99">
        <f>IF(VLOOKUP($E109,武器奇术!$A:$R,18,FALSE)="极乐",0,$B$9*IF($G$5="撼天",1.05,1)+IF(AND(VLOOKUP($E109,武器奇术!$A:$R,15,FALSE)="武器",VLOOKUP($E109,武器奇术!$A:$R,17,FALSE)="裂石"),$E$3*(1+$E$15),0))</f>
        <v>0</v>
      </c>
      <c r="BK109" s="91">
        <f t="shared" si="73"/>
        <v>0</v>
      </c>
      <c r="BL109" s="91">
        <f>IF(VLOOKUP($E109,武器奇术!$A:$R,18,FALSE)="极乐",0,MAX($C$9*IF($G$5="撼天",1.05,1)+IF(AND(VLOOKUP($E109,武器奇术!$A:$R,15,FALSE)="武器",VLOOKUP($E109,武器奇术!$A:$R,17,FALSE)="裂石"),$E$3*(1+$E$15),0),BJ109))</f>
        <v>0</v>
      </c>
      <c r="BM109" s="93">
        <f>IF(($D$9+IF(VLOOKUP($E109,武器奇术!$A:$R,17,FALSE)="裂石",$D$15,0)-VLOOKUP($F$7,目标属性!$A:$R,6,FALSE))&gt;0,($D$9+IF(VLOOKUP($E109,武器奇术!$A:$R,17,FALSE)="裂石",$D$15,0)-VLOOKUP($F$7,目标属性!$A:$R,6,FALSE))/200,($D$9+IF(VLOOKUP($E109,武器奇术!$A:$R,17,FALSE)="裂石",$D$15,0)-VLOOKUP($F$7,目标属性!$A:$R,6,FALSE))/100)</f>
        <v>-0.24</v>
      </c>
      <c r="BN109" s="100">
        <f t="shared" si="90"/>
        <v>0</v>
      </c>
      <c r="BO109" s="91">
        <v>1</v>
      </c>
      <c r="BP109" s="92">
        <f>BJ109*IF(VLOOKUP($E109,武器奇术!$A:$R,17,FALSE)="裂石",VLOOKUP($E109,武器奇术!$A:$R,4,FALSE),VLOOKUP($E109,武器奇术!$A:$R,2,FALSE))*(1+BM109)*(1+BN109)*BO109</f>
        <v>0</v>
      </c>
      <c r="BQ109" s="93">
        <f>(1-IF(VLOOKUP($E109,武器奇术!$A:$R,16,FALSE)="陌刀",1,$N109))*(1-$M109)</f>
        <v>0</v>
      </c>
      <c r="BR109" s="92">
        <f>BK109*IF(VLOOKUP($E109,武器奇术!$A:$R,17,FALSE)="裂石",VLOOKUP($E109,武器奇术!$A:$R,4,FALSE),VLOOKUP($E109,武器奇术!$A:$R,2,FALSE))*(1+BM109)*(1+BN109)*BO109*(1+$E$16+VLOOKUP($E109,武器奇术!$A:$R,8,FALSE))</f>
        <v>0</v>
      </c>
      <c r="BS109" s="93">
        <f t="shared" si="98"/>
        <v>0.8135</v>
      </c>
      <c r="BT109" s="92">
        <f>BL109*IF(VLOOKUP($E109,武器奇术!$A:$R,17,FALSE)="裂石",VLOOKUP($E109,武器奇术!$A:$R,4,FALSE),VLOOKUP($E109,武器奇术!$A:$R,2,FALSE))*(1+BM109)*(1+BN109)*BO109*(1+$E$17+VLOOKUP($E109,武器奇术!$A:$R,10,FALSE))</f>
        <v>0</v>
      </c>
      <c r="BU109" s="93">
        <f t="shared" si="99"/>
        <v>0.0986</v>
      </c>
      <c r="BV109" s="92">
        <f>BK109*IF(VLOOKUP($E109,武器奇术!$A:$R,17,FALSE)="裂石",VLOOKUP($E109,武器奇术!$A:$R,4,FALSE),VLOOKUP($E109,武器奇术!$A:$R,2,FALSE))*(1+BM109)*(1+BN109)*BO109</f>
        <v>0</v>
      </c>
      <c r="BW109" s="93">
        <f t="shared" si="74"/>
        <v>0.0879</v>
      </c>
      <c r="BX109" s="101">
        <f t="shared" si="75"/>
        <v>0</v>
      </c>
      <c r="BY109" s="99">
        <f>IF(VLOOKUP($E109,武器奇术!$A:$R,18,FALSE)="极乐",0,$B$11*IF($G$5="撼天",1.05,1)+IF(AND(VLOOKUP($E109,武器奇术!$A:$R,15,FALSE)="武器",VLOOKUP($E109,武器奇术!$A:$R,17,FALSE)="牵丝"),$E$3*(1+$E$15),0))</f>
        <v>0</v>
      </c>
      <c r="BZ109" s="91">
        <f t="shared" si="76"/>
        <v>0</v>
      </c>
      <c r="CA109" s="91">
        <f>IF(VLOOKUP($E109,武器奇术!$A:$R,18,FALSE)="极乐",0,MAX($C$11*IF($G$5="撼天",1.05,1)+IF(AND(VLOOKUP($E109,武器奇术!$A:$R,15,FALSE)="武器",VLOOKUP($E109,武器奇术!$A:$R,17,FALSE)="牵丝"),$E$3*(1+$E$15),0),BY109))</f>
        <v>0</v>
      </c>
      <c r="CB109" s="93">
        <f>IF(($D$11+IF(VLOOKUP($E109,武器奇术!$A:$R,17,FALSE)="牵丝",$D$15,0)-VLOOKUP($F$7,目标属性!$A:$R,6,FALSE))&gt;0,($D$11+IF(VLOOKUP($E109,武器奇术!$A:$R,17,FALSE)="牵丝",$D$15,0)-VLOOKUP($F$7,目标属性!$A:$R,6,FALSE))/200,($D$11+IF(VLOOKUP($E109,武器奇术!$A:$R,17,FALSE)="牵丝",$D$15,0)-VLOOKUP($F$7,目标属性!$A:$R,6,FALSE))/100)</f>
        <v>-0.24</v>
      </c>
      <c r="CC109" s="100">
        <f t="shared" si="91"/>
        <v>0</v>
      </c>
      <c r="CD109" s="91">
        <v>1</v>
      </c>
      <c r="CE109" s="92">
        <f>BY109*IF(VLOOKUP($E109,武器奇术!$A:$R,17,FALSE)="牵丝",VLOOKUP($E109,武器奇术!$A:$R,4,FALSE),VLOOKUP($E109,武器奇术!$A:$R,2,FALSE))*(1+CB109)*(1+CC109)*CD109</f>
        <v>0</v>
      </c>
      <c r="CF109" s="93">
        <f>(1-IF(VLOOKUP($E109,武器奇术!$A:$R,16,FALSE)="陌刀",1,$N109))*(1-$M109)</f>
        <v>0</v>
      </c>
      <c r="CG109" s="92">
        <f>BZ109*IF(VLOOKUP($E109,武器奇术!$A:$R,17,FALSE)="牵丝",VLOOKUP($E109,武器奇术!$A:$R,4,FALSE),VLOOKUP($E109,武器奇术!$A:$R,2,FALSE))*(1+CB109)*(1+CC109)*CD109*(1+$E$16+VLOOKUP($E109,武器奇术!$A:$R,8,FALSE))</f>
        <v>0</v>
      </c>
      <c r="CH109" s="93">
        <f t="shared" si="100"/>
        <v>0.8135</v>
      </c>
      <c r="CI109" s="92">
        <f>CA109*IF(VLOOKUP($E109,武器奇术!$A:$R,17,FALSE)="牵丝",VLOOKUP($E109,武器奇术!$A:$R,4,FALSE),VLOOKUP($E109,武器奇术!$A:$R,2,FALSE))*(1+CB109)*(1+CC109)*CD109*(1+$E$17+VLOOKUP($E109,武器奇术!$A:$R,10,FALSE))</f>
        <v>0</v>
      </c>
      <c r="CJ109" s="93">
        <f t="shared" si="101"/>
        <v>0.0986</v>
      </c>
      <c r="CK109" s="92">
        <f>BZ109*IF(VLOOKUP($E109,武器奇术!$A:$R,17,FALSE)="牵丝",VLOOKUP($E109,武器奇术!$A:$R,4,FALSE),VLOOKUP($E109,武器奇术!$A:$R,2,FALSE))*(1+CB109)*(1+CC109)*CD109</f>
        <v>0</v>
      </c>
      <c r="CL109" s="93">
        <f t="shared" si="77"/>
        <v>0.0879</v>
      </c>
      <c r="CM109" s="101">
        <f t="shared" si="78"/>
        <v>0</v>
      </c>
      <c r="CN109" s="99">
        <f>IF(VLOOKUP($E109,武器奇术!$A:$R,18,FALSE)="极乐",0,$B$13*IF($G$5="撼天",1.05,1)+IF(AND(VLOOKUP($E109,武器奇术!$A:$R,15,FALSE)="武器",VLOOKUP($E109,武器奇术!$A:$R,17,FALSE)="破竹"),$E$3*(1+$E$15),0))</f>
        <v>490.8</v>
      </c>
      <c r="CO109" s="91">
        <f t="shared" si="79"/>
        <v>856.3</v>
      </c>
      <c r="CP109" s="91">
        <f>IF(VLOOKUP($E109,武器奇术!$A:$R,18,FALSE)="极乐",0,MAX($C$13*IF($G$5="撼天",1.05,1)+IF(AND(VLOOKUP($E109,武器奇术!$A:$R,15,FALSE)="武器",VLOOKUP($E109,武器奇术!$A:$R,17,FALSE)="破竹"),$E$3*(1+$E$15),0),CN109))</f>
        <v>1221.8</v>
      </c>
      <c r="CQ109" s="93">
        <f>IF(($D$13+IF(VLOOKUP($E109,武器奇术!$A:$R,17,FALSE)="破竹",$D$15,0)-VLOOKUP($F$7,目标属性!$A:$R,6,FALSE)+IF(VLOOKUP($E109,武器奇术!$A:$V,22,FALSE)=1,4,0)+IF(VLOOKUP($E109,武器奇术!$A:$T,20,FALSE)=1,10,0))&gt;0,($D$13+IF(VLOOKUP($E109,武器奇术!$A:$R,17,FALSE)="破竹",$D$15,0)-VLOOKUP($F$7,目标属性!$A:$R,6,FALSE)+IF(VLOOKUP($E109,武器奇术!$A:$V,22,FALSE)=1,4,0)+IF(VLOOKUP($E109,武器奇术!$A:$T,20,FALSE)=1,10,0))/200,($D$13+IF(VLOOKUP($E109,武器奇术!$A:$R,17,FALSE)="破竹",$D$15,0)-VLOOKUP($F$7,目标属性!$A:$R,6,FALSE)+IF(VLOOKUP($E109,武器奇术!$A:$V,22,FALSE)=1,4,0)+IF(VLOOKUP($E109,武器奇术!$A:$T,20,FALSE)=1,10,0))/100)</f>
        <v>0.028</v>
      </c>
      <c r="CR109" s="120">
        <f>$E$13+IF(期望!$G$5="燕归",6%,0)</f>
        <v>0.208</v>
      </c>
      <c r="CS109" s="91">
        <v>1</v>
      </c>
      <c r="CT109" s="92">
        <f>CN109*IF(VLOOKUP($E109,武器奇术!$A:$R,17,FALSE)="破竹",VLOOKUP($E109,武器奇术!$A:$R,4,FALSE),VLOOKUP($E109,武器奇术!$A:$R,2,FALSE))*(1+CQ109)*(1+CR109)*CS109</f>
        <v>319.98079008</v>
      </c>
      <c r="CU109" s="93">
        <f>(1-IF(VLOOKUP($E109,武器奇术!$A:$R,16,FALSE)="陌刀",1,$N109))*(1-$M109)</f>
        <v>0</v>
      </c>
      <c r="CV109" s="92">
        <f>CO109*IF(VLOOKUP($E109,武器奇术!$A:$R,17,FALSE)="破竹",VLOOKUP($E109,武器奇术!$A:$R,4,FALSE),VLOOKUP($E109,武器奇术!$A:$R,2,FALSE))*(1+CQ109)*(1+CR109)*CS109*(1+$E$16+VLOOKUP($E109,武器奇术!$A:$R,8,FALSE))</f>
        <v>917.79800549472</v>
      </c>
      <c r="CW109" s="93">
        <f t="shared" si="102"/>
        <v>0.8135</v>
      </c>
      <c r="CX109" s="92">
        <f>CP109*IF(VLOOKUP($E109,武器奇术!$A:$R,17,FALSE)="破竹",VLOOKUP($E109,武器奇术!$A:$R,4,FALSE),VLOOKUP($E109,武器奇术!$A:$R,2,FALSE))*(1+CQ109)*(1+CR109)*CS109*(1+$E$17+VLOOKUP($E109,武器奇术!$A:$R,10,FALSE))</f>
        <v>1075.358424168</v>
      </c>
      <c r="CY109" s="93">
        <f t="shared" si="103"/>
        <v>0.0986</v>
      </c>
      <c r="CZ109" s="92">
        <f>CO109*IF(VLOOKUP($E109,武器奇术!$A:$R,17,FALSE)="破竹",VLOOKUP($E109,武器奇术!$A:$R,4,FALSE),VLOOKUP($E109,武器奇术!$A:$R,2,FALSE))*(1+CQ109)*(1+CR109)*CS109</f>
        <v>558.27129288</v>
      </c>
      <c r="DA109" s="93">
        <f t="shared" si="80"/>
        <v>0.0879</v>
      </c>
      <c r="DB109" s="101">
        <f t="shared" si="81"/>
        <v>901.731064737072</v>
      </c>
      <c r="DC109" s="99">
        <f>IF(VLOOKUP($E109,武器奇术!$A:$R,18,FALSE)="极乐",0,$B$15)</f>
        <v>66</v>
      </c>
      <c r="DD109" s="91">
        <f t="shared" si="111"/>
        <v>95.9</v>
      </c>
      <c r="DE109" s="91">
        <f>IF(VLOOKUP($E109,武器奇术!$A:$R,18,FALSE)="极乐",0,$C$15)</f>
        <v>125.8</v>
      </c>
      <c r="DF109" s="93">
        <f>IF((IF(VLOOKUP($E109,武器奇术!$A:$R,17,FALSE)="鸣金",$D$7,0)+IF(VLOOKUP($E109,武器奇术!$A:$R,17,FALSE)="裂石",$D$9,0)+IF(VLOOKUP($E109,武器奇术!$A:$R,17,FALSE)="牵丝",$D$11,0)+IF(VLOOKUP($E109,武器奇术!$A:$R,17,FALSE)="破竹",$D$13,0)+$D$15-VLOOKUP($F$7,目标属性!$A:$R,6,FALSE)+IF(VLOOKUP($E109,武器奇术!$A:$V,22,FALSE)=1,4,0)+IF(VLOOKUP($E109,武器奇术!$A:$T,20,FALSE)=1,10,0))&gt;0,(IF(VLOOKUP($E109,武器奇术!$A:$R,17,FALSE)="鸣金",$D$7,0)+IF(VLOOKUP($E109,武器奇术!$A:$R,17,FALSE)="裂石",$D$9,0)+IF(VLOOKUP($E109,武器奇术!$A:$R,17,FALSE)="牵丝",$D$11,0)+IF(VLOOKUP($E109,武器奇术!$A:$R,17,FALSE)="破竹",$D$13,0)+$D$15-VLOOKUP($F$7,目标属性!$A:$R,6,FALSE)+IF(VLOOKUP($E109,武器奇术!$A:$V,22,FALSE)=1,4,0)+IF(VLOOKUP($E109,武器奇术!$A:$T,20,FALSE)=1,10,0))/200,(IF(VLOOKUP($E109,武器奇术!$A:$R,17,FALSE)="鸣金",$D$7,0)+IF(VLOOKUP($E109,武器奇术!$A:$R,17,FALSE)="裂石",$D$9,0)+IF(VLOOKUP($E109,武器奇术!$A:$R,17,FALSE)="牵丝",$D$11,0)+IF(VLOOKUP($E109,武器奇术!$A:$R,17,FALSE)="破竹",$D$13,0)+$D$15-VLOOKUP($F$7,目标属性!$A:$R,6,FALSE)+IF(VLOOKUP($E109,武器奇术!$A:$V,22,FALSE)=1,4,0)+IF(VLOOKUP($E109,武器奇术!$A:$T,20,FALSE)=1,10,0))/100)</f>
        <v>0.028</v>
      </c>
      <c r="DG109" s="120">
        <f>$E$13+IF(期望!$G$5="燕归",6%,0)</f>
        <v>0.208</v>
      </c>
      <c r="DH109" s="91">
        <v>1</v>
      </c>
      <c r="DI109" s="92">
        <f>DC109*IF(VLOOKUP($E109,武器奇术!$A:$R,17,FALSE)="破竹",VLOOKUP($E109,武器奇术!$A:$R,4,FALSE),VLOOKUP($E109,武器奇术!$A:$R,2,FALSE))*(1+DF109)*(1+DG109)*DH109</f>
        <v>43.0292016</v>
      </c>
      <c r="DJ109" s="93">
        <f>(1-IF(VLOOKUP($E109,武器奇术!$A:$R,16,FALSE)="陌刀",1,$N109))*(1-$M109)</f>
        <v>0</v>
      </c>
      <c r="DK109" s="92">
        <f>DD109*IF(VLOOKUP($E109,武器奇术!$A:$R,17,FALSE)="破竹",VLOOKUP($E109,武器奇术!$A:$R,4,FALSE),VLOOKUP($E109,武器奇术!$A:$R,2,FALSE))*(1+DF109)*(1+DG109)*DH109*(1+$E$16+VLOOKUP($E109,武器奇术!$A:$R,8,FALSE))</f>
        <v>102.78737443296</v>
      </c>
      <c r="DL109" s="93">
        <f t="shared" si="104"/>
        <v>0.8135</v>
      </c>
      <c r="DM109" s="92">
        <f>DE109*IF(VLOOKUP($E109,武器奇术!$A:$R,17,FALSE)="破竹",VLOOKUP($E109,武器奇术!$A:$R,4,FALSE),VLOOKUP($E109,武器奇术!$A:$R,2,FALSE))*(1+DF109)*(1+DG109)*DH109*(1+$E$17+VLOOKUP($E109,武器奇术!$A:$R,10,FALSE))</f>
        <v>110.721959208</v>
      </c>
      <c r="DN109" s="93">
        <f t="shared" si="105"/>
        <v>0.0986</v>
      </c>
      <c r="DO109" s="92">
        <f>DD109*IF(VLOOKUP($E109,武器奇术!$A:$R,17,FALSE)="破竹",VLOOKUP($E109,武器奇术!$A:$R,4,FALSE),VLOOKUP($E109,武器奇术!$A:$R,2,FALSE))*(1+DF109)*(1+DG109)*DH109</f>
        <v>62.52273384</v>
      </c>
      <c r="DP109" s="93">
        <f t="shared" si="106"/>
        <v>0.0879</v>
      </c>
      <c r="DQ109" s="101">
        <f t="shared" si="107"/>
        <v>100.030462583658</v>
      </c>
    </row>
    <row r="110" spans="1:121">
      <c r="B110" s="130">
        <v>12345</v>
      </c>
      <c r="C110">
        <v>3.3</v>
      </c>
      <c r="E110" s="105" t="s">
        <v>193</v>
      </c>
      <c r="F110" s="123">
        <f>IF($K$3="×",0,(F105+F106*2+F107*2+F108*2+F109)*0.15/3.5)</f>
        <v>0</v>
      </c>
      <c r="G110" s="107"/>
      <c r="H110" s="131">
        <f>IF(VLOOKUP($E110,武器奇术!$A:$R,18,FALSE)="天工",AE110,(AE110+AT110+BI110+BX110+CM110+DB110+DQ110))*(1+J110)*F110*K110*(1+G110)*(1+$G$21*5%)</f>
        <v>0</v>
      </c>
      <c r="I110" s="93">
        <f t="shared" si="58"/>
        <v>0</v>
      </c>
      <c r="J110" s="93">
        <f>$F$3+VLOOKUP($E110,武器奇术!$A:$R,12,FALSE)+VLOOKUP($E110,武器奇术!$A:$R,14,FALSE)*$G$3+$P110</f>
        <v>0.403</v>
      </c>
      <c r="K110" s="94">
        <f>VLOOKUP($E110,武器奇术!$A:$R,11,FALSE)</f>
        <v>1</v>
      </c>
      <c r="L110" s="109">
        <f>IF(VLOOKUP($E110,武器奇术!$A:$R,15,FALSE)="天工",0%,IF($C$17+VLOOKUP($E110,武器奇术!$A:$R,7,FALSE)&gt;80%,80%,$C$17+VLOOKUP($E110,武器奇术!$A:$R,7,FALSE))+IF($C$19&gt;20%,20%,$C$19))</f>
        <v>0.8135</v>
      </c>
      <c r="M110" s="110">
        <f>IF(VLOOKUP($E110,武器奇术!$A:$R,15,FALSE)="天工",0%,IF($C$18+VLOOKUP($E110,武器奇术!$A:$R,9,FALSE)&gt;40%,40%,$C$18+VLOOKUP($E110,武器奇术!$A:$R,9,FALSE))+IF($C$20&gt;10%,10%,$C$20))</f>
        <v>0.0986</v>
      </c>
      <c r="N110" s="111">
        <f>IF(VLOOKUP($E110,武器奇术!$A:$R,15,FALSE)="天工",100%,MIN($C$16,1))</f>
        <v>1</v>
      </c>
      <c r="O110" s="112" t="str">
        <f>VLOOKUP($E110,武器奇术!$A:$R,16,FALSE)</f>
        <v>N/A</v>
      </c>
      <c r="P110" s="113">
        <f t="shared" si="108"/>
        <v>0</v>
      </c>
      <c r="Q110" s="99">
        <f>$B$5*(1+VLOOKUP($E110,武器奇术!$A:$R,5,FALSE)+IF($G$5="飞隼",0.1,0)+IF($G$5="撼天",0.05,0))-$F$9*IF(VLOOKUP($E110,武器奇术!$A:$S,19,FALSE)=1,0.9,1)+IF($I$5="√",160,0)</f>
        <v>2848.3</v>
      </c>
      <c r="R110" s="91">
        <f t="shared" si="60"/>
        <v>2848.3</v>
      </c>
      <c r="S110" s="91">
        <f>MAX($C$5,$B$5)*(1+VLOOKUP($E110,武器奇术!$A:$R,5,FALSE)+IF($G$5="飞隼",0.1,0)+IF($G$5="撼天",0.05,0))-$F$9*IF(VLOOKUP($E110,武器奇术!$A:$S,19,FALSE)=1,0.9,1)+IF($I$5="√",320,0)</f>
        <v>2848.3</v>
      </c>
      <c r="T110" s="93">
        <f>IF(($D$5+VLOOKUP($E110,武器奇术!$A:$R,13,FALSE)+IF($I$3="√",10,0)-VLOOKUP($F$7,目标属性!$A:$R,5,FALSE))&gt;0,($D$5+VLOOKUP($E110,武器奇术!$A:$R,13,FALSE)+IF($I$3="√",10,0)-VLOOKUP($F$7,目标属性!$A:$R,5,FALSE))/200,($D$5+VLOOKUP($E110,武器奇术!$A:$R,13,FALSE)+IF($I$3="√",10,0)-VLOOKUP($F$7,目标属性!$A:$R,5,FALSE))/100)</f>
        <v>0.2675</v>
      </c>
      <c r="U110" s="100">
        <f>$E$5+IF(VLOOKUP($E110,武器奇术!$A:$R,18,FALSE)="鼠鼠",0.24,0)</f>
        <v>0</v>
      </c>
      <c r="V110" s="91">
        <v>1</v>
      </c>
      <c r="W110" s="92">
        <f>Q110*VLOOKUP($E110,武器奇术!$A:$R,2,FALSE)*(1+T110)*(1+U110)*V110</f>
        <v>7220.4405</v>
      </c>
      <c r="X110" s="93">
        <f>(1-IF(VLOOKUP($E110,武器奇术!$A:$R,16,FALSE)="陌刀",1,$N110))*(1-$M110)</f>
        <v>0</v>
      </c>
      <c r="Y110" s="92">
        <f>R110*VLOOKUP($E110,武器奇术!$A:$R,2,FALSE)*(1+T110)*(1+U110)*V110*(1+$E$16+VLOOKUP($E110,武器奇术!$A:$R,8,FALSE))</f>
        <v>11870.404182</v>
      </c>
      <c r="Z110" s="93">
        <f t="shared" si="61"/>
        <v>0.8135</v>
      </c>
      <c r="AA110" s="92">
        <f>S110*VLOOKUP($E110,武器奇术!$A:$R,2,FALSE)*(1+T110)*(1+U110)*V110*(1+$E$17+VLOOKUP($E110,武器奇术!$A:$R,10,FALSE))</f>
        <v>9747.594675</v>
      </c>
      <c r="AB110" s="93">
        <f t="shared" si="62"/>
        <v>0.0986</v>
      </c>
      <c r="AC110" s="92">
        <f>R110*VLOOKUP($E110,武器奇术!$A:$R,2,FALSE)*(1+T110)*(1+U110)*V110</f>
        <v>7220.4405</v>
      </c>
      <c r="AD110" s="93">
        <f t="shared" si="63"/>
        <v>0.0879</v>
      </c>
      <c r="AE110" s="101">
        <f t="shared" si="64"/>
        <v>11252.363356962</v>
      </c>
      <c r="AF110" s="102">
        <f>VLOOKUP($E110,武器奇术!$A:$R,3,FALSE)*(1+IF(VLOOKUP($E110,武器奇术!$A:$R,15,FALSE)="武器",$E$15,0))</f>
        <v>0</v>
      </c>
      <c r="AG110" s="92">
        <f t="shared" si="65"/>
        <v>0</v>
      </c>
      <c r="AH110" s="92">
        <f>VLOOKUP($E110,武器奇术!$A:$R,3,FALSE)*(1+IF(VLOOKUP($E110,武器奇术!$A:$R,15,FALSE)="武器",$E$15,0))</f>
        <v>0</v>
      </c>
      <c r="AI110" s="93">
        <f>IF(($D$5+VLOOKUP($E110,武器奇术!$A:$R,13,FALSE)+IF($I$3="√",10,0)-VLOOKUP($F$7,目标属性!$A:$R,5,FALSE))&gt;0,($D$5+VLOOKUP($E110,武器奇术!$A:$R,13,FALSE)+IF($I$3="√",10,0)-VLOOKUP($F$7,目标属性!$A:$R,5,FALSE))/200,($D$5+VLOOKUP($E110,武器奇术!$A:$R,13,FALSE)+IF($I$3="√",10,0)-VLOOKUP($F$7,目标属性!$A:$R,5,FALSE))/100)</f>
        <v>0.2675</v>
      </c>
      <c r="AJ110" s="100">
        <f>$E$5+IF(VLOOKUP($E110,武器奇术!$A:$R,18,FALSE)="鼠鼠",0.24,0)</f>
        <v>0</v>
      </c>
      <c r="AK110" s="91">
        <v>1</v>
      </c>
      <c r="AL110" s="92">
        <f t="shared" si="109"/>
        <v>0</v>
      </c>
      <c r="AM110" s="93">
        <f>(1-IF(VLOOKUP($E110,武器奇术!$A:$R,16,FALSE)="陌刀",1,$N110))*(1-$M110)</f>
        <v>0</v>
      </c>
      <c r="AN110" s="92">
        <f>AG110*(1+AI110)*(1+AJ110)*AK110*(1+$E$16+VLOOKUP($E110,武器奇术!$A:$R,8,FALSE))</f>
        <v>0</v>
      </c>
      <c r="AO110" s="93">
        <f t="shared" si="94"/>
        <v>0.8135</v>
      </c>
      <c r="AP110" s="92">
        <f>AH110*(1+AI110)*(1+AJ110)*AK110*(1+$E$17+VLOOKUP($E110,武器奇术!$A:$R,10,FALSE))</f>
        <v>0</v>
      </c>
      <c r="AQ110" s="93">
        <f t="shared" si="95"/>
        <v>0.0986</v>
      </c>
      <c r="AR110" s="92">
        <f t="shared" si="67"/>
        <v>0</v>
      </c>
      <c r="AS110" s="93">
        <f t="shared" si="68"/>
        <v>0.0879</v>
      </c>
      <c r="AT110" s="101">
        <f t="shared" si="69"/>
        <v>0</v>
      </c>
      <c r="AU110" s="99">
        <f>IF(VLOOKUP($E110,武器奇术!$A:$R,18,FALSE)="极乐",0,$B$7*IF($G$5="撼天",1.05,1)+IF(AND(VLOOKUP($E110,武器奇术!$A:$R,15,FALSE)="武器",VLOOKUP($E110,武器奇术!$A:$R,17,FALSE)="鸣金"),$E$3*(1+$E$15),0))</f>
        <v>0</v>
      </c>
      <c r="AV110" s="91">
        <f t="shared" si="70"/>
        <v>0</v>
      </c>
      <c r="AW110" s="91">
        <f>IF(VLOOKUP($E110,武器奇术!$A:$R,18,FALSE)="极乐",0,MAX($C$7*IF($G$5="撼天",1.05,1)+IF(AND(VLOOKUP($E110,武器奇术!$A:$R,15,FALSE)="武器",VLOOKUP($E110,武器奇术!$A:$R,17,FALSE)="鸣金"),$E$3*(1+$E$15),0),AU110))</f>
        <v>0</v>
      </c>
      <c r="AX110" s="93">
        <f>IF(($D$7+IF(VLOOKUP($E110,武器奇术!$A:$R,17,FALSE)="鸣金",$D$15,0)-VLOOKUP($F$7,目标属性!$A:$R,6,FALSE))&gt;0,($D$7+IF(VLOOKUP($E110,武器奇术!$A:$R,17,FALSE)="鸣金",$D$15,0)-VLOOKUP($F$7,目标属性!$A:$R,6,FALSE))/200,($D$7+IF(VLOOKUP($E110,武器奇术!$A:$R,17,FALSE)="鸣金",$D$15,0)-VLOOKUP($F$7,目标属性!$A:$R,6,FALSE))/100)</f>
        <v>-0.24</v>
      </c>
      <c r="AY110" s="100">
        <f t="shared" si="89"/>
        <v>0</v>
      </c>
      <c r="AZ110" s="91">
        <v>1</v>
      </c>
      <c r="BA110" s="92">
        <f>AU110*IF(VLOOKUP($E110,武器奇术!$A:$R,17,FALSE)="鸣金",VLOOKUP($E110,武器奇术!$A:$R,4,FALSE),VLOOKUP($E110,武器奇术!$A:$R,2,FALSE))*(1+AX110)*(1+AY110)*AZ110</f>
        <v>0</v>
      </c>
      <c r="BB110" s="93">
        <f>(1-IF(VLOOKUP($E110,武器奇术!$A:$R,16,FALSE)="陌刀",1,$N110))*(1-$M110)</f>
        <v>0</v>
      </c>
      <c r="BC110" s="92">
        <f>AV110*IF(VLOOKUP($E110,武器奇术!$A:$R,17,FALSE)="鸣金",VLOOKUP($E110,武器奇术!$A:$R,4,FALSE),VLOOKUP($E110,武器奇术!$A:$R,2,FALSE))*(1+AX110)*(1+AY110)*AZ110*(1+$E$16+VLOOKUP($E110,武器奇术!$A:$R,8,FALSE))</f>
        <v>0</v>
      </c>
      <c r="BD110" s="93">
        <f t="shared" si="96"/>
        <v>0.8135</v>
      </c>
      <c r="BE110" s="92">
        <f>AW110*IF(VLOOKUP($E110,武器奇术!$A:$R,17,FALSE)="鸣金",VLOOKUP($E110,武器奇术!$A:$R,4,FALSE),VLOOKUP($E110,武器奇术!$A:$R,2,FALSE))*(1+AX110)*(1+AY110)*AZ110*(1+$E$17+VLOOKUP($E110,武器奇术!$A:$R,10,FALSE))</f>
        <v>0</v>
      </c>
      <c r="BF110" s="93">
        <f t="shared" si="97"/>
        <v>0.0986</v>
      </c>
      <c r="BG110" s="92">
        <f>AV110*IF(VLOOKUP($E110,武器奇术!$A:$R,17,FALSE)="鸣金",VLOOKUP($E110,武器奇术!$A:$R,4,FALSE),VLOOKUP($E110,武器奇术!$A:$R,2,FALSE))*(1+AX110)*(1+AY110)*AZ110</f>
        <v>0</v>
      </c>
      <c r="BH110" s="93">
        <f t="shared" si="71"/>
        <v>0.0879</v>
      </c>
      <c r="BI110" s="101">
        <f t="shared" si="72"/>
        <v>0</v>
      </c>
      <c r="BJ110" s="99">
        <f>IF(VLOOKUP($E110,武器奇术!$A:$R,18,FALSE)="极乐",0,$B$9*IF($G$5="撼天",1.05,1)+IF(AND(VLOOKUP($E110,武器奇术!$A:$R,15,FALSE)="武器",VLOOKUP($E110,武器奇术!$A:$R,17,FALSE)="裂石"),$E$3*(1+$E$15),0))</f>
        <v>0</v>
      </c>
      <c r="BK110" s="91">
        <f t="shared" si="73"/>
        <v>0</v>
      </c>
      <c r="BL110" s="91">
        <f>IF(VLOOKUP($E110,武器奇术!$A:$R,18,FALSE)="极乐",0,MAX($C$9*IF($G$5="撼天",1.05,1)+IF(AND(VLOOKUP($E110,武器奇术!$A:$R,15,FALSE)="武器",VLOOKUP($E110,武器奇术!$A:$R,17,FALSE)="裂石"),$E$3*(1+$E$15),0),BJ110))</f>
        <v>0</v>
      </c>
      <c r="BM110" s="93">
        <f>IF(($D$9+IF(VLOOKUP($E110,武器奇术!$A:$R,17,FALSE)="裂石",$D$15,0)-VLOOKUP($F$7,目标属性!$A:$R,6,FALSE))&gt;0,($D$9+IF(VLOOKUP($E110,武器奇术!$A:$R,17,FALSE)="裂石",$D$15,0)-VLOOKUP($F$7,目标属性!$A:$R,6,FALSE))/200,($D$9+IF(VLOOKUP($E110,武器奇术!$A:$R,17,FALSE)="裂石",$D$15,0)-VLOOKUP($F$7,目标属性!$A:$R,6,FALSE))/100)</f>
        <v>-0.24</v>
      </c>
      <c r="BN110" s="100">
        <f t="shared" si="90"/>
        <v>0</v>
      </c>
      <c r="BO110" s="91">
        <v>1</v>
      </c>
      <c r="BP110" s="92">
        <f>BJ110*IF(VLOOKUP($E110,武器奇术!$A:$R,17,FALSE)="裂石",VLOOKUP($E110,武器奇术!$A:$R,4,FALSE),VLOOKUP($E110,武器奇术!$A:$R,2,FALSE))*(1+BM110)*(1+BN110)*BO110</f>
        <v>0</v>
      </c>
      <c r="BQ110" s="93">
        <f>(1-IF(VLOOKUP($E110,武器奇术!$A:$R,16,FALSE)="陌刀",1,$N110))*(1-$M110)</f>
        <v>0</v>
      </c>
      <c r="BR110" s="92">
        <f>BK110*IF(VLOOKUP($E110,武器奇术!$A:$R,17,FALSE)="裂石",VLOOKUP($E110,武器奇术!$A:$R,4,FALSE),VLOOKUP($E110,武器奇术!$A:$R,2,FALSE))*(1+BM110)*(1+BN110)*BO110*(1+$E$16+VLOOKUP($E110,武器奇术!$A:$R,8,FALSE))</f>
        <v>0</v>
      </c>
      <c r="BS110" s="93">
        <f t="shared" si="98"/>
        <v>0.8135</v>
      </c>
      <c r="BT110" s="92">
        <f>BL110*IF(VLOOKUP($E110,武器奇术!$A:$R,17,FALSE)="裂石",VLOOKUP($E110,武器奇术!$A:$R,4,FALSE),VLOOKUP($E110,武器奇术!$A:$R,2,FALSE))*(1+BM110)*(1+BN110)*BO110*(1+$E$17+VLOOKUP($E110,武器奇术!$A:$R,10,FALSE))</f>
        <v>0</v>
      </c>
      <c r="BU110" s="93">
        <f t="shared" si="99"/>
        <v>0.0986</v>
      </c>
      <c r="BV110" s="92">
        <f>BK110*IF(VLOOKUP($E110,武器奇术!$A:$R,17,FALSE)="裂石",VLOOKUP($E110,武器奇术!$A:$R,4,FALSE),VLOOKUP($E110,武器奇术!$A:$R,2,FALSE))*(1+BM110)*(1+BN110)*BO110</f>
        <v>0</v>
      </c>
      <c r="BW110" s="93">
        <f t="shared" si="74"/>
        <v>0.0879</v>
      </c>
      <c r="BX110" s="101">
        <f t="shared" si="75"/>
        <v>0</v>
      </c>
      <c r="BY110" s="99">
        <f>IF(VLOOKUP($E110,武器奇术!$A:$R,18,FALSE)="极乐",0,$B$11*IF($G$5="撼天",1.05,1)+IF(AND(VLOOKUP($E110,武器奇术!$A:$R,15,FALSE)="武器",VLOOKUP($E110,武器奇术!$A:$R,17,FALSE)="牵丝"),$E$3*(1+$E$15),0))</f>
        <v>0</v>
      </c>
      <c r="BZ110" s="91">
        <f t="shared" si="76"/>
        <v>0</v>
      </c>
      <c r="CA110" s="91">
        <f>IF(VLOOKUP($E110,武器奇术!$A:$R,18,FALSE)="极乐",0,MAX($C$11*IF($G$5="撼天",1.05,1)+IF(AND(VLOOKUP($E110,武器奇术!$A:$R,15,FALSE)="武器",VLOOKUP($E110,武器奇术!$A:$R,17,FALSE)="牵丝"),$E$3*(1+$E$15),0),BY110))</f>
        <v>0</v>
      </c>
      <c r="CB110" s="93">
        <f>IF(($D$11+IF(VLOOKUP($E110,武器奇术!$A:$R,17,FALSE)="牵丝",$D$15,0)-VLOOKUP($F$7,目标属性!$A:$R,6,FALSE))&gt;0,($D$11+IF(VLOOKUP($E110,武器奇术!$A:$R,17,FALSE)="牵丝",$D$15,0)-VLOOKUP($F$7,目标属性!$A:$R,6,FALSE))/200,($D$11+IF(VLOOKUP($E110,武器奇术!$A:$R,17,FALSE)="牵丝",$D$15,0)-VLOOKUP($F$7,目标属性!$A:$R,6,FALSE))/100)</f>
        <v>-0.24</v>
      </c>
      <c r="CC110" s="100">
        <f t="shared" si="91"/>
        <v>0</v>
      </c>
      <c r="CD110" s="91">
        <v>1</v>
      </c>
      <c r="CE110" s="92">
        <f>BY110*IF(VLOOKUP($E110,武器奇术!$A:$R,17,FALSE)="牵丝",VLOOKUP($E110,武器奇术!$A:$R,4,FALSE),VLOOKUP($E110,武器奇术!$A:$R,2,FALSE))*(1+CB110)*(1+CC110)*CD110</f>
        <v>0</v>
      </c>
      <c r="CF110" s="93">
        <f>(1-IF(VLOOKUP($E110,武器奇术!$A:$R,16,FALSE)="陌刀",1,$N110))*(1-$M110)</f>
        <v>0</v>
      </c>
      <c r="CG110" s="92">
        <f>BZ110*IF(VLOOKUP($E110,武器奇术!$A:$R,17,FALSE)="牵丝",VLOOKUP($E110,武器奇术!$A:$R,4,FALSE),VLOOKUP($E110,武器奇术!$A:$R,2,FALSE))*(1+CB110)*(1+CC110)*CD110*(1+$E$16+VLOOKUP($E110,武器奇术!$A:$R,8,FALSE))</f>
        <v>0</v>
      </c>
      <c r="CH110" s="93">
        <f t="shared" si="100"/>
        <v>0.8135</v>
      </c>
      <c r="CI110" s="92">
        <f>CA110*IF(VLOOKUP($E110,武器奇术!$A:$R,17,FALSE)="牵丝",VLOOKUP($E110,武器奇术!$A:$R,4,FALSE),VLOOKUP($E110,武器奇术!$A:$R,2,FALSE))*(1+CB110)*(1+CC110)*CD110*(1+$E$17+VLOOKUP($E110,武器奇术!$A:$R,10,FALSE))</f>
        <v>0</v>
      </c>
      <c r="CJ110" s="93">
        <f t="shared" si="101"/>
        <v>0.0986</v>
      </c>
      <c r="CK110" s="92">
        <f>BZ110*IF(VLOOKUP($E110,武器奇术!$A:$R,17,FALSE)="牵丝",VLOOKUP($E110,武器奇术!$A:$R,4,FALSE),VLOOKUP($E110,武器奇术!$A:$R,2,FALSE))*(1+CB110)*(1+CC110)*CD110</f>
        <v>0</v>
      </c>
      <c r="CL110" s="93">
        <f t="shared" si="77"/>
        <v>0.0879</v>
      </c>
      <c r="CM110" s="101">
        <f t="shared" si="78"/>
        <v>0</v>
      </c>
      <c r="CN110" s="99">
        <f>IF(VLOOKUP($E110,武器奇术!$A:$R,18,FALSE)="极乐",0,$B$13*IF($G$5="撼天",1.05,1)+IF(AND(VLOOKUP($E110,武器奇术!$A:$R,15,FALSE)="武器",VLOOKUP($E110,武器奇术!$A:$R,17,FALSE)="破竹"),$E$3*(1+$E$15),0))</f>
        <v>0</v>
      </c>
      <c r="CO110" s="91">
        <f t="shared" si="79"/>
        <v>0</v>
      </c>
      <c r="CP110" s="91">
        <f>IF(VLOOKUP($E110,武器奇术!$A:$R,18,FALSE)="极乐",0,MAX($C$13*IF($G$5="撼天",1.05,1)+IF(AND(VLOOKUP($E110,武器奇术!$A:$R,15,FALSE)="武器",VLOOKUP($E110,武器奇术!$A:$R,17,FALSE)="破竹"),$E$3*(1+$E$15),0),CN110))</f>
        <v>0</v>
      </c>
      <c r="CQ110" s="93">
        <f>IF(($D$13+IF(VLOOKUP($E110,武器奇术!$A:$R,17,FALSE)="破竹",$D$15,0)-VLOOKUP($F$7,目标属性!$A:$R,6,FALSE)+IF(VLOOKUP($E110,武器奇术!$A:$V,22,FALSE)=1,4,0)+IF(VLOOKUP($E110,武器奇术!$A:$T,20,FALSE)=1,10,0))&gt;0,($D$13+IF(VLOOKUP($E110,武器奇术!$A:$R,17,FALSE)="破竹",$D$15,0)-VLOOKUP($F$7,目标属性!$A:$R,6,FALSE)+IF(VLOOKUP($E110,武器奇术!$A:$V,22,FALSE)=1,4,0)+IF(VLOOKUP($E110,武器奇术!$A:$T,20,FALSE)=1,10,0))/200,($D$13+IF(VLOOKUP($E110,武器奇术!$A:$R,17,FALSE)="破竹",$D$15,0)-VLOOKUP($F$7,目标属性!$A:$R,6,FALSE)+IF(VLOOKUP($E110,武器奇术!$A:$V,22,FALSE)=1,4,0)+IF(VLOOKUP($E110,武器奇术!$A:$T,20,FALSE)=1,10,0))/100)</f>
        <v>0.028</v>
      </c>
      <c r="CR110" s="100">
        <f t="shared" si="83"/>
        <v>0.148</v>
      </c>
      <c r="CS110" s="91">
        <v>1</v>
      </c>
      <c r="CT110" s="92">
        <f>CN110*IF(VLOOKUP($E110,武器奇术!$A:$R,17,FALSE)="破竹",VLOOKUP($E110,武器奇术!$A:$R,4,FALSE),VLOOKUP($E110,武器奇术!$A:$R,2,FALSE))*(1+CQ110)*(1+CR110)*CS110</f>
        <v>0</v>
      </c>
      <c r="CU110" s="93">
        <f>(1-IF(VLOOKUP($E110,武器奇术!$A:$R,16,FALSE)="陌刀",1,$N110))*(1-$M110)</f>
        <v>0</v>
      </c>
      <c r="CV110" s="92">
        <f>CO110*IF(VLOOKUP($E110,武器奇术!$A:$R,17,FALSE)="破竹",VLOOKUP($E110,武器奇术!$A:$R,4,FALSE),VLOOKUP($E110,武器奇术!$A:$R,2,FALSE))*(1+CQ110)*(1+CR110)*CS110*(1+$E$16+VLOOKUP($E110,武器奇术!$A:$R,8,FALSE))</f>
        <v>0</v>
      </c>
      <c r="CW110" s="93">
        <f t="shared" si="102"/>
        <v>0.8135</v>
      </c>
      <c r="CX110" s="92">
        <f>CP110*IF(VLOOKUP($E110,武器奇术!$A:$R,17,FALSE)="破竹",VLOOKUP($E110,武器奇术!$A:$R,4,FALSE),VLOOKUP($E110,武器奇术!$A:$R,2,FALSE))*(1+CQ110)*(1+CR110)*CS110*(1+$E$17+VLOOKUP($E110,武器奇术!$A:$R,10,FALSE))</f>
        <v>0</v>
      </c>
      <c r="CY110" s="93">
        <f t="shared" si="103"/>
        <v>0.0986</v>
      </c>
      <c r="CZ110" s="92">
        <f>CO110*IF(VLOOKUP($E110,武器奇术!$A:$R,17,FALSE)="破竹",VLOOKUP($E110,武器奇术!$A:$R,4,FALSE),VLOOKUP($E110,武器奇术!$A:$R,2,FALSE))*(1+CQ110)*(1+CR110)*CS110</f>
        <v>0</v>
      </c>
      <c r="DA110" s="93">
        <f t="shared" si="80"/>
        <v>0.0879</v>
      </c>
      <c r="DB110" s="101">
        <f t="shared" si="81"/>
        <v>0</v>
      </c>
      <c r="DC110" s="99">
        <f>IF(VLOOKUP($E110,武器奇术!$A:$R,18,FALSE)="极乐",0,$B$15)</f>
        <v>0</v>
      </c>
      <c r="DD110" s="91">
        <f t="shared" si="111"/>
        <v>0</v>
      </c>
      <c r="DE110" s="91">
        <f>IF(VLOOKUP($E110,武器奇术!$A:$R,18,FALSE)="极乐",0,$C$15)</f>
        <v>0</v>
      </c>
      <c r="DF110" s="93">
        <f>IF((IF(VLOOKUP($E110,武器奇术!$A:$R,17,FALSE)="鸣金",$D$7,0)+IF(VLOOKUP($E110,武器奇术!$A:$R,17,FALSE)="裂石",$D$9,0)+IF(VLOOKUP($E110,武器奇术!$A:$R,17,FALSE)="牵丝",$D$11,0)+IF(VLOOKUP($E110,武器奇术!$A:$R,17,FALSE)="破竹",$D$13,0)+$D$15-VLOOKUP($F$7,目标属性!$A:$R,6,FALSE)+IF(VLOOKUP($E110,武器奇术!$A:$V,22,FALSE)=1,4,0)+IF(VLOOKUP($E110,武器奇术!$A:$T,20,FALSE)=1,10,0))&gt;0,(IF(VLOOKUP($E110,武器奇术!$A:$R,17,FALSE)="鸣金",$D$7,0)+IF(VLOOKUP($E110,武器奇术!$A:$R,17,FALSE)="裂石",$D$9,0)+IF(VLOOKUP($E110,武器奇术!$A:$R,17,FALSE)="牵丝",$D$11,0)+IF(VLOOKUP($E110,武器奇术!$A:$R,17,FALSE)="破竹",$D$13,0)+$D$15-VLOOKUP($F$7,目标属性!$A:$R,6,FALSE)+IF(VLOOKUP($E110,武器奇术!$A:$V,22,FALSE)=1,4,0)+IF(VLOOKUP($E110,武器奇术!$A:$T,20,FALSE)=1,10,0))/200,(IF(VLOOKUP($E110,武器奇术!$A:$R,17,FALSE)="鸣金",$D$7,0)+IF(VLOOKUP($E110,武器奇术!$A:$R,17,FALSE)="裂石",$D$9,0)+IF(VLOOKUP($E110,武器奇术!$A:$R,17,FALSE)="牵丝",$D$11,0)+IF(VLOOKUP($E110,武器奇术!$A:$R,17,FALSE)="破竹",$D$13,0)+$D$15-VLOOKUP($F$7,目标属性!$A:$R,6,FALSE)+IF(VLOOKUP($E110,武器奇术!$A:$V,22,FALSE)=1,4,0)+IF(VLOOKUP($E110,武器奇术!$A:$T,20,FALSE)=1,10,0))/100)</f>
        <v>0.028</v>
      </c>
      <c r="DG110" s="100">
        <f t="shared" ref="DG110:DG116" si="114">$E$13</f>
        <v>0.148</v>
      </c>
      <c r="DH110" s="91">
        <v>1</v>
      </c>
      <c r="DI110" s="92">
        <f>DC110*IF(VLOOKUP($E110,武器奇术!$A:$R,17,FALSE)="破竹",VLOOKUP($E110,武器奇术!$A:$R,4,FALSE),VLOOKUP($E110,武器奇术!$A:$R,2,FALSE))*(1+DF110)*(1+DG110)*DH110</f>
        <v>0</v>
      </c>
      <c r="DJ110" s="93">
        <f>(1-IF(VLOOKUP($E110,武器奇术!$A:$R,16,FALSE)="陌刀",1,$N110))*(1-$M110)</f>
        <v>0</v>
      </c>
      <c r="DK110" s="92">
        <f>DD110*IF(VLOOKUP($E110,武器奇术!$A:$R,17,FALSE)="破竹",VLOOKUP($E110,武器奇术!$A:$R,4,FALSE),VLOOKUP($E110,武器奇术!$A:$R,2,FALSE))*(1+DF110)*(1+DG110)*DH110*(1+$E$16+VLOOKUP($E110,武器奇术!$A:$R,8,FALSE))</f>
        <v>0</v>
      </c>
      <c r="DL110" s="93">
        <f t="shared" si="104"/>
        <v>0.8135</v>
      </c>
      <c r="DM110" s="92">
        <f>DE110*IF(VLOOKUP($E110,武器奇术!$A:$R,17,FALSE)="破竹",VLOOKUP($E110,武器奇术!$A:$R,4,FALSE),VLOOKUP($E110,武器奇术!$A:$R,2,FALSE))*(1+DF110)*(1+DG110)*DH110*(1+$E$17+VLOOKUP($E110,武器奇术!$A:$R,10,FALSE))</f>
        <v>0</v>
      </c>
      <c r="DN110" s="93">
        <f t="shared" si="105"/>
        <v>0.0986</v>
      </c>
      <c r="DO110" s="92">
        <f>DD110*IF(VLOOKUP($E110,武器奇术!$A:$R,17,FALSE)="破竹",VLOOKUP($E110,武器奇术!$A:$R,4,FALSE),VLOOKUP($E110,武器奇术!$A:$R,2,FALSE))*(1+DF110)*(1+DG110)*DH110</f>
        <v>0</v>
      </c>
      <c r="DP110" s="93">
        <f t="shared" si="106"/>
        <v>0.0879</v>
      </c>
      <c r="DQ110" s="101">
        <f t="shared" si="107"/>
        <v>0</v>
      </c>
    </row>
    <row r="111" spans="1:121">
      <c r="B111" s="130" t="s">
        <v>158</v>
      </c>
      <c r="C111">
        <v>0.6</v>
      </c>
      <c r="E111" s="105" t="s">
        <v>194</v>
      </c>
      <c r="F111" s="106">
        <v>1</v>
      </c>
      <c r="G111" s="107"/>
      <c r="H111" s="131">
        <f>IF(VLOOKUP($E111,武器奇术!$A:$R,18,FALSE)="天工",AE111,(AE111+AT111+BI111+BX111+CM111+DB111+DQ111))*(1+J111)*F111*K111*(1+G111)*(1+$G$21*5%)</f>
        <v>251344.845756412</v>
      </c>
      <c r="I111" s="93">
        <f t="shared" si="58"/>
        <v>0.0322432001304889</v>
      </c>
      <c r="J111" s="93">
        <f>$F$3+VLOOKUP($E111,武器奇术!$A:$R,12,FALSE)+VLOOKUP($E111,武器奇术!$A:$R,14,FALSE)*$G$3+$P111</f>
        <v>10.323</v>
      </c>
      <c r="K111" s="94">
        <f>VLOOKUP($E111,武器奇术!$A:$R,11,FALSE)</f>
        <v>1</v>
      </c>
      <c r="L111" s="109">
        <f>IF(VLOOKUP($E111,武器奇术!$A:$R,15,FALSE)="天工",0%,IF($C$17+VLOOKUP($E111,武器奇术!$A:$R,7,FALSE)&gt;80%,80%,$C$17+VLOOKUP($E111,武器奇术!$A:$R,7,FALSE))+IF($C$19&gt;20%,20%,$C$19))</f>
        <v>0.8135</v>
      </c>
      <c r="M111" s="110">
        <f>IF(VLOOKUP($E111,武器奇术!$A:$R,15,FALSE)="天工",0%,IF($C$18+VLOOKUP($E111,武器奇术!$A:$R,9,FALSE)&gt;40%,40%,$C$18+VLOOKUP($E111,武器奇术!$A:$R,9,FALSE))+IF($C$20&gt;10%,10%,$C$20))</f>
        <v>0.0986</v>
      </c>
      <c r="N111" s="111">
        <f>IF(VLOOKUP($E111,武器奇术!$A:$R,15,FALSE)="天工",100%,MIN($C$16,1))</f>
        <v>1</v>
      </c>
      <c r="O111" s="112" t="str">
        <f>VLOOKUP($E111,武器奇术!$A:$R,16,FALSE)</f>
        <v>N/A</v>
      </c>
      <c r="P111" s="113">
        <f t="shared" si="108"/>
        <v>0</v>
      </c>
      <c r="Q111" s="99">
        <f>$B$5*(1+VLOOKUP($E111,武器奇术!$A:$R,5,FALSE)+IF($G$5="飞隼",0.1,0)+IF($G$5="撼天",0.05,0))-$F$9*IF(VLOOKUP($E111,武器奇术!$A:$S,19,FALSE)=1,0.9,1)+IF($I$5="√",160,0)</f>
        <v>2848.3</v>
      </c>
      <c r="R111" s="91">
        <f t="shared" si="60"/>
        <v>2848.3</v>
      </c>
      <c r="S111" s="91">
        <f>MAX($C$5,$B$5)*(1+VLOOKUP($E111,武器奇术!$A:$R,5,FALSE)+IF($G$5="飞隼",0.1,0)+IF($G$5="撼天",0.05,0))-$F$9*IF(VLOOKUP($E111,武器奇术!$A:$S,19,FALSE)=1,0.9,1)+IF($I$5="√",320,0)</f>
        <v>2848.3</v>
      </c>
      <c r="T111" s="93">
        <f>IF(($D$5+VLOOKUP($E111,武器奇术!$A:$R,13,FALSE)+IF($I$3="√",10,0)-VLOOKUP($F$7,目标属性!$A:$R,5,FALSE))&gt;0,($D$5+VLOOKUP($E111,武器奇术!$A:$R,13,FALSE)+IF($I$3="√",10,0)-VLOOKUP($F$7,目标属性!$A:$R,5,FALSE))/200,($D$5+VLOOKUP($E111,武器奇术!$A:$R,13,FALSE)+IF($I$3="√",10,0)-VLOOKUP($F$7,目标属性!$A:$R,5,FALSE))/100)</f>
        <v>0.3925</v>
      </c>
      <c r="U111" s="100">
        <f>$E$5+IF(VLOOKUP($E111,武器奇术!$A:$R,18,FALSE)="鼠鼠",0.24,0)</f>
        <v>0</v>
      </c>
      <c r="V111" s="91">
        <v>1</v>
      </c>
      <c r="W111" s="92">
        <f>Q111*VLOOKUP($E111,武器奇术!$A:$R,2,FALSE)*(1+T111)*(1+U111)*V111</f>
        <v>5910.51729905</v>
      </c>
      <c r="X111" s="93">
        <f>(1-IF(VLOOKUP($E111,武器奇术!$A:$R,16,FALSE)="陌刀",1,$N111))*(1-$M111)</f>
        <v>0</v>
      </c>
      <c r="Y111" s="92">
        <f>R111*VLOOKUP($E111,武器奇术!$A:$R,2,FALSE)*(1+T111)*(1+U111)*V111*(1+$E$16+VLOOKUP($E111,武器奇术!$A:$R,8,FALSE))</f>
        <v>11194.5197644007</v>
      </c>
      <c r="Z111" s="93">
        <f t="shared" si="61"/>
        <v>0.8135</v>
      </c>
      <c r="AA111" s="92">
        <f>S111*VLOOKUP($E111,武器奇术!$A:$R,2,FALSE)*(1+T111)*(1+U111)*V111*(1+$E$17+VLOOKUP($E111,武器奇术!$A:$R,10,FALSE))</f>
        <v>7979.1983537175</v>
      </c>
      <c r="AB111" s="93">
        <f t="shared" si="62"/>
        <v>0.0986</v>
      </c>
      <c r="AC111" s="92">
        <f>R111*VLOOKUP($E111,武器奇术!$A:$R,2,FALSE)*(1+T111)*(1+U111)*V111</f>
        <v>5910.51729905</v>
      </c>
      <c r="AD111" s="93">
        <f t="shared" si="63"/>
        <v>0.0879</v>
      </c>
      <c r="AE111" s="101">
        <f t="shared" si="64"/>
        <v>10413.025256603</v>
      </c>
      <c r="AF111" s="102">
        <f>VLOOKUP($E111,武器奇术!$A:$R,3,FALSE)*(1+IF(VLOOKUP($E111,武器奇术!$A:$R,15,FALSE)="武器",$E$15,0))</f>
        <v>358</v>
      </c>
      <c r="AG111" s="92">
        <f t="shared" si="65"/>
        <v>358</v>
      </c>
      <c r="AH111" s="92">
        <f>VLOOKUP($E111,武器奇术!$A:$R,3,FALSE)*(1+IF(VLOOKUP($E111,武器奇术!$A:$R,15,FALSE)="武器",$E$15,0))</f>
        <v>358</v>
      </c>
      <c r="AI111" s="93">
        <f>IF(($D$5+VLOOKUP($E111,武器奇术!$A:$R,13,FALSE)+IF($I$3="√",10,0)-VLOOKUP($F$7,目标属性!$A:$R,5,FALSE))&gt;0,($D$5+VLOOKUP($E111,武器奇术!$A:$R,13,FALSE)+IF($I$3="√",10,0)-VLOOKUP($F$7,目标属性!$A:$R,5,FALSE))/200,($D$5+VLOOKUP($E111,武器奇术!$A:$R,13,FALSE)+IF($I$3="√",10,0)-VLOOKUP($F$7,目标属性!$A:$R,5,FALSE))/100)</f>
        <v>0.3925</v>
      </c>
      <c r="AJ111" s="100">
        <f>$E$5+IF(VLOOKUP($E111,武器奇术!$A:$R,18,FALSE)="鼠鼠",0.24,0)</f>
        <v>0</v>
      </c>
      <c r="AK111" s="91">
        <v>1</v>
      </c>
      <c r="AL111" s="92">
        <f t="shared" si="109"/>
        <v>498.515</v>
      </c>
      <c r="AM111" s="93">
        <f>(1-IF(VLOOKUP($E111,武器奇术!$A:$R,16,FALSE)="陌刀",1,$N111))*(1-$M111)</f>
        <v>0</v>
      </c>
      <c r="AN111" s="92">
        <f>AG111*(1+AI111)*(1+AJ111)*AK111*(1+$E$16+VLOOKUP($E111,武器奇术!$A:$R,8,FALSE))</f>
        <v>944.18741</v>
      </c>
      <c r="AO111" s="93">
        <f t="shared" si="94"/>
        <v>0.8135</v>
      </c>
      <c r="AP111" s="92">
        <f>AH111*(1+AI111)*(1+AJ111)*AK111*(1+$E$17+VLOOKUP($E111,武器奇术!$A:$R,10,FALSE))</f>
        <v>672.99525</v>
      </c>
      <c r="AQ111" s="93">
        <f t="shared" si="95"/>
        <v>0.0986</v>
      </c>
      <c r="AR111" s="92">
        <f t="shared" si="67"/>
        <v>498.515</v>
      </c>
      <c r="AS111" s="93">
        <f t="shared" si="68"/>
        <v>0.0879</v>
      </c>
      <c r="AT111" s="101">
        <f t="shared" si="69"/>
        <v>878.273258185</v>
      </c>
      <c r="AU111" s="99">
        <f>IF(VLOOKUP($E111,武器奇术!$A:$R,18,FALSE)="极乐",0,$B$7*IF($G$5="撼天",1.05,1)+IF(AND(VLOOKUP($E111,武器奇术!$A:$R,15,FALSE)="武器",VLOOKUP($E111,武器奇术!$A:$R,17,FALSE)="鸣金"),$E$3*(1+$E$15),0))</f>
        <v>0</v>
      </c>
      <c r="AV111" s="91">
        <f t="shared" si="70"/>
        <v>0</v>
      </c>
      <c r="AW111" s="91">
        <f>IF(VLOOKUP($E111,武器奇术!$A:$R,18,FALSE)="极乐",0,MAX($C$7*IF($G$5="撼天",1.05,1)+IF(AND(VLOOKUP($E111,武器奇术!$A:$R,15,FALSE)="武器",VLOOKUP($E111,武器奇术!$A:$R,17,FALSE)="鸣金"),$E$3*(1+$E$15),0),AU111))</f>
        <v>0</v>
      </c>
      <c r="AX111" s="93">
        <f>IF(($D$7+IF(VLOOKUP($E111,武器奇术!$A:$R,17,FALSE)="鸣金",$D$15,0)-VLOOKUP($F$7,目标属性!$A:$R,6,FALSE))&gt;0,($D$7+IF(VLOOKUP($E111,武器奇术!$A:$R,17,FALSE)="鸣金",$D$15,0)-VLOOKUP($F$7,目标属性!$A:$R,6,FALSE))/200,($D$7+IF(VLOOKUP($E111,武器奇术!$A:$R,17,FALSE)="鸣金",$D$15,0)-VLOOKUP($F$7,目标属性!$A:$R,6,FALSE))/100)</f>
        <v>-0.24</v>
      </c>
      <c r="AY111" s="100">
        <f t="shared" si="89"/>
        <v>0</v>
      </c>
      <c r="AZ111" s="91">
        <v>1</v>
      </c>
      <c r="BA111" s="92">
        <f>AU111*IF(VLOOKUP($E111,武器奇术!$A:$R,17,FALSE)="鸣金",VLOOKUP($E111,武器奇术!$A:$R,4,FALSE),VLOOKUP($E111,武器奇术!$A:$R,2,FALSE))*(1+AX111)*(1+AY111)*AZ111</f>
        <v>0</v>
      </c>
      <c r="BB111" s="93">
        <f>(1-IF(VLOOKUP($E111,武器奇术!$A:$R,16,FALSE)="陌刀",1,$N111))*(1-$M111)</f>
        <v>0</v>
      </c>
      <c r="BC111" s="92">
        <f>AV111*IF(VLOOKUP($E111,武器奇术!$A:$R,17,FALSE)="鸣金",VLOOKUP($E111,武器奇术!$A:$R,4,FALSE),VLOOKUP($E111,武器奇术!$A:$R,2,FALSE))*(1+AX111)*(1+AY111)*AZ111*(1+$E$16+VLOOKUP($E111,武器奇术!$A:$R,8,FALSE))</f>
        <v>0</v>
      </c>
      <c r="BD111" s="93">
        <f t="shared" si="96"/>
        <v>0.8135</v>
      </c>
      <c r="BE111" s="92">
        <f>AW111*IF(VLOOKUP($E111,武器奇术!$A:$R,17,FALSE)="鸣金",VLOOKUP($E111,武器奇术!$A:$R,4,FALSE),VLOOKUP($E111,武器奇术!$A:$R,2,FALSE))*(1+AX111)*(1+AY111)*AZ111*(1+$E$17+VLOOKUP($E111,武器奇术!$A:$R,10,FALSE))</f>
        <v>0</v>
      </c>
      <c r="BF111" s="93">
        <f t="shared" si="97"/>
        <v>0.0986</v>
      </c>
      <c r="BG111" s="92">
        <f>AV111*IF(VLOOKUP($E111,武器奇术!$A:$R,17,FALSE)="鸣金",VLOOKUP($E111,武器奇术!$A:$R,4,FALSE),VLOOKUP($E111,武器奇术!$A:$R,2,FALSE))*(1+AX111)*(1+AY111)*AZ111</f>
        <v>0</v>
      </c>
      <c r="BH111" s="93">
        <f t="shared" si="71"/>
        <v>0.0879</v>
      </c>
      <c r="BI111" s="101">
        <f t="shared" si="72"/>
        <v>0</v>
      </c>
      <c r="BJ111" s="99">
        <f>IF(VLOOKUP($E111,武器奇术!$A:$R,18,FALSE)="极乐",0,$B$9*IF($G$5="撼天",1.05,1)+IF(AND(VLOOKUP($E111,武器奇术!$A:$R,15,FALSE)="武器",VLOOKUP($E111,武器奇术!$A:$R,17,FALSE)="裂石"),$E$3*(1+$E$15),0))</f>
        <v>0</v>
      </c>
      <c r="BK111" s="91">
        <f t="shared" si="73"/>
        <v>0</v>
      </c>
      <c r="BL111" s="91">
        <f>IF(VLOOKUP($E111,武器奇术!$A:$R,18,FALSE)="极乐",0,MAX($C$9*IF($G$5="撼天",1.05,1)+IF(AND(VLOOKUP($E111,武器奇术!$A:$R,15,FALSE)="武器",VLOOKUP($E111,武器奇术!$A:$R,17,FALSE)="裂石"),$E$3*(1+$E$15),0),BJ111))</f>
        <v>0</v>
      </c>
      <c r="BM111" s="93">
        <f>IF(($D$9+IF(VLOOKUP($E111,武器奇术!$A:$R,17,FALSE)="裂石",$D$15,0)-VLOOKUP($F$7,目标属性!$A:$R,6,FALSE))&gt;0,($D$9+IF(VLOOKUP($E111,武器奇术!$A:$R,17,FALSE)="裂石",$D$15,0)-VLOOKUP($F$7,目标属性!$A:$R,6,FALSE))/200,($D$9+IF(VLOOKUP($E111,武器奇术!$A:$R,17,FALSE)="裂石",$D$15,0)-VLOOKUP($F$7,目标属性!$A:$R,6,FALSE))/100)</f>
        <v>-0.24</v>
      </c>
      <c r="BN111" s="100">
        <f t="shared" si="90"/>
        <v>0</v>
      </c>
      <c r="BO111" s="91">
        <v>1</v>
      </c>
      <c r="BP111" s="92">
        <f>BJ111*IF(VLOOKUP($E111,武器奇术!$A:$R,17,FALSE)="裂石",VLOOKUP($E111,武器奇术!$A:$R,4,FALSE),VLOOKUP($E111,武器奇术!$A:$R,2,FALSE))*(1+BM111)*(1+BN111)*BO111</f>
        <v>0</v>
      </c>
      <c r="BQ111" s="93">
        <f>(1-IF(VLOOKUP($E111,武器奇术!$A:$R,16,FALSE)="陌刀",1,$N111))*(1-$M111)</f>
        <v>0</v>
      </c>
      <c r="BR111" s="92">
        <f>BK111*IF(VLOOKUP($E111,武器奇术!$A:$R,17,FALSE)="裂石",VLOOKUP($E111,武器奇术!$A:$R,4,FALSE),VLOOKUP($E111,武器奇术!$A:$R,2,FALSE))*(1+BM111)*(1+BN111)*BO111*(1+$E$16+VLOOKUP($E111,武器奇术!$A:$R,8,FALSE))</f>
        <v>0</v>
      </c>
      <c r="BS111" s="93">
        <f t="shared" si="98"/>
        <v>0.8135</v>
      </c>
      <c r="BT111" s="92">
        <f>BL111*IF(VLOOKUP($E111,武器奇术!$A:$R,17,FALSE)="裂石",VLOOKUP($E111,武器奇术!$A:$R,4,FALSE),VLOOKUP($E111,武器奇术!$A:$R,2,FALSE))*(1+BM111)*(1+BN111)*BO111*(1+$E$17+VLOOKUP($E111,武器奇术!$A:$R,10,FALSE))</f>
        <v>0</v>
      </c>
      <c r="BU111" s="93">
        <f t="shared" si="99"/>
        <v>0.0986</v>
      </c>
      <c r="BV111" s="92">
        <f>BK111*IF(VLOOKUP($E111,武器奇术!$A:$R,17,FALSE)="裂石",VLOOKUP($E111,武器奇术!$A:$R,4,FALSE),VLOOKUP($E111,武器奇术!$A:$R,2,FALSE))*(1+BM111)*(1+BN111)*BO111</f>
        <v>0</v>
      </c>
      <c r="BW111" s="93">
        <f t="shared" si="74"/>
        <v>0.0879</v>
      </c>
      <c r="BX111" s="101">
        <f t="shared" si="75"/>
        <v>0</v>
      </c>
      <c r="BY111" s="99">
        <f>IF(VLOOKUP($E111,武器奇术!$A:$R,18,FALSE)="极乐",0,$B$11*IF($G$5="撼天",1.05,1)+IF(AND(VLOOKUP($E111,武器奇术!$A:$R,15,FALSE)="武器",VLOOKUP($E111,武器奇术!$A:$R,17,FALSE)="牵丝"),$E$3*(1+$E$15),0))</f>
        <v>0</v>
      </c>
      <c r="BZ111" s="91">
        <f t="shared" si="76"/>
        <v>0</v>
      </c>
      <c r="CA111" s="91">
        <f>IF(VLOOKUP($E111,武器奇术!$A:$R,18,FALSE)="极乐",0,MAX($C$11*IF($G$5="撼天",1.05,1)+IF(AND(VLOOKUP($E111,武器奇术!$A:$R,15,FALSE)="武器",VLOOKUP($E111,武器奇术!$A:$R,17,FALSE)="牵丝"),$E$3*(1+$E$15),0),BY111))</f>
        <v>0</v>
      </c>
      <c r="CB111" s="93">
        <f>IF(($D$11+IF(VLOOKUP($E111,武器奇术!$A:$R,17,FALSE)="牵丝",$D$15,0)-VLOOKUP($F$7,目标属性!$A:$R,6,FALSE))&gt;0,($D$11+IF(VLOOKUP($E111,武器奇术!$A:$R,17,FALSE)="牵丝",$D$15,0)-VLOOKUP($F$7,目标属性!$A:$R,6,FALSE))/200,($D$11+IF(VLOOKUP($E111,武器奇术!$A:$R,17,FALSE)="牵丝",$D$15,0)-VLOOKUP($F$7,目标属性!$A:$R,6,FALSE))/100)</f>
        <v>-0.24</v>
      </c>
      <c r="CC111" s="100">
        <f t="shared" si="91"/>
        <v>0</v>
      </c>
      <c r="CD111" s="91">
        <v>1</v>
      </c>
      <c r="CE111" s="92">
        <f>BY111*IF(VLOOKUP($E111,武器奇术!$A:$R,17,FALSE)="牵丝",VLOOKUP($E111,武器奇术!$A:$R,4,FALSE),VLOOKUP($E111,武器奇术!$A:$R,2,FALSE))*(1+CB111)*(1+CC111)*CD111</f>
        <v>0</v>
      </c>
      <c r="CF111" s="93">
        <f>(1-IF(VLOOKUP($E111,武器奇术!$A:$R,16,FALSE)="陌刀",1,$N111))*(1-$M111)</f>
        <v>0</v>
      </c>
      <c r="CG111" s="92">
        <f>BZ111*IF(VLOOKUP($E111,武器奇术!$A:$R,17,FALSE)="牵丝",VLOOKUP($E111,武器奇术!$A:$R,4,FALSE),VLOOKUP($E111,武器奇术!$A:$R,2,FALSE))*(1+CB111)*(1+CC111)*CD111*(1+$E$16+VLOOKUP($E111,武器奇术!$A:$R,8,FALSE))</f>
        <v>0</v>
      </c>
      <c r="CH111" s="93">
        <f t="shared" si="100"/>
        <v>0.8135</v>
      </c>
      <c r="CI111" s="92">
        <f>CA111*IF(VLOOKUP($E111,武器奇术!$A:$R,17,FALSE)="牵丝",VLOOKUP($E111,武器奇术!$A:$R,4,FALSE),VLOOKUP($E111,武器奇术!$A:$R,2,FALSE))*(1+CB111)*(1+CC111)*CD111*(1+$E$17+VLOOKUP($E111,武器奇术!$A:$R,10,FALSE))</f>
        <v>0</v>
      </c>
      <c r="CJ111" s="93">
        <f t="shared" si="101"/>
        <v>0.0986</v>
      </c>
      <c r="CK111" s="92">
        <f>BZ111*IF(VLOOKUP($E111,武器奇术!$A:$R,17,FALSE)="牵丝",VLOOKUP($E111,武器奇术!$A:$R,4,FALSE),VLOOKUP($E111,武器奇术!$A:$R,2,FALSE))*(1+CB111)*(1+CC111)*CD111</f>
        <v>0</v>
      </c>
      <c r="CL111" s="93">
        <f t="shared" si="77"/>
        <v>0.0879</v>
      </c>
      <c r="CM111" s="101">
        <f t="shared" si="78"/>
        <v>0</v>
      </c>
      <c r="CN111" s="99">
        <f>IF(VLOOKUP($E111,武器奇术!$A:$R,18,FALSE)="极乐",0,$B$13*IF($G$5="撼天",1.05,1)+IF(AND(VLOOKUP($E111,武器奇术!$A:$R,15,FALSE)="武器",VLOOKUP($E111,武器奇术!$A:$R,17,FALSE)="破竹"),$E$3*(1+$E$15),0))</f>
        <v>490.8</v>
      </c>
      <c r="CO111" s="91">
        <f t="shared" si="79"/>
        <v>856.3</v>
      </c>
      <c r="CP111" s="91">
        <f>IF(VLOOKUP($E111,武器奇术!$A:$R,18,FALSE)="极乐",0,MAX($C$13*IF($G$5="撼天",1.05,1)+IF(AND(VLOOKUP($E111,武器奇术!$A:$R,15,FALSE)="武器",VLOOKUP($E111,武器奇术!$A:$R,17,FALSE)="破竹"),$E$3*(1+$E$15),0),CN111))</f>
        <v>1221.8</v>
      </c>
      <c r="CQ111" s="93">
        <f>IF(($D$13+IF(VLOOKUP($E111,武器奇术!$A:$R,17,FALSE)="破竹",$D$15,0)-VLOOKUP($F$7,目标属性!$A:$R,6,FALSE)+IF(VLOOKUP($E111,武器奇术!$A:$V,22,FALSE)=1,4,0)+IF(VLOOKUP($E111,武器奇术!$A:$T,20,FALSE)=1,10,0))&gt;0,($D$13+IF(VLOOKUP($E111,武器奇术!$A:$R,17,FALSE)="破竹",$D$15,0)-VLOOKUP($F$7,目标属性!$A:$R,6,FALSE)+IF(VLOOKUP($E111,武器奇术!$A:$V,22,FALSE)=1,4,0)+IF(VLOOKUP($E111,武器奇术!$A:$T,20,FALSE)=1,10,0))/200,($D$13+IF(VLOOKUP($E111,武器奇术!$A:$R,17,FALSE)="破竹",$D$15,0)-VLOOKUP($F$7,目标属性!$A:$R,6,FALSE)+IF(VLOOKUP($E111,武器奇术!$A:$V,22,FALSE)=1,4,0)+IF(VLOOKUP($E111,武器奇术!$A:$T,20,FALSE)=1,10,0))/100)</f>
        <v>0.028</v>
      </c>
      <c r="CR111" s="100">
        <f t="shared" si="83"/>
        <v>0.148</v>
      </c>
      <c r="CS111" s="91">
        <v>1</v>
      </c>
      <c r="CT111" s="92">
        <f>CN111*IF(VLOOKUP($E111,武器奇术!$A:$R,17,FALSE)="破竹",VLOOKUP($E111,武器奇术!$A:$R,4,FALSE),VLOOKUP($E111,武器奇术!$A:$R,2,FALSE))*(1+CQ111)*(1+CR111)*CS111</f>
        <v>1294.71856347456</v>
      </c>
      <c r="CU111" s="93">
        <f>(1-IF(VLOOKUP($E111,武器奇术!$A:$R,16,FALSE)="陌刀",1,$N111))*(1-$M111)</f>
        <v>0</v>
      </c>
      <c r="CV111" s="92">
        <f>CO111*IF(VLOOKUP($E111,武器奇术!$A:$R,17,FALSE)="破竹",VLOOKUP($E111,武器奇术!$A:$R,4,FALSE),VLOOKUP($E111,武器奇术!$A:$R,2,FALSE))*(1+CQ111)*(1+CR111)*CS111*(1+$E$16+VLOOKUP($E111,武器奇术!$A:$R,8,FALSE))</f>
        <v>4278.3542301972</v>
      </c>
      <c r="CW111" s="93">
        <f t="shared" si="102"/>
        <v>0.8135</v>
      </c>
      <c r="CX111" s="92">
        <f>CP111*IF(VLOOKUP($E111,武器奇术!$A:$R,17,FALSE)="破竹",VLOOKUP($E111,武器奇术!$A:$R,4,FALSE),VLOOKUP($E111,武器奇术!$A:$R,2,FALSE))*(1+CQ111)*(1+CR111)*CS111*(1+$E$17+VLOOKUP($E111,武器奇术!$A:$R,10,FALSE))</f>
        <v>4351.15656102658</v>
      </c>
      <c r="CY111" s="93">
        <f t="shared" si="103"/>
        <v>0.0986</v>
      </c>
      <c r="CZ111" s="92">
        <f>CO111*IF(VLOOKUP($E111,武器奇术!$A:$R,17,FALSE)="破竹",VLOOKUP($E111,武器奇术!$A:$R,4,FALSE),VLOOKUP($E111,武器奇术!$A:$R,2,FALSE))*(1+CQ111)*(1+CR111)*CS111</f>
        <v>2258.89874878416</v>
      </c>
      <c r="DA111" s="93">
        <f t="shared" si="80"/>
        <v>0.0879</v>
      </c>
      <c r="DB111" s="101">
        <f t="shared" si="81"/>
        <v>4108.02240320077</v>
      </c>
      <c r="DC111" s="99">
        <f>IF(VLOOKUP($E111,武器奇术!$A:$R,18,FALSE)="极乐",0,$B$15)</f>
        <v>66</v>
      </c>
      <c r="DD111" s="91">
        <f t="shared" si="111"/>
        <v>95.9</v>
      </c>
      <c r="DE111" s="91">
        <f>IF(VLOOKUP($E111,武器奇术!$A:$R,18,FALSE)="极乐",0,$C$15)</f>
        <v>125.8</v>
      </c>
      <c r="DF111" s="93">
        <f>IF((IF(VLOOKUP($E111,武器奇术!$A:$R,17,FALSE)="鸣金",$D$7,0)+IF(VLOOKUP($E111,武器奇术!$A:$R,17,FALSE)="裂石",$D$9,0)+IF(VLOOKUP($E111,武器奇术!$A:$R,17,FALSE)="牵丝",$D$11,0)+IF(VLOOKUP($E111,武器奇术!$A:$R,17,FALSE)="破竹",$D$13,0)+$D$15-VLOOKUP($F$7,目标属性!$A:$R,6,FALSE)+IF(VLOOKUP($E111,武器奇术!$A:$V,22,FALSE)=1,4,0)+IF(VLOOKUP($E111,武器奇术!$A:$T,20,FALSE)=1,10,0))&gt;0,(IF(VLOOKUP($E111,武器奇术!$A:$R,17,FALSE)="鸣金",$D$7,0)+IF(VLOOKUP($E111,武器奇术!$A:$R,17,FALSE)="裂石",$D$9,0)+IF(VLOOKUP($E111,武器奇术!$A:$R,17,FALSE)="牵丝",$D$11,0)+IF(VLOOKUP($E111,武器奇术!$A:$R,17,FALSE)="破竹",$D$13,0)+$D$15-VLOOKUP($F$7,目标属性!$A:$R,6,FALSE)+IF(VLOOKUP($E111,武器奇术!$A:$V,22,FALSE)=1,4,0)+IF(VLOOKUP($E111,武器奇术!$A:$T,20,FALSE)=1,10,0))/200,(IF(VLOOKUP($E111,武器奇术!$A:$R,17,FALSE)="鸣金",$D$7,0)+IF(VLOOKUP($E111,武器奇术!$A:$R,17,FALSE)="裂石",$D$9,0)+IF(VLOOKUP($E111,武器奇术!$A:$R,17,FALSE)="牵丝",$D$11,0)+IF(VLOOKUP($E111,武器奇术!$A:$R,17,FALSE)="破竹",$D$13,0)+$D$15-VLOOKUP($F$7,目标属性!$A:$R,6,FALSE)+IF(VLOOKUP($E111,武器奇术!$A:$V,22,FALSE)=1,4,0)+IF(VLOOKUP($E111,武器奇术!$A:$T,20,FALSE)=1,10,0))/100)</f>
        <v>0.028</v>
      </c>
      <c r="DG111" s="100">
        <f t="shared" si="114"/>
        <v>0.148</v>
      </c>
      <c r="DH111" s="91">
        <v>1</v>
      </c>
      <c r="DI111" s="92">
        <f>DC111*IF(VLOOKUP($E111,武器奇术!$A:$R,17,FALSE)="破竹",VLOOKUP($E111,武器奇术!$A:$R,4,FALSE),VLOOKUP($E111,武器奇术!$A:$R,2,FALSE))*(1+DF111)*(1+DG111)*DH111</f>
        <v>174.1064082912</v>
      </c>
      <c r="DJ111" s="93">
        <f>(1-IF(VLOOKUP($E111,武器奇术!$A:$R,16,FALSE)="陌刀",1,$N111))*(1-$M111)</f>
        <v>0</v>
      </c>
      <c r="DK111" s="92">
        <f>DD111*IF(VLOOKUP($E111,武器奇术!$A:$R,17,FALSE)="破竹",VLOOKUP($E111,武器奇术!$A:$R,4,FALSE),VLOOKUP($E111,武器奇术!$A:$R,2,FALSE))*(1+DF111)*(1+DG111)*DH111*(1+$E$16+VLOOKUP($E111,武器奇术!$A:$R,8,FALSE))</f>
        <v>479.147694354679</v>
      </c>
      <c r="DL111" s="93">
        <f t="shared" si="104"/>
        <v>0.8135</v>
      </c>
      <c r="DM111" s="92">
        <f>DE111*IF(VLOOKUP($E111,武器奇术!$A:$R,17,FALSE)="破竹",VLOOKUP($E111,武器奇术!$A:$R,4,FALSE),VLOOKUP($E111,武器奇术!$A:$R,2,FALSE))*(1+DF111)*(1+DG111)*DH111*(1+$E$17+VLOOKUP($E111,武器奇术!$A:$R,10,FALSE))</f>
        <v>448.007444243856</v>
      </c>
      <c r="DN111" s="93">
        <f t="shared" si="105"/>
        <v>0.0986</v>
      </c>
      <c r="DO111" s="92">
        <f>DD111*IF(VLOOKUP($E111,武器奇术!$A:$R,17,FALSE)="破竹",VLOOKUP($E111,武器奇术!$A:$R,4,FALSE),VLOOKUP($E111,武器奇术!$A:$R,2,FALSE))*(1+DF111)*(1+DG111)*DH111</f>
        <v>252.98188719888</v>
      </c>
      <c r="DP111" s="93">
        <f t="shared" si="106"/>
        <v>0.0879</v>
      </c>
      <c r="DQ111" s="101">
        <f t="shared" si="107"/>
        <v>456.197291244757</v>
      </c>
    </row>
    <row r="112" spans="1:121">
      <c r="B112" s="130">
        <v>1234</v>
      </c>
      <c r="C112">
        <v>2.4</v>
      </c>
      <c r="D112" t="s">
        <v>162</v>
      </c>
      <c r="E112" s="105" t="s">
        <v>195</v>
      </c>
      <c r="F112" s="106">
        <v>1</v>
      </c>
      <c r="G112" s="107">
        <f t="shared" si="113"/>
        <v>0</v>
      </c>
      <c r="H112" s="131">
        <f>IF(VLOOKUP($E112,武器奇术!$A:$R,18,FALSE)="天工",AE112,(AE112+AT112+BI112+BX112+CM112+DB112+DQ112))*(1+J112)*F112*K112*(1+G112)*(1+$G$21*5%)</f>
        <v>13709.0598078065</v>
      </c>
      <c r="I112" s="93">
        <f t="shared" si="58"/>
        <v>0.00175863546218222</v>
      </c>
      <c r="J112" s="93">
        <f>$F$3+VLOOKUP($E112,武器奇术!$A:$R,12,FALSE)+VLOOKUP($E112,武器奇术!$A:$R,14,FALSE)*$G$3+$P112</f>
        <v>0.713</v>
      </c>
      <c r="K112" s="94">
        <f>VLOOKUP($E112,武器奇术!$A:$R,11,FALSE)</f>
        <v>1</v>
      </c>
      <c r="L112" s="109">
        <f>IF(VLOOKUP($E112,武器奇术!$A:$R,15,FALSE)="天工",0%,IF($C$17+VLOOKUP($E112,武器奇术!$A:$R,7,FALSE)&gt;80%,80%,$C$17+VLOOKUP($E112,武器奇术!$A:$R,7,FALSE))+IF($C$19&gt;20%,20%,$C$19))</f>
        <v>0.8135</v>
      </c>
      <c r="M112" s="110">
        <f>IF(VLOOKUP($E112,武器奇术!$A:$R,15,FALSE)="天工",0%,IF($C$18+VLOOKUP($E112,武器奇术!$A:$R,9,FALSE)&gt;40%,40%,$C$18+VLOOKUP($E112,武器奇术!$A:$R,9,FALSE))+IF($C$20&gt;10%,10%,$C$20))</f>
        <v>0.0986</v>
      </c>
      <c r="N112" s="111">
        <f>IF(VLOOKUP($E112,武器奇术!$A:$R,15,FALSE)="天工",100%,MIN($C$16,1))</f>
        <v>1</v>
      </c>
      <c r="O112" s="112" t="str">
        <f>VLOOKUP($E112,武器奇术!$A:$R,16,FALSE)</f>
        <v>双刀</v>
      </c>
      <c r="P112" s="113">
        <f t="shared" si="108"/>
        <v>0.17</v>
      </c>
      <c r="Q112" s="99">
        <f>$B$5*(1+VLOOKUP($E112,武器奇术!$A:$R,5,FALSE)+IF($G$5="飞隼",0.1,0)+IF($G$5="撼天",0.05,0))-$F$9*IF(VLOOKUP($E112,武器奇术!$A:$S,19,FALSE)=1,0.9,1)+IF($I$5="√",160,0)</f>
        <v>2904.2</v>
      </c>
      <c r="R112" s="91">
        <f t="shared" si="60"/>
        <v>2904.2</v>
      </c>
      <c r="S112" s="91">
        <f>MAX($C$5,$B$5)*(1+VLOOKUP($E112,武器奇术!$A:$R,5,FALSE)+IF($G$5="飞隼",0.1,0)+IF($G$5="撼天",0.05,0))-$F$9*IF(VLOOKUP($E112,武器奇术!$A:$S,19,FALSE)=1,0.9,1)+IF($I$5="√",320,0)</f>
        <v>2904.2</v>
      </c>
      <c r="T112" s="93">
        <f>IF(($D$5+VLOOKUP($E112,武器奇术!$A:$R,13,FALSE)+IF($I$3="√",10,0)-VLOOKUP($F$7,目标属性!$A:$R,5,FALSE))&gt;0,($D$5+VLOOKUP($E112,武器奇术!$A:$R,13,FALSE)+IF($I$3="√",10,0)-VLOOKUP($F$7,目标属性!$A:$R,5,FALSE))/200,($D$5+VLOOKUP($E112,武器奇术!$A:$R,13,FALSE)+IF($I$3="√",10,0)-VLOOKUP($F$7,目标属性!$A:$R,5,FALSE))/100)</f>
        <v>0.3925</v>
      </c>
      <c r="U112" s="120">
        <f>$E$5+IF(VLOOKUP($E112,武器奇术!$A:$R,18,FALSE)="鼠鼠",0.24,0)+IF(期望!$G$5="燕归",6/100,0)</f>
        <v>0.06</v>
      </c>
      <c r="V112" s="91">
        <v>1</v>
      </c>
      <c r="W112" s="92">
        <f>Q112*VLOOKUP($E112,武器奇术!$A:$R,2,FALSE)*(1+T112)*(1+U112)*V112</f>
        <v>1982.8336268455</v>
      </c>
      <c r="X112" s="93">
        <f>(1-IF(VLOOKUP($E112,武器奇术!$A:$R,16,FALSE)="陌刀",1,$N112))*(1-$M112)</f>
        <v>0</v>
      </c>
      <c r="Y112" s="92">
        <f>R112*VLOOKUP($E112,武器奇术!$A:$R,2,FALSE)*(1+T112)*(1+U112)*V112*(1+$E$16+VLOOKUP($E112,武器奇术!$A:$R,8,FALSE))</f>
        <v>3755.48688924538</v>
      </c>
      <c r="Z112" s="93">
        <f t="shared" si="61"/>
        <v>0.8135</v>
      </c>
      <c r="AA112" s="92">
        <f>S112*VLOOKUP($E112,武器奇术!$A:$R,2,FALSE)*(1+T112)*(1+U112)*V112*(1+$E$17+VLOOKUP($E112,武器奇术!$A:$R,10,FALSE))</f>
        <v>2676.82539624143</v>
      </c>
      <c r="AB112" s="93">
        <f t="shared" si="62"/>
        <v>0.0986</v>
      </c>
      <c r="AC112" s="92">
        <f>R112*VLOOKUP($E112,武器奇术!$A:$R,2,FALSE)*(1+T112)*(1+U112)*V112</f>
        <v>1982.8336268455</v>
      </c>
      <c r="AD112" s="93">
        <f t="shared" si="63"/>
        <v>0.0879</v>
      </c>
      <c r="AE112" s="101">
        <f t="shared" si="64"/>
        <v>3493.31464427024</v>
      </c>
      <c r="AF112" s="102">
        <f>VLOOKUP($E112,武器奇术!$A:$R,3,FALSE)*(1+IF(VLOOKUP($E112,武器奇术!$A:$R,15,FALSE)="武器",$E$15,0))</f>
        <v>167.31</v>
      </c>
      <c r="AG112" s="92">
        <f t="shared" si="65"/>
        <v>167.31</v>
      </c>
      <c r="AH112" s="92">
        <f>VLOOKUP($E112,武器奇术!$A:$R,3,FALSE)*(1+IF(VLOOKUP($E112,武器奇术!$A:$R,15,FALSE)="武器",$E$15,0))</f>
        <v>167.31</v>
      </c>
      <c r="AI112" s="93">
        <f>IF(($D$5+VLOOKUP($E112,武器奇术!$A:$R,13,FALSE)+IF($I$3="√",10,0)-VLOOKUP($F$7,目标属性!$A:$R,5,FALSE))&gt;0,($D$5+VLOOKUP($E112,武器奇术!$A:$R,13,FALSE)+IF($I$3="√",10,0)-VLOOKUP($F$7,目标属性!$A:$R,5,FALSE))/200,($D$5+VLOOKUP($E112,武器奇术!$A:$R,13,FALSE)+IF($I$3="√",10,0)-VLOOKUP($F$7,目标属性!$A:$R,5,FALSE))/100)</f>
        <v>0.3925</v>
      </c>
      <c r="AJ112" s="120">
        <f>$E$5+IF(VLOOKUP($E112,武器奇术!$A:$R,18,FALSE)="鼠鼠",0.24,0)+IF(期望!$G$5="燕归",6/100,0)</f>
        <v>0.06</v>
      </c>
      <c r="AK112" s="91">
        <v>1</v>
      </c>
      <c r="AL112" s="92">
        <f t="shared" si="109"/>
        <v>246.9579255</v>
      </c>
      <c r="AM112" s="93">
        <f>(1-IF(VLOOKUP($E112,武器奇术!$A:$R,16,FALSE)="陌刀",1,$N112))*(1-$M112)</f>
        <v>0</v>
      </c>
      <c r="AN112" s="92">
        <f>AG112*(1+AI112)*(1+AJ112)*AK112*(1+$E$16+VLOOKUP($E112,武器奇术!$A:$R,8,FALSE))</f>
        <v>467.738310897</v>
      </c>
      <c r="AO112" s="93">
        <f t="shared" si="94"/>
        <v>0.8135</v>
      </c>
      <c r="AP112" s="92">
        <f>AH112*(1+AI112)*(1+AJ112)*AK112*(1+$E$17+VLOOKUP($E112,武器奇术!$A:$R,10,FALSE))</f>
        <v>333.393199425</v>
      </c>
      <c r="AQ112" s="93">
        <f t="shared" si="95"/>
        <v>0.0986</v>
      </c>
      <c r="AR112" s="92">
        <f t="shared" si="67"/>
        <v>246.9579255</v>
      </c>
      <c r="AS112" s="93">
        <f t="shared" si="68"/>
        <v>0.0879</v>
      </c>
      <c r="AT112" s="101">
        <f t="shared" si="69"/>
        <v>435.085287029464</v>
      </c>
      <c r="AU112" s="99">
        <f>IF(VLOOKUP($E112,武器奇术!$A:$R,18,FALSE)="极乐",0,$B$7*IF($G$5="撼天",1.05,1)+IF(AND(VLOOKUP($E112,武器奇术!$A:$R,15,FALSE)="武器",VLOOKUP($E112,武器奇术!$A:$R,17,FALSE)="鸣金"),$E$3*(1+$E$15),0))</f>
        <v>0</v>
      </c>
      <c r="AV112" s="91">
        <f t="shared" si="70"/>
        <v>0</v>
      </c>
      <c r="AW112" s="91">
        <f>IF(VLOOKUP($E112,武器奇术!$A:$R,18,FALSE)="极乐",0,MAX($C$7*IF($G$5="撼天",1.05,1)+IF(AND(VLOOKUP($E112,武器奇术!$A:$R,15,FALSE)="武器",VLOOKUP($E112,武器奇术!$A:$R,17,FALSE)="鸣金"),$E$3*(1+$E$15),0),AU112))</f>
        <v>0</v>
      </c>
      <c r="AX112" s="93">
        <f>IF(($D$7+IF(VLOOKUP($E112,武器奇术!$A:$R,17,FALSE)="鸣金",$D$15,0)-VLOOKUP($F$7,目标属性!$A:$R,6,FALSE))&gt;0,($D$7+IF(VLOOKUP($E112,武器奇术!$A:$R,17,FALSE)="鸣金",$D$15,0)-VLOOKUP($F$7,目标属性!$A:$R,6,FALSE))/200,($D$7+IF(VLOOKUP($E112,武器奇术!$A:$R,17,FALSE)="鸣金",$D$15,0)-VLOOKUP($F$7,目标属性!$A:$R,6,FALSE))/100)</f>
        <v>-0.24</v>
      </c>
      <c r="AY112" s="100">
        <f t="shared" si="89"/>
        <v>0</v>
      </c>
      <c r="AZ112" s="91">
        <v>1</v>
      </c>
      <c r="BA112" s="92">
        <f>AU112*IF(VLOOKUP($E112,武器奇术!$A:$R,17,FALSE)="鸣金",VLOOKUP($E112,武器奇术!$A:$R,4,FALSE),VLOOKUP($E112,武器奇术!$A:$R,2,FALSE))*(1+AX112)*(1+AY112)*AZ112</f>
        <v>0</v>
      </c>
      <c r="BB112" s="93">
        <f>(1-IF(VLOOKUP($E112,武器奇术!$A:$R,16,FALSE)="陌刀",1,$N112))*(1-$M112)</f>
        <v>0</v>
      </c>
      <c r="BC112" s="92">
        <f>AV112*IF(VLOOKUP($E112,武器奇术!$A:$R,17,FALSE)="鸣金",VLOOKUP($E112,武器奇术!$A:$R,4,FALSE),VLOOKUP($E112,武器奇术!$A:$R,2,FALSE))*(1+AX112)*(1+AY112)*AZ112*(1+$E$16+VLOOKUP($E112,武器奇术!$A:$R,8,FALSE))</f>
        <v>0</v>
      </c>
      <c r="BD112" s="93">
        <f t="shared" si="96"/>
        <v>0.8135</v>
      </c>
      <c r="BE112" s="92">
        <f>AW112*IF(VLOOKUP($E112,武器奇术!$A:$R,17,FALSE)="鸣金",VLOOKUP($E112,武器奇术!$A:$R,4,FALSE),VLOOKUP($E112,武器奇术!$A:$R,2,FALSE))*(1+AX112)*(1+AY112)*AZ112*(1+$E$17+VLOOKUP($E112,武器奇术!$A:$R,10,FALSE))</f>
        <v>0</v>
      </c>
      <c r="BF112" s="93">
        <f t="shared" si="97"/>
        <v>0.0986</v>
      </c>
      <c r="BG112" s="92">
        <f>AV112*IF(VLOOKUP($E112,武器奇术!$A:$R,17,FALSE)="鸣金",VLOOKUP($E112,武器奇术!$A:$R,4,FALSE),VLOOKUP($E112,武器奇术!$A:$R,2,FALSE))*(1+AX112)*(1+AY112)*AZ112</f>
        <v>0</v>
      </c>
      <c r="BH112" s="93">
        <f t="shared" si="71"/>
        <v>0.0879</v>
      </c>
      <c r="BI112" s="101">
        <f t="shared" si="72"/>
        <v>0</v>
      </c>
      <c r="BJ112" s="99">
        <f>IF(VLOOKUP($E112,武器奇术!$A:$R,18,FALSE)="极乐",0,$B$9*IF($G$5="撼天",1.05,1)+IF(AND(VLOOKUP($E112,武器奇术!$A:$R,15,FALSE)="武器",VLOOKUP($E112,武器奇术!$A:$R,17,FALSE)="裂石"),$E$3*(1+$E$15),0))</f>
        <v>0</v>
      </c>
      <c r="BK112" s="91">
        <f t="shared" si="73"/>
        <v>0</v>
      </c>
      <c r="BL112" s="91">
        <f>IF(VLOOKUP($E112,武器奇术!$A:$R,18,FALSE)="极乐",0,MAX($C$9*IF($G$5="撼天",1.05,1)+IF(AND(VLOOKUP($E112,武器奇术!$A:$R,15,FALSE)="武器",VLOOKUP($E112,武器奇术!$A:$R,17,FALSE)="裂石"),$E$3*(1+$E$15),0),BJ112))</f>
        <v>0</v>
      </c>
      <c r="BM112" s="93">
        <f>IF(($D$9+IF(VLOOKUP($E112,武器奇术!$A:$R,17,FALSE)="裂石",$D$15,0)-VLOOKUP($F$7,目标属性!$A:$R,6,FALSE))&gt;0,($D$9+IF(VLOOKUP($E112,武器奇术!$A:$R,17,FALSE)="裂石",$D$15,0)-VLOOKUP($F$7,目标属性!$A:$R,6,FALSE))/200,($D$9+IF(VLOOKUP($E112,武器奇术!$A:$R,17,FALSE)="裂石",$D$15,0)-VLOOKUP($F$7,目标属性!$A:$R,6,FALSE))/100)</f>
        <v>-0.24</v>
      </c>
      <c r="BN112" s="100">
        <f t="shared" si="90"/>
        <v>0</v>
      </c>
      <c r="BO112" s="91">
        <v>1</v>
      </c>
      <c r="BP112" s="92">
        <f>BJ112*IF(VLOOKUP($E112,武器奇术!$A:$R,17,FALSE)="裂石",VLOOKUP($E112,武器奇术!$A:$R,4,FALSE),VLOOKUP($E112,武器奇术!$A:$R,2,FALSE))*(1+BM112)*(1+BN112)*BO112</f>
        <v>0</v>
      </c>
      <c r="BQ112" s="93">
        <f>(1-IF(VLOOKUP($E112,武器奇术!$A:$R,16,FALSE)="陌刀",1,$N112))*(1-$M112)</f>
        <v>0</v>
      </c>
      <c r="BR112" s="92">
        <f>BK112*IF(VLOOKUP($E112,武器奇术!$A:$R,17,FALSE)="裂石",VLOOKUP($E112,武器奇术!$A:$R,4,FALSE),VLOOKUP($E112,武器奇术!$A:$R,2,FALSE))*(1+BM112)*(1+BN112)*BO112*(1+$E$16+VLOOKUP($E112,武器奇术!$A:$R,8,FALSE))</f>
        <v>0</v>
      </c>
      <c r="BS112" s="93">
        <f t="shared" si="98"/>
        <v>0.8135</v>
      </c>
      <c r="BT112" s="92">
        <f>BL112*IF(VLOOKUP($E112,武器奇术!$A:$R,17,FALSE)="裂石",VLOOKUP($E112,武器奇术!$A:$R,4,FALSE),VLOOKUP($E112,武器奇术!$A:$R,2,FALSE))*(1+BM112)*(1+BN112)*BO112*(1+$E$17+VLOOKUP($E112,武器奇术!$A:$R,10,FALSE))</f>
        <v>0</v>
      </c>
      <c r="BU112" s="93">
        <f t="shared" si="99"/>
        <v>0.0986</v>
      </c>
      <c r="BV112" s="92">
        <f>BK112*IF(VLOOKUP($E112,武器奇术!$A:$R,17,FALSE)="裂石",VLOOKUP($E112,武器奇术!$A:$R,4,FALSE),VLOOKUP($E112,武器奇术!$A:$R,2,FALSE))*(1+BM112)*(1+BN112)*BO112</f>
        <v>0</v>
      </c>
      <c r="BW112" s="93">
        <f t="shared" si="74"/>
        <v>0.0879</v>
      </c>
      <c r="BX112" s="101">
        <f t="shared" si="75"/>
        <v>0</v>
      </c>
      <c r="BY112" s="99">
        <f>IF(VLOOKUP($E112,武器奇术!$A:$R,18,FALSE)="极乐",0,$B$11*IF($G$5="撼天",1.05,1)+IF(AND(VLOOKUP($E112,武器奇术!$A:$R,15,FALSE)="武器",VLOOKUP($E112,武器奇术!$A:$R,17,FALSE)="牵丝"),$E$3*(1+$E$15),0))</f>
        <v>0</v>
      </c>
      <c r="BZ112" s="91">
        <f t="shared" si="76"/>
        <v>0</v>
      </c>
      <c r="CA112" s="91">
        <f>IF(VLOOKUP($E112,武器奇术!$A:$R,18,FALSE)="极乐",0,MAX($C$11*IF($G$5="撼天",1.05,1)+IF(AND(VLOOKUP($E112,武器奇术!$A:$R,15,FALSE)="武器",VLOOKUP($E112,武器奇术!$A:$R,17,FALSE)="牵丝"),$E$3*(1+$E$15),0),BY112))</f>
        <v>0</v>
      </c>
      <c r="CB112" s="93">
        <f>IF(($D$11+IF(VLOOKUP($E112,武器奇术!$A:$R,17,FALSE)="牵丝",$D$15,0)-VLOOKUP($F$7,目标属性!$A:$R,6,FALSE))&gt;0,($D$11+IF(VLOOKUP($E112,武器奇术!$A:$R,17,FALSE)="牵丝",$D$15,0)-VLOOKUP($F$7,目标属性!$A:$R,6,FALSE))/200,($D$11+IF(VLOOKUP($E112,武器奇术!$A:$R,17,FALSE)="牵丝",$D$15,0)-VLOOKUP($F$7,目标属性!$A:$R,6,FALSE))/100)</f>
        <v>-0.24</v>
      </c>
      <c r="CC112" s="100">
        <f t="shared" si="91"/>
        <v>0</v>
      </c>
      <c r="CD112" s="91">
        <v>1</v>
      </c>
      <c r="CE112" s="92">
        <f>BY112*IF(VLOOKUP($E112,武器奇术!$A:$R,17,FALSE)="牵丝",VLOOKUP($E112,武器奇术!$A:$R,4,FALSE),VLOOKUP($E112,武器奇术!$A:$R,2,FALSE))*(1+CB112)*(1+CC112)*CD112</f>
        <v>0</v>
      </c>
      <c r="CF112" s="93">
        <f>(1-IF(VLOOKUP($E112,武器奇术!$A:$R,16,FALSE)="陌刀",1,$N112))*(1-$M112)</f>
        <v>0</v>
      </c>
      <c r="CG112" s="92">
        <f>BZ112*IF(VLOOKUP($E112,武器奇术!$A:$R,17,FALSE)="牵丝",VLOOKUP($E112,武器奇术!$A:$R,4,FALSE),VLOOKUP($E112,武器奇术!$A:$R,2,FALSE))*(1+CB112)*(1+CC112)*CD112*(1+$E$16+VLOOKUP($E112,武器奇术!$A:$R,8,FALSE))</f>
        <v>0</v>
      </c>
      <c r="CH112" s="93">
        <f t="shared" si="100"/>
        <v>0.8135</v>
      </c>
      <c r="CI112" s="92">
        <f>CA112*IF(VLOOKUP($E112,武器奇术!$A:$R,17,FALSE)="牵丝",VLOOKUP($E112,武器奇术!$A:$R,4,FALSE),VLOOKUP($E112,武器奇术!$A:$R,2,FALSE))*(1+CB112)*(1+CC112)*CD112*(1+$E$17+VLOOKUP($E112,武器奇术!$A:$R,10,FALSE))</f>
        <v>0</v>
      </c>
      <c r="CJ112" s="93">
        <f t="shared" si="101"/>
        <v>0.0986</v>
      </c>
      <c r="CK112" s="92">
        <f>BZ112*IF(VLOOKUP($E112,武器奇术!$A:$R,17,FALSE)="牵丝",VLOOKUP($E112,武器奇术!$A:$R,4,FALSE),VLOOKUP($E112,武器奇术!$A:$R,2,FALSE))*(1+CB112)*(1+CC112)*CD112</f>
        <v>0</v>
      </c>
      <c r="CL112" s="93">
        <f t="shared" si="77"/>
        <v>0.0879</v>
      </c>
      <c r="CM112" s="101">
        <f t="shared" si="78"/>
        <v>0</v>
      </c>
      <c r="CN112" s="99">
        <f>IF(VLOOKUP($E112,武器奇术!$A:$R,18,FALSE)="极乐",0,$B$13*IF($G$5="撼天",1.05,1)+IF(AND(VLOOKUP($E112,武器奇术!$A:$R,15,FALSE)="武器",VLOOKUP($E112,武器奇术!$A:$R,17,FALSE)="破竹"),$E$3*(1+$E$15),0))</f>
        <v>686.71</v>
      </c>
      <c r="CO112" s="91">
        <f t="shared" si="79"/>
        <v>1052.21</v>
      </c>
      <c r="CP112" s="91">
        <f>IF(VLOOKUP($E112,武器奇术!$A:$R,18,FALSE)="极乐",0,MAX($C$13*IF($G$5="撼天",1.05,1)+IF(AND(VLOOKUP($E112,武器奇术!$A:$R,15,FALSE)="武器",VLOOKUP($E112,武器奇术!$A:$R,17,FALSE)="破竹"),$E$3*(1+$E$15),0),CN112))</f>
        <v>1417.71</v>
      </c>
      <c r="CQ112" s="93">
        <f>IF(($D$13+IF(VLOOKUP($E112,武器奇术!$A:$R,17,FALSE)="破竹",$D$15,0)-VLOOKUP($F$7,目标属性!$A:$R,6,FALSE)+IF(VLOOKUP($E112,武器奇术!$A:$V,22,FALSE)=1,4,0)+IF(VLOOKUP($E112,武器奇术!$A:$T,20,FALSE)=1,10,0))&gt;0,($D$13+IF(VLOOKUP($E112,武器奇术!$A:$R,17,FALSE)="破竹",$D$15,0)-VLOOKUP($F$7,目标属性!$A:$R,6,FALSE)+IF(VLOOKUP($E112,武器奇术!$A:$V,22,FALSE)=1,4,0)+IF(VLOOKUP($E112,武器奇术!$A:$T,20,FALSE)=1,10,0))/200,($D$13+IF(VLOOKUP($E112,武器奇术!$A:$R,17,FALSE)="破竹",$D$15,0)-VLOOKUP($F$7,目标属性!$A:$R,6,FALSE)+IF(VLOOKUP($E112,武器奇术!$A:$V,22,FALSE)=1,4,0)+IF(VLOOKUP($E112,武器奇术!$A:$T,20,FALSE)=1,10,0))/100)</f>
        <v>0.028</v>
      </c>
      <c r="CR112" s="120">
        <f>$E$13+IF(期望!$G$5="燕归",6%,0)</f>
        <v>0.208</v>
      </c>
      <c r="CS112" s="91">
        <v>1</v>
      </c>
      <c r="CT112" s="92">
        <f>CN112*IF(VLOOKUP($E112,武器奇术!$A:$R,17,FALSE)="破竹",VLOOKUP($E112,武器奇术!$A:$R,4,FALSE),VLOOKUP($E112,武器奇术!$A:$R,2,FALSE))*(1+CQ112)*(1+CR112)*CS112</f>
        <v>591.628295793181</v>
      </c>
      <c r="CU112" s="93">
        <f>(1-IF(VLOOKUP($E112,武器奇术!$A:$R,16,FALSE)="陌刀",1,$N112))*(1-$M112)</f>
        <v>0</v>
      </c>
      <c r="CV112" s="92">
        <f>CO112*IF(VLOOKUP($E112,武器奇术!$A:$R,17,FALSE)="破竹",VLOOKUP($E112,武器奇术!$A:$R,4,FALSE),VLOOKUP($E112,武器奇术!$A:$R,2,FALSE))*(1+CQ112)*(1+CR112)*CS112*(1+$E$16+VLOOKUP($E112,武器奇术!$A:$R,8,FALSE))</f>
        <v>1716.95125171722</v>
      </c>
      <c r="CW112" s="93">
        <f t="shared" si="102"/>
        <v>0.8135</v>
      </c>
      <c r="CX112" s="92">
        <f>CP112*IF(VLOOKUP($E112,武器奇术!$A:$R,17,FALSE)="破竹",VLOOKUP($E112,武器奇术!$A:$R,4,FALSE),VLOOKUP($E112,武器奇术!$A:$R,2,FALSE))*(1+CQ112)*(1+CR112)*CS112*(1+$E$17+VLOOKUP($E112,武器奇术!$A:$R,10,FALSE))</f>
        <v>1648.90918169108</v>
      </c>
      <c r="CY112" s="93">
        <f t="shared" si="103"/>
        <v>0.0986</v>
      </c>
      <c r="CZ112" s="92">
        <f>CO112*IF(VLOOKUP($E112,武器奇术!$A:$R,17,FALSE)="破竹",VLOOKUP($E112,武器奇术!$A:$R,4,FALSE),VLOOKUP($E112,武器奇术!$A:$R,2,FALSE))*(1+CQ112)*(1+CR112)*CS112</f>
        <v>906.521252226621</v>
      </c>
      <c r="DA112" s="93">
        <f t="shared" si="80"/>
        <v>0.0879</v>
      </c>
      <c r="DB112" s="101">
        <f t="shared" si="81"/>
        <v>1639.00550665742</v>
      </c>
      <c r="DC112" s="99">
        <f>IF(VLOOKUP($E112,武器奇术!$A:$R,18,FALSE)="极乐",0,$B$15)</f>
        <v>66</v>
      </c>
      <c r="DD112" s="91">
        <f t="shared" si="111"/>
        <v>95.9</v>
      </c>
      <c r="DE112" s="91">
        <f>IF(VLOOKUP($E112,武器奇术!$A:$R,18,FALSE)="极乐",0,$C$15)</f>
        <v>125.8</v>
      </c>
      <c r="DF112" s="93">
        <f>IF((IF(VLOOKUP($E112,武器奇术!$A:$R,17,FALSE)="鸣金",$D$7,0)+IF(VLOOKUP($E112,武器奇术!$A:$R,17,FALSE)="裂石",$D$9,0)+IF(VLOOKUP($E112,武器奇术!$A:$R,17,FALSE)="牵丝",$D$11,0)+IF(VLOOKUP($E112,武器奇术!$A:$R,17,FALSE)="破竹",$D$13,0)+$D$15-VLOOKUP($F$7,目标属性!$A:$R,6,FALSE)+IF(VLOOKUP($E112,武器奇术!$A:$V,22,FALSE)=1,4,0)+IF(VLOOKUP($E112,武器奇术!$A:$T,20,FALSE)=1,10,0))&gt;0,(IF(VLOOKUP($E112,武器奇术!$A:$R,17,FALSE)="鸣金",$D$7,0)+IF(VLOOKUP($E112,武器奇术!$A:$R,17,FALSE)="裂石",$D$9,0)+IF(VLOOKUP($E112,武器奇术!$A:$R,17,FALSE)="牵丝",$D$11,0)+IF(VLOOKUP($E112,武器奇术!$A:$R,17,FALSE)="破竹",$D$13,0)+$D$15-VLOOKUP($F$7,目标属性!$A:$R,6,FALSE)+IF(VLOOKUP($E112,武器奇术!$A:$V,22,FALSE)=1,4,0)+IF(VLOOKUP($E112,武器奇术!$A:$T,20,FALSE)=1,10,0))/200,(IF(VLOOKUP($E112,武器奇术!$A:$R,17,FALSE)="鸣金",$D$7,0)+IF(VLOOKUP($E112,武器奇术!$A:$R,17,FALSE)="裂石",$D$9,0)+IF(VLOOKUP($E112,武器奇术!$A:$R,17,FALSE)="牵丝",$D$11,0)+IF(VLOOKUP($E112,武器奇术!$A:$R,17,FALSE)="破竹",$D$13,0)+$D$15-VLOOKUP($F$7,目标属性!$A:$R,6,FALSE)+IF(VLOOKUP($E112,武器奇术!$A:$V,22,FALSE)=1,4,0)+IF(VLOOKUP($E112,武器奇术!$A:$T,20,FALSE)=1,10,0))/100)</f>
        <v>0.028</v>
      </c>
      <c r="DG112" s="120">
        <f>$E$13+IF(期望!$G$5="燕归",6%,0)</f>
        <v>0.208</v>
      </c>
      <c r="DH112" s="91">
        <v>1</v>
      </c>
      <c r="DI112" s="92">
        <f>DC112*IF(VLOOKUP($E112,武器奇术!$A:$R,17,FALSE)="破竹",VLOOKUP($E112,武器奇术!$A:$R,4,FALSE),VLOOKUP($E112,武器奇术!$A:$R,2,FALSE))*(1+DF112)*(1+DG112)*DH112</f>
        <v>56.86165560768</v>
      </c>
      <c r="DJ112" s="93">
        <f>(1-IF(VLOOKUP($E112,武器奇术!$A:$R,16,FALSE)="陌刀",1,$N112))*(1-$M112)</f>
        <v>0</v>
      </c>
      <c r="DK112" s="92">
        <f>DD112*IF(VLOOKUP($E112,武器奇术!$A:$R,17,FALSE)="破竹",VLOOKUP($E112,武器奇术!$A:$R,4,FALSE),VLOOKUP($E112,武器奇术!$A:$R,2,FALSE))*(1+DF112)*(1+DG112)*DH112*(1+$E$16+VLOOKUP($E112,武器奇术!$A:$R,8,FALSE))</f>
        <v>156.48551623695</v>
      </c>
      <c r="DL112" s="93">
        <f t="shared" si="104"/>
        <v>0.8135</v>
      </c>
      <c r="DM112" s="92">
        <f>DE112*IF(VLOOKUP($E112,武器奇术!$A:$R,17,FALSE)="破竹",VLOOKUP($E112,武器奇术!$A:$R,4,FALSE),VLOOKUP($E112,武器奇术!$A:$R,2,FALSE))*(1+DF112)*(1+DG112)*DH112*(1+$E$17+VLOOKUP($E112,武器奇术!$A:$R,10,FALSE))</f>
        <v>146.315378361398</v>
      </c>
      <c r="DN112" s="93">
        <f t="shared" si="105"/>
        <v>0.0986</v>
      </c>
      <c r="DO112" s="92">
        <f>DD112*IF(VLOOKUP($E112,武器奇术!$A:$R,17,FALSE)="破竹",VLOOKUP($E112,武器奇术!$A:$R,4,FALSE),VLOOKUP($E112,武器奇术!$A:$R,2,FALSE))*(1+DF112)*(1+DG112)*DH112</f>
        <v>82.621708678432</v>
      </c>
      <c r="DP112" s="93">
        <f t="shared" si="106"/>
        <v>0.0879</v>
      </c>
      <c r="DQ112" s="101">
        <f t="shared" si="107"/>
        <v>148.990111958027</v>
      </c>
    </row>
    <row r="113" spans="1:121">
      <c r="B113" s="130">
        <v>5</v>
      </c>
      <c r="C113">
        <v>0.9</v>
      </c>
      <c r="E113" s="105" t="s">
        <v>196</v>
      </c>
      <c r="F113" s="106">
        <v>1</v>
      </c>
      <c r="G113" s="107">
        <f t="shared" si="113"/>
        <v>0</v>
      </c>
      <c r="H113" s="131">
        <f>IF(VLOOKUP($E113,武器奇术!$A:$R,18,FALSE)="天工",AE113,(AE113+AT113+BI113+BX113+CM113+DB113+DQ113))*(1+J113)*F113*K113*(1+G113)*(1+$G$21*5%)</f>
        <v>14703.0161558974</v>
      </c>
      <c r="I113" s="93">
        <f t="shared" si="58"/>
        <v>0.0018861428847276</v>
      </c>
      <c r="J113" s="93">
        <f>$F$3+VLOOKUP($E113,武器奇术!$A:$R,12,FALSE)+VLOOKUP($E113,武器奇术!$A:$R,14,FALSE)*$G$3+$P113</f>
        <v>0.713</v>
      </c>
      <c r="K113" s="94">
        <f>VLOOKUP($E113,武器奇术!$A:$R,11,FALSE)</f>
        <v>1</v>
      </c>
      <c r="L113" s="109">
        <f>IF(VLOOKUP($E113,武器奇术!$A:$R,15,FALSE)="天工",0%,IF($C$17+VLOOKUP($E113,武器奇术!$A:$R,7,FALSE)&gt;80%,80%,$C$17+VLOOKUP($E113,武器奇术!$A:$R,7,FALSE))+IF($C$19&gt;20%,20%,$C$19))</f>
        <v>0.8135</v>
      </c>
      <c r="M113" s="110">
        <f>IF(VLOOKUP($E113,武器奇术!$A:$R,15,FALSE)="天工",0%,IF($C$18+VLOOKUP($E113,武器奇术!$A:$R,9,FALSE)&gt;40%,40%,$C$18+VLOOKUP($E113,武器奇术!$A:$R,9,FALSE))+IF($C$20&gt;10%,10%,$C$20))</f>
        <v>0.0986</v>
      </c>
      <c r="N113" s="111">
        <f>IF(VLOOKUP($E113,武器奇术!$A:$R,15,FALSE)="天工",100%,MIN($C$16,1))</f>
        <v>1</v>
      </c>
      <c r="O113" s="112" t="str">
        <f>VLOOKUP($E113,武器奇术!$A:$R,16,FALSE)</f>
        <v>双刀</v>
      </c>
      <c r="P113" s="113">
        <f t="shared" si="108"/>
        <v>0.17</v>
      </c>
      <c r="Q113" s="99">
        <f>$B$5*(1+VLOOKUP($E113,武器奇术!$A:$R,5,FALSE)+IF($G$5="飞隼",0.1,0)+IF($G$5="撼天",0.05,0))-$F$9*IF(VLOOKUP($E113,武器奇术!$A:$S,19,FALSE)=1,0.9,1)+IF($I$5="√",160,0)</f>
        <v>2904.2</v>
      </c>
      <c r="R113" s="91">
        <f t="shared" si="60"/>
        <v>2904.2</v>
      </c>
      <c r="S113" s="91">
        <f>MAX($C$5,$B$5)*(1+VLOOKUP($E113,武器奇术!$A:$R,5,FALSE)+IF($G$5="飞隼",0.1,0)+IF($G$5="撼天",0.05,0))-$F$9*IF(VLOOKUP($E113,武器奇术!$A:$S,19,FALSE)=1,0.9,1)+IF($I$5="√",320,0)</f>
        <v>2904.2</v>
      </c>
      <c r="T113" s="93">
        <f>IF(($D$5+VLOOKUP($E113,武器奇术!$A:$R,13,FALSE)+IF($I$3="√",10,0)-VLOOKUP($F$7,目标属性!$A:$R,5,FALSE))&gt;0,($D$5+VLOOKUP($E113,武器奇术!$A:$R,13,FALSE)+IF($I$3="√",10,0)-VLOOKUP($F$7,目标属性!$A:$R,5,FALSE))/200,($D$5+VLOOKUP($E113,武器奇术!$A:$R,13,FALSE)+IF($I$3="√",10,0)-VLOOKUP($F$7,目标属性!$A:$R,5,FALSE))/100)</f>
        <v>0.3925</v>
      </c>
      <c r="U113" s="120">
        <f>$E$5+IF(VLOOKUP($E113,武器奇术!$A:$R,18,FALSE)="鼠鼠",0.24,0)+IF(期望!$G$5="燕归",6/100,0)</f>
        <v>0.06</v>
      </c>
      <c r="V113" s="91">
        <v>1</v>
      </c>
      <c r="W113" s="92">
        <f>Q113*VLOOKUP($E113,武器奇术!$A:$R,2,FALSE)*(1+T113)*(1+U113)*V113</f>
        <v>2125.7108180308</v>
      </c>
      <c r="X113" s="93">
        <f>(1-IF(VLOOKUP($E113,武器奇术!$A:$R,16,FALSE)="陌刀",1,$N113))*(1-$M113)</f>
        <v>0</v>
      </c>
      <c r="Y113" s="92">
        <f>R113*VLOOKUP($E113,武器奇术!$A:$R,2,FALSE)*(1+T113)*(1+U113)*V113*(1+$E$16+VLOOKUP($E113,武器奇术!$A:$R,8,FALSE))</f>
        <v>4026.09628935034</v>
      </c>
      <c r="Z113" s="93">
        <f t="shared" si="61"/>
        <v>0.8135</v>
      </c>
      <c r="AA113" s="92">
        <f>S113*VLOOKUP($E113,武器奇术!$A:$R,2,FALSE)*(1+T113)*(1+U113)*V113*(1+$E$17+VLOOKUP($E113,武器奇术!$A:$R,10,FALSE))</f>
        <v>2869.70960434158</v>
      </c>
      <c r="AB113" s="93">
        <f t="shared" si="62"/>
        <v>0.0986</v>
      </c>
      <c r="AC113" s="92">
        <f>R113*VLOOKUP($E113,武器奇术!$A:$R,2,FALSE)*(1+T113)*(1+U113)*V113</f>
        <v>2125.7108180308</v>
      </c>
      <c r="AD113" s="93">
        <f t="shared" si="63"/>
        <v>0.0879</v>
      </c>
      <c r="AE113" s="101">
        <f t="shared" si="64"/>
        <v>3745.03267927949</v>
      </c>
      <c r="AF113" s="102">
        <f>VLOOKUP($E113,武器奇术!$A:$R,3,FALSE)*(1+IF(VLOOKUP($E113,武器奇术!$A:$R,15,FALSE)="武器",$E$15,0))</f>
        <v>180.18</v>
      </c>
      <c r="AG113" s="92">
        <f t="shared" si="65"/>
        <v>180.18</v>
      </c>
      <c r="AH113" s="92">
        <f>VLOOKUP($E113,武器奇术!$A:$R,3,FALSE)*(1+IF(VLOOKUP($E113,武器奇术!$A:$R,15,FALSE)="武器",$E$15,0))</f>
        <v>180.18</v>
      </c>
      <c r="AI113" s="93">
        <f>IF(($D$5+VLOOKUP($E113,武器奇术!$A:$R,13,FALSE)+IF($I$3="√",10,0)-VLOOKUP($F$7,目标属性!$A:$R,5,FALSE))&gt;0,($D$5+VLOOKUP($E113,武器奇术!$A:$R,13,FALSE)+IF($I$3="√",10,0)-VLOOKUP($F$7,目标属性!$A:$R,5,FALSE))/200,($D$5+VLOOKUP($E113,武器奇术!$A:$R,13,FALSE)+IF($I$3="√",10,0)-VLOOKUP($F$7,目标属性!$A:$R,5,FALSE))/100)</f>
        <v>0.3925</v>
      </c>
      <c r="AJ113" s="120">
        <f>$E$5+IF(VLOOKUP($E113,武器奇术!$A:$R,18,FALSE)="鼠鼠",0.24,0)+IF(期望!$G$5="燕归",6/100,0)</f>
        <v>0.06</v>
      </c>
      <c r="AK113" s="91">
        <v>1</v>
      </c>
      <c r="AL113" s="92">
        <f t="shared" si="109"/>
        <v>265.954689</v>
      </c>
      <c r="AM113" s="93">
        <f>(1-IF(VLOOKUP($E113,武器奇术!$A:$R,16,FALSE)="陌刀",1,$N113))*(1-$M113)</f>
        <v>0</v>
      </c>
      <c r="AN113" s="92">
        <f>AG113*(1+AI113)*(1+AJ113)*AK113*(1+$E$16+VLOOKUP($E113,武器奇术!$A:$R,8,FALSE))</f>
        <v>503.718180966</v>
      </c>
      <c r="AO113" s="93">
        <f t="shared" si="94"/>
        <v>0.8135</v>
      </c>
      <c r="AP113" s="92">
        <f>AH113*(1+AI113)*(1+AJ113)*AK113*(1+$E$17+VLOOKUP($E113,武器奇术!$A:$R,10,FALSE))</f>
        <v>359.03883015</v>
      </c>
      <c r="AQ113" s="93">
        <f t="shared" si="95"/>
        <v>0.0986</v>
      </c>
      <c r="AR113" s="92">
        <f t="shared" si="67"/>
        <v>265.954689</v>
      </c>
      <c r="AS113" s="93">
        <f t="shared" si="68"/>
        <v>0.0879</v>
      </c>
      <c r="AT113" s="101">
        <f t="shared" si="69"/>
        <v>468.553386031731</v>
      </c>
      <c r="AU113" s="99">
        <f>IF(VLOOKUP($E113,武器奇术!$A:$R,18,FALSE)="极乐",0,$B$7*IF($G$5="撼天",1.05,1)+IF(AND(VLOOKUP($E113,武器奇术!$A:$R,15,FALSE)="武器",VLOOKUP($E113,武器奇术!$A:$R,17,FALSE)="鸣金"),$E$3*(1+$E$15),0))</f>
        <v>0</v>
      </c>
      <c r="AV113" s="91">
        <f t="shared" si="70"/>
        <v>0</v>
      </c>
      <c r="AW113" s="91">
        <f>IF(VLOOKUP($E113,武器奇术!$A:$R,18,FALSE)="极乐",0,MAX($C$7*IF($G$5="撼天",1.05,1)+IF(AND(VLOOKUP($E113,武器奇术!$A:$R,15,FALSE)="武器",VLOOKUP($E113,武器奇术!$A:$R,17,FALSE)="鸣金"),$E$3*(1+$E$15),0),AU113))</f>
        <v>0</v>
      </c>
      <c r="AX113" s="93">
        <f>IF(($D$7+IF(VLOOKUP($E113,武器奇术!$A:$R,17,FALSE)="鸣金",$D$15,0)-VLOOKUP($F$7,目标属性!$A:$R,6,FALSE))&gt;0,($D$7+IF(VLOOKUP($E113,武器奇术!$A:$R,17,FALSE)="鸣金",$D$15,0)-VLOOKUP($F$7,目标属性!$A:$R,6,FALSE))/200,($D$7+IF(VLOOKUP($E113,武器奇术!$A:$R,17,FALSE)="鸣金",$D$15,0)-VLOOKUP($F$7,目标属性!$A:$R,6,FALSE))/100)</f>
        <v>-0.24</v>
      </c>
      <c r="AY113" s="100">
        <f t="shared" si="89"/>
        <v>0</v>
      </c>
      <c r="AZ113" s="91">
        <v>1</v>
      </c>
      <c r="BA113" s="92">
        <f>AU113*IF(VLOOKUP($E113,武器奇术!$A:$R,17,FALSE)="鸣金",VLOOKUP($E113,武器奇术!$A:$R,4,FALSE),VLOOKUP($E113,武器奇术!$A:$R,2,FALSE))*(1+AX113)*(1+AY113)*AZ113</f>
        <v>0</v>
      </c>
      <c r="BB113" s="93">
        <f>(1-IF(VLOOKUP($E113,武器奇术!$A:$R,16,FALSE)="陌刀",1,$N113))*(1-$M113)</f>
        <v>0</v>
      </c>
      <c r="BC113" s="92">
        <f>AV113*IF(VLOOKUP($E113,武器奇术!$A:$R,17,FALSE)="鸣金",VLOOKUP($E113,武器奇术!$A:$R,4,FALSE),VLOOKUP($E113,武器奇术!$A:$R,2,FALSE))*(1+AX113)*(1+AY113)*AZ113*(1+$E$16+VLOOKUP($E113,武器奇术!$A:$R,8,FALSE))</f>
        <v>0</v>
      </c>
      <c r="BD113" s="93">
        <f t="shared" si="96"/>
        <v>0.8135</v>
      </c>
      <c r="BE113" s="92">
        <f>AW113*IF(VLOOKUP($E113,武器奇术!$A:$R,17,FALSE)="鸣金",VLOOKUP($E113,武器奇术!$A:$R,4,FALSE),VLOOKUP($E113,武器奇术!$A:$R,2,FALSE))*(1+AX113)*(1+AY113)*AZ113*(1+$E$17+VLOOKUP($E113,武器奇术!$A:$R,10,FALSE))</f>
        <v>0</v>
      </c>
      <c r="BF113" s="93">
        <f t="shared" si="97"/>
        <v>0.0986</v>
      </c>
      <c r="BG113" s="92">
        <f>AV113*IF(VLOOKUP($E113,武器奇术!$A:$R,17,FALSE)="鸣金",VLOOKUP($E113,武器奇术!$A:$R,4,FALSE),VLOOKUP($E113,武器奇术!$A:$R,2,FALSE))*(1+AX113)*(1+AY113)*AZ113</f>
        <v>0</v>
      </c>
      <c r="BH113" s="93">
        <f t="shared" si="71"/>
        <v>0.0879</v>
      </c>
      <c r="BI113" s="101">
        <f t="shared" si="72"/>
        <v>0</v>
      </c>
      <c r="BJ113" s="99">
        <f>IF(VLOOKUP($E113,武器奇术!$A:$R,18,FALSE)="极乐",0,$B$9*IF($G$5="撼天",1.05,1)+IF(AND(VLOOKUP($E113,武器奇术!$A:$R,15,FALSE)="武器",VLOOKUP($E113,武器奇术!$A:$R,17,FALSE)="裂石"),$E$3*(1+$E$15),0))</f>
        <v>0</v>
      </c>
      <c r="BK113" s="91">
        <f t="shared" si="73"/>
        <v>0</v>
      </c>
      <c r="BL113" s="91">
        <f>IF(VLOOKUP($E113,武器奇术!$A:$R,18,FALSE)="极乐",0,MAX($C$9*IF($G$5="撼天",1.05,1)+IF(AND(VLOOKUP($E113,武器奇术!$A:$R,15,FALSE)="武器",VLOOKUP($E113,武器奇术!$A:$R,17,FALSE)="裂石"),$E$3*(1+$E$15),0),BJ113))</f>
        <v>0</v>
      </c>
      <c r="BM113" s="93">
        <f>IF(($D$9+IF(VLOOKUP($E113,武器奇术!$A:$R,17,FALSE)="裂石",$D$15,0)-VLOOKUP($F$7,目标属性!$A:$R,6,FALSE))&gt;0,($D$9+IF(VLOOKUP($E113,武器奇术!$A:$R,17,FALSE)="裂石",$D$15,0)-VLOOKUP($F$7,目标属性!$A:$R,6,FALSE))/200,($D$9+IF(VLOOKUP($E113,武器奇术!$A:$R,17,FALSE)="裂石",$D$15,0)-VLOOKUP($F$7,目标属性!$A:$R,6,FALSE))/100)</f>
        <v>-0.24</v>
      </c>
      <c r="BN113" s="100">
        <f t="shared" si="90"/>
        <v>0</v>
      </c>
      <c r="BO113" s="91">
        <v>1</v>
      </c>
      <c r="BP113" s="92">
        <f>BJ113*IF(VLOOKUP($E113,武器奇术!$A:$R,17,FALSE)="裂石",VLOOKUP($E113,武器奇术!$A:$R,4,FALSE),VLOOKUP($E113,武器奇术!$A:$R,2,FALSE))*(1+BM113)*(1+BN113)*BO113</f>
        <v>0</v>
      </c>
      <c r="BQ113" s="93">
        <f>(1-IF(VLOOKUP($E113,武器奇术!$A:$R,16,FALSE)="陌刀",1,$N113))*(1-$M113)</f>
        <v>0</v>
      </c>
      <c r="BR113" s="92">
        <f>BK113*IF(VLOOKUP($E113,武器奇术!$A:$R,17,FALSE)="裂石",VLOOKUP($E113,武器奇术!$A:$R,4,FALSE),VLOOKUP($E113,武器奇术!$A:$R,2,FALSE))*(1+BM113)*(1+BN113)*BO113*(1+$E$16+VLOOKUP($E113,武器奇术!$A:$R,8,FALSE))</f>
        <v>0</v>
      </c>
      <c r="BS113" s="93">
        <f t="shared" si="98"/>
        <v>0.8135</v>
      </c>
      <c r="BT113" s="92">
        <f>BL113*IF(VLOOKUP($E113,武器奇术!$A:$R,17,FALSE)="裂石",VLOOKUP($E113,武器奇术!$A:$R,4,FALSE),VLOOKUP($E113,武器奇术!$A:$R,2,FALSE))*(1+BM113)*(1+BN113)*BO113*(1+$E$17+VLOOKUP($E113,武器奇术!$A:$R,10,FALSE))</f>
        <v>0</v>
      </c>
      <c r="BU113" s="93">
        <f t="shared" si="99"/>
        <v>0.0986</v>
      </c>
      <c r="BV113" s="92">
        <f>BK113*IF(VLOOKUP($E113,武器奇术!$A:$R,17,FALSE)="裂石",VLOOKUP($E113,武器奇术!$A:$R,4,FALSE),VLOOKUP($E113,武器奇术!$A:$R,2,FALSE))*(1+BM113)*(1+BN113)*BO113</f>
        <v>0</v>
      </c>
      <c r="BW113" s="93">
        <f t="shared" si="74"/>
        <v>0.0879</v>
      </c>
      <c r="BX113" s="101">
        <f t="shared" si="75"/>
        <v>0</v>
      </c>
      <c r="BY113" s="99">
        <f>IF(VLOOKUP($E113,武器奇术!$A:$R,18,FALSE)="极乐",0,$B$11*IF($G$5="撼天",1.05,1)+IF(AND(VLOOKUP($E113,武器奇术!$A:$R,15,FALSE)="武器",VLOOKUP($E113,武器奇术!$A:$R,17,FALSE)="牵丝"),$E$3*(1+$E$15),0))</f>
        <v>0</v>
      </c>
      <c r="BZ113" s="91">
        <f t="shared" si="76"/>
        <v>0</v>
      </c>
      <c r="CA113" s="91">
        <f>IF(VLOOKUP($E113,武器奇术!$A:$R,18,FALSE)="极乐",0,MAX($C$11*IF($G$5="撼天",1.05,1)+IF(AND(VLOOKUP($E113,武器奇术!$A:$R,15,FALSE)="武器",VLOOKUP($E113,武器奇术!$A:$R,17,FALSE)="牵丝"),$E$3*(1+$E$15),0),BY113))</f>
        <v>0</v>
      </c>
      <c r="CB113" s="93">
        <f>IF(($D$11+IF(VLOOKUP($E113,武器奇术!$A:$R,17,FALSE)="牵丝",$D$15,0)-VLOOKUP($F$7,目标属性!$A:$R,6,FALSE))&gt;0,($D$11+IF(VLOOKUP($E113,武器奇术!$A:$R,17,FALSE)="牵丝",$D$15,0)-VLOOKUP($F$7,目标属性!$A:$R,6,FALSE))/200,($D$11+IF(VLOOKUP($E113,武器奇术!$A:$R,17,FALSE)="牵丝",$D$15,0)-VLOOKUP($F$7,目标属性!$A:$R,6,FALSE))/100)</f>
        <v>-0.24</v>
      </c>
      <c r="CC113" s="100">
        <f t="shared" si="91"/>
        <v>0</v>
      </c>
      <c r="CD113" s="91">
        <v>1</v>
      </c>
      <c r="CE113" s="92">
        <f>BY113*IF(VLOOKUP($E113,武器奇术!$A:$R,17,FALSE)="牵丝",VLOOKUP($E113,武器奇术!$A:$R,4,FALSE),VLOOKUP($E113,武器奇术!$A:$R,2,FALSE))*(1+CB113)*(1+CC113)*CD113</f>
        <v>0</v>
      </c>
      <c r="CF113" s="93">
        <f>(1-IF(VLOOKUP($E113,武器奇术!$A:$R,16,FALSE)="陌刀",1,$N113))*(1-$M113)</f>
        <v>0</v>
      </c>
      <c r="CG113" s="92">
        <f>BZ113*IF(VLOOKUP($E113,武器奇术!$A:$R,17,FALSE)="牵丝",VLOOKUP($E113,武器奇术!$A:$R,4,FALSE),VLOOKUP($E113,武器奇术!$A:$R,2,FALSE))*(1+CB113)*(1+CC113)*CD113*(1+$E$16+VLOOKUP($E113,武器奇术!$A:$R,8,FALSE))</f>
        <v>0</v>
      </c>
      <c r="CH113" s="93">
        <f t="shared" si="100"/>
        <v>0.8135</v>
      </c>
      <c r="CI113" s="92">
        <f>CA113*IF(VLOOKUP($E113,武器奇术!$A:$R,17,FALSE)="牵丝",VLOOKUP($E113,武器奇术!$A:$R,4,FALSE),VLOOKUP($E113,武器奇术!$A:$R,2,FALSE))*(1+CB113)*(1+CC113)*CD113*(1+$E$17+VLOOKUP($E113,武器奇术!$A:$R,10,FALSE))</f>
        <v>0</v>
      </c>
      <c r="CJ113" s="93">
        <f t="shared" si="101"/>
        <v>0.0986</v>
      </c>
      <c r="CK113" s="92">
        <f>BZ113*IF(VLOOKUP($E113,武器奇术!$A:$R,17,FALSE)="牵丝",VLOOKUP($E113,武器奇术!$A:$R,4,FALSE),VLOOKUP($E113,武器奇术!$A:$R,2,FALSE))*(1+CB113)*(1+CC113)*CD113</f>
        <v>0</v>
      </c>
      <c r="CL113" s="93">
        <f t="shared" si="77"/>
        <v>0.0879</v>
      </c>
      <c r="CM113" s="101">
        <f t="shared" si="78"/>
        <v>0</v>
      </c>
      <c r="CN113" s="99">
        <f>IF(VLOOKUP($E113,武器奇术!$A:$R,18,FALSE)="极乐",0,$B$13*IF($G$5="撼天",1.05,1)+IF(AND(VLOOKUP($E113,武器奇术!$A:$R,15,FALSE)="武器",VLOOKUP($E113,武器奇术!$A:$R,17,FALSE)="破竹"),$E$3*(1+$E$15),0))</f>
        <v>686.71</v>
      </c>
      <c r="CO113" s="91">
        <f t="shared" si="79"/>
        <v>1052.21</v>
      </c>
      <c r="CP113" s="91">
        <f>IF(VLOOKUP($E113,武器奇术!$A:$R,18,FALSE)="极乐",0,MAX($C$13*IF($G$5="撼天",1.05,1)+IF(AND(VLOOKUP($E113,武器奇术!$A:$R,15,FALSE)="武器",VLOOKUP($E113,武器奇术!$A:$R,17,FALSE)="破竹"),$E$3*(1+$E$15),0),CN113))</f>
        <v>1417.71</v>
      </c>
      <c r="CQ113" s="93">
        <f>IF(($D$13+IF(VLOOKUP($E113,武器奇术!$A:$R,17,FALSE)="破竹",$D$15,0)-VLOOKUP($F$7,目标属性!$A:$R,6,FALSE)+IF(VLOOKUP($E113,武器奇术!$A:$V,22,FALSE)=1,4,0)+IF(VLOOKUP($E113,武器奇术!$A:$T,20,FALSE)=1,10,0))&gt;0,($D$13+IF(VLOOKUP($E113,武器奇术!$A:$R,17,FALSE)="破竹",$D$15,0)-VLOOKUP($F$7,目标属性!$A:$R,6,FALSE)+IF(VLOOKUP($E113,武器奇术!$A:$V,22,FALSE)=1,4,0)+IF(VLOOKUP($E113,武器奇术!$A:$T,20,FALSE)=1,10,0))/200,($D$13+IF(VLOOKUP($E113,武器奇术!$A:$R,17,FALSE)="破竹",$D$15,0)-VLOOKUP($F$7,目标属性!$A:$R,6,FALSE)+IF(VLOOKUP($E113,武器奇术!$A:$V,22,FALSE)=1,4,0)+IF(VLOOKUP($E113,武器奇术!$A:$T,20,FALSE)=1,10,0))/100)</f>
        <v>0.028</v>
      </c>
      <c r="CR113" s="120">
        <f>$E$13+IF(期望!$G$5="燕归",6%,0)</f>
        <v>0.208</v>
      </c>
      <c r="CS113" s="91">
        <v>1</v>
      </c>
      <c r="CT113" s="92">
        <f>CN113*IF(VLOOKUP($E113,武器奇术!$A:$R,17,FALSE)="破竹",VLOOKUP($E113,武器奇术!$A:$R,4,FALSE),VLOOKUP($E113,武器奇术!$A:$R,2,FALSE))*(1+CQ113)*(1+CR113)*CS113</f>
        <v>634.403387418627</v>
      </c>
      <c r="CU113" s="93">
        <f>(1-IF(VLOOKUP($E113,武器奇术!$A:$R,16,FALSE)="陌刀",1,$N113))*(1-$M113)</f>
        <v>0</v>
      </c>
      <c r="CV113" s="92">
        <f>CO113*IF(VLOOKUP($E113,武器奇术!$A:$R,17,FALSE)="破竹",VLOOKUP($E113,武器奇术!$A:$R,4,FALSE),VLOOKUP($E113,武器奇术!$A:$R,2,FALSE))*(1+CQ113)*(1+CR113)*CS113*(1+$E$16+VLOOKUP($E113,武器奇术!$A:$R,8,FALSE))</f>
        <v>1841.0878889113</v>
      </c>
      <c r="CW113" s="93">
        <f t="shared" si="102"/>
        <v>0.8135</v>
      </c>
      <c r="CX113" s="92">
        <f>CP113*IF(VLOOKUP($E113,武器奇术!$A:$R,17,FALSE)="破竹",VLOOKUP($E113,武器奇术!$A:$R,4,FALSE),VLOOKUP($E113,武器奇术!$A:$R,2,FALSE))*(1+CQ113)*(1+CR113)*CS113*(1+$E$17+VLOOKUP($E113,武器奇术!$A:$R,10,FALSE))</f>
        <v>1768.12633514774</v>
      </c>
      <c r="CY113" s="93">
        <f t="shared" si="103"/>
        <v>0.0986</v>
      </c>
      <c r="CZ113" s="92">
        <f>CO113*IF(VLOOKUP($E113,武器奇术!$A:$R,17,FALSE)="破竹",VLOOKUP($E113,武器奇术!$A:$R,4,FALSE),VLOOKUP($E113,武器奇术!$A:$R,2,FALSE))*(1+CQ113)*(1+CR113)*CS113</f>
        <v>972.063299319587</v>
      </c>
      <c r="DA113" s="93">
        <f t="shared" si="80"/>
        <v>0.0879</v>
      </c>
      <c r="DB113" s="101">
        <f t="shared" si="81"/>
        <v>1757.5066182851</v>
      </c>
      <c r="DC113" s="99">
        <f>IF(VLOOKUP($E113,武器奇术!$A:$R,18,FALSE)="极乐",0,$B$15)</f>
        <v>66</v>
      </c>
      <c r="DD113" s="91">
        <f t="shared" si="111"/>
        <v>95.9</v>
      </c>
      <c r="DE113" s="91">
        <f>IF(VLOOKUP($E113,武器奇术!$A:$R,18,FALSE)="极乐",0,$C$15)</f>
        <v>125.8</v>
      </c>
      <c r="DF113" s="93">
        <f>IF((IF(VLOOKUP($E113,武器奇术!$A:$R,17,FALSE)="鸣金",$D$7,0)+IF(VLOOKUP($E113,武器奇术!$A:$R,17,FALSE)="裂石",$D$9,0)+IF(VLOOKUP($E113,武器奇术!$A:$R,17,FALSE)="牵丝",$D$11,0)+IF(VLOOKUP($E113,武器奇术!$A:$R,17,FALSE)="破竹",$D$13,0)+$D$15-VLOOKUP($F$7,目标属性!$A:$R,6,FALSE)+IF(VLOOKUP($E113,武器奇术!$A:$V,22,FALSE)=1,4,0)+IF(VLOOKUP($E113,武器奇术!$A:$T,20,FALSE)=1,10,0))&gt;0,(IF(VLOOKUP($E113,武器奇术!$A:$R,17,FALSE)="鸣金",$D$7,0)+IF(VLOOKUP($E113,武器奇术!$A:$R,17,FALSE)="裂石",$D$9,0)+IF(VLOOKUP($E113,武器奇术!$A:$R,17,FALSE)="牵丝",$D$11,0)+IF(VLOOKUP($E113,武器奇术!$A:$R,17,FALSE)="破竹",$D$13,0)+$D$15-VLOOKUP($F$7,目标属性!$A:$R,6,FALSE)+IF(VLOOKUP($E113,武器奇术!$A:$V,22,FALSE)=1,4,0)+IF(VLOOKUP($E113,武器奇术!$A:$T,20,FALSE)=1,10,0))/200,(IF(VLOOKUP($E113,武器奇术!$A:$R,17,FALSE)="鸣金",$D$7,0)+IF(VLOOKUP($E113,武器奇术!$A:$R,17,FALSE)="裂石",$D$9,0)+IF(VLOOKUP($E113,武器奇术!$A:$R,17,FALSE)="牵丝",$D$11,0)+IF(VLOOKUP($E113,武器奇术!$A:$R,17,FALSE)="破竹",$D$13,0)+$D$15-VLOOKUP($F$7,目标属性!$A:$R,6,FALSE)+IF(VLOOKUP($E113,武器奇术!$A:$V,22,FALSE)=1,4,0)+IF(VLOOKUP($E113,武器奇术!$A:$T,20,FALSE)=1,10,0))/100)</f>
        <v>0.028</v>
      </c>
      <c r="DG113" s="120">
        <f>$E$13+IF(期望!$G$5="燕归",6%,0)</f>
        <v>0.208</v>
      </c>
      <c r="DH113" s="91">
        <v>1</v>
      </c>
      <c r="DI113" s="92">
        <f>DC113*IF(VLOOKUP($E113,武器奇术!$A:$R,17,FALSE)="破竹",VLOOKUP($E113,武器奇术!$A:$R,4,FALSE),VLOOKUP($E113,武器奇术!$A:$R,2,FALSE))*(1+DF113)*(1+DG113)*DH113</f>
        <v>60.97278846912</v>
      </c>
      <c r="DJ113" s="93">
        <f>(1-IF(VLOOKUP($E113,武器奇术!$A:$R,16,FALSE)="陌刀",1,$N113))*(1-$M113)</f>
        <v>0</v>
      </c>
      <c r="DK113" s="92">
        <f>DD113*IF(VLOOKUP($E113,武器奇术!$A:$R,17,FALSE)="破竹",VLOOKUP($E113,武器奇术!$A:$R,4,FALSE),VLOOKUP($E113,武器奇术!$A:$R,2,FALSE))*(1+DF113)*(1+DG113)*DH113*(1+$E$16+VLOOKUP($E113,武器奇术!$A:$R,8,FALSE))</f>
        <v>167.799515825352</v>
      </c>
      <c r="DL113" s="93">
        <f t="shared" si="104"/>
        <v>0.8135</v>
      </c>
      <c r="DM113" s="92">
        <f>DE113*IF(VLOOKUP($E113,武器奇术!$A:$R,17,FALSE)="破竹",VLOOKUP($E113,武器奇术!$A:$R,4,FALSE),VLOOKUP($E113,武器奇术!$A:$R,2,FALSE))*(1+DF113)*(1+DG113)*DH113*(1+$E$17+VLOOKUP($E113,武器奇术!$A:$R,10,FALSE))</f>
        <v>156.894070692586</v>
      </c>
      <c r="DN113" s="93">
        <f t="shared" si="105"/>
        <v>0.0986</v>
      </c>
      <c r="DO113" s="92">
        <f>DD113*IF(VLOOKUP($E113,武器奇术!$A:$R,17,FALSE)="破竹",VLOOKUP($E113,武器奇术!$A:$R,4,FALSE),VLOOKUP($E113,武器奇术!$A:$R,2,FALSE))*(1+DF113)*(1+DG113)*DH113</f>
        <v>88.595309305888</v>
      </c>
      <c r="DP113" s="93">
        <f t="shared" si="106"/>
        <v>0.0879</v>
      </c>
      <c r="DQ113" s="101">
        <f t="shared" si="107"/>
        <v>159.7621891822</v>
      </c>
    </row>
    <row r="114" spans="1:121">
      <c r="B114" t="s">
        <v>197</v>
      </c>
      <c r="C114">
        <v>2.5</v>
      </c>
      <c r="E114" s="105" t="s">
        <v>198</v>
      </c>
      <c r="F114" s="106">
        <f>F112+F113+2</f>
        <v>4</v>
      </c>
      <c r="G114" s="107">
        <f>$E$23</f>
        <v>0.32</v>
      </c>
      <c r="H114" s="131">
        <f>IF(VLOOKUP($E114,武器奇术!$A:$R,18,FALSE)="天工",AE114,(AE114+AT114+BI114+BX114+CM114+DB114+DQ114))*(1+J114)*F114*K114*(1+G114)*(1+$G$21*5%)</f>
        <v>80014.7722499229</v>
      </c>
      <c r="I114" s="93">
        <f t="shared" si="58"/>
        <v>0.0102645125158049</v>
      </c>
      <c r="J114" s="93">
        <f>$F$3+VLOOKUP($E114,武器奇术!$A:$R,12,FALSE)+VLOOKUP($E114,武器奇术!$A:$R,14,FALSE)*$G$3+$P114</f>
        <v>1.513</v>
      </c>
      <c r="K114" s="94">
        <f>VLOOKUP($E114,武器奇术!$A:$R,11,FALSE)</f>
        <v>1</v>
      </c>
      <c r="L114" s="109">
        <f>IF(VLOOKUP($E114,武器奇术!$A:$R,15,FALSE)="天工",0%,IF($C$17+VLOOKUP($E114,武器奇术!$A:$R,7,FALSE)&gt;80%,80%,$C$17+VLOOKUP($E114,武器奇术!$A:$R,7,FALSE))+IF($C$19&gt;20%,20%,$C$19))</f>
        <v>0.8135</v>
      </c>
      <c r="M114" s="110">
        <f>IF(VLOOKUP($E114,武器奇术!$A:$R,15,FALSE)="天工",0%,IF($C$18+VLOOKUP($E114,武器奇术!$A:$R,9,FALSE)&gt;40%,40%,$C$18+VLOOKUP($E114,武器奇术!$A:$R,9,FALSE))+IF($C$20&gt;10%,10%,$C$20))</f>
        <v>0.0986</v>
      </c>
      <c r="N114" s="111">
        <f>IF(VLOOKUP($E114,武器奇术!$A:$R,15,FALSE)="天工",100%,MIN($C$16,1))</f>
        <v>1</v>
      </c>
      <c r="O114" s="112" t="str">
        <f>VLOOKUP($E114,武器奇术!$A:$R,16,FALSE)</f>
        <v>绳标</v>
      </c>
      <c r="P114" s="113">
        <f t="shared" si="108"/>
        <v>0.17</v>
      </c>
      <c r="Q114" s="99">
        <f>$B$5*(1+VLOOKUP($E114,武器奇术!$A:$R,5,FALSE)+IF($G$5="飞隼",0.1,0)+IF($G$5="撼天",0.05,0))-$F$9*IF(VLOOKUP($E114,武器奇术!$A:$S,19,FALSE)=1,0.9,1)+IF($I$5="√",160,0)</f>
        <v>2848.3</v>
      </c>
      <c r="R114" s="91">
        <f t="shared" si="60"/>
        <v>2848.3</v>
      </c>
      <c r="S114" s="91">
        <f>MAX($C$5,$B$5)*(1+VLOOKUP($E114,武器奇术!$A:$R,5,FALSE)+IF($G$5="飞隼",0.1,0)+IF($G$5="撼天",0.05,0))-$F$9*IF(VLOOKUP($E114,武器奇术!$A:$S,19,FALSE)=1,0.9,1)+IF($I$5="√",320,0)</f>
        <v>2848.3</v>
      </c>
      <c r="T114" s="93">
        <f>IF(($D$5+VLOOKUP($E114,武器奇术!$A:$R,13,FALSE)+IF($I$3="√",10,0)-VLOOKUP($F$7,目标属性!$A:$R,5,FALSE))&gt;0,($D$5+VLOOKUP($E114,武器奇术!$A:$R,13,FALSE)+IF($I$3="√",10,0)-VLOOKUP($F$7,目标属性!$A:$R,5,FALSE))/200,($D$5+VLOOKUP($E114,武器奇术!$A:$R,13,FALSE)+IF($I$3="√",10,0)-VLOOKUP($F$7,目标属性!$A:$R,5,FALSE))/100)</f>
        <v>0.3925</v>
      </c>
      <c r="U114" s="120">
        <f>$E$5+IF(VLOOKUP($E114,武器奇术!$A:$R,18,FALSE)="鼠鼠",0.24,0)+IF(期望!$G$5="燕归",6/100,0)</f>
        <v>0.3</v>
      </c>
      <c r="V114" s="91">
        <v>1</v>
      </c>
      <c r="W114" s="92">
        <f>Q114*VLOOKUP($E114,武器奇术!$A:$R,2,FALSE)*(1+T114)*(1+U114)*V114</f>
        <v>1804.64727625</v>
      </c>
      <c r="X114" s="93">
        <f>(1-IF(VLOOKUP($E114,武器奇术!$A:$R,16,FALSE)="陌刀",1,$N114))*(1-$M114)</f>
        <v>0</v>
      </c>
      <c r="Y114" s="92">
        <f>R114*VLOOKUP($E114,武器奇术!$A:$R,2,FALSE)*(1+T114)*(1+U114)*V114*(1+$E$16+VLOOKUP($E114,武器奇术!$A:$R,8,FALSE))</f>
        <v>3418.0019412175</v>
      </c>
      <c r="Z114" s="93">
        <f t="shared" si="61"/>
        <v>0.8135</v>
      </c>
      <c r="AA114" s="92">
        <f>S114*VLOOKUP($E114,武器奇术!$A:$R,2,FALSE)*(1+T114)*(1+U114)*V114*(1+$E$17+VLOOKUP($E114,武器奇术!$A:$R,10,FALSE))</f>
        <v>2436.2738229375</v>
      </c>
      <c r="AB114" s="93">
        <f t="shared" si="62"/>
        <v>0.0986</v>
      </c>
      <c r="AC114" s="92">
        <f>R114*VLOOKUP($E114,武器奇术!$A:$R,2,FALSE)*(1+T114)*(1+U114)*V114</f>
        <v>1804.64727625</v>
      </c>
      <c r="AD114" s="93">
        <f t="shared" si="63"/>
        <v>0.0879</v>
      </c>
      <c r="AE114" s="101">
        <f t="shared" si="64"/>
        <v>3179.38967370445</v>
      </c>
      <c r="AF114" s="102">
        <f>VLOOKUP($E114,武器奇术!$A:$R,3,FALSE)*(1+IF(VLOOKUP($E114,武器奇术!$A:$R,15,FALSE)="武器",$E$15,0))</f>
        <v>0</v>
      </c>
      <c r="AG114" s="92">
        <f t="shared" si="65"/>
        <v>0</v>
      </c>
      <c r="AH114" s="92">
        <f>VLOOKUP($E114,武器奇术!$A:$R,3,FALSE)*(1+IF(VLOOKUP($E114,武器奇术!$A:$R,15,FALSE)="武器",$E$15,0))</f>
        <v>0</v>
      </c>
      <c r="AI114" s="93">
        <f>IF(($D$5+VLOOKUP($E114,武器奇术!$A:$R,13,FALSE)+IF($I$3="√",10,0)-VLOOKUP($F$7,目标属性!$A:$R,5,FALSE))&gt;0,($D$5+VLOOKUP($E114,武器奇术!$A:$R,13,FALSE)+IF($I$3="√",10,0)-VLOOKUP($F$7,目标属性!$A:$R,5,FALSE))/200,($D$5+VLOOKUP($E114,武器奇术!$A:$R,13,FALSE)+IF($I$3="√",10,0)-VLOOKUP($F$7,目标属性!$A:$R,5,FALSE))/100)</f>
        <v>0.3925</v>
      </c>
      <c r="AJ114" s="120">
        <f>$E$5+IF(VLOOKUP($E114,武器奇术!$A:$R,18,FALSE)="鼠鼠",0.24,0)+IF(期望!$G$5="燕归",6/100,0)</f>
        <v>0.3</v>
      </c>
      <c r="AK114" s="91">
        <v>1</v>
      </c>
      <c r="AL114" s="92">
        <f t="shared" si="109"/>
        <v>0</v>
      </c>
      <c r="AM114" s="93">
        <f>(1-IF(VLOOKUP($E114,武器奇术!$A:$R,16,FALSE)="陌刀",1,$N114))*(1-$M114)</f>
        <v>0</v>
      </c>
      <c r="AN114" s="92">
        <f>AG114*(1+AI114)*(1+AJ114)*AK114*(1+$E$16+VLOOKUP($E114,武器奇术!$A:$R,8,FALSE))</f>
        <v>0</v>
      </c>
      <c r="AO114" s="93">
        <f t="shared" si="94"/>
        <v>0.8135</v>
      </c>
      <c r="AP114" s="92">
        <f>AH114*(1+AI114)*(1+AJ114)*AK114*(1+$E$17+VLOOKUP($E114,武器奇术!$A:$R,10,FALSE))</f>
        <v>0</v>
      </c>
      <c r="AQ114" s="93">
        <f t="shared" si="95"/>
        <v>0.0986</v>
      </c>
      <c r="AR114" s="92">
        <f t="shared" si="67"/>
        <v>0</v>
      </c>
      <c r="AS114" s="93">
        <f t="shared" si="68"/>
        <v>0.0879</v>
      </c>
      <c r="AT114" s="101">
        <f t="shared" si="69"/>
        <v>0</v>
      </c>
      <c r="AU114" s="99">
        <f>IF(VLOOKUP($E114,武器奇术!$A:$R,18,FALSE)="极乐",0,$B$7*IF($G$5="撼天",1.05,1)+IF(AND(VLOOKUP($E114,武器奇术!$A:$R,15,FALSE)="武器",VLOOKUP($E114,武器奇术!$A:$R,17,FALSE)="鸣金"),$E$3*(1+$E$15),0))</f>
        <v>0</v>
      </c>
      <c r="AV114" s="91">
        <f t="shared" si="70"/>
        <v>0</v>
      </c>
      <c r="AW114" s="91">
        <f>IF(VLOOKUP($E114,武器奇术!$A:$R,18,FALSE)="极乐",0,MAX($C$7*IF($G$5="撼天",1.05,1)+IF(AND(VLOOKUP($E114,武器奇术!$A:$R,15,FALSE)="武器",VLOOKUP($E114,武器奇术!$A:$R,17,FALSE)="鸣金"),$E$3*(1+$E$15),0),AU114))</f>
        <v>0</v>
      </c>
      <c r="AX114" s="93">
        <f>IF(($D$7+IF(VLOOKUP($E114,武器奇术!$A:$R,17,FALSE)="鸣金",$D$15,0)-VLOOKUP($F$7,目标属性!$A:$R,6,FALSE))&gt;0,($D$7+IF(VLOOKUP($E114,武器奇术!$A:$R,17,FALSE)="鸣金",$D$15,0)-VLOOKUP($F$7,目标属性!$A:$R,6,FALSE))/200,($D$7+IF(VLOOKUP($E114,武器奇术!$A:$R,17,FALSE)="鸣金",$D$15,0)-VLOOKUP($F$7,目标属性!$A:$R,6,FALSE))/100)</f>
        <v>-0.24</v>
      </c>
      <c r="AY114" s="100">
        <f t="shared" si="89"/>
        <v>0</v>
      </c>
      <c r="AZ114" s="91">
        <v>1</v>
      </c>
      <c r="BA114" s="92">
        <f>AU114*IF(VLOOKUP($E114,武器奇术!$A:$R,17,FALSE)="鸣金",VLOOKUP($E114,武器奇术!$A:$R,4,FALSE),VLOOKUP($E114,武器奇术!$A:$R,2,FALSE))*(1+AX114)*(1+AY114)*AZ114</f>
        <v>0</v>
      </c>
      <c r="BB114" s="93">
        <f>(1-IF(VLOOKUP($E114,武器奇术!$A:$R,16,FALSE)="陌刀",1,$N114))*(1-$M114)</f>
        <v>0</v>
      </c>
      <c r="BC114" s="92">
        <f>AV114*IF(VLOOKUP($E114,武器奇术!$A:$R,17,FALSE)="鸣金",VLOOKUP($E114,武器奇术!$A:$R,4,FALSE),VLOOKUP($E114,武器奇术!$A:$R,2,FALSE))*(1+AX114)*(1+AY114)*AZ114*(1+$E$16+VLOOKUP($E114,武器奇术!$A:$R,8,FALSE))</f>
        <v>0</v>
      </c>
      <c r="BD114" s="93">
        <f t="shared" si="96"/>
        <v>0.8135</v>
      </c>
      <c r="BE114" s="92">
        <f>AW114*IF(VLOOKUP($E114,武器奇术!$A:$R,17,FALSE)="鸣金",VLOOKUP($E114,武器奇术!$A:$R,4,FALSE),VLOOKUP($E114,武器奇术!$A:$R,2,FALSE))*(1+AX114)*(1+AY114)*AZ114*(1+$E$17+VLOOKUP($E114,武器奇术!$A:$R,10,FALSE))</f>
        <v>0</v>
      </c>
      <c r="BF114" s="93">
        <f t="shared" si="97"/>
        <v>0.0986</v>
      </c>
      <c r="BG114" s="92">
        <f>AV114*IF(VLOOKUP($E114,武器奇术!$A:$R,17,FALSE)="鸣金",VLOOKUP($E114,武器奇术!$A:$R,4,FALSE),VLOOKUP($E114,武器奇术!$A:$R,2,FALSE))*(1+AX114)*(1+AY114)*AZ114</f>
        <v>0</v>
      </c>
      <c r="BH114" s="93">
        <f t="shared" si="71"/>
        <v>0.0879</v>
      </c>
      <c r="BI114" s="101">
        <f t="shared" si="72"/>
        <v>0</v>
      </c>
      <c r="BJ114" s="99">
        <f>IF(VLOOKUP($E114,武器奇术!$A:$R,18,FALSE)="极乐",0,$B$9*IF($G$5="撼天",1.05,1)+IF(AND(VLOOKUP($E114,武器奇术!$A:$R,15,FALSE)="武器",VLOOKUP($E114,武器奇术!$A:$R,17,FALSE)="裂石"),$E$3*(1+$E$15),0))</f>
        <v>0</v>
      </c>
      <c r="BK114" s="91">
        <f t="shared" si="73"/>
        <v>0</v>
      </c>
      <c r="BL114" s="91">
        <f>IF(VLOOKUP($E114,武器奇术!$A:$R,18,FALSE)="极乐",0,MAX($C$9*IF($G$5="撼天",1.05,1)+IF(AND(VLOOKUP($E114,武器奇术!$A:$R,15,FALSE)="武器",VLOOKUP($E114,武器奇术!$A:$R,17,FALSE)="裂石"),$E$3*(1+$E$15),0),BJ114))</f>
        <v>0</v>
      </c>
      <c r="BM114" s="93">
        <f>IF(($D$9+IF(VLOOKUP($E114,武器奇术!$A:$R,17,FALSE)="裂石",$D$15,0)-VLOOKUP($F$7,目标属性!$A:$R,6,FALSE))&gt;0,($D$9+IF(VLOOKUP($E114,武器奇术!$A:$R,17,FALSE)="裂石",$D$15,0)-VLOOKUP($F$7,目标属性!$A:$R,6,FALSE))/200,($D$9+IF(VLOOKUP($E114,武器奇术!$A:$R,17,FALSE)="裂石",$D$15,0)-VLOOKUP($F$7,目标属性!$A:$R,6,FALSE))/100)</f>
        <v>-0.24</v>
      </c>
      <c r="BN114" s="100">
        <f t="shared" si="90"/>
        <v>0</v>
      </c>
      <c r="BO114" s="91">
        <v>1</v>
      </c>
      <c r="BP114" s="92">
        <f>BJ114*IF(VLOOKUP($E114,武器奇术!$A:$R,17,FALSE)="裂石",VLOOKUP($E114,武器奇术!$A:$R,4,FALSE),VLOOKUP($E114,武器奇术!$A:$R,2,FALSE))*(1+BM114)*(1+BN114)*BO114</f>
        <v>0</v>
      </c>
      <c r="BQ114" s="93">
        <f>(1-IF(VLOOKUP($E114,武器奇术!$A:$R,16,FALSE)="陌刀",1,$N114))*(1-$M114)</f>
        <v>0</v>
      </c>
      <c r="BR114" s="92">
        <f>BK114*IF(VLOOKUP($E114,武器奇术!$A:$R,17,FALSE)="裂石",VLOOKUP($E114,武器奇术!$A:$R,4,FALSE),VLOOKUP($E114,武器奇术!$A:$R,2,FALSE))*(1+BM114)*(1+BN114)*BO114*(1+$E$16+VLOOKUP($E114,武器奇术!$A:$R,8,FALSE))</f>
        <v>0</v>
      </c>
      <c r="BS114" s="93">
        <f t="shared" si="98"/>
        <v>0.8135</v>
      </c>
      <c r="BT114" s="92">
        <f>BL114*IF(VLOOKUP($E114,武器奇术!$A:$R,17,FALSE)="裂石",VLOOKUP($E114,武器奇术!$A:$R,4,FALSE),VLOOKUP($E114,武器奇术!$A:$R,2,FALSE))*(1+BM114)*(1+BN114)*BO114*(1+$E$17+VLOOKUP($E114,武器奇术!$A:$R,10,FALSE))</f>
        <v>0</v>
      </c>
      <c r="BU114" s="93">
        <f t="shared" si="99"/>
        <v>0.0986</v>
      </c>
      <c r="BV114" s="92">
        <f>BK114*IF(VLOOKUP($E114,武器奇术!$A:$R,17,FALSE)="裂石",VLOOKUP($E114,武器奇术!$A:$R,4,FALSE),VLOOKUP($E114,武器奇术!$A:$R,2,FALSE))*(1+BM114)*(1+BN114)*BO114</f>
        <v>0</v>
      </c>
      <c r="BW114" s="93">
        <f t="shared" si="74"/>
        <v>0.0879</v>
      </c>
      <c r="BX114" s="101">
        <f t="shared" si="75"/>
        <v>0</v>
      </c>
      <c r="BY114" s="99">
        <f>IF(VLOOKUP($E114,武器奇术!$A:$R,18,FALSE)="极乐",0,$B$11*IF($G$5="撼天",1.05,1)+IF(AND(VLOOKUP($E114,武器奇术!$A:$R,15,FALSE)="武器",VLOOKUP($E114,武器奇术!$A:$R,17,FALSE)="牵丝"),$E$3*(1+$E$15),0))</f>
        <v>0</v>
      </c>
      <c r="BZ114" s="91">
        <f t="shared" si="76"/>
        <v>0</v>
      </c>
      <c r="CA114" s="91">
        <f>IF(VLOOKUP($E114,武器奇术!$A:$R,18,FALSE)="极乐",0,MAX($C$11*IF($G$5="撼天",1.05,1)+IF(AND(VLOOKUP($E114,武器奇术!$A:$R,15,FALSE)="武器",VLOOKUP($E114,武器奇术!$A:$R,17,FALSE)="牵丝"),$E$3*(1+$E$15),0),BY114))</f>
        <v>0</v>
      </c>
      <c r="CB114" s="93">
        <f>IF(($D$11+IF(VLOOKUP($E114,武器奇术!$A:$R,17,FALSE)="牵丝",$D$15,0)-VLOOKUP($F$7,目标属性!$A:$R,6,FALSE))&gt;0,($D$11+IF(VLOOKUP($E114,武器奇术!$A:$R,17,FALSE)="牵丝",$D$15,0)-VLOOKUP($F$7,目标属性!$A:$R,6,FALSE))/200,($D$11+IF(VLOOKUP($E114,武器奇术!$A:$R,17,FALSE)="牵丝",$D$15,0)-VLOOKUP($F$7,目标属性!$A:$R,6,FALSE))/100)</f>
        <v>-0.24</v>
      </c>
      <c r="CC114" s="100">
        <f t="shared" si="91"/>
        <v>0</v>
      </c>
      <c r="CD114" s="91">
        <v>1</v>
      </c>
      <c r="CE114" s="92">
        <f>BY114*IF(VLOOKUP($E114,武器奇术!$A:$R,17,FALSE)="牵丝",VLOOKUP($E114,武器奇术!$A:$R,4,FALSE),VLOOKUP($E114,武器奇术!$A:$R,2,FALSE))*(1+CB114)*(1+CC114)*CD114</f>
        <v>0</v>
      </c>
      <c r="CF114" s="93">
        <f>(1-IF(VLOOKUP($E114,武器奇术!$A:$R,16,FALSE)="陌刀",1,$N114))*(1-$M114)</f>
        <v>0</v>
      </c>
      <c r="CG114" s="92">
        <f>BZ114*IF(VLOOKUP($E114,武器奇术!$A:$R,17,FALSE)="牵丝",VLOOKUP($E114,武器奇术!$A:$R,4,FALSE),VLOOKUP($E114,武器奇术!$A:$R,2,FALSE))*(1+CB114)*(1+CC114)*CD114*(1+$E$16+VLOOKUP($E114,武器奇术!$A:$R,8,FALSE))</f>
        <v>0</v>
      </c>
      <c r="CH114" s="93">
        <f t="shared" si="100"/>
        <v>0.8135</v>
      </c>
      <c r="CI114" s="92">
        <f>CA114*IF(VLOOKUP($E114,武器奇术!$A:$R,17,FALSE)="牵丝",VLOOKUP($E114,武器奇术!$A:$R,4,FALSE),VLOOKUP($E114,武器奇术!$A:$R,2,FALSE))*(1+CB114)*(1+CC114)*CD114*(1+$E$17+VLOOKUP($E114,武器奇术!$A:$R,10,FALSE))</f>
        <v>0</v>
      </c>
      <c r="CJ114" s="93">
        <f t="shared" si="101"/>
        <v>0.0986</v>
      </c>
      <c r="CK114" s="92">
        <f>BZ114*IF(VLOOKUP($E114,武器奇术!$A:$R,17,FALSE)="牵丝",VLOOKUP($E114,武器奇术!$A:$R,4,FALSE),VLOOKUP($E114,武器奇术!$A:$R,2,FALSE))*(1+CB114)*(1+CC114)*CD114</f>
        <v>0</v>
      </c>
      <c r="CL114" s="93">
        <f t="shared" si="77"/>
        <v>0.0879</v>
      </c>
      <c r="CM114" s="101">
        <f t="shared" si="78"/>
        <v>0</v>
      </c>
      <c r="CN114" s="99">
        <f>IF(VLOOKUP($E114,武器奇术!$A:$R,18,FALSE)="极乐",0,$B$13*IF($G$5="撼天",1.05,1)+IF(AND(VLOOKUP($E114,武器奇术!$A:$R,15,FALSE)="武器",VLOOKUP($E114,武器奇术!$A:$R,17,FALSE)="破竹"),$E$3*(1+$E$15),0))</f>
        <v>490.8</v>
      </c>
      <c r="CO114" s="91">
        <f t="shared" si="79"/>
        <v>856.3</v>
      </c>
      <c r="CP114" s="91">
        <f>IF(VLOOKUP($E114,武器奇术!$A:$R,18,FALSE)="极乐",0,MAX($C$13*IF($G$5="撼天",1.05,1)+IF(AND(VLOOKUP($E114,武器奇术!$A:$R,15,FALSE)="武器",VLOOKUP($E114,武器奇术!$A:$R,17,FALSE)="破竹"),$E$3*(1+$E$15),0),CN114))</f>
        <v>1221.8</v>
      </c>
      <c r="CQ114" s="93">
        <f>IF(($D$13+IF(VLOOKUP($E114,武器奇术!$A:$R,17,FALSE)="破竹",$D$15,0)-VLOOKUP($F$7,目标属性!$A:$R,6,FALSE)+IF(VLOOKUP($E114,武器奇术!$A:$V,22,FALSE)=1,4,0)+IF(VLOOKUP($E114,武器奇术!$A:$T,20,FALSE)=1,10,0))&gt;0,($D$13+IF(VLOOKUP($E114,武器奇术!$A:$R,17,FALSE)="破竹",$D$15,0)-VLOOKUP($F$7,目标属性!$A:$R,6,FALSE)+IF(VLOOKUP($E114,武器奇术!$A:$V,22,FALSE)=1,4,0)+IF(VLOOKUP($E114,武器奇术!$A:$T,20,FALSE)=1,10,0))/200,($D$13+IF(VLOOKUP($E114,武器奇术!$A:$R,17,FALSE)="破竹",$D$15,0)-VLOOKUP($F$7,目标属性!$A:$R,6,FALSE)+IF(VLOOKUP($E114,武器奇术!$A:$V,22,FALSE)=1,4,0)+IF(VLOOKUP($E114,武器奇术!$A:$T,20,FALSE)=1,10,0))/100)</f>
        <v>0.028</v>
      </c>
      <c r="CR114" s="120">
        <f>$E$13+IF(期望!$G$5="燕归",6%,0)</f>
        <v>0.208</v>
      </c>
      <c r="CS114" s="91">
        <v>1</v>
      </c>
      <c r="CT114" s="92">
        <f>CN114*IF(VLOOKUP($E114,武器奇术!$A:$R,17,FALSE)="破竹",VLOOKUP($E114,武器奇术!$A:$R,4,FALSE),VLOOKUP($E114,武器奇术!$A:$R,2,FALSE))*(1+CQ114)*(1+CR114)*CS114</f>
        <v>319.98079008</v>
      </c>
      <c r="CU114" s="93">
        <f>(1-IF(VLOOKUP($E114,武器奇术!$A:$R,16,FALSE)="陌刀",1,$N114))*(1-$M114)</f>
        <v>0</v>
      </c>
      <c r="CV114" s="92">
        <f>CO114*IF(VLOOKUP($E114,武器奇术!$A:$R,17,FALSE)="破竹",VLOOKUP($E114,武器奇术!$A:$R,4,FALSE),VLOOKUP($E114,武器奇术!$A:$R,2,FALSE))*(1+CQ114)*(1+CR114)*CS114*(1+$E$16+VLOOKUP($E114,武器奇术!$A:$R,8,FALSE))</f>
        <v>1057.36582871472</v>
      </c>
      <c r="CW114" s="93">
        <f t="shared" si="102"/>
        <v>0.8135</v>
      </c>
      <c r="CX114" s="92">
        <f>CP114*IF(VLOOKUP($E114,武器奇术!$A:$R,17,FALSE)="破竹",VLOOKUP($E114,武器奇术!$A:$R,4,FALSE),VLOOKUP($E114,武器奇术!$A:$R,2,FALSE))*(1+CQ114)*(1+CR114)*CS114*(1+$E$17+VLOOKUP($E114,武器奇术!$A:$R,10,FALSE))</f>
        <v>1075.358424168</v>
      </c>
      <c r="CY114" s="93">
        <f t="shared" si="103"/>
        <v>0.0986</v>
      </c>
      <c r="CZ114" s="92">
        <f>CO114*IF(VLOOKUP($E114,武器奇术!$A:$R,17,FALSE)="破竹",VLOOKUP($E114,武器奇术!$A:$R,4,FALSE),VLOOKUP($E114,武器奇术!$A:$R,2,FALSE))*(1+CQ114)*(1+CR114)*CS114</f>
        <v>558.27129288</v>
      </c>
      <c r="DA114" s="93">
        <f t="shared" si="80"/>
        <v>0.0879</v>
      </c>
      <c r="DB114" s="101">
        <f t="shared" si="81"/>
        <v>1015.26948892654</v>
      </c>
      <c r="DC114" s="99">
        <f>IF(VLOOKUP($E114,武器奇术!$A:$R,18,FALSE)="极乐",0,$B$15)</f>
        <v>66</v>
      </c>
      <c r="DD114" s="91">
        <f t="shared" si="111"/>
        <v>95.9</v>
      </c>
      <c r="DE114" s="91">
        <f>IF(VLOOKUP($E114,武器奇术!$A:$R,18,FALSE)="极乐",0,$C$15)</f>
        <v>125.8</v>
      </c>
      <c r="DF114" s="93">
        <f>IF((IF(VLOOKUP($E114,武器奇术!$A:$R,17,FALSE)="鸣金",$D$7,0)+IF(VLOOKUP($E114,武器奇术!$A:$R,17,FALSE)="裂石",$D$9,0)+IF(VLOOKUP($E114,武器奇术!$A:$R,17,FALSE)="牵丝",$D$11,0)+IF(VLOOKUP($E114,武器奇术!$A:$R,17,FALSE)="破竹",$D$13,0)+$D$15-VLOOKUP($F$7,目标属性!$A:$R,6,FALSE)+IF(VLOOKUP($E114,武器奇术!$A:$V,22,FALSE)=1,4,0)+IF(VLOOKUP($E114,武器奇术!$A:$T,20,FALSE)=1,10,0))&gt;0,(IF(VLOOKUP($E114,武器奇术!$A:$R,17,FALSE)="鸣金",$D$7,0)+IF(VLOOKUP($E114,武器奇术!$A:$R,17,FALSE)="裂石",$D$9,0)+IF(VLOOKUP($E114,武器奇术!$A:$R,17,FALSE)="牵丝",$D$11,0)+IF(VLOOKUP($E114,武器奇术!$A:$R,17,FALSE)="破竹",$D$13,0)+$D$15-VLOOKUP($F$7,目标属性!$A:$R,6,FALSE)+IF(VLOOKUP($E114,武器奇术!$A:$V,22,FALSE)=1,4,0)+IF(VLOOKUP($E114,武器奇术!$A:$T,20,FALSE)=1,10,0))/200,(IF(VLOOKUP($E114,武器奇术!$A:$R,17,FALSE)="鸣金",$D$7,0)+IF(VLOOKUP($E114,武器奇术!$A:$R,17,FALSE)="裂石",$D$9,0)+IF(VLOOKUP($E114,武器奇术!$A:$R,17,FALSE)="牵丝",$D$11,0)+IF(VLOOKUP($E114,武器奇术!$A:$R,17,FALSE)="破竹",$D$13,0)+$D$15-VLOOKUP($F$7,目标属性!$A:$R,6,FALSE)+IF(VLOOKUP($E114,武器奇术!$A:$V,22,FALSE)=1,4,0)+IF(VLOOKUP($E114,武器奇术!$A:$T,20,FALSE)=1,10,0))/100)</f>
        <v>0.028</v>
      </c>
      <c r="DG114" s="120">
        <f>$E$13+IF(期望!$G$5="燕归",6%,0)</f>
        <v>0.208</v>
      </c>
      <c r="DH114" s="91">
        <v>1</v>
      </c>
      <c r="DI114" s="92">
        <f>DC114*IF(VLOOKUP($E114,武器奇术!$A:$R,17,FALSE)="破竹",VLOOKUP($E114,武器奇术!$A:$R,4,FALSE),VLOOKUP($E114,武器奇术!$A:$R,2,FALSE))*(1+DF114)*(1+DG114)*DH114</f>
        <v>43.0292016</v>
      </c>
      <c r="DJ114" s="93">
        <f>(1-IF(VLOOKUP($E114,武器奇术!$A:$R,16,FALSE)="陌刀",1,$N114))*(1-$M114)</f>
        <v>0</v>
      </c>
      <c r="DK114" s="92">
        <f>DD114*IF(VLOOKUP($E114,武器奇术!$A:$R,17,FALSE)="破竹",VLOOKUP($E114,武器奇术!$A:$R,4,FALSE),VLOOKUP($E114,武器奇术!$A:$R,2,FALSE))*(1+DF114)*(1+DG114)*DH114*(1+$E$16+VLOOKUP($E114,武器奇术!$A:$R,8,FALSE))</f>
        <v>118.41805789296</v>
      </c>
      <c r="DL114" s="93">
        <f t="shared" si="104"/>
        <v>0.8135</v>
      </c>
      <c r="DM114" s="92">
        <f>DE114*IF(VLOOKUP($E114,武器奇术!$A:$R,17,FALSE)="破竹",VLOOKUP($E114,武器奇术!$A:$R,4,FALSE),VLOOKUP($E114,武器奇术!$A:$R,2,FALSE))*(1+DF114)*(1+DG114)*DH114*(1+$E$17+VLOOKUP($E114,武器奇术!$A:$R,10,FALSE))</f>
        <v>110.721959208</v>
      </c>
      <c r="DN114" s="93">
        <f t="shared" si="105"/>
        <v>0.0986</v>
      </c>
      <c r="DO114" s="92">
        <f>DD114*IF(VLOOKUP($E114,武器奇术!$A:$R,17,FALSE)="破竹",VLOOKUP($E114,武器奇术!$A:$R,4,FALSE),VLOOKUP($E114,武器奇术!$A:$R,2,FALSE))*(1+DF114)*(1+DG114)*DH114</f>
        <v>62.52273384</v>
      </c>
      <c r="DP114" s="93">
        <f t="shared" si="106"/>
        <v>0.0879</v>
      </c>
      <c r="DQ114" s="101">
        <f t="shared" si="107"/>
        <v>112.746023578368</v>
      </c>
    </row>
    <row r="115" spans="1:121">
      <c r="B115" t="s">
        <v>149</v>
      </c>
      <c r="C115">
        <v>0.2</v>
      </c>
      <c r="E115" s="105" t="s">
        <v>199</v>
      </c>
      <c r="F115" s="123">
        <f>IF($K$3="×",0,(F111+F112+F113*2+F114)*0.15/3.5)</f>
        <v>0</v>
      </c>
      <c r="G115" s="107"/>
      <c r="H115" s="131">
        <f>IF(VLOOKUP($E115,武器奇术!$A:$R,18,FALSE)="天工",AE115,(AE115+AT115+BI115+BX115+CM115+DB115+DQ115))*(1+J115)*F115*K115*(1+G115)*(1+$G$21*5%)</f>
        <v>0</v>
      </c>
      <c r="I115" s="93">
        <f t="shared" si="58"/>
        <v>0</v>
      </c>
      <c r="J115" s="93">
        <f>$F$3+VLOOKUP($E115,武器奇术!$A:$R,12,FALSE)+VLOOKUP($E115,武器奇术!$A:$R,14,FALSE)*$G$3+$P115</f>
        <v>0.423</v>
      </c>
      <c r="K115" s="94">
        <f>VLOOKUP($E115,武器奇术!$A:$R,11,FALSE)</f>
        <v>1</v>
      </c>
      <c r="L115" s="109">
        <f>IF(VLOOKUP($E115,武器奇术!$A:$R,15,FALSE)="天工",0%,IF($C$17+VLOOKUP($E115,武器奇术!$A:$R,7,FALSE)&gt;80%,80%,$C$17+VLOOKUP($E115,武器奇术!$A:$R,7,FALSE))+IF($C$19&gt;20%,20%,$C$19))</f>
        <v>0.8135</v>
      </c>
      <c r="M115" s="110">
        <f>IF(VLOOKUP($E115,武器奇术!$A:$R,15,FALSE)="天工",0%,IF($C$18+VLOOKUP($E115,武器奇术!$A:$R,9,FALSE)&gt;40%,40%,$C$18+VLOOKUP($E115,武器奇术!$A:$R,9,FALSE))+IF($C$20&gt;10%,10%,$C$20))</f>
        <v>0.0986</v>
      </c>
      <c r="N115" s="111">
        <f>IF(VLOOKUP($E115,武器奇术!$A:$R,15,FALSE)="天工",100%,MIN($C$16,1))</f>
        <v>1</v>
      </c>
      <c r="O115" s="112" t="str">
        <f>VLOOKUP($E115,武器奇术!$A:$R,16,FALSE)</f>
        <v>N/A</v>
      </c>
      <c r="P115" s="113">
        <f t="shared" si="108"/>
        <v>0</v>
      </c>
      <c r="Q115" s="99">
        <f>$B$5*(1+VLOOKUP($E115,武器奇术!$A:$R,5,FALSE)+IF($G$5="飞隼",0.1,0)+IF($G$5="撼天",0.05,0))-$F$9*IF(VLOOKUP($E115,武器奇术!$A:$S,19,FALSE)=1,0.9,1)+IF($I$5="√",160,0)</f>
        <v>2848.3</v>
      </c>
      <c r="R115" s="91">
        <f t="shared" si="60"/>
        <v>2848.3</v>
      </c>
      <c r="S115" s="91">
        <f>MAX($C$5,$B$5)*(1+VLOOKUP($E115,武器奇术!$A:$R,5,FALSE)+IF($G$5="飞隼",0.1,0)+IF($G$5="撼天",0.05,0))-$F$9*IF(VLOOKUP($E115,武器奇术!$A:$S,19,FALSE)=1,0.9,1)+IF($I$5="√",320,0)</f>
        <v>2848.3</v>
      </c>
      <c r="T115" s="93">
        <f>IF(($D$5+VLOOKUP($E115,武器奇术!$A:$R,13,FALSE)+IF($I$3="√",10,0)-VLOOKUP($F$7,目标属性!$A:$R,5,FALSE))&gt;0,($D$5+VLOOKUP($E115,武器奇术!$A:$R,13,FALSE)+IF($I$3="√",10,0)-VLOOKUP($F$7,目标属性!$A:$R,5,FALSE))/200,($D$5+VLOOKUP($E115,武器奇术!$A:$R,13,FALSE)+IF($I$3="√",10,0)-VLOOKUP($F$7,目标属性!$A:$R,5,FALSE))/100)</f>
        <v>0.3925</v>
      </c>
      <c r="U115" s="100">
        <f>$E$5+IF(VLOOKUP($E115,武器奇术!$A:$R,18,FALSE)="鼠鼠",0.24,0)</f>
        <v>0</v>
      </c>
      <c r="V115" s="91">
        <v>1</v>
      </c>
      <c r="W115" s="92">
        <f>Q115*VLOOKUP($E115,武器奇术!$A:$R,2,FALSE)*(1+T115)*(1+U115)*V115</f>
        <v>7932.5155</v>
      </c>
      <c r="X115" s="93">
        <f>(1-IF(VLOOKUP($E115,武器奇术!$A:$R,16,FALSE)="陌刀",1,$N115))*(1-$M115)</f>
        <v>0</v>
      </c>
      <c r="Y115" s="92">
        <f>R115*VLOOKUP($E115,武器奇术!$A:$R,2,FALSE)*(1+T115)*(1+U115)*V115*(1+$E$16+VLOOKUP($E115,武器奇术!$A:$R,8,FALSE))</f>
        <v>15024.184357</v>
      </c>
      <c r="Z115" s="93">
        <f t="shared" si="61"/>
        <v>0.8135</v>
      </c>
      <c r="AA115" s="92">
        <f>S115*VLOOKUP($E115,武器奇术!$A:$R,2,FALSE)*(1+T115)*(1+U115)*V115*(1+$E$17+VLOOKUP($E115,武器奇术!$A:$R,10,FALSE))</f>
        <v>10708.895925</v>
      </c>
      <c r="AB115" s="93">
        <f t="shared" si="62"/>
        <v>0.0986</v>
      </c>
      <c r="AC115" s="92">
        <f>R115*VLOOKUP($E115,武器奇术!$A:$R,2,FALSE)*(1+T115)*(1+U115)*V115</f>
        <v>7932.5155</v>
      </c>
      <c r="AD115" s="93">
        <f t="shared" si="63"/>
        <v>0.0879</v>
      </c>
      <c r="AE115" s="101">
        <f t="shared" si="64"/>
        <v>13975.3392250745</v>
      </c>
      <c r="AF115" s="102">
        <f>VLOOKUP($E115,武器奇术!$A:$R,3,FALSE)*(1+IF(VLOOKUP($E115,武器奇术!$A:$R,15,FALSE)="武器",$E$15,0))</f>
        <v>0</v>
      </c>
      <c r="AG115" s="92">
        <f t="shared" si="65"/>
        <v>0</v>
      </c>
      <c r="AH115" s="92">
        <f>VLOOKUP($E115,武器奇术!$A:$R,3,FALSE)*(1+IF(VLOOKUP($E115,武器奇术!$A:$R,15,FALSE)="武器",$E$15,0))</f>
        <v>0</v>
      </c>
      <c r="AI115" s="93">
        <f>IF(($D$5+VLOOKUP($E115,武器奇术!$A:$R,13,FALSE)+IF($I$3="√",10,0)-VLOOKUP($F$7,目标属性!$A:$R,5,FALSE))&gt;0,($D$5+VLOOKUP($E115,武器奇术!$A:$R,13,FALSE)+IF($I$3="√",10,0)-VLOOKUP($F$7,目标属性!$A:$R,5,FALSE))/200,($D$5+VLOOKUP($E115,武器奇术!$A:$R,13,FALSE)+IF($I$3="√",10,0)-VLOOKUP($F$7,目标属性!$A:$R,5,FALSE))/100)</f>
        <v>0.3925</v>
      </c>
      <c r="AJ115" s="100">
        <f>$E$5+IF(VLOOKUP($E115,武器奇术!$A:$R,18,FALSE)="鼠鼠",0.24,0)</f>
        <v>0</v>
      </c>
      <c r="AK115" s="91">
        <v>1</v>
      </c>
      <c r="AL115" s="92">
        <f t="shared" si="109"/>
        <v>0</v>
      </c>
      <c r="AM115" s="93">
        <f>(1-IF(VLOOKUP($E115,武器奇术!$A:$R,16,FALSE)="陌刀",1,$N115))*(1-$M115)</f>
        <v>0</v>
      </c>
      <c r="AN115" s="92">
        <f>AG115*(1+AI115)*(1+AJ115)*AK115*(1+$E$16+VLOOKUP($E115,武器奇术!$A:$R,8,FALSE))</f>
        <v>0</v>
      </c>
      <c r="AO115" s="93">
        <f t="shared" si="94"/>
        <v>0.8135</v>
      </c>
      <c r="AP115" s="92">
        <f>AH115*(1+AI115)*(1+AJ115)*AK115*(1+$E$17+VLOOKUP($E115,武器奇术!$A:$R,10,FALSE))</f>
        <v>0</v>
      </c>
      <c r="AQ115" s="93">
        <f t="shared" si="95"/>
        <v>0.0986</v>
      </c>
      <c r="AR115" s="92">
        <f t="shared" si="67"/>
        <v>0</v>
      </c>
      <c r="AS115" s="93">
        <f t="shared" si="68"/>
        <v>0.0879</v>
      </c>
      <c r="AT115" s="101">
        <f t="shared" si="69"/>
        <v>0</v>
      </c>
      <c r="AU115" s="99">
        <f>IF(VLOOKUP($E115,武器奇术!$A:$R,18,FALSE)="极乐",0,$B$7*IF($G$5="撼天",1.05,1)+IF(AND(VLOOKUP($E115,武器奇术!$A:$R,15,FALSE)="武器",VLOOKUP($E115,武器奇术!$A:$R,17,FALSE)="鸣金"),$E$3*(1+$E$15),0))</f>
        <v>0</v>
      </c>
      <c r="AV115" s="91">
        <f t="shared" si="70"/>
        <v>0</v>
      </c>
      <c r="AW115" s="91">
        <f>IF(VLOOKUP($E115,武器奇术!$A:$R,18,FALSE)="极乐",0,MAX($C$7*IF($G$5="撼天",1.05,1)+IF(AND(VLOOKUP($E115,武器奇术!$A:$R,15,FALSE)="武器",VLOOKUP($E115,武器奇术!$A:$R,17,FALSE)="鸣金"),$E$3*(1+$E$15),0),AU115))</f>
        <v>0</v>
      </c>
      <c r="AX115" s="93">
        <f>IF(($D$7+IF(VLOOKUP($E115,武器奇术!$A:$R,17,FALSE)="鸣金",$D$15,0)-VLOOKUP($F$7,目标属性!$A:$R,6,FALSE))&gt;0,($D$7+IF(VLOOKUP($E115,武器奇术!$A:$R,17,FALSE)="鸣金",$D$15,0)-VLOOKUP($F$7,目标属性!$A:$R,6,FALSE))/200,($D$7+IF(VLOOKUP($E115,武器奇术!$A:$R,17,FALSE)="鸣金",$D$15,0)-VLOOKUP($F$7,目标属性!$A:$R,6,FALSE))/100)</f>
        <v>-0.24</v>
      </c>
      <c r="AY115" s="100">
        <f t="shared" si="89"/>
        <v>0</v>
      </c>
      <c r="AZ115" s="91">
        <v>1</v>
      </c>
      <c r="BA115" s="92">
        <f>AU115*IF(VLOOKUP($E115,武器奇术!$A:$R,17,FALSE)="鸣金",VLOOKUP($E115,武器奇术!$A:$R,4,FALSE),VLOOKUP($E115,武器奇术!$A:$R,2,FALSE))*(1+AX115)*(1+AY115)*AZ115</f>
        <v>0</v>
      </c>
      <c r="BB115" s="93">
        <f>(1-IF(VLOOKUP($E115,武器奇术!$A:$R,16,FALSE)="陌刀",1,$N115))*(1-$M115)</f>
        <v>0</v>
      </c>
      <c r="BC115" s="92">
        <f>AV115*IF(VLOOKUP($E115,武器奇术!$A:$R,17,FALSE)="鸣金",VLOOKUP($E115,武器奇术!$A:$R,4,FALSE),VLOOKUP($E115,武器奇术!$A:$R,2,FALSE))*(1+AX115)*(1+AY115)*AZ115*(1+$E$16+VLOOKUP($E115,武器奇术!$A:$R,8,FALSE))</f>
        <v>0</v>
      </c>
      <c r="BD115" s="93">
        <f t="shared" si="96"/>
        <v>0.8135</v>
      </c>
      <c r="BE115" s="92">
        <f>AW115*IF(VLOOKUP($E115,武器奇术!$A:$R,17,FALSE)="鸣金",VLOOKUP($E115,武器奇术!$A:$R,4,FALSE),VLOOKUP($E115,武器奇术!$A:$R,2,FALSE))*(1+AX115)*(1+AY115)*AZ115*(1+$E$17+VLOOKUP($E115,武器奇术!$A:$R,10,FALSE))</f>
        <v>0</v>
      </c>
      <c r="BF115" s="93">
        <f t="shared" si="97"/>
        <v>0.0986</v>
      </c>
      <c r="BG115" s="92">
        <f>AV115*IF(VLOOKUP($E115,武器奇术!$A:$R,17,FALSE)="鸣金",VLOOKUP($E115,武器奇术!$A:$R,4,FALSE),VLOOKUP($E115,武器奇术!$A:$R,2,FALSE))*(1+AX115)*(1+AY115)*AZ115</f>
        <v>0</v>
      </c>
      <c r="BH115" s="93">
        <f t="shared" si="71"/>
        <v>0.0879</v>
      </c>
      <c r="BI115" s="101">
        <f t="shared" si="72"/>
        <v>0</v>
      </c>
      <c r="BJ115" s="99">
        <f>IF(VLOOKUP($E115,武器奇术!$A:$R,18,FALSE)="极乐",0,$B$9*IF($G$5="撼天",1.05,1)+IF(AND(VLOOKUP($E115,武器奇术!$A:$R,15,FALSE)="武器",VLOOKUP($E115,武器奇术!$A:$R,17,FALSE)="裂石"),$E$3*(1+$E$15),0))</f>
        <v>0</v>
      </c>
      <c r="BK115" s="91">
        <f t="shared" si="73"/>
        <v>0</v>
      </c>
      <c r="BL115" s="91">
        <f>IF(VLOOKUP($E115,武器奇术!$A:$R,18,FALSE)="极乐",0,MAX($C$9*IF($G$5="撼天",1.05,1)+IF(AND(VLOOKUP($E115,武器奇术!$A:$R,15,FALSE)="武器",VLOOKUP($E115,武器奇术!$A:$R,17,FALSE)="裂石"),$E$3*(1+$E$15),0),BJ115))</f>
        <v>0</v>
      </c>
      <c r="BM115" s="93">
        <f>IF(($D$9+IF(VLOOKUP($E115,武器奇术!$A:$R,17,FALSE)="裂石",$D$15,0)-VLOOKUP($F$7,目标属性!$A:$R,6,FALSE))&gt;0,($D$9+IF(VLOOKUP($E115,武器奇术!$A:$R,17,FALSE)="裂石",$D$15,0)-VLOOKUP($F$7,目标属性!$A:$R,6,FALSE))/200,($D$9+IF(VLOOKUP($E115,武器奇术!$A:$R,17,FALSE)="裂石",$D$15,0)-VLOOKUP($F$7,目标属性!$A:$R,6,FALSE))/100)</f>
        <v>-0.24</v>
      </c>
      <c r="BN115" s="100">
        <f t="shared" si="90"/>
        <v>0</v>
      </c>
      <c r="BO115" s="91">
        <v>1</v>
      </c>
      <c r="BP115" s="92">
        <f>BJ115*IF(VLOOKUP($E115,武器奇术!$A:$R,17,FALSE)="裂石",VLOOKUP($E115,武器奇术!$A:$R,4,FALSE),VLOOKUP($E115,武器奇术!$A:$R,2,FALSE))*(1+BM115)*(1+BN115)*BO115</f>
        <v>0</v>
      </c>
      <c r="BQ115" s="93">
        <f>(1-IF(VLOOKUP($E115,武器奇术!$A:$R,16,FALSE)="陌刀",1,$N115))*(1-$M115)</f>
        <v>0</v>
      </c>
      <c r="BR115" s="92">
        <f>BK115*IF(VLOOKUP($E115,武器奇术!$A:$R,17,FALSE)="裂石",VLOOKUP($E115,武器奇术!$A:$R,4,FALSE),VLOOKUP($E115,武器奇术!$A:$R,2,FALSE))*(1+BM115)*(1+BN115)*BO115*(1+$E$16+VLOOKUP($E115,武器奇术!$A:$R,8,FALSE))</f>
        <v>0</v>
      </c>
      <c r="BS115" s="93">
        <f t="shared" si="98"/>
        <v>0.8135</v>
      </c>
      <c r="BT115" s="92">
        <f>BL115*IF(VLOOKUP($E115,武器奇术!$A:$R,17,FALSE)="裂石",VLOOKUP($E115,武器奇术!$A:$R,4,FALSE),VLOOKUP($E115,武器奇术!$A:$R,2,FALSE))*(1+BM115)*(1+BN115)*BO115*(1+$E$17+VLOOKUP($E115,武器奇术!$A:$R,10,FALSE))</f>
        <v>0</v>
      </c>
      <c r="BU115" s="93">
        <f t="shared" si="99"/>
        <v>0.0986</v>
      </c>
      <c r="BV115" s="92">
        <f>BK115*IF(VLOOKUP($E115,武器奇术!$A:$R,17,FALSE)="裂石",VLOOKUP($E115,武器奇术!$A:$R,4,FALSE),VLOOKUP($E115,武器奇术!$A:$R,2,FALSE))*(1+BM115)*(1+BN115)*BO115</f>
        <v>0</v>
      </c>
      <c r="BW115" s="93">
        <f t="shared" si="74"/>
        <v>0.0879</v>
      </c>
      <c r="BX115" s="101">
        <f t="shared" si="75"/>
        <v>0</v>
      </c>
      <c r="BY115" s="99">
        <f>IF(VLOOKUP($E115,武器奇术!$A:$R,18,FALSE)="极乐",0,$B$11*IF($G$5="撼天",1.05,1)+IF(AND(VLOOKUP($E115,武器奇术!$A:$R,15,FALSE)="武器",VLOOKUP($E115,武器奇术!$A:$R,17,FALSE)="牵丝"),$E$3*(1+$E$15),0))</f>
        <v>0</v>
      </c>
      <c r="BZ115" s="91">
        <f t="shared" si="76"/>
        <v>0</v>
      </c>
      <c r="CA115" s="91">
        <f>IF(VLOOKUP($E115,武器奇术!$A:$R,18,FALSE)="极乐",0,MAX($C$11*IF($G$5="撼天",1.05,1)+IF(AND(VLOOKUP($E115,武器奇术!$A:$R,15,FALSE)="武器",VLOOKUP($E115,武器奇术!$A:$R,17,FALSE)="牵丝"),$E$3*(1+$E$15),0),BY115))</f>
        <v>0</v>
      </c>
      <c r="CB115" s="93">
        <f>IF(($D$11+IF(VLOOKUP($E115,武器奇术!$A:$R,17,FALSE)="牵丝",$D$15,0)-VLOOKUP($F$7,目标属性!$A:$R,6,FALSE))&gt;0,($D$11+IF(VLOOKUP($E115,武器奇术!$A:$R,17,FALSE)="牵丝",$D$15,0)-VLOOKUP($F$7,目标属性!$A:$R,6,FALSE))/200,($D$11+IF(VLOOKUP($E115,武器奇术!$A:$R,17,FALSE)="牵丝",$D$15,0)-VLOOKUP($F$7,目标属性!$A:$R,6,FALSE))/100)</f>
        <v>-0.24</v>
      </c>
      <c r="CC115" s="100">
        <f t="shared" si="91"/>
        <v>0</v>
      </c>
      <c r="CD115" s="91">
        <v>1</v>
      </c>
      <c r="CE115" s="92">
        <f>BY115*IF(VLOOKUP($E115,武器奇术!$A:$R,17,FALSE)="牵丝",VLOOKUP($E115,武器奇术!$A:$R,4,FALSE),VLOOKUP($E115,武器奇术!$A:$R,2,FALSE))*(1+CB115)*(1+CC115)*CD115</f>
        <v>0</v>
      </c>
      <c r="CF115" s="93">
        <f>(1-IF(VLOOKUP($E115,武器奇术!$A:$R,16,FALSE)="陌刀",1,$N115))*(1-$M115)</f>
        <v>0</v>
      </c>
      <c r="CG115" s="92">
        <f>BZ115*IF(VLOOKUP($E115,武器奇术!$A:$R,17,FALSE)="牵丝",VLOOKUP($E115,武器奇术!$A:$R,4,FALSE),VLOOKUP($E115,武器奇术!$A:$R,2,FALSE))*(1+CB115)*(1+CC115)*CD115*(1+$E$16+VLOOKUP($E115,武器奇术!$A:$R,8,FALSE))</f>
        <v>0</v>
      </c>
      <c r="CH115" s="93">
        <f t="shared" si="100"/>
        <v>0.8135</v>
      </c>
      <c r="CI115" s="92">
        <f>CA115*IF(VLOOKUP($E115,武器奇术!$A:$R,17,FALSE)="牵丝",VLOOKUP($E115,武器奇术!$A:$R,4,FALSE),VLOOKUP($E115,武器奇术!$A:$R,2,FALSE))*(1+CB115)*(1+CC115)*CD115*(1+$E$17+VLOOKUP($E115,武器奇术!$A:$R,10,FALSE))</f>
        <v>0</v>
      </c>
      <c r="CJ115" s="93">
        <f t="shared" si="101"/>
        <v>0.0986</v>
      </c>
      <c r="CK115" s="92">
        <f>BZ115*IF(VLOOKUP($E115,武器奇术!$A:$R,17,FALSE)="牵丝",VLOOKUP($E115,武器奇术!$A:$R,4,FALSE),VLOOKUP($E115,武器奇术!$A:$R,2,FALSE))*(1+CB115)*(1+CC115)*CD115</f>
        <v>0</v>
      </c>
      <c r="CL115" s="93">
        <f t="shared" si="77"/>
        <v>0.0879</v>
      </c>
      <c r="CM115" s="101">
        <f t="shared" si="78"/>
        <v>0</v>
      </c>
      <c r="CN115" s="99">
        <f>IF(VLOOKUP($E115,武器奇术!$A:$R,18,FALSE)="极乐",0,$B$13*IF($G$5="撼天",1.05,1)+IF(AND(VLOOKUP($E115,武器奇术!$A:$R,15,FALSE)="武器",VLOOKUP($E115,武器奇术!$A:$R,17,FALSE)="破竹"),$E$3*(1+$E$15),0))</f>
        <v>0</v>
      </c>
      <c r="CO115" s="91">
        <f t="shared" si="79"/>
        <v>0</v>
      </c>
      <c r="CP115" s="91">
        <f>IF(VLOOKUP($E115,武器奇术!$A:$R,18,FALSE)="极乐",0,MAX($C$13*IF($G$5="撼天",1.05,1)+IF(AND(VLOOKUP($E115,武器奇术!$A:$R,15,FALSE)="武器",VLOOKUP($E115,武器奇术!$A:$R,17,FALSE)="破竹"),$E$3*(1+$E$15),0),CN115))</f>
        <v>0</v>
      </c>
      <c r="CQ115" s="93">
        <f>IF(($D$13+IF(VLOOKUP($E115,武器奇术!$A:$R,17,FALSE)="破竹",$D$15,0)-VLOOKUP($F$7,目标属性!$A:$R,6,FALSE)+IF(VLOOKUP($E115,武器奇术!$A:$V,22,FALSE)=1,4,0)+IF(VLOOKUP($E115,武器奇术!$A:$T,20,FALSE)=1,10,0))&gt;0,($D$13+IF(VLOOKUP($E115,武器奇术!$A:$R,17,FALSE)="破竹",$D$15,0)-VLOOKUP($F$7,目标属性!$A:$R,6,FALSE)+IF(VLOOKUP($E115,武器奇术!$A:$V,22,FALSE)=1,4,0)+IF(VLOOKUP($E115,武器奇术!$A:$T,20,FALSE)=1,10,0))/200,($D$13+IF(VLOOKUP($E115,武器奇术!$A:$R,17,FALSE)="破竹",$D$15,0)-VLOOKUP($F$7,目标属性!$A:$R,6,FALSE)+IF(VLOOKUP($E115,武器奇术!$A:$V,22,FALSE)=1,4,0)+IF(VLOOKUP($E115,武器奇术!$A:$T,20,FALSE)=1,10,0))/100)</f>
        <v>0.028</v>
      </c>
      <c r="CR115" s="100">
        <f t="shared" si="83"/>
        <v>0.148</v>
      </c>
      <c r="CS115" s="91">
        <v>1</v>
      </c>
      <c r="CT115" s="92">
        <f>CN115*IF(VLOOKUP($E115,武器奇术!$A:$R,17,FALSE)="破竹",VLOOKUP($E115,武器奇术!$A:$R,4,FALSE),VLOOKUP($E115,武器奇术!$A:$R,2,FALSE))*(1+CQ115)*(1+CR115)*CS115</f>
        <v>0</v>
      </c>
      <c r="CU115" s="93">
        <f>(1-IF(VLOOKUP($E115,武器奇术!$A:$R,16,FALSE)="陌刀",1,$N115))*(1-$M115)</f>
        <v>0</v>
      </c>
      <c r="CV115" s="92">
        <f>CO115*IF(VLOOKUP($E115,武器奇术!$A:$R,17,FALSE)="破竹",VLOOKUP($E115,武器奇术!$A:$R,4,FALSE),VLOOKUP($E115,武器奇术!$A:$R,2,FALSE))*(1+CQ115)*(1+CR115)*CS115*(1+$E$16+VLOOKUP($E115,武器奇术!$A:$R,8,FALSE))</f>
        <v>0</v>
      </c>
      <c r="CW115" s="93">
        <f t="shared" si="102"/>
        <v>0.8135</v>
      </c>
      <c r="CX115" s="92">
        <f>CP115*IF(VLOOKUP($E115,武器奇术!$A:$R,17,FALSE)="破竹",VLOOKUP($E115,武器奇术!$A:$R,4,FALSE),VLOOKUP($E115,武器奇术!$A:$R,2,FALSE))*(1+CQ115)*(1+CR115)*CS115*(1+$E$17+VLOOKUP($E115,武器奇术!$A:$R,10,FALSE))</f>
        <v>0</v>
      </c>
      <c r="CY115" s="93">
        <f t="shared" si="103"/>
        <v>0.0986</v>
      </c>
      <c r="CZ115" s="92">
        <f>CO115*IF(VLOOKUP($E115,武器奇术!$A:$R,17,FALSE)="破竹",VLOOKUP($E115,武器奇术!$A:$R,4,FALSE),VLOOKUP($E115,武器奇术!$A:$R,2,FALSE))*(1+CQ115)*(1+CR115)*CS115</f>
        <v>0</v>
      </c>
      <c r="DA115" s="93">
        <f t="shared" si="80"/>
        <v>0.0879</v>
      </c>
      <c r="DB115" s="101">
        <f t="shared" si="81"/>
        <v>0</v>
      </c>
      <c r="DC115" s="99">
        <f>IF(VLOOKUP($E115,武器奇术!$A:$R,18,FALSE)="极乐",0,$B$15)</f>
        <v>0</v>
      </c>
      <c r="DD115" s="91">
        <f t="shared" si="111"/>
        <v>0</v>
      </c>
      <c r="DE115" s="91">
        <f>IF(VLOOKUP($E115,武器奇术!$A:$R,18,FALSE)="极乐",0,$C$15)</f>
        <v>0</v>
      </c>
      <c r="DF115" s="93">
        <f>IF((IF(VLOOKUP($E115,武器奇术!$A:$R,17,FALSE)="鸣金",$D$7,0)+IF(VLOOKUP($E115,武器奇术!$A:$R,17,FALSE)="裂石",$D$9,0)+IF(VLOOKUP($E115,武器奇术!$A:$R,17,FALSE)="牵丝",$D$11,0)+IF(VLOOKUP($E115,武器奇术!$A:$R,17,FALSE)="破竹",$D$13,0)+$D$15-VLOOKUP($F$7,目标属性!$A:$R,6,FALSE)+IF(VLOOKUP($E115,武器奇术!$A:$V,22,FALSE)=1,4,0)+IF(VLOOKUP($E115,武器奇术!$A:$T,20,FALSE)=1,10,0))&gt;0,(IF(VLOOKUP($E115,武器奇术!$A:$R,17,FALSE)="鸣金",$D$7,0)+IF(VLOOKUP($E115,武器奇术!$A:$R,17,FALSE)="裂石",$D$9,0)+IF(VLOOKUP($E115,武器奇术!$A:$R,17,FALSE)="牵丝",$D$11,0)+IF(VLOOKUP($E115,武器奇术!$A:$R,17,FALSE)="破竹",$D$13,0)+$D$15-VLOOKUP($F$7,目标属性!$A:$R,6,FALSE)+IF(VLOOKUP($E115,武器奇术!$A:$V,22,FALSE)=1,4,0)+IF(VLOOKUP($E115,武器奇术!$A:$T,20,FALSE)=1,10,0))/200,(IF(VLOOKUP($E115,武器奇术!$A:$R,17,FALSE)="鸣金",$D$7,0)+IF(VLOOKUP($E115,武器奇术!$A:$R,17,FALSE)="裂石",$D$9,0)+IF(VLOOKUP($E115,武器奇术!$A:$R,17,FALSE)="牵丝",$D$11,0)+IF(VLOOKUP($E115,武器奇术!$A:$R,17,FALSE)="破竹",$D$13,0)+$D$15-VLOOKUP($F$7,目标属性!$A:$R,6,FALSE)+IF(VLOOKUP($E115,武器奇术!$A:$V,22,FALSE)=1,4,0)+IF(VLOOKUP($E115,武器奇术!$A:$T,20,FALSE)=1,10,0))/100)</f>
        <v>0.028</v>
      </c>
      <c r="DG115" s="100">
        <f t="shared" si="114"/>
        <v>0.148</v>
      </c>
      <c r="DH115" s="91">
        <v>1</v>
      </c>
      <c r="DI115" s="92">
        <f>DC115*IF(VLOOKUP($E115,武器奇术!$A:$R,17,FALSE)="破竹",VLOOKUP($E115,武器奇术!$A:$R,4,FALSE),VLOOKUP($E115,武器奇术!$A:$R,2,FALSE))*(1+DF115)*(1+DG115)*DH115</f>
        <v>0</v>
      </c>
      <c r="DJ115" s="93">
        <f>(1-IF(VLOOKUP($E115,武器奇术!$A:$R,16,FALSE)="陌刀",1,$N115))*(1-$M115)</f>
        <v>0</v>
      </c>
      <c r="DK115" s="92">
        <f>DD115*IF(VLOOKUP($E115,武器奇术!$A:$R,17,FALSE)="破竹",VLOOKUP($E115,武器奇术!$A:$R,4,FALSE),VLOOKUP($E115,武器奇术!$A:$R,2,FALSE))*(1+DF115)*(1+DG115)*DH115*(1+$E$16+VLOOKUP($E115,武器奇术!$A:$R,8,FALSE))</f>
        <v>0</v>
      </c>
      <c r="DL115" s="93">
        <f t="shared" si="104"/>
        <v>0.8135</v>
      </c>
      <c r="DM115" s="92">
        <f>DE115*IF(VLOOKUP($E115,武器奇术!$A:$R,17,FALSE)="破竹",VLOOKUP($E115,武器奇术!$A:$R,4,FALSE),VLOOKUP($E115,武器奇术!$A:$R,2,FALSE))*(1+DF115)*(1+DG115)*DH115*(1+$E$17+VLOOKUP($E115,武器奇术!$A:$R,10,FALSE))</f>
        <v>0</v>
      </c>
      <c r="DN115" s="93">
        <f t="shared" si="105"/>
        <v>0.0986</v>
      </c>
      <c r="DO115" s="92">
        <f>DD115*IF(VLOOKUP($E115,武器奇术!$A:$R,17,FALSE)="破竹",VLOOKUP($E115,武器奇术!$A:$R,4,FALSE),VLOOKUP($E115,武器奇术!$A:$R,2,FALSE))*(1+DF115)*(1+DG115)*DH115</f>
        <v>0</v>
      </c>
      <c r="DP115" s="93">
        <f t="shared" si="106"/>
        <v>0.0879</v>
      </c>
      <c r="DQ115" s="101">
        <f t="shared" si="107"/>
        <v>0</v>
      </c>
    </row>
    <row r="116" spans="1:121">
      <c r="B116" t="s">
        <v>145</v>
      </c>
      <c r="C116">
        <v>1</v>
      </c>
      <c r="E116" s="105" t="s">
        <v>200</v>
      </c>
      <c r="F116" s="106">
        <v>2</v>
      </c>
      <c r="G116" s="107"/>
      <c r="H116" s="131">
        <f>IF(VLOOKUP($E116,武器奇术!$A:$R,18,FALSE)="天工",AE116,(AE116+AT116+BI116+BX116+CM116+DB116+DQ116))*(1+J116)*F116*K116*(1+G116)*(1+$G$21*5%)</f>
        <v>81274.2986689972</v>
      </c>
      <c r="I116" s="93">
        <f t="shared" si="58"/>
        <v>0.0104260879890462</v>
      </c>
      <c r="J116" s="93">
        <f>$F$3+VLOOKUP($E116,武器奇术!$A:$R,12,FALSE)+VLOOKUP($E116,武器奇术!$A:$R,14,FALSE)*$G$3+$P116</f>
        <v>0.423</v>
      </c>
      <c r="K116" s="94">
        <f>VLOOKUP($E116,武器奇术!$A:$R,11,FALSE)</f>
        <v>1</v>
      </c>
      <c r="L116" s="109">
        <f>IF(VLOOKUP($E116,武器奇术!$A:$R,15,FALSE)="天工",0%,IF($C$17+VLOOKUP($E116,武器奇术!$A:$R,7,FALSE)&gt;80%,80%,$C$17+VLOOKUP($E116,武器奇术!$A:$R,7,FALSE))+IF($C$19&gt;20%,20%,$C$19))</f>
        <v>0.887</v>
      </c>
      <c r="M116" s="110">
        <f>IF(VLOOKUP($E116,武器奇术!$A:$R,15,FALSE)="天工",0%,IF($C$18+VLOOKUP($E116,武器奇术!$A:$R,9,FALSE)&gt;40%,40%,$C$18+VLOOKUP($E116,武器奇术!$A:$R,9,FALSE))+IF($C$20&gt;10%,10%,$C$20))</f>
        <v>0.0986</v>
      </c>
      <c r="N116" s="111">
        <f>IF(VLOOKUP($E116,武器奇术!$A:$R,15,FALSE)="天工",100%,MIN($C$16,1))</f>
        <v>1</v>
      </c>
      <c r="O116" s="112" t="str">
        <f>VLOOKUP($E116,武器奇术!$A:$R,16,FALSE)</f>
        <v>N/A</v>
      </c>
      <c r="P116" s="113">
        <f t="shared" si="108"/>
        <v>0</v>
      </c>
      <c r="Q116" s="99">
        <f>$B$5*(1+VLOOKUP($E116,武器奇术!$A:$R,5,FALSE)+IF($G$5="飞隼",0.1,0)+IF($G$5="撼天",0.05,0))-$F$9*IF(VLOOKUP($E116,武器奇术!$A:$S,19,FALSE)=1,0.9,1)+IF($I$5="√",160,0)</f>
        <v>2848.3</v>
      </c>
      <c r="R116" s="91">
        <f t="shared" si="60"/>
        <v>2848.3</v>
      </c>
      <c r="S116" s="91">
        <f>MAX($C$5,$B$5)*(1+VLOOKUP($E116,武器奇术!$A:$R,5,FALSE)+IF($G$5="飞隼",0.1,0)+IF($G$5="撼天",0.05,0))-$F$9*IF(VLOOKUP($E116,武器奇术!$A:$S,19,FALSE)=1,0.9,1)+IF($I$5="√",320,0)</f>
        <v>2848.3</v>
      </c>
      <c r="T116" s="93">
        <f>IF(($D$5+VLOOKUP($E116,武器奇术!$A:$R,13,FALSE)+IF($I$3="√",10,0)-VLOOKUP($F$7,目标属性!$A:$R,5,FALSE))&gt;0,($D$5+VLOOKUP($E116,武器奇术!$A:$R,13,FALSE)+IF($I$3="√",10,0)-VLOOKUP($F$7,目标属性!$A:$R,5,FALSE))/200,($D$5+VLOOKUP($E116,武器奇术!$A:$R,13,FALSE)+IF($I$3="√",10,0)-VLOOKUP($F$7,目标属性!$A:$R,5,FALSE))/100)</f>
        <v>0.3925</v>
      </c>
      <c r="U116" s="100">
        <f>$E$5+IF(VLOOKUP($E116,武器奇术!$A:$R,18,FALSE)="鼠鼠",0.24,0)</f>
        <v>0</v>
      </c>
      <c r="V116" s="91">
        <v>1</v>
      </c>
      <c r="W116" s="92">
        <f>Q116*VLOOKUP($E116,武器奇术!$A:$R,2,FALSE)*(1+T116)*(1+U116)*V116</f>
        <v>5910.51729905</v>
      </c>
      <c r="X116" s="93">
        <f>(1-IF(VLOOKUP($E116,武器奇术!$A:$R,16,FALSE)="陌刀",1,$N116))*(1-$M116)</f>
        <v>0</v>
      </c>
      <c r="Y116" s="92">
        <f>R116*VLOOKUP($E116,武器奇术!$A:$R,2,FALSE)*(1+T116)*(1+U116)*V116*(1+$E$16+VLOOKUP($E116,武器奇术!$A:$R,8,FALSE))</f>
        <v>14149.7784139257</v>
      </c>
      <c r="Z116" s="93">
        <f t="shared" si="61"/>
        <v>0.887</v>
      </c>
      <c r="AA116" s="92">
        <f>S116*VLOOKUP($E116,武器奇术!$A:$R,2,FALSE)*(1+T116)*(1+U116)*V116*(1+$E$17+VLOOKUP($E116,武器奇术!$A:$R,10,FALSE))</f>
        <v>7979.1983537175</v>
      </c>
      <c r="AB116" s="93">
        <f t="shared" si="62"/>
        <v>0.0986</v>
      </c>
      <c r="AC116" s="92">
        <f>R116*VLOOKUP($E116,武器奇术!$A:$R,2,FALSE)*(1+T116)*(1+U116)*V116</f>
        <v>5910.51729905</v>
      </c>
      <c r="AD116" s="93">
        <f t="shared" si="63"/>
        <v>0.0144</v>
      </c>
      <c r="AE116" s="101">
        <f t="shared" si="64"/>
        <v>13422.713859935</v>
      </c>
      <c r="AF116" s="102">
        <f>VLOOKUP($E116,武器奇术!$A:$R,3,FALSE)*(1+IF(VLOOKUP($E116,武器奇术!$A:$R,15,FALSE)="武器",$E$15,0))</f>
        <v>358</v>
      </c>
      <c r="AG116" s="92">
        <f t="shared" si="65"/>
        <v>358</v>
      </c>
      <c r="AH116" s="92">
        <f>VLOOKUP($E116,武器奇术!$A:$R,3,FALSE)*(1+IF(VLOOKUP($E116,武器奇术!$A:$R,15,FALSE)="武器",$E$15,0))</f>
        <v>358</v>
      </c>
      <c r="AI116" s="93">
        <f>IF(($D$5+VLOOKUP($E116,武器奇术!$A:$R,13,FALSE)+IF($I$3="√",10,0)-VLOOKUP($F$7,目标属性!$A:$R,5,FALSE))&gt;0,($D$5+VLOOKUP($E116,武器奇术!$A:$R,13,FALSE)+IF($I$3="√",10,0)-VLOOKUP($F$7,目标属性!$A:$R,5,FALSE))/200,($D$5+VLOOKUP($E116,武器奇术!$A:$R,13,FALSE)+IF($I$3="√",10,0)-VLOOKUP($F$7,目标属性!$A:$R,5,FALSE))/100)</f>
        <v>0.3925</v>
      </c>
      <c r="AJ116" s="100">
        <f>$E$5+IF(VLOOKUP($E116,武器奇术!$A:$R,18,FALSE)="鼠鼠",0.24,0)</f>
        <v>0</v>
      </c>
      <c r="AK116" s="91">
        <v>1</v>
      </c>
      <c r="AL116" s="92">
        <f t="shared" si="109"/>
        <v>498.515</v>
      </c>
      <c r="AM116" s="93">
        <f>(1-IF(VLOOKUP($E116,武器奇术!$A:$R,16,FALSE)="陌刀",1,$N116))*(1-$M116)</f>
        <v>0</v>
      </c>
      <c r="AN116" s="92">
        <f>AG116*(1+AI116)*(1+AJ116)*AK116*(1+$E$16+VLOOKUP($E116,武器奇术!$A:$R,8,FALSE))</f>
        <v>1193.44491</v>
      </c>
      <c r="AO116" s="93">
        <f t="shared" si="94"/>
        <v>0.887</v>
      </c>
      <c r="AP116" s="92">
        <f>AH116*(1+AI116)*(1+AJ116)*AK116*(1+$E$17+VLOOKUP($E116,武器奇术!$A:$R,10,FALSE))</f>
        <v>672.99525</v>
      </c>
      <c r="AQ116" s="93">
        <f t="shared" si="95"/>
        <v>0.0986</v>
      </c>
      <c r="AR116" s="92">
        <f t="shared" si="67"/>
        <v>498.515</v>
      </c>
      <c r="AS116" s="93">
        <f t="shared" si="68"/>
        <v>0.0144</v>
      </c>
      <c r="AT116" s="101">
        <f t="shared" si="69"/>
        <v>1132.12158282</v>
      </c>
      <c r="AU116" s="99">
        <f>IF(VLOOKUP($E116,武器奇术!$A:$R,18,FALSE)="极乐",0,$B$7*IF($G$5="撼天",1.05,1)+IF(AND(VLOOKUP($E116,武器奇术!$A:$R,15,FALSE)="武器",VLOOKUP($E116,武器奇术!$A:$R,17,FALSE)="鸣金"),$E$3*(1+$E$15),0))</f>
        <v>0</v>
      </c>
      <c r="AV116" s="91">
        <f t="shared" si="70"/>
        <v>0</v>
      </c>
      <c r="AW116" s="91">
        <f>IF(VLOOKUP($E116,武器奇术!$A:$R,18,FALSE)="极乐",0,MAX($C$7*IF($G$5="撼天",1.05,1)+IF(AND(VLOOKUP($E116,武器奇术!$A:$R,15,FALSE)="武器",VLOOKUP($E116,武器奇术!$A:$R,17,FALSE)="鸣金"),$E$3*(1+$E$15),0),AU116))</f>
        <v>0</v>
      </c>
      <c r="AX116" s="93">
        <f>IF(($D$7+IF(VLOOKUP($E116,武器奇术!$A:$R,17,FALSE)="鸣金",$D$15,0)-VLOOKUP($F$7,目标属性!$A:$R,6,FALSE))&gt;0,($D$7+IF(VLOOKUP($E116,武器奇术!$A:$R,17,FALSE)="鸣金",$D$15,0)-VLOOKUP($F$7,目标属性!$A:$R,6,FALSE))/200,($D$7+IF(VLOOKUP($E116,武器奇术!$A:$R,17,FALSE)="鸣金",$D$15,0)-VLOOKUP($F$7,目标属性!$A:$R,6,FALSE))/100)</f>
        <v>-0.24</v>
      </c>
      <c r="AY116" s="100">
        <f t="shared" si="89"/>
        <v>0</v>
      </c>
      <c r="AZ116" s="91">
        <v>1</v>
      </c>
      <c r="BA116" s="92">
        <f>AU116*IF(VLOOKUP($E116,武器奇术!$A:$R,17,FALSE)="鸣金",VLOOKUP($E116,武器奇术!$A:$R,4,FALSE),VLOOKUP($E116,武器奇术!$A:$R,2,FALSE))*(1+AX116)*(1+AY116)*AZ116</f>
        <v>0</v>
      </c>
      <c r="BB116" s="93">
        <f>(1-IF(VLOOKUP($E116,武器奇术!$A:$R,16,FALSE)="陌刀",1,$N116))*(1-$M116)</f>
        <v>0</v>
      </c>
      <c r="BC116" s="92">
        <f>AV116*IF(VLOOKUP($E116,武器奇术!$A:$R,17,FALSE)="鸣金",VLOOKUP($E116,武器奇术!$A:$R,4,FALSE),VLOOKUP($E116,武器奇术!$A:$R,2,FALSE))*(1+AX116)*(1+AY116)*AZ116*(1+$E$16+VLOOKUP($E116,武器奇术!$A:$R,8,FALSE))</f>
        <v>0</v>
      </c>
      <c r="BD116" s="93">
        <f t="shared" si="96"/>
        <v>0.887</v>
      </c>
      <c r="BE116" s="92">
        <f>AW116*IF(VLOOKUP($E116,武器奇术!$A:$R,17,FALSE)="鸣金",VLOOKUP($E116,武器奇术!$A:$R,4,FALSE),VLOOKUP($E116,武器奇术!$A:$R,2,FALSE))*(1+AX116)*(1+AY116)*AZ116*(1+$E$17+VLOOKUP($E116,武器奇术!$A:$R,10,FALSE))</f>
        <v>0</v>
      </c>
      <c r="BF116" s="93">
        <f t="shared" si="97"/>
        <v>0.0986</v>
      </c>
      <c r="BG116" s="92">
        <f>AV116*IF(VLOOKUP($E116,武器奇术!$A:$R,17,FALSE)="鸣金",VLOOKUP($E116,武器奇术!$A:$R,4,FALSE),VLOOKUP($E116,武器奇术!$A:$R,2,FALSE))*(1+AX116)*(1+AY116)*AZ116</f>
        <v>0</v>
      </c>
      <c r="BH116" s="93">
        <f t="shared" si="71"/>
        <v>0.0144</v>
      </c>
      <c r="BI116" s="101">
        <f t="shared" si="72"/>
        <v>0</v>
      </c>
      <c r="BJ116" s="99">
        <f>IF(VLOOKUP($E116,武器奇术!$A:$R,18,FALSE)="极乐",0,$B$9*IF($G$5="撼天",1.05,1)+IF(AND(VLOOKUP($E116,武器奇术!$A:$R,15,FALSE)="武器",VLOOKUP($E116,武器奇术!$A:$R,17,FALSE)="裂石"),$E$3*(1+$E$15),0))</f>
        <v>0</v>
      </c>
      <c r="BK116" s="91">
        <f t="shared" si="73"/>
        <v>0</v>
      </c>
      <c r="BL116" s="91">
        <f>IF(VLOOKUP($E116,武器奇术!$A:$R,18,FALSE)="极乐",0,MAX($C$9*IF($G$5="撼天",1.05,1)+IF(AND(VLOOKUP($E116,武器奇术!$A:$R,15,FALSE)="武器",VLOOKUP($E116,武器奇术!$A:$R,17,FALSE)="裂石"),$E$3*(1+$E$15),0),BJ116))</f>
        <v>0</v>
      </c>
      <c r="BM116" s="93">
        <f>IF(($D$9+IF(VLOOKUP($E116,武器奇术!$A:$R,17,FALSE)="裂石",$D$15,0)-VLOOKUP($F$7,目标属性!$A:$R,6,FALSE))&gt;0,($D$9+IF(VLOOKUP($E116,武器奇术!$A:$R,17,FALSE)="裂石",$D$15,0)-VLOOKUP($F$7,目标属性!$A:$R,6,FALSE))/200,($D$9+IF(VLOOKUP($E116,武器奇术!$A:$R,17,FALSE)="裂石",$D$15,0)-VLOOKUP($F$7,目标属性!$A:$R,6,FALSE))/100)</f>
        <v>-0.24</v>
      </c>
      <c r="BN116" s="100">
        <f t="shared" si="90"/>
        <v>0</v>
      </c>
      <c r="BO116" s="91">
        <v>1</v>
      </c>
      <c r="BP116" s="92">
        <f>BJ116*IF(VLOOKUP($E116,武器奇术!$A:$R,17,FALSE)="裂石",VLOOKUP($E116,武器奇术!$A:$R,4,FALSE),VLOOKUP($E116,武器奇术!$A:$R,2,FALSE))*(1+BM116)*(1+BN116)*BO116</f>
        <v>0</v>
      </c>
      <c r="BQ116" s="93">
        <f>(1-IF(VLOOKUP($E116,武器奇术!$A:$R,16,FALSE)="陌刀",1,$N116))*(1-$M116)</f>
        <v>0</v>
      </c>
      <c r="BR116" s="92">
        <f>BK116*IF(VLOOKUP($E116,武器奇术!$A:$R,17,FALSE)="裂石",VLOOKUP($E116,武器奇术!$A:$R,4,FALSE),VLOOKUP($E116,武器奇术!$A:$R,2,FALSE))*(1+BM116)*(1+BN116)*BO116*(1+$E$16+VLOOKUP($E116,武器奇术!$A:$R,8,FALSE))</f>
        <v>0</v>
      </c>
      <c r="BS116" s="93">
        <f t="shared" si="98"/>
        <v>0.887</v>
      </c>
      <c r="BT116" s="92">
        <f>BL116*IF(VLOOKUP($E116,武器奇术!$A:$R,17,FALSE)="裂石",VLOOKUP($E116,武器奇术!$A:$R,4,FALSE),VLOOKUP($E116,武器奇术!$A:$R,2,FALSE))*(1+BM116)*(1+BN116)*BO116*(1+$E$17+VLOOKUP($E116,武器奇术!$A:$R,10,FALSE))</f>
        <v>0</v>
      </c>
      <c r="BU116" s="93">
        <f t="shared" si="99"/>
        <v>0.0986</v>
      </c>
      <c r="BV116" s="92">
        <f>BK116*IF(VLOOKUP($E116,武器奇术!$A:$R,17,FALSE)="裂石",VLOOKUP($E116,武器奇术!$A:$R,4,FALSE),VLOOKUP($E116,武器奇术!$A:$R,2,FALSE))*(1+BM116)*(1+BN116)*BO116</f>
        <v>0</v>
      </c>
      <c r="BW116" s="93">
        <f t="shared" si="74"/>
        <v>0.0144</v>
      </c>
      <c r="BX116" s="101">
        <f t="shared" si="75"/>
        <v>0</v>
      </c>
      <c r="BY116" s="99">
        <f>IF(VLOOKUP($E116,武器奇术!$A:$R,18,FALSE)="极乐",0,$B$11*IF($G$5="撼天",1.05,1)+IF(AND(VLOOKUP($E116,武器奇术!$A:$R,15,FALSE)="武器",VLOOKUP($E116,武器奇术!$A:$R,17,FALSE)="牵丝"),$E$3*(1+$E$15),0))</f>
        <v>0</v>
      </c>
      <c r="BZ116" s="91">
        <f t="shared" si="76"/>
        <v>0</v>
      </c>
      <c r="CA116" s="91">
        <f>IF(VLOOKUP($E116,武器奇术!$A:$R,18,FALSE)="极乐",0,MAX($C$11*IF($G$5="撼天",1.05,1)+IF(AND(VLOOKUP($E116,武器奇术!$A:$R,15,FALSE)="武器",VLOOKUP($E116,武器奇术!$A:$R,17,FALSE)="牵丝"),$E$3*(1+$E$15),0),BY116))</f>
        <v>0</v>
      </c>
      <c r="CB116" s="93">
        <f>IF(($D$11+IF(VLOOKUP($E116,武器奇术!$A:$R,17,FALSE)="牵丝",$D$15,0)-VLOOKUP($F$7,目标属性!$A:$R,6,FALSE))&gt;0,($D$11+IF(VLOOKUP($E116,武器奇术!$A:$R,17,FALSE)="牵丝",$D$15,0)-VLOOKUP($F$7,目标属性!$A:$R,6,FALSE))/200,($D$11+IF(VLOOKUP($E116,武器奇术!$A:$R,17,FALSE)="牵丝",$D$15,0)-VLOOKUP($F$7,目标属性!$A:$R,6,FALSE))/100)</f>
        <v>-0.24</v>
      </c>
      <c r="CC116" s="100">
        <f t="shared" si="91"/>
        <v>0</v>
      </c>
      <c r="CD116" s="91">
        <v>1</v>
      </c>
      <c r="CE116" s="92">
        <f>BY116*IF(VLOOKUP($E116,武器奇术!$A:$R,17,FALSE)="牵丝",VLOOKUP($E116,武器奇术!$A:$R,4,FALSE),VLOOKUP($E116,武器奇术!$A:$R,2,FALSE))*(1+CB116)*(1+CC116)*CD116</f>
        <v>0</v>
      </c>
      <c r="CF116" s="93">
        <f>(1-IF(VLOOKUP($E116,武器奇术!$A:$R,16,FALSE)="陌刀",1,$N116))*(1-$M116)</f>
        <v>0</v>
      </c>
      <c r="CG116" s="92">
        <f>BZ116*IF(VLOOKUP($E116,武器奇术!$A:$R,17,FALSE)="牵丝",VLOOKUP($E116,武器奇术!$A:$R,4,FALSE),VLOOKUP($E116,武器奇术!$A:$R,2,FALSE))*(1+CB116)*(1+CC116)*CD116*(1+$E$16+VLOOKUP($E116,武器奇术!$A:$R,8,FALSE))</f>
        <v>0</v>
      </c>
      <c r="CH116" s="93">
        <f t="shared" si="100"/>
        <v>0.887</v>
      </c>
      <c r="CI116" s="92">
        <f>CA116*IF(VLOOKUP($E116,武器奇术!$A:$R,17,FALSE)="牵丝",VLOOKUP($E116,武器奇术!$A:$R,4,FALSE),VLOOKUP($E116,武器奇术!$A:$R,2,FALSE))*(1+CB116)*(1+CC116)*CD116*(1+$E$17+VLOOKUP($E116,武器奇术!$A:$R,10,FALSE))</f>
        <v>0</v>
      </c>
      <c r="CJ116" s="93">
        <f t="shared" si="101"/>
        <v>0.0986</v>
      </c>
      <c r="CK116" s="92">
        <f>BZ116*IF(VLOOKUP($E116,武器奇术!$A:$R,17,FALSE)="牵丝",VLOOKUP($E116,武器奇术!$A:$R,4,FALSE),VLOOKUP($E116,武器奇术!$A:$R,2,FALSE))*(1+CB116)*(1+CC116)*CD116</f>
        <v>0</v>
      </c>
      <c r="CL116" s="93">
        <f t="shared" si="77"/>
        <v>0.0144</v>
      </c>
      <c r="CM116" s="101">
        <f t="shared" si="78"/>
        <v>0</v>
      </c>
      <c r="CN116" s="99">
        <f>IF(VLOOKUP($E116,武器奇术!$A:$R,18,FALSE)="极乐",0,$B$13*IF($G$5="撼天",1.05,1)+IF(AND(VLOOKUP($E116,武器奇术!$A:$R,15,FALSE)="武器",VLOOKUP($E116,武器奇术!$A:$R,17,FALSE)="破竹"),$E$3*(1+$E$15),0))</f>
        <v>490.8</v>
      </c>
      <c r="CO116" s="91">
        <f t="shared" si="79"/>
        <v>856.3</v>
      </c>
      <c r="CP116" s="91">
        <f>IF(VLOOKUP($E116,武器奇术!$A:$R,18,FALSE)="极乐",0,MAX($C$13*IF($G$5="撼天",1.05,1)+IF(AND(VLOOKUP($E116,武器奇术!$A:$R,15,FALSE)="武器",VLOOKUP($E116,武器奇术!$A:$R,17,FALSE)="破竹"),$E$3*(1+$E$15),0),CN116))</f>
        <v>1221.8</v>
      </c>
      <c r="CQ116" s="93">
        <f>IF(($D$13+IF(VLOOKUP($E116,武器奇术!$A:$R,17,FALSE)="破竹",$D$15,0)-VLOOKUP($F$7,目标属性!$A:$R,6,FALSE)+IF(VLOOKUP($E116,武器奇术!$A:$V,22,FALSE)=1,4,0)+IF(VLOOKUP($E116,武器奇术!$A:$T,20,FALSE)=1,10,0))&gt;0,($D$13+IF(VLOOKUP($E116,武器奇术!$A:$R,17,FALSE)="破竹",$D$15,0)-VLOOKUP($F$7,目标属性!$A:$R,6,FALSE)+IF(VLOOKUP($E116,武器奇术!$A:$V,22,FALSE)=1,4,0)+IF(VLOOKUP($E116,武器奇术!$A:$T,20,FALSE)=1,10,0))/200,($D$13+IF(VLOOKUP($E116,武器奇术!$A:$R,17,FALSE)="破竹",$D$15,0)-VLOOKUP($F$7,目标属性!$A:$R,6,FALSE)+IF(VLOOKUP($E116,武器奇术!$A:$V,22,FALSE)=1,4,0)+IF(VLOOKUP($E116,武器奇术!$A:$T,20,FALSE)=1,10,0))/100)</f>
        <v>0.028</v>
      </c>
      <c r="CR116" s="100">
        <f t="shared" si="83"/>
        <v>0.148</v>
      </c>
      <c r="CS116" s="91">
        <v>1</v>
      </c>
      <c r="CT116" s="92">
        <f>CN116*IF(VLOOKUP($E116,武器奇术!$A:$R,17,FALSE)="破竹",VLOOKUP($E116,武器奇术!$A:$R,4,FALSE),VLOOKUP($E116,武器奇术!$A:$R,2,FALSE))*(1+CQ116)*(1+CR116)*CS116</f>
        <v>1294.71856347456</v>
      </c>
      <c r="CU116" s="93">
        <f>(1-IF(VLOOKUP($E116,武器奇术!$A:$R,16,FALSE)="陌刀",1,$N116))*(1-$M116)</f>
        <v>0</v>
      </c>
      <c r="CV116" s="92">
        <f>CO116*IF(VLOOKUP($E116,武器奇术!$A:$R,17,FALSE)="破竹",VLOOKUP($E116,武器奇术!$A:$R,4,FALSE),VLOOKUP($E116,武器奇术!$A:$R,2,FALSE))*(1+CQ116)*(1+CR116)*CS116*(1+$E$16+VLOOKUP($E116,武器奇术!$A:$R,8,FALSE))</f>
        <v>5407.80360458928</v>
      </c>
      <c r="CW116" s="93">
        <f t="shared" si="102"/>
        <v>0.887</v>
      </c>
      <c r="CX116" s="92">
        <f>CP116*IF(VLOOKUP($E116,武器奇术!$A:$R,17,FALSE)="破竹",VLOOKUP($E116,武器奇术!$A:$R,4,FALSE),VLOOKUP($E116,武器奇术!$A:$R,2,FALSE))*(1+CQ116)*(1+CR116)*CS116*(1+$E$17+VLOOKUP($E116,武器奇术!$A:$R,10,FALSE))</f>
        <v>4351.15656102658</v>
      </c>
      <c r="CY116" s="93">
        <f t="shared" si="103"/>
        <v>0.0986</v>
      </c>
      <c r="CZ116" s="92">
        <f>CO116*IF(VLOOKUP($E116,武器奇术!$A:$R,17,FALSE)="破竹",VLOOKUP($E116,武器奇术!$A:$R,4,FALSE),VLOOKUP($E116,武器奇术!$A:$R,2,FALSE))*(1+CQ116)*(1+CR116)*CS116</f>
        <v>2258.89874878416</v>
      </c>
      <c r="DA116" s="93">
        <f t="shared" si="80"/>
        <v>0.0144</v>
      </c>
      <c r="DB116" s="101">
        <f t="shared" si="81"/>
        <v>5258.2739761704</v>
      </c>
      <c r="DC116" s="99">
        <f>IF(VLOOKUP($E116,武器奇术!$A:$R,18,FALSE)="极乐",0,$B$15)</f>
        <v>66</v>
      </c>
      <c r="DD116" s="91">
        <f t="shared" si="111"/>
        <v>95.9</v>
      </c>
      <c r="DE116" s="91">
        <f>IF(VLOOKUP($E116,武器奇术!$A:$R,18,FALSE)="极乐",0,$C$15)</f>
        <v>125.8</v>
      </c>
      <c r="DF116" s="93">
        <f>IF((IF(VLOOKUP($E116,武器奇术!$A:$R,17,FALSE)="鸣金",$D$7,0)+IF(VLOOKUP($E116,武器奇术!$A:$R,17,FALSE)="裂石",$D$9,0)+IF(VLOOKUP($E116,武器奇术!$A:$R,17,FALSE)="牵丝",$D$11,0)+IF(VLOOKUP($E116,武器奇术!$A:$R,17,FALSE)="破竹",$D$13,0)+$D$15-VLOOKUP($F$7,目标属性!$A:$R,6,FALSE)+IF(VLOOKUP($E116,武器奇术!$A:$V,22,FALSE)=1,4,0)+IF(VLOOKUP($E116,武器奇术!$A:$T,20,FALSE)=1,10,0))&gt;0,(IF(VLOOKUP($E116,武器奇术!$A:$R,17,FALSE)="鸣金",$D$7,0)+IF(VLOOKUP($E116,武器奇术!$A:$R,17,FALSE)="裂石",$D$9,0)+IF(VLOOKUP($E116,武器奇术!$A:$R,17,FALSE)="牵丝",$D$11,0)+IF(VLOOKUP($E116,武器奇术!$A:$R,17,FALSE)="破竹",$D$13,0)+$D$15-VLOOKUP($F$7,目标属性!$A:$R,6,FALSE)+IF(VLOOKUP($E116,武器奇术!$A:$V,22,FALSE)=1,4,0)+IF(VLOOKUP($E116,武器奇术!$A:$T,20,FALSE)=1,10,0))/200,(IF(VLOOKUP($E116,武器奇术!$A:$R,17,FALSE)="鸣金",$D$7,0)+IF(VLOOKUP($E116,武器奇术!$A:$R,17,FALSE)="裂石",$D$9,0)+IF(VLOOKUP($E116,武器奇术!$A:$R,17,FALSE)="牵丝",$D$11,0)+IF(VLOOKUP($E116,武器奇术!$A:$R,17,FALSE)="破竹",$D$13,0)+$D$15-VLOOKUP($F$7,目标属性!$A:$R,6,FALSE)+IF(VLOOKUP($E116,武器奇术!$A:$V,22,FALSE)=1,4,0)+IF(VLOOKUP($E116,武器奇术!$A:$T,20,FALSE)=1,10,0))/100)</f>
        <v>0.028</v>
      </c>
      <c r="DG116" s="100">
        <f t="shared" si="114"/>
        <v>0.148</v>
      </c>
      <c r="DH116" s="91">
        <v>1</v>
      </c>
      <c r="DI116" s="92">
        <f>DC116*IF(VLOOKUP($E116,武器奇术!$A:$R,17,FALSE)="破竹",VLOOKUP($E116,武器奇术!$A:$R,4,FALSE),VLOOKUP($E116,武器奇术!$A:$R,2,FALSE))*(1+DF116)*(1+DG116)*DH116</f>
        <v>174.1064082912</v>
      </c>
      <c r="DJ116" s="93">
        <f>(1-IF(VLOOKUP($E116,武器奇术!$A:$R,16,FALSE)="陌刀",1,$N116))*(1-$M116)</f>
        <v>0</v>
      </c>
      <c r="DK116" s="92">
        <f>DD116*IF(VLOOKUP($E116,武器奇术!$A:$R,17,FALSE)="破竹",VLOOKUP($E116,武器奇术!$A:$R,4,FALSE),VLOOKUP($E116,武器奇术!$A:$R,2,FALSE))*(1+DF116)*(1+DG116)*DH116*(1+$E$16+VLOOKUP($E116,武器奇术!$A:$R,8,FALSE))</f>
        <v>605.638637954119</v>
      </c>
      <c r="DL116" s="93">
        <f t="shared" si="104"/>
        <v>0.887</v>
      </c>
      <c r="DM116" s="92">
        <f>DE116*IF(VLOOKUP($E116,武器奇术!$A:$R,17,FALSE)="破竹",VLOOKUP($E116,武器奇术!$A:$R,4,FALSE),VLOOKUP($E116,武器奇术!$A:$R,2,FALSE))*(1+DF116)*(1+DG116)*DH116*(1+$E$17+VLOOKUP($E116,武器奇术!$A:$R,10,FALSE))</f>
        <v>448.007444243856</v>
      </c>
      <c r="DN116" s="93">
        <f t="shared" si="105"/>
        <v>0.0986</v>
      </c>
      <c r="DO116" s="92">
        <f>DD116*IF(VLOOKUP($E116,武器奇术!$A:$R,17,FALSE)="破竹",VLOOKUP($E116,武器奇术!$A:$R,4,FALSE),VLOOKUP($E116,武器奇术!$A:$R,2,FALSE))*(1+DF116)*(1+DG116)*DH116</f>
        <v>252.98188719888</v>
      </c>
      <c r="DP116" s="93">
        <f t="shared" si="106"/>
        <v>0.0144</v>
      </c>
      <c r="DQ116" s="101">
        <f t="shared" si="107"/>
        <v>585.017945043412</v>
      </c>
    </row>
    <row r="117" spans="1:121">
      <c r="B117" t="s">
        <v>147</v>
      </c>
      <c r="C117">
        <v>1</v>
      </c>
      <c r="E117" s="105" t="s">
        <v>201</v>
      </c>
      <c r="F117" s="106">
        <v>1</v>
      </c>
      <c r="G117" s="107">
        <f>$E$24</f>
        <v>0</v>
      </c>
      <c r="H117" s="131">
        <f>IF(VLOOKUP($E117,武器奇术!$A:$R,18,FALSE)="天工",AE117,(AE117+AT117+BI117+BX117+CM117+DB117+DQ117))*(1+J117)*F117*K117*(1+G117)*(1+$G$21*5%)</f>
        <v>27561.2790640346</v>
      </c>
      <c r="I117" s="93">
        <f t="shared" si="58"/>
        <v>0.00353563580760737</v>
      </c>
      <c r="J117" s="93">
        <f>$F$3+VLOOKUP($E117,武器奇术!$A:$R,12,FALSE)+VLOOKUP($E117,武器奇术!$A:$R,14,FALSE)*$G$3+$P117</f>
        <v>0.713</v>
      </c>
      <c r="K117" s="94">
        <f>VLOOKUP($E117,武器奇术!$A:$R,11,FALSE)</f>
        <v>1</v>
      </c>
      <c r="L117" s="109">
        <f>IF(VLOOKUP($E117,武器奇术!$A:$R,15,FALSE)="天工",0%,IF($C$17+VLOOKUP($E117,武器奇术!$A:$R,7,FALSE)&gt;80%,80%,$C$17+VLOOKUP($E117,武器奇术!$A:$R,7,FALSE))+IF($C$19&gt;20%,20%,$C$19))</f>
        <v>0.887</v>
      </c>
      <c r="M117" s="110">
        <f>IF(VLOOKUP($E117,武器奇术!$A:$R,15,FALSE)="天工",0%,IF($C$18+VLOOKUP($E117,武器奇术!$A:$R,9,FALSE)&gt;40%,40%,$C$18+VLOOKUP($E117,武器奇术!$A:$R,9,FALSE))+IF($C$20&gt;10%,10%,$C$20))</f>
        <v>0.0986</v>
      </c>
      <c r="N117" s="111">
        <f>IF(VLOOKUP($E117,武器奇术!$A:$R,15,FALSE)="天工",100%,MIN($C$16,1))</f>
        <v>1</v>
      </c>
      <c r="O117" s="112" t="str">
        <f>VLOOKUP($E117,武器奇术!$A:$R,16,FALSE)</f>
        <v>双刀</v>
      </c>
      <c r="P117" s="113">
        <f t="shared" si="108"/>
        <v>0.17</v>
      </c>
      <c r="Q117" s="99">
        <f>$B$5*(1+VLOOKUP($E117,武器奇术!$A:$R,5,FALSE)+IF($G$5="飞隼",0.1,0)+IF($G$5="撼天",0.05,0))-$F$9*IF(VLOOKUP($E117,武器奇术!$A:$S,19,FALSE)=1,0.9,1)+IF($I$5="√",160,0)</f>
        <v>2904.2</v>
      </c>
      <c r="R117" s="91">
        <f t="shared" si="60"/>
        <v>2904.2</v>
      </c>
      <c r="S117" s="91">
        <f>MAX($C$5,$B$5)*(1+VLOOKUP($E117,武器奇术!$A:$R,5,FALSE)+IF($G$5="飞隼",0.1,0)+IF($G$5="撼天",0.05,0))-$F$9*IF(VLOOKUP($E117,武器奇术!$A:$S,19,FALSE)=1,0.9,1)+IF($I$5="√",320,0)</f>
        <v>2904.2</v>
      </c>
      <c r="T117" s="93">
        <f>IF(($D$5+VLOOKUP($E117,武器奇术!$A:$R,13,FALSE)+IF($I$3="√",10,0)-VLOOKUP($F$7,目标属性!$A:$R,5,FALSE))&gt;0,($D$5+VLOOKUP($E117,武器奇术!$A:$R,13,FALSE)+IF($I$3="√",10,0)-VLOOKUP($F$7,目标属性!$A:$R,5,FALSE))/200,($D$5+VLOOKUP($E117,武器奇术!$A:$R,13,FALSE)+IF($I$3="√",10,0)-VLOOKUP($F$7,目标属性!$A:$R,5,FALSE))/100)</f>
        <v>0.3925</v>
      </c>
      <c r="U117" s="120">
        <f>$E$5+IF(VLOOKUP($E117,武器奇术!$A:$R,18,FALSE)="鼠鼠",0.24,0)+IF(期望!$G$5="燕归",6/100,0)</f>
        <v>0.06</v>
      </c>
      <c r="V117" s="91">
        <v>1</v>
      </c>
      <c r="W117" s="92">
        <f>Q117*VLOOKUP($E117,武器奇术!$A:$R,2,FALSE)*(1+T117)*(1+U117)*V117</f>
        <v>3051.8190803672</v>
      </c>
      <c r="X117" s="93">
        <f>(1-IF(VLOOKUP($E117,武器奇术!$A:$R,16,FALSE)="陌刀",1,$N117))*(1-$M117)</f>
        <v>0</v>
      </c>
      <c r="Y117" s="92">
        <f>R117*VLOOKUP($E117,武器奇术!$A:$R,2,FALSE)*(1+T117)*(1+U117)*V117*(1+$E$16+VLOOKUP($E117,武器奇术!$A:$R,8,FALSE))</f>
        <v>7306.05487839908</v>
      </c>
      <c r="Z117" s="93">
        <f t="shared" si="61"/>
        <v>0.887</v>
      </c>
      <c r="AA117" s="92">
        <f>S117*VLOOKUP($E117,武器奇术!$A:$R,2,FALSE)*(1+T117)*(1+U117)*V117*(1+$E$17+VLOOKUP($E117,武器奇术!$A:$R,10,FALSE))</f>
        <v>4119.95575849572</v>
      </c>
      <c r="AB117" s="93">
        <f t="shared" si="62"/>
        <v>0.0986</v>
      </c>
      <c r="AC117" s="92">
        <f>R117*VLOOKUP($E117,武器奇术!$A:$R,2,FALSE)*(1+T117)*(1+U117)*V117</f>
        <v>3051.8190803672</v>
      </c>
      <c r="AD117" s="93">
        <f t="shared" si="63"/>
        <v>0.0144</v>
      </c>
      <c r="AE117" s="101">
        <f t="shared" si="64"/>
        <v>6930.64450968495</v>
      </c>
      <c r="AF117" s="102">
        <f>VLOOKUP($E117,武器奇术!$A:$R,3,FALSE)*(1+IF(VLOOKUP($E117,武器奇术!$A:$R,15,FALSE)="武器",$E$15,0))</f>
        <v>257.4</v>
      </c>
      <c r="AG117" s="92">
        <f t="shared" si="65"/>
        <v>257.4</v>
      </c>
      <c r="AH117" s="92">
        <f>VLOOKUP($E117,武器奇术!$A:$R,3,FALSE)*(1+IF(VLOOKUP($E117,武器奇术!$A:$R,15,FALSE)="武器",$E$15,0))</f>
        <v>257.4</v>
      </c>
      <c r="AI117" s="93">
        <f>IF(($D$5+VLOOKUP($E117,武器奇术!$A:$R,13,FALSE)+IF($I$3="√",10,0)-VLOOKUP($F$7,目标属性!$A:$R,5,FALSE))&gt;0,($D$5+VLOOKUP($E117,武器奇术!$A:$R,13,FALSE)+IF($I$3="√",10,0)-VLOOKUP($F$7,目标属性!$A:$R,5,FALSE))/200,($D$5+VLOOKUP($E117,武器奇术!$A:$R,13,FALSE)+IF($I$3="√",10,0)-VLOOKUP($F$7,目标属性!$A:$R,5,FALSE))/100)</f>
        <v>0.3925</v>
      </c>
      <c r="AJ117" s="120">
        <f>$E$5+IF(VLOOKUP($E117,武器奇术!$A:$R,18,FALSE)="鼠鼠",0.24,0)+IF(期望!$G$5="燕归",6/100,0)</f>
        <v>0.06</v>
      </c>
      <c r="AK117" s="91">
        <v>1</v>
      </c>
      <c r="AL117" s="92">
        <f t="shared" si="109"/>
        <v>379.93527</v>
      </c>
      <c r="AM117" s="93">
        <f>(1-IF(VLOOKUP($E117,武器奇术!$A:$R,16,FALSE)="陌刀",1,$N117))*(1-$M117)</f>
        <v>0</v>
      </c>
      <c r="AN117" s="92">
        <f>AG117*(1+AI117)*(1+AJ117)*AK117*(1+$E$16+VLOOKUP($E117,武器奇术!$A:$R,8,FALSE))</f>
        <v>909.56503638</v>
      </c>
      <c r="AO117" s="93">
        <f t="shared" si="94"/>
        <v>0.887</v>
      </c>
      <c r="AP117" s="92">
        <f>AH117*(1+AI117)*(1+AJ117)*AK117*(1+$E$17+VLOOKUP($E117,武器奇术!$A:$R,10,FALSE))</f>
        <v>512.9126145</v>
      </c>
      <c r="AQ117" s="93">
        <f t="shared" si="95"/>
        <v>0.0986</v>
      </c>
      <c r="AR117" s="92">
        <f t="shared" si="67"/>
        <v>379.93527</v>
      </c>
      <c r="AS117" s="93">
        <f t="shared" si="68"/>
        <v>0.0144</v>
      </c>
      <c r="AT117" s="101">
        <f t="shared" si="69"/>
        <v>862.82843894676</v>
      </c>
      <c r="AU117" s="99">
        <f>IF(VLOOKUP($E117,武器奇术!$A:$R,18,FALSE)="极乐",0,$B$7*IF($G$5="撼天",1.05,1)+IF(AND(VLOOKUP($E117,武器奇术!$A:$R,15,FALSE)="武器",VLOOKUP($E117,武器奇术!$A:$R,17,FALSE)="鸣金"),$E$3*(1+$E$15),0))</f>
        <v>0</v>
      </c>
      <c r="AV117" s="91">
        <f t="shared" si="70"/>
        <v>0</v>
      </c>
      <c r="AW117" s="91">
        <f>IF(VLOOKUP($E117,武器奇术!$A:$R,18,FALSE)="极乐",0,MAX($C$7*IF($G$5="撼天",1.05,1)+IF(AND(VLOOKUP($E117,武器奇术!$A:$R,15,FALSE)="武器",VLOOKUP($E117,武器奇术!$A:$R,17,FALSE)="鸣金"),$E$3*(1+$E$15),0),AU117))</f>
        <v>0</v>
      </c>
      <c r="AX117" s="93">
        <f>IF(($D$7+IF(VLOOKUP($E117,武器奇术!$A:$R,17,FALSE)="鸣金",$D$15,0)-VLOOKUP($F$7,目标属性!$A:$R,6,FALSE))&gt;0,($D$7+IF(VLOOKUP($E117,武器奇术!$A:$R,17,FALSE)="鸣金",$D$15,0)-VLOOKUP($F$7,目标属性!$A:$R,6,FALSE))/200,($D$7+IF(VLOOKUP($E117,武器奇术!$A:$R,17,FALSE)="鸣金",$D$15,0)-VLOOKUP($F$7,目标属性!$A:$R,6,FALSE))/100)</f>
        <v>-0.24</v>
      </c>
      <c r="AY117" s="100">
        <f t="shared" si="89"/>
        <v>0</v>
      </c>
      <c r="AZ117" s="91">
        <v>1</v>
      </c>
      <c r="BA117" s="92">
        <f>AU117*IF(VLOOKUP($E117,武器奇术!$A:$R,17,FALSE)="鸣金",VLOOKUP($E117,武器奇术!$A:$R,4,FALSE),VLOOKUP($E117,武器奇术!$A:$R,2,FALSE))*(1+AX117)*(1+AY117)*AZ117</f>
        <v>0</v>
      </c>
      <c r="BB117" s="93">
        <f>(1-IF(VLOOKUP($E117,武器奇术!$A:$R,16,FALSE)="陌刀",1,$N117))*(1-$M117)</f>
        <v>0</v>
      </c>
      <c r="BC117" s="92">
        <f>AV117*IF(VLOOKUP($E117,武器奇术!$A:$R,17,FALSE)="鸣金",VLOOKUP($E117,武器奇术!$A:$R,4,FALSE),VLOOKUP($E117,武器奇术!$A:$R,2,FALSE))*(1+AX117)*(1+AY117)*AZ117*(1+$E$16+VLOOKUP($E117,武器奇术!$A:$R,8,FALSE))</f>
        <v>0</v>
      </c>
      <c r="BD117" s="93">
        <f t="shared" si="96"/>
        <v>0.887</v>
      </c>
      <c r="BE117" s="92">
        <f>AW117*IF(VLOOKUP($E117,武器奇术!$A:$R,17,FALSE)="鸣金",VLOOKUP($E117,武器奇术!$A:$R,4,FALSE),VLOOKUP($E117,武器奇术!$A:$R,2,FALSE))*(1+AX117)*(1+AY117)*AZ117*(1+$E$17+VLOOKUP($E117,武器奇术!$A:$R,10,FALSE))</f>
        <v>0</v>
      </c>
      <c r="BF117" s="93">
        <f t="shared" si="97"/>
        <v>0.0986</v>
      </c>
      <c r="BG117" s="92">
        <f>AV117*IF(VLOOKUP($E117,武器奇术!$A:$R,17,FALSE)="鸣金",VLOOKUP($E117,武器奇术!$A:$R,4,FALSE),VLOOKUP($E117,武器奇术!$A:$R,2,FALSE))*(1+AX117)*(1+AY117)*AZ117</f>
        <v>0</v>
      </c>
      <c r="BH117" s="93">
        <f t="shared" si="71"/>
        <v>0.0144</v>
      </c>
      <c r="BI117" s="101">
        <f t="shared" si="72"/>
        <v>0</v>
      </c>
      <c r="BJ117" s="99">
        <f>IF(VLOOKUP($E117,武器奇术!$A:$R,18,FALSE)="极乐",0,$B$9*IF($G$5="撼天",1.05,1)+IF(AND(VLOOKUP($E117,武器奇术!$A:$R,15,FALSE)="武器",VLOOKUP($E117,武器奇术!$A:$R,17,FALSE)="裂石"),$E$3*(1+$E$15),0))</f>
        <v>0</v>
      </c>
      <c r="BK117" s="91">
        <f t="shared" si="73"/>
        <v>0</v>
      </c>
      <c r="BL117" s="91">
        <f>IF(VLOOKUP($E117,武器奇术!$A:$R,18,FALSE)="极乐",0,MAX($C$9*IF($G$5="撼天",1.05,1)+IF(AND(VLOOKUP($E117,武器奇术!$A:$R,15,FALSE)="武器",VLOOKUP($E117,武器奇术!$A:$R,17,FALSE)="裂石"),$E$3*(1+$E$15),0),BJ117))</f>
        <v>0</v>
      </c>
      <c r="BM117" s="93">
        <f>IF(($D$9+IF(VLOOKUP($E117,武器奇术!$A:$R,17,FALSE)="裂石",$D$15,0)-VLOOKUP($F$7,目标属性!$A:$R,6,FALSE))&gt;0,($D$9+IF(VLOOKUP($E117,武器奇术!$A:$R,17,FALSE)="裂石",$D$15,0)-VLOOKUP($F$7,目标属性!$A:$R,6,FALSE))/200,($D$9+IF(VLOOKUP($E117,武器奇术!$A:$R,17,FALSE)="裂石",$D$15,0)-VLOOKUP($F$7,目标属性!$A:$R,6,FALSE))/100)</f>
        <v>-0.24</v>
      </c>
      <c r="BN117" s="100">
        <f t="shared" si="90"/>
        <v>0</v>
      </c>
      <c r="BO117" s="91">
        <v>1</v>
      </c>
      <c r="BP117" s="92">
        <f>BJ117*IF(VLOOKUP($E117,武器奇术!$A:$R,17,FALSE)="裂石",VLOOKUP($E117,武器奇术!$A:$R,4,FALSE),VLOOKUP($E117,武器奇术!$A:$R,2,FALSE))*(1+BM117)*(1+BN117)*BO117</f>
        <v>0</v>
      </c>
      <c r="BQ117" s="93">
        <f>(1-IF(VLOOKUP($E117,武器奇术!$A:$R,16,FALSE)="陌刀",1,$N117))*(1-$M117)</f>
        <v>0</v>
      </c>
      <c r="BR117" s="92">
        <f>BK117*IF(VLOOKUP($E117,武器奇术!$A:$R,17,FALSE)="裂石",VLOOKUP($E117,武器奇术!$A:$R,4,FALSE),VLOOKUP($E117,武器奇术!$A:$R,2,FALSE))*(1+BM117)*(1+BN117)*BO117*(1+$E$16+VLOOKUP($E117,武器奇术!$A:$R,8,FALSE))</f>
        <v>0</v>
      </c>
      <c r="BS117" s="93">
        <f t="shared" si="98"/>
        <v>0.887</v>
      </c>
      <c r="BT117" s="92">
        <f>BL117*IF(VLOOKUP($E117,武器奇术!$A:$R,17,FALSE)="裂石",VLOOKUP($E117,武器奇术!$A:$R,4,FALSE),VLOOKUP($E117,武器奇术!$A:$R,2,FALSE))*(1+BM117)*(1+BN117)*BO117*(1+$E$17+VLOOKUP($E117,武器奇术!$A:$R,10,FALSE))</f>
        <v>0</v>
      </c>
      <c r="BU117" s="93">
        <f t="shared" si="99"/>
        <v>0.0986</v>
      </c>
      <c r="BV117" s="92">
        <f>BK117*IF(VLOOKUP($E117,武器奇术!$A:$R,17,FALSE)="裂石",VLOOKUP($E117,武器奇术!$A:$R,4,FALSE),VLOOKUP($E117,武器奇术!$A:$R,2,FALSE))*(1+BM117)*(1+BN117)*BO117</f>
        <v>0</v>
      </c>
      <c r="BW117" s="93">
        <f t="shared" si="74"/>
        <v>0.0144</v>
      </c>
      <c r="BX117" s="101">
        <f t="shared" si="75"/>
        <v>0</v>
      </c>
      <c r="BY117" s="99">
        <f>IF(VLOOKUP($E117,武器奇术!$A:$R,18,FALSE)="极乐",0,$B$11*IF($G$5="撼天",1.05,1)+IF(AND(VLOOKUP($E117,武器奇术!$A:$R,15,FALSE)="武器",VLOOKUP($E117,武器奇术!$A:$R,17,FALSE)="牵丝"),$E$3*(1+$E$15),0))</f>
        <v>0</v>
      </c>
      <c r="BZ117" s="91">
        <f t="shared" si="76"/>
        <v>0</v>
      </c>
      <c r="CA117" s="91">
        <f>IF(VLOOKUP($E117,武器奇术!$A:$R,18,FALSE)="极乐",0,MAX($C$11*IF($G$5="撼天",1.05,1)+IF(AND(VLOOKUP($E117,武器奇术!$A:$R,15,FALSE)="武器",VLOOKUP($E117,武器奇术!$A:$R,17,FALSE)="牵丝"),$E$3*(1+$E$15),0),BY117))</f>
        <v>0</v>
      </c>
      <c r="CB117" s="93">
        <f>IF(($D$11+IF(VLOOKUP($E117,武器奇术!$A:$R,17,FALSE)="牵丝",$D$15,0)-VLOOKUP($F$7,目标属性!$A:$R,6,FALSE))&gt;0,($D$11+IF(VLOOKUP($E117,武器奇术!$A:$R,17,FALSE)="牵丝",$D$15,0)-VLOOKUP($F$7,目标属性!$A:$R,6,FALSE))/200,($D$11+IF(VLOOKUP($E117,武器奇术!$A:$R,17,FALSE)="牵丝",$D$15,0)-VLOOKUP($F$7,目标属性!$A:$R,6,FALSE))/100)</f>
        <v>-0.24</v>
      </c>
      <c r="CC117" s="100">
        <f t="shared" si="91"/>
        <v>0</v>
      </c>
      <c r="CD117" s="91">
        <v>1</v>
      </c>
      <c r="CE117" s="92">
        <f>BY117*IF(VLOOKUP($E117,武器奇术!$A:$R,17,FALSE)="牵丝",VLOOKUP($E117,武器奇术!$A:$R,4,FALSE),VLOOKUP($E117,武器奇术!$A:$R,2,FALSE))*(1+CB117)*(1+CC117)*CD117</f>
        <v>0</v>
      </c>
      <c r="CF117" s="93">
        <f>(1-IF(VLOOKUP($E117,武器奇术!$A:$R,16,FALSE)="陌刀",1,$N117))*(1-$M117)</f>
        <v>0</v>
      </c>
      <c r="CG117" s="92">
        <f>BZ117*IF(VLOOKUP($E117,武器奇术!$A:$R,17,FALSE)="牵丝",VLOOKUP($E117,武器奇术!$A:$R,4,FALSE),VLOOKUP($E117,武器奇术!$A:$R,2,FALSE))*(1+CB117)*(1+CC117)*CD117*(1+$E$16+VLOOKUP($E117,武器奇术!$A:$R,8,FALSE))</f>
        <v>0</v>
      </c>
      <c r="CH117" s="93">
        <f t="shared" si="100"/>
        <v>0.887</v>
      </c>
      <c r="CI117" s="92">
        <f>CA117*IF(VLOOKUP($E117,武器奇术!$A:$R,17,FALSE)="牵丝",VLOOKUP($E117,武器奇术!$A:$R,4,FALSE),VLOOKUP($E117,武器奇术!$A:$R,2,FALSE))*(1+CB117)*(1+CC117)*CD117*(1+$E$17+VLOOKUP($E117,武器奇术!$A:$R,10,FALSE))</f>
        <v>0</v>
      </c>
      <c r="CJ117" s="93">
        <f t="shared" si="101"/>
        <v>0.0986</v>
      </c>
      <c r="CK117" s="92">
        <f>BZ117*IF(VLOOKUP($E117,武器奇术!$A:$R,17,FALSE)="牵丝",VLOOKUP($E117,武器奇术!$A:$R,4,FALSE),VLOOKUP($E117,武器奇术!$A:$R,2,FALSE))*(1+CB117)*(1+CC117)*CD117</f>
        <v>0</v>
      </c>
      <c r="CL117" s="93">
        <f t="shared" si="77"/>
        <v>0.0144</v>
      </c>
      <c r="CM117" s="101">
        <f t="shared" si="78"/>
        <v>0</v>
      </c>
      <c r="CN117" s="99">
        <f>IF(VLOOKUP($E117,武器奇术!$A:$R,18,FALSE)="极乐",0,$B$13*IF($G$5="撼天",1.05,1)+IF(AND(VLOOKUP($E117,武器奇术!$A:$R,15,FALSE)="武器",VLOOKUP($E117,武器奇术!$A:$R,17,FALSE)="破竹"),$E$3*(1+$E$15),0))</f>
        <v>686.71</v>
      </c>
      <c r="CO117" s="91">
        <f t="shared" si="79"/>
        <v>1052.21</v>
      </c>
      <c r="CP117" s="91">
        <f>IF(VLOOKUP($E117,武器奇术!$A:$R,18,FALSE)="极乐",0,MAX($C$13*IF($G$5="撼天",1.05,1)+IF(AND(VLOOKUP($E117,武器奇术!$A:$R,15,FALSE)="武器",VLOOKUP($E117,武器奇术!$A:$R,17,FALSE)="破竹"),$E$3*(1+$E$15),0),CN117))</f>
        <v>1417.71</v>
      </c>
      <c r="CQ117" s="93">
        <f>IF(($D$13+IF(VLOOKUP($E117,武器奇术!$A:$R,17,FALSE)="破竹",$D$15,0)-VLOOKUP($F$7,目标属性!$A:$R,6,FALSE)+IF(VLOOKUP($E117,武器奇术!$A:$V,22,FALSE)=1,4,0)+IF(VLOOKUP($E117,武器奇术!$A:$T,20,FALSE)=1,10,0))&gt;0,($D$13+IF(VLOOKUP($E117,武器奇术!$A:$R,17,FALSE)="破竹",$D$15,0)-VLOOKUP($F$7,目标属性!$A:$R,6,FALSE)+IF(VLOOKUP($E117,武器奇术!$A:$V,22,FALSE)=1,4,0)+IF(VLOOKUP($E117,武器奇术!$A:$T,20,FALSE)=1,10,0))/200,($D$13+IF(VLOOKUP($E117,武器奇术!$A:$R,17,FALSE)="破竹",$D$15,0)-VLOOKUP($F$7,目标属性!$A:$R,6,FALSE)+IF(VLOOKUP($E117,武器奇术!$A:$V,22,FALSE)=1,4,0)+IF(VLOOKUP($E117,武器奇术!$A:$T,20,FALSE)=1,10,0))/100)</f>
        <v>0.078</v>
      </c>
      <c r="CR117" s="120">
        <f>$E$13+IF(期望!$G$5="燕归",6%,0)</f>
        <v>0.208</v>
      </c>
      <c r="CS117" s="91">
        <v>1</v>
      </c>
      <c r="CT117" s="92">
        <f>CN117*IF(VLOOKUP($E117,武器奇术!$A:$R,17,FALSE)="破竹",VLOOKUP($E117,武器奇术!$A:$R,4,FALSE),VLOOKUP($E117,武器奇术!$A:$R,2,FALSE))*(1+CQ117)*(1+CR117)*CS117</f>
        <v>954.951949537555</v>
      </c>
      <c r="CU117" s="93">
        <f>(1-IF(VLOOKUP($E117,武器奇术!$A:$R,16,FALSE)="陌刀",1,$N117))*(1-$M117)</f>
        <v>0</v>
      </c>
      <c r="CV117" s="92">
        <f>CO117*IF(VLOOKUP($E117,武器奇术!$A:$R,17,FALSE)="破竹",VLOOKUP($E117,武器奇术!$A:$R,4,FALSE),VLOOKUP($E117,武器奇术!$A:$R,2,FALSE))*(1+CQ117)*(1+CR117)*CS117*(1+$E$16+VLOOKUP($E117,武器奇术!$A:$R,8,FALSE))</f>
        <v>3502.95629600566</v>
      </c>
      <c r="CW117" s="93">
        <f t="shared" si="102"/>
        <v>0.887</v>
      </c>
      <c r="CX117" s="92">
        <f>CP117*IF(VLOOKUP($E117,武器奇术!$A:$R,17,FALSE)="破竹",VLOOKUP($E117,武器奇术!$A:$R,4,FALSE),VLOOKUP($E117,武器奇术!$A:$R,2,FALSE))*(1+CQ117)*(1+CR117)*CS117*(1+$E$17+VLOOKUP($E117,武器奇术!$A:$R,10,FALSE))</f>
        <v>2661.51745760437</v>
      </c>
      <c r="CY117" s="93">
        <f t="shared" si="103"/>
        <v>0.0986</v>
      </c>
      <c r="CZ117" s="92">
        <f>CO117*IF(VLOOKUP($E117,武器奇术!$A:$R,17,FALSE)="破竹",VLOOKUP($E117,武器奇术!$A:$R,4,FALSE),VLOOKUP($E117,武器奇术!$A:$R,2,FALSE))*(1+CQ117)*(1+CR117)*CS117</f>
        <v>1463.22318128892</v>
      </c>
      <c r="DA117" s="93">
        <f t="shared" si="80"/>
        <v>0.0144</v>
      </c>
      <c r="DB117" s="101">
        <f t="shared" si="81"/>
        <v>3390.61826968737</v>
      </c>
      <c r="DC117" s="99">
        <f>IF(VLOOKUP($E117,武器奇术!$A:$R,18,FALSE)="极乐",0,$B$15)</f>
        <v>66</v>
      </c>
      <c r="DD117" s="91">
        <f t="shared" si="111"/>
        <v>95.9</v>
      </c>
      <c r="DE117" s="91">
        <f>IF(VLOOKUP($E117,武器奇术!$A:$R,18,FALSE)="极乐",0,$C$15)</f>
        <v>125.8</v>
      </c>
      <c r="DF117" s="93">
        <f>IF((IF(VLOOKUP($E117,武器奇术!$A:$R,17,FALSE)="鸣金",$D$7,0)+IF(VLOOKUP($E117,武器奇术!$A:$R,17,FALSE)="裂石",$D$9,0)+IF(VLOOKUP($E117,武器奇术!$A:$R,17,FALSE)="牵丝",$D$11,0)+IF(VLOOKUP($E117,武器奇术!$A:$R,17,FALSE)="破竹",$D$13,0)+$D$15-VLOOKUP($F$7,目标属性!$A:$R,6,FALSE)+IF(VLOOKUP($E117,武器奇术!$A:$V,22,FALSE)=1,4,0)+IF(VLOOKUP($E117,武器奇术!$A:$T,20,FALSE)=1,10,0))&gt;0,(IF(VLOOKUP($E117,武器奇术!$A:$R,17,FALSE)="鸣金",$D$7,0)+IF(VLOOKUP($E117,武器奇术!$A:$R,17,FALSE)="裂石",$D$9,0)+IF(VLOOKUP($E117,武器奇术!$A:$R,17,FALSE)="牵丝",$D$11,0)+IF(VLOOKUP($E117,武器奇术!$A:$R,17,FALSE)="破竹",$D$13,0)+$D$15-VLOOKUP($F$7,目标属性!$A:$R,6,FALSE)+IF(VLOOKUP($E117,武器奇术!$A:$V,22,FALSE)=1,4,0)+IF(VLOOKUP($E117,武器奇术!$A:$T,20,FALSE)=1,10,0))/200,(IF(VLOOKUP($E117,武器奇术!$A:$R,17,FALSE)="鸣金",$D$7,0)+IF(VLOOKUP($E117,武器奇术!$A:$R,17,FALSE)="裂石",$D$9,0)+IF(VLOOKUP($E117,武器奇术!$A:$R,17,FALSE)="牵丝",$D$11,0)+IF(VLOOKUP($E117,武器奇术!$A:$R,17,FALSE)="破竹",$D$13,0)+$D$15-VLOOKUP($F$7,目标属性!$A:$R,6,FALSE)+IF(VLOOKUP($E117,武器奇术!$A:$V,22,FALSE)=1,4,0)+IF(VLOOKUP($E117,武器奇术!$A:$T,20,FALSE)=1,10,0))/100)</f>
        <v>0.078</v>
      </c>
      <c r="DG117" s="120">
        <f>$E$13+IF(期望!$G$5="燕归",6%,0)</f>
        <v>0.208</v>
      </c>
      <c r="DH117" s="91">
        <v>1</v>
      </c>
      <c r="DI117" s="92">
        <f>DC117*IF(VLOOKUP($E117,武器奇术!$A:$R,17,FALSE)="破竹",VLOOKUP($E117,武器奇术!$A:$R,4,FALSE),VLOOKUP($E117,武器奇术!$A:$R,2,FALSE))*(1+DF117)*(1+DG117)*DH117</f>
        <v>91.78085169792</v>
      </c>
      <c r="DJ117" s="93">
        <f>(1-IF(VLOOKUP($E117,武器奇术!$A:$R,16,FALSE)="陌刀",1,$N117))*(1-$M117)</f>
        <v>0</v>
      </c>
      <c r="DK117" s="92">
        <f>DD117*IF(VLOOKUP($E117,武器奇术!$A:$R,17,FALSE)="破竹",VLOOKUP($E117,武器奇术!$A:$R,4,FALSE),VLOOKUP($E117,武器奇术!$A:$R,2,FALSE))*(1+DF117)*(1+DG117)*DH117*(1+$E$16+VLOOKUP($E117,武器奇术!$A:$R,8,FALSE))</f>
        <v>319.264698859489</v>
      </c>
      <c r="DL117" s="93">
        <f t="shared" si="104"/>
        <v>0.887</v>
      </c>
      <c r="DM117" s="92">
        <f>DE117*IF(VLOOKUP($E117,武器奇术!$A:$R,17,FALSE)="破竹",VLOOKUP($E117,武器奇术!$A:$R,4,FALSE),VLOOKUP($E117,武器奇术!$A:$R,2,FALSE))*(1+DF117)*(1+DG117)*DH117*(1+$E$17+VLOOKUP($E117,武器奇术!$A:$R,10,FALSE))</f>
        <v>236.16881884633</v>
      </c>
      <c r="DN117" s="93">
        <f t="shared" si="105"/>
        <v>0.0986</v>
      </c>
      <c r="DO117" s="92">
        <f>DD117*IF(VLOOKUP($E117,武器奇术!$A:$R,17,FALSE)="破竹",VLOOKUP($E117,武器奇术!$A:$R,4,FALSE),VLOOKUP($E117,武器奇术!$A:$R,2,FALSE))*(1+DF117)*(1+DG117)*DH117</f>
        <v>133.360358755008</v>
      </c>
      <c r="DP117" s="93">
        <f t="shared" si="106"/>
        <v>0.0144</v>
      </c>
      <c r="DQ117" s="101">
        <f t="shared" si="107"/>
        <v>308.394422592687</v>
      </c>
    </row>
    <row r="118" spans="1:121">
      <c r="B118" t="s">
        <v>143</v>
      </c>
      <c r="C118">
        <v>1.3</v>
      </c>
      <c r="E118" s="105" t="s">
        <v>202</v>
      </c>
      <c r="F118" s="106">
        <v>1</v>
      </c>
      <c r="G118" s="107">
        <f t="shared" ref="G118:G126" si="115">$E$24</f>
        <v>0</v>
      </c>
      <c r="H118" s="131">
        <f>IF(VLOOKUP($E118,武器奇术!$A:$R,18,FALSE)="天工",AE118,(AE118+AT118+BI118+BX118+CM118+DB118+DQ118))*(1+J118)*F118*K118*(1+G118)*(1+$G$21*5%)</f>
        <v>38370.5847653476</v>
      </c>
      <c r="I118" s="93">
        <f t="shared" si="58"/>
        <v>0.00492228292961298</v>
      </c>
      <c r="J118" s="93">
        <f>$F$3+VLOOKUP($E118,武器奇术!$A:$R,12,FALSE)+VLOOKUP($E118,武器奇术!$A:$R,14,FALSE)*$G$3+$P118</f>
        <v>0.713</v>
      </c>
      <c r="K118" s="94">
        <f>VLOOKUP($E118,武器奇术!$A:$R,11,FALSE)</f>
        <v>1</v>
      </c>
      <c r="L118" s="109">
        <f>IF(VLOOKUP($E118,武器奇术!$A:$R,15,FALSE)="天工",0%,IF($C$17+VLOOKUP($E118,武器奇术!$A:$R,7,FALSE)&gt;80%,80%,$C$17+VLOOKUP($E118,武器奇术!$A:$R,7,FALSE))+IF($C$19&gt;20%,20%,$C$19))</f>
        <v>0.887</v>
      </c>
      <c r="M118" s="110">
        <f>IF(VLOOKUP($E118,武器奇术!$A:$R,15,FALSE)="天工",0%,IF($C$18+VLOOKUP($E118,武器奇术!$A:$R,9,FALSE)&gt;40%,40%,$C$18+VLOOKUP($E118,武器奇术!$A:$R,9,FALSE))+IF($C$20&gt;10%,10%,$C$20))</f>
        <v>0.0986</v>
      </c>
      <c r="N118" s="111">
        <f>IF(VLOOKUP($E118,武器奇术!$A:$R,15,FALSE)="天工",100%,MIN($C$16,1))</f>
        <v>1</v>
      </c>
      <c r="O118" s="112" t="str">
        <f>VLOOKUP($E118,武器奇术!$A:$R,16,FALSE)</f>
        <v>双刀</v>
      </c>
      <c r="P118" s="113">
        <f t="shared" si="108"/>
        <v>0.17</v>
      </c>
      <c r="Q118" s="99">
        <f>$B$5*(1+VLOOKUP($E118,武器奇术!$A:$R,5,FALSE)+IF($G$5="飞隼",0.1,0)+IF($G$5="撼天",0.05,0))-$F$9*IF(VLOOKUP($E118,武器奇术!$A:$S,19,FALSE)=1,0.9,1)+IF($I$5="√",160,0)</f>
        <v>2904.2</v>
      </c>
      <c r="R118" s="91">
        <f t="shared" si="60"/>
        <v>2904.2</v>
      </c>
      <c r="S118" s="91">
        <f>MAX($C$5,$B$5)*(1+VLOOKUP($E118,武器奇术!$A:$R,5,FALSE)+IF($G$5="飞隼",0.1,0)+IF($G$5="撼天",0.05,0))-$F$9*IF(VLOOKUP($E118,武器奇术!$A:$S,19,FALSE)=1,0.9,1)+IF($I$5="√",320,0)</f>
        <v>2904.2</v>
      </c>
      <c r="T118" s="93">
        <f>IF(($D$5+VLOOKUP($E118,武器奇术!$A:$R,13,FALSE)+IF($I$3="√",10,0)-VLOOKUP($F$7,目标属性!$A:$R,5,FALSE))&gt;0,($D$5+VLOOKUP($E118,武器奇术!$A:$R,13,FALSE)+IF($I$3="√",10,0)-VLOOKUP($F$7,目标属性!$A:$R,5,FALSE))/200,($D$5+VLOOKUP($E118,武器奇术!$A:$R,13,FALSE)+IF($I$3="√",10,0)-VLOOKUP($F$7,目标属性!$A:$R,5,FALSE))/100)</f>
        <v>0.3925</v>
      </c>
      <c r="U118" s="120">
        <f>$E$5+IF(VLOOKUP($E118,武器奇术!$A:$R,18,FALSE)="鼠鼠",0.24,0)+IF(期望!$G$5="燕归",6/100,0)</f>
        <v>0.06</v>
      </c>
      <c r="V118" s="91">
        <v>1</v>
      </c>
      <c r="W118" s="92">
        <f>Q118*VLOOKUP($E118,武器奇术!$A:$R,2,FALSE)*(1+T118)*(1+U118)*V118</f>
        <v>4249.5354685212</v>
      </c>
      <c r="X118" s="93">
        <f>(1-IF(VLOOKUP($E118,武器奇术!$A:$R,16,FALSE)="陌刀",1,$N118))*(1-$M118)</f>
        <v>0</v>
      </c>
      <c r="Y118" s="92">
        <f>R118*VLOOKUP($E118,武器奇术!$A:$R,2,FALSE)*(1+T118)*(1+U118)*V118*(1+$E$16+VLOOKUP($E118,武器奇术!$A:$R,8,FALSE))</f>
        <v>10173.3879116398</v>
      </c>
      <c r="Z118" s="93">
        <f t="shared" si="61"/>
        <v>0.887</v>
      </c>
      <c r="AA118" s="92">
        <f>S118*VLOOKUP($E118,武器奇术!$A:$R,2,FALSE)*(1+T118)*(1+U118)*V118*(1+$E$17+VLOOKUP($E118,武器奇术!$A:$R,10,FALSE))</f>
        <v>5736.87288250362</v>
      </c>
      <c r="AB118" s="93">
        <f t="shared" si="62"/>
        <v>0.0986</v>
      </c>
      <c r="AC118" s="92">
        <f>R118*VLOOKUP($E118,武器奇术!$A:$R,2,FALSE)*(1+T118)*(1+U118)*V118</f>
        <v>4249.5354685212</v>
      </c>
      <c r="AD118" s="93">
        <f t="shared" si="63"/>
        <v>0.0144</v>
      </c>
      <c r="AE118" s="101">
        <f t="shared" si="64"/>
        <v>9650.64405458606</v>
      </c>
      <c r="AF118" s="102">
        <f>VLOOKUP($E118,武器奇术!$A:$R,3,FALSE)*(1+IF(VLOOKUP($E118,武器奇术!$A:$R,15,FALSE)="武器",$E$15,0))</f>
        <v>357.5</v>
      </c>
      <c r="AG118" s="92">
        <f t="shared" si="65"/>
        <v>357.5</v>
      </c>
      <c r="AH118" s="92">
        <f>VLOOKUP($E118,武器奇术!$A:$R,3,FALSE)*(1+IF(VLOOKUP($E118,武器奇术!$A:$R,15,FALSE)="武器",$E$15,0))</f>
        <v>357.5</v>
      </c>
      <c r="AI118" s="93">
        <f>IF(($D$5+VLOOKUP($E118,武器奇术!$A:$R,13,FALSE)+IF($I$3="√",10,0)-VLOOKUP($F$7,目标属性!$A:$R,5,FALSE))&gt;0,($D$5+VLOOKUP($E118,武器奇术!$A:$R,13,FALSE)+IF($I$3="√",10,0)-VLOOKUP($F$7,目标属性!$A:$R,5,FALSE))/200,($D$5+VLOOKUP($E118,武器奇术!$A:$R,13,FALSE)+IF($I$3="√",10,0)-VLOOKUP($F$7,目标属性!$A:$R,5,FALSE))/100)</f>
        <v>0.3925</v>
      </c>
      <c r="AJ118" s="120">
        <f>$E$5+IF(VLOOKUP($E118,武器奇术!$A:$R,18,FALSE)="鼠鼠",0.24,0)+IF(期望!$G$5="燕归",6/100,0)</f>
        <v>0.06</v>
      </c>
      <c r="AK118" s="91">
        <v>1</v>
      </c>
      <c r="AL118" s="92">
        <f t="shared" si="109"/>
        <v>527.687875</v>
      </c>
      <c r="AM118" s="93">
        <f>(1-IF(VLOOKUP($E118,武器奇术!$A:$R,16,FALSE)="陌刀",1,$N118))*(1-$M118)</f>
        <v>0</v>
      </c>
      <c r="AN118" s="92">
        <f>AG118*(1+AI118)*(1+AJ118)*AK118*(1+$E$16+VLOOKUP($E118,武器奇术!$A:$R,8,FALSE))</f>
        <v>1263.28477275</v>
      </c>
      <c r="AO118" s="93">
        <f t="shared" si="94"/>
        <v>0.887</v>
      </c>
      <c r="AP118" s="92">
        <f>AH118*(1+AI118)*(1+AJ118)*AK118*(1+$E$17+VLOOKUP($E118,武器奇术!$A:$R,10,FALSE))</f>
        <v>712.37863125</v>
      </c>
      <c r="AQ118" s="93">
        <f t="shared" si="95"/>
        <v>0.0986</v>
      </c>
      <c r="AR118" s="92">
        <f t="shared" si="67"/>
        <v>527.687875</v>
      </c>
      <c r="AS118" s="93">
        <f t="shared" si="68"/>
        <v>0.0144</v>
      </c>
      <c r="AT118" s="101">
        <f t="shared" si="69"/>
        <v>1198.3728318705</v>
      </c>
      <c r="AU118" s="99">
        <f>IF(VLOOKUP($E118,武器奇术!$A:$R,18,FALSE)="极乐",0,$B$7*IF($G$5="撼天",1.05,1)+IF(AND(VLOOKUP($E118,武器奇术!$A:$R,15,FALSE)="武器",VLOOKUP($E118,武器奇术!$A:$R,17,FALSE)="鸣金"),$E$3*(1+$E$15),0))</f>
        <v>0</v>
      </c>
      <c r="AV118" s="91">
        <f t="shared" si="70"/>
        <v>0</v>
      </c>
      <c r="AW118" s="91">
        <f>IF(VLOOKUP($E118,武器奇术!$A:$R,18,FALSE)="极乐",0,MAX($C$7*IF($G$5="撼天",1.05,1)+IF(AND(VLOOKUP($E118,武器奇术!$A:$R,15,FALSE)="武器",VLOOKUP($E118,武器奇术!$A:$R,17,FALSE)="鸣金"),$E$3*(1+$E$15),0),AU118))</f>
        <v>0</v>
      </c>
      <c r="AX118" s="93">
        <f>IF(($D$7+IF(VLOOKUP($E118,武器奇术!$A:$R,17,FALSE)="鸣金",$D$15,0)-VLOOKUP($F$7,目标属性!$A:$R,6,FALSE))&gt;0,($D$7+IF(VLOOKUP($E118,武器奇术!$A:$R,17,FALSE)="鸣金",$D$15,0)-VLOOKUP($F$7,目标属性!$A:$R,6,FALSE))/200,($D$7+IF(VLOOKUP($E118,武器奇术!$A:$R,17,FALSE)="鸣金",$D$15,0)-VLOOKUP($F$7,目标属性!$A:$R,6,FALSE))/100)</f>
        <v>-0.24</v>
      </c>
      <c r="AY118" s="100">
        <f t="shared" si="89"/>
        <v>0</v>
      </c>
      <c r="AZ118" s="91">
        <v>1</v>
      </c>
      <c r="BA118" s="92">
        <f>AU118*IF(VLOOKUP($E118,武器奇术!$A:$R,17,FALSE)="鸣金",VLOOKUP($E118,武器奇术!$A:$R,4,FALSE),VLOOKUP($E118,武器奇术!$A:$R,2,FALSE))*(1+AX118)*(1+AY118)*AZ118</f>
        <v>0</v>
      </c>
      <c r="BB118" s="93">
        <f>(1-IF(VLOOKUP($E118,武器奇术!$A:$R,16,FALSE)="陌刀",1,$N118))*(1-$M118)</f>
        <v>0</v>
      </c>
      <c r="BC118" s="92">
        <f>AV118*IF(VLOOKUP($E118,武器奇术!$A:$R,17,FALSE)="鸣金",VLOOKUP($E118,武器奇术!$A:$R,4,FALSE),VLOOKUP($E118,武器奇术!$A:$R,2,FALSE))*(1+AX118)*(1+AY118)*AZ118*(1+$E$16+VLOOKUP($E118,武器奇术!$A:$R,8,FALSE))</f>
        <v>0</v>
      </c>
      <c r="BD118" s="93">
        <f t="shared" si="96"/>
        <v>0.887</v>
      </c>
      <c r="BE118" s="92">
        <f>AW118*IF(VLOOKUP($E118,武器奇术!$A:$R,17,FALSE)="鸣金",VLOOKUP($E118,武器奇术!$A:$R,4,FALSE),VLOOKUP($E118,武器奇术!$A:$R,2,FALSE))*(1+AX118)*(1+AY118)*AZ118*(1+$E$17+VLOOKUP($E118,武器奇术!$A:$R,10,FALSE))</f>
        <v>0</v>
      </c>
      <c r="BF118" s="93">
        <f t="shared" si="97"/>
        <v>0.0986</v>
      </c>
      <c r="BG118" s="92">
        <f>AV118*IF(VLOOKUP($E118,武器奇术!$A:$R,17,FALSE)="鸣金",VLOOKUP($E118,武器奇术!$A:$R,4,FALSE),VLOOKUP($E118,武器奇术!$A:$R,2,FALSE))*(1+AX118)*(1+AY118)*AZ118</f>
        <v>0</v>
      </c>
      <c r="BH118" s="93">
        <f t="shared" si="71"/>
        <v>0.0144</v>
      </c>
      <c r="BI118" s="101">
        <f t="shared" si="72"/>
        <v>0</v>
      </c>
      <c r="BJ118" s="99">
        <f>IF(VLOOKUP($E118,武器奇术!$A:$R,18,FALSE)="极乐",0,$B$9*IF($G$5="撼天",1.05,1)+IF(AND(VLOOKUP($E118,武器奇术!$A:$R,15,FALSE)="武器",VLOOKUP($E118,武器奇术!$A:$R,17,FALSE)="裂石"),$E$3*(1+$E$15),0))</f>
        <v>0</v>
      </c>
      <c r="BK118" s="91">
        <f t="shared" si="73"/>
        <v>0</v>
      </c>
      <c r="BL118" s="91">
        <f>IF(VLOOKUP($E118,武器奇术!$A:$R,18,FALSE)="极乐",0,MAX($C$9*IF($G$5="撼天",1.05,1)+IF(AND(VLOOKUP($E118,武器奇术!$A:$R,15,FALSE)="武器",VLOOKUP($E118,武器奇术!$A:$R,17,FALSE)="裂石"),$E$3*(1+$E$15),0),BJ118))</f>
        <v>0</v>
      </c>
      <c r="BM118" s="93">
        <f>IF(($D$9+IF(VLOOKUP($E118,武器奇术!$A:$R,17,FALSE)="裂石",$D$15,0)-VLOOKUP($F$7,目标属性!$A:$R,6,FALSE))&gt;0,($D$9+IF(VLOOKUP($E118,武器奇术!$A:$R,17,FALSE)="裂石",$D$15,0)-VLOOKUP($F$7,目标属性!$A:$R,6,FALSE))/200,($D$9+IF(VLOOKUP($E118,武器奇术!$A:$R,17,FALSE)="裂石",$D$15,0)-VLOOKUP($F$7,目标属性!$A:$R,6,FALSE))/100)</f>
        <v>-0.24</v>
      </c>
      <c r="BN118" s="100">
        <f t="shared" si="90"/>
        <v>0</v>
      </c>
      <c r="BO118" s="91">
        <v>1</v>
      </c>
      <c r="BP118" s="92">
        <f>BJ118*IF(VLOOKUP($E118,武器奇术!$A:$R,17,FALSE)="裂石",VLOOKUP($E118,武器奇术!$A:$R,4,FALSE),VLOOKUP($E118,武器奇术!$A:$R,2,FALSE))*(1+BM118)*(1+BN118)*BO118</f>
        <v>0</v>
      </c>
      <c r="BQ118" s="93">
        <f>(1-IF(VLOOKUP($E118,武器奇术!$A:$R,16,FALSE)="陌刀",1,$N118))*(1-$M118)</f>
        <v>0</v>
      </c>
      <c r="BR118" s="92">
        <f>BK118*IF(VLOOKUP($E118,武器奇术!$A:$R,17,FALSE)="裂石",VLOOKUP($E118,武器奇术!$A:$R,4,FALSE),VLOOKUP($E118,武器奇术!$A:$R,2,FALSE))*(1+BM118)*(1+BN118)*BO118*(1+$E$16+VLOOKUP($E118,武器奇术!$A:$R,8,FALSE))</f>
        <v>0</v>
      </c>
      <c r="BS118" s="93">
        <f t="shared" si="98"/>
        <v>0.887</v>
      </c>
      <c r="BT118" s="92">
        <f>BL118*IF(VLOOKUP($E118,武器奇术!$A:$R,17,FALSE)="裂石",VLOOKUP($E118,武器奇术!$A:$R,4,FALSE),VLOOKUP($E118,武器奇术!$A:$R,2,FALSE))*(1+BM118)*(1+BN118)*BO118*(1+$E$17+VLOOKUP($E118,武器奇术!$A:$R,10,FALSE))</f>
        <v>0</v>
      </c>
      <c r="BU118" s="93">
        <f t="shared" si="99"/>
        <v>0.0986</v>
      </c>
      <c r="BV118" s="92">
        <f>BK118*IF(VLOOKUP($E118,武器奇术!$A:$R,17,FALSE)="裂石",VLOOKUP($E118,武器奇术!$A:$R,4,FALSE),VLOOKUP($E118,武器奇术!$A:$R,2,FALSE))*(1+BM118)*(1+BN118)*BO118</f>
        <v>0</v>
      </c>
      <c r="BW118" s="93">
        <f t="shared" si="74"/>
        <v>0.0144</v>
      </c>
      <c r="BX118" s="101">
        <f t="shared" si="75"/>
        <v>0</v>
      </c>
      <c r="BY118" s="99">
        <f>IF(VLOOKUP($E118,武器奇术!$A:$R,18,FALSE)="极乐",0,$B$11*IF($G$5="撼天",1.05,1)+IF(AND(VLOOKUP($E118,武器奇术!$A:$R,15,FALSE)="武器",VLOOKUP($E118,武器奇术!$A:$R,17,FALSE)="牵丝"),$E$3*(1+$E$15),0))</f>
        <v>0</v>
      </c>
      <c r="BZ118" s="91">
        <f t="shared" si="76"/>
        <v>0</v>
      </c>
      <c r="CA118" s="91">
        <f>IF(VLOOKUP($E118,武器奇术!$A:$R,18,FALSE)="极乐",0,MAX($C$11*IF($G$5="撼天",1.05,1)+IF(AND(VLOOKUP($E118,武器奇术!$A:$R,15,FALSE)="武器",VLOOKUP($E118,武器奇术!$A:$R,17,FALSE)="牵丝"),$E$3*(1+$E$15),0),BY118))</f>
        <v>0</v>
      </c>
      <c r="CB118" s="93">
        <f>IF(($D$11+IF(VLOOKUP($E118,武器奇术!$A:$R,17,FALSE)="牵丝",$D$15,0)-VLOOKUP($F$7,目标属性!$A:$R,6,FALSE))&gt;0,($D$11+IF(VLOOKUP($E118,武器奇术!$A:$R,17,FALSE)="牵丝",$D$15,0)-VLOOKUP($F$7,目标属性!$A:$R,6,FALSE))/200,($D$11+IF(VLOOKUP($E118,武器奇术!$A:$R,17,FALSE)="牵丝",$D$15,0)-VLOOKUP($F$7,目标属性!$A:$R,6,FALSE))/100)</f>
        <v>-0.24</v>
      </c>
      <c r="CC118" s="100">
        <f t="shared" si="91"/>
        <v>0</v>
      </c>
      <c r="CD118" s="91">
        <v>1</v>
      </c>
      <c r="CE118" s="92">
        <f>BY118*IF(VLOOKUP($E118,武器奇术!$A:$R,17,FALSE)="牵丝",VLOOKUP($E118,武器奇术!$A:$R,4,FALSE),VLOOKUP($E118,武器奇术!$A:$R,2,FALSE))*(1+CB118)*(1+CC118)*CD118</f>
        <v>0</v>
      </c>
      <c r="CF118" s="93">
        <f>(1-IF(VLOOKUP($E118,武器奇术!$A:$R,16,FALSE)="陌刀",1,$N118))*(1-$M118)</f>
        <v>0</v>
      </c>
      <c r="CG118" s="92">
        <f>BZ118*IF(VLOOKUP($E118,武器奇术!$A:$R,17,FALSE)="牵丝",VLOOKUP($E118,武器奇术!$A:$R,4,FALSE),VLOOKUP($E118,武器奇术!$A:$R,2,FALSE))*(1+CB118)*(1+CC118)*CD118*(1+$E$16+VLOOKUP($E118,武器奇术!$A:$R,8,FALSE))</f>
        <v>0</v>
      </c>
      <c r="CH118" s="93">
        <f t="shared" si="100"/>
        <v>0.887</v>
      </c>
      <c r="CI118" s="92">
        <f>CA118*IF(VLOOKUP($E118,武器奇术!$A:$R,17,FALSE)="牵丝",VLOOKUP($E118,武器奇术!$A:$R,4,FALSE),VLOOKUP($E118,武器奇术!$A:$R,2,FALSE))*(1+CB118)*(1+CC118)*CD118*(1+$E$17+VLOOKUP($E118,武器奇术!$A:$R,10,FALSE))</f>
        <v>0</v>
      </c>
      <c r="CJ118" s="93">
        <f t="shared" si="101"/>
        <v>0.0986</v>
      </c>
      <c r="CK118" s="92">
        <f>BZ118*IF(VLOOKUP($E118,武器奇术!$A:$R,17,FALSE)="牵丝",VLOOKUP($E118,武器奇术!$A:$R,4,FALSE),VLOOKUP($E118,武器奇术!$A:$R,2,FALSE))*(1+CB118)*(1+CC118)*CD118</f>
        <v>0</v>
      </c>
      <c r="CL118" s="93">
        <f t="shared" si="77"/>
        <v>0.0144</v>
      </c>
      <c r="CM118" s="101">
        <f t="shared" si="78"/>
        <v>0</v>
      </c>
      <c r="CN118" s="99">
        <f>IF(VLOOKUP($E118,武器奇术!$A:$R,18,FALSE)="极乐",0,$B$13*IF($G$5="撼天",1.05,1)+IF(AND(VLOOKUP($E118,武器奇术!$A:$R,15,FALSE)="武器",VLOOKUP($E118,武器奇术!$A:$R,17,FALSE)="破竹"),$E$3*(1+$E$15),0))</f>
        <v>686.71</v>
      </c>
      <c r="CO118" s="91">
        <f t="shared" si="79"/>
        <v>1052.21</v>
      </c>
      <c r="CP118" s="91">
        <f>IF(VLOOKUP($E118,武器奇术!$A:$R,18,FALSE)="极乐",0,MAX($C$13*IF($G$5="撼天",1.05,1)+IF(AND(VLOOKUP($E118,武器奇术!$A:$R,15,FALSE)="武器",VLOOKUP($E118,武器奇术!$A:$R,17,FALSE)="破竹"),$E$3*(1+$E$15),0),CN118))</f>
        <v>1417.71</v>
      </c>
      <c r="CQ118" s="93">
        <f>IF(($D$13+IF(VLOOKUP($E118,武器奇术!$A:$R,17,FALSE)="破竹",$D$15,0)-VLOOKUP($F$7,目标属性!$A:$R,6,FALSE)+IF(VLOOKUP($E118,武器奇术!$A:$V,22,FALSE)=1,4,0)+IF(VLOOKUP($E118,武器奇术!$A:$T,20,FALSE)=1,10,0))&gt;0,($D$13+IF(VLOOKUP($E118,武器奇术!$A:$R,17,FALSE)="破竹",$D$15,0)-VLOOKUP($F$7,目标属性!$A:$R,6,FALSE)+IF(VLOOKUP($E118,武器奇术!$A:$V,22,FALSE)=1,4,0)+IF(VLOOKUP($E118,武器奇术!$A:$T,20,FALSE)=1,10,0))/200,($D$13+IF(VLOOKUP($E118,武器奇术!$A:$R,17,FALSE)="破竹",$D$15,0)-VLOOKUP($F$7,目标属性!$A:$R,6,FALSE)+IF(VLOOKUP($E118,武器奇术!$A:$V,22,FALSE)=1,4,0)+IF(VLOOKUP($E118,武器奇术!$A:$T,20,FALSE)=1,10,0))/100)</f>
        <v>0.078</v>
      </c>
      <c r="CR118" s="120">
        <f>$E$13+IF(期望!$G$5="燕归",6%,0)</f>
        <v>0.208</v>
      </c>
      <c r="CS118" s="91">
        <v>1</v>
      </c>
      <c r="CT118" s="92">
        <f>CN118*IF(VLOOKUP($E118,武器奇术!$A:$R,17,FALSE)="破竹",VLOOKUP($E118,武器奇术!$A:$R,4,FALSE),VLOOKUP($E118,武器奇术!$A:$R,2,FALSE))*(1+CQ118)*(1+CR118)*CS118</f>
        <v>1329.73222639562</v>
      </c>
      <c r="CU118" s="93">
        <f>(1-IF(VLOOKUP($E118,武器奇术!$A:$R,16,FALSE)="陌刀",1,$N118))*(1-$M118)</f>
        <v>0</v>
      </c>
      <c r="CV118" s="92">
        <f>CO118*IF(VLOOKUP($E118,武器奇术!$A:$R,17,FALSE)="破竹",VLOOKUP($E118,武器奇术!$A:$R,4,FALSE),VLOOKUP($E118,武器奇术!$A:$R,2,FALSE))*(1+CQ118)*(1+CR118)*CS118*(1+$E$16+VLOOKUP($E118,武器奇术!$A:$R,8,FALSE))</f>
        <v>4877.72591773842</v>
      </c>
      <c r="CW118" s="93">
        <f t="shared" si="102"/>
        <v>0.887</v>
      </c>
      <c r="CX118" s="92">
        <f>CP118*IF(VLOOKUP($E118,武器奇术!$A:$R,17,FALSE)="破竹",VLOOKUP($E118,武器奇术!$A:$R,4,FALSE),VLOOKUP($E118,武器奇术!$A:$R,2,FALSE))*(1+CQ118)*(1+CR118)*CS118*(1+$E$17+VLOOKUP($E118,武器奇术!$A:$R,10,FALSE))</f>
        <v>3706.0561384318</v>
      </c>
      <c r="CY118" s="93">
        <f t="shared" si="103"/>
        <v>0.0986</v>
      </c>
      <c r="CZ118" s="92">
        <f>CO118*IF(VLOOKUP($E118,武器奇术!$A:$R,17,FALSE)="破竹",VLOOKUP($E118,武器奇术!$A:$R,4,FALSE),VLOOKUP($E118,武器奇术!$A:$R,2,FALSE))*(1+CQ118)*(1+CR118)*CS118</f>
        <v>2037.47949780218</v>
      </c>
      <c r="DA118" s="93">
        <f t="shared" si="80"/>
        <v>0.0144</v>
      </c>
      <c r="DB118" s="101">
        <f t="shared" si="81"/>
        <v>4721.2997290517</v>
      </c>
      <c r="DC118" s="99">
        <f>IF(VLOOKUP($E118,武器奇术!$A:$R,18,FALSE)="极乐",0,$B$15)</f>
        <v>66</v>
      </c>
      <c r="DD118" s="91">
        <f t="shared" si="111"/>
        <v>95.9</v>
      </c>
      <c r="DE118" s="91">
        <f>IF(VLOOKUP($E118,武器奇术!$A:$R,18,FALSE)="极乐",0,$C$15)</f>
        <v>125.8</v>
      </c>
      <c r="DF118" s="93">
        <f>IF((IF(VLOOKUP($E118,武器奇术!$A:$R,17,FALSE)="鸣金",$D$7,0)+IF(VLOOKUP($E118,武器奇术!$A:$R,17,FALSE)="裂石",$D$9,0)+IF(VLOOKUP($E118,武器奇术!$A:$R,17,FALSE)="牵丝",$D$11,0)+IF(VLOOKUP($E118,武器奇术!$A:$R,17,FALSE)="破竹",$D$13,0)+$D$15-VLOOKUP($F$7,目标属性!$A:$R,6,FALSE)+IF(VLOOKUP($E118,武器奇术!$A:$V,22,FALSE)=1,4,0)+IF(VLOOKUP($E118,武器奇术!$A:$T,20,FALSE)=1,10,0))&gt;0,(IF(VLOOKUP($E118,武器奇术!$A:$R,17,FALSE)="鸣金",$D$7,0)+IF(VLOOKUP($E118,武器奇术!$A:$R,17,FALSE)="裂石",$D$9,0)+IF(VLOOKUP($E118,武器奇术!$A:$R,17,FALSE)="牵丝",$D$11,0)+IF(VLOOKUP($E118,武器奇术!$A:$R,17,FALSE)="破竹",$D$13,0)+$D$15-VLOOKUP($F$7,目标属性!$A:$R,6,FALSE)+IF(VLOOKUP($E118,武器奇术!$A:$V,22,FALSE)=1,4,0)+IF(VLOOKUP($E118,武器奇术!$A:$T,20,FALSE)=1,10,0))/200,(IF(VLOOKUP($E118,武器奇术!$A:$R,17,FALSE)="鸣金",$D$7,0)+IF(VLOOKUP($E118,武器奇术!$A:$R,17,FALSE)="裂石",$D$9,0)+IF(VLOOKUP($E118,武器奇术!$A:$R,17,FALSE)="牵丝",$D$11,0)+IF(VLOOKUP($E118,武器奇术!$A:$R,17,FALSE)="破竹",$D$13,0)+$D$15-VLOOKUP($F$7,目标属性!$A:$R,6,FALSE)+IF(VLOOKUP($E118,武器奇术!$A:$V,22,FALSE)=1,4,0)+IF(VLOOKUP($E118,武器奇术!$A:$T,20,FALSE)=1,10,0))/100)</f>
        <v>0.078</v>
      </c>
      <c r="DG118" s="120">
        <f>$E$13+IF(期望!$G$5="燕归",6%,0)</f>
        <v>0.208</v>
      </c>
      <c r="DH118" s="91">
        <v>1</v>
      </c>
      <c r="DI118" s="92">
        <f>DC118*IF(VLOOKUP($E118,武器奇术!$A:$R,17,FALSE)="破竹",VLOOKUP($E118,武器奇术!$A:$R,4,FALSE),VLOOKUP($E118,武器奇术!$A:$R,2,FALSE))*(1+DF118)*(1+DG118)*DH118</f>
        <v>127.80114887232</v>
      </c>
      <c r="DJ118" s="93">
        <f>(1-IF(VLOOKUP($E118,武器奇术!$A:$R,16,FALSE)="陌刀",1,$N118))*(1-$M118)</f>
        <v>0</v>
      </c>
      <c r="DK118" s="92">
        <f>DD118*IF(VLOOKUP($E118,武器奇术!$A:$R,17,FALSE)="破竹",VLOOKUP($E118,武器奇术!$A:$R,4,FALSE),VLOOKUP($E118,武器奇术!$A:$R,2,FALSE))*(1+DF118)*(1+DG118)*DH118*(1+$E$16+VLOOKUP($E118,武器奇术!$A:$R,8,FALSE))</f>
        <v>444.563267324122</v>
      </c>
      <c r="DL118" s="93">
        <f t="shared" si="104"/>
        <v>0.887</v>
      </c>
      <c r="DM118" s="92">
        <f>DE118*IF(VLOOKUP($E118,武器奇术!$A:$R,17,FALSE)="破竹",VLOOKUP($E118,武器奇术!$A:$R,4,FALSE),VLOOKUP($E118,武器奇术!$A:$R,2,FALSE))*(1+DF118)*(1+DG118)*DH118*(1+$E$17+VLOOKUP($E118,武器奇术!$A:$R,10,FALSE))</f>
        <v>328.855592621002</v>
      </c>
      <c r="DN118" s="93">
        <f t="shared" si="105"/>
        <v>0.0986</v>
      </c>
      <c r="DO118" s="92">
        <f>DD118*IF(VLOOKUP($E118,武器奇术!$A:$R,17,FALSE)="破竹",VLOOKUP($E118,武器奇术!$A:$R,4,FALSE),VLOOKUP($E118,武器奇术!$A:$R,2,FALSE))*(1+DF118)*(1+DG118)*DH118</f>
        <v>185.698942073568</v>
      </c>
      <c r="DP118" s="93">
        <f t="shared" si="106"/>
        <v>0.0144</v>
      </c>
      <c r="DQ118" s="101">
        <f t="shared" si="107"/>
        <v>429.426844314786</v>
      </c>
    </row>
    <row r="119" spans="1:121">
      <c r="B119" t="s">
        <v>165</v>
      </c>
      <c r="C119">
        <v>2</v>
      </c>
      <c r="E119" s="105" t="s">
        <v>203</v>
      </c>
      <c r="F119" s="106">
        <v>1</v>
      </c>
      <c r="G119" s="107">
        <f t="shared" si="115"/>
        <v>0</v>
      </c>
      <c r="H119" s="131">
        <f>IF(VLOOKUP($E119,武器奇术!$A:$R,18,FALSE)="天工",AE119,(AE119+AT119+BI119+BX119+CM119+DB119+DQ119))*(1+J119)*F119*K119*(1+G119)*(1+$G$21*5%)</f>
        <v>61545.8980260184</v>
      </c>
      <c r="I119" s="93">
        <f t="shared" si="58"/>
        <v>0.00789527512009046</v>
      </c>
      <c r="J119" s="93">
        <f>$F$3+VLOOKUP($E119,武器奇术!$A:$R,12,FALSE)+VLOOKUP($E119,武器奇术!$A:$R,14,FALSE)*$G$3+$P119</f>
        <v>0.713</v>
      </c>
      <c r="K119" s="94">
        <f>VLOOKUP($E119,武器奇术!$A:$R,11,FALSE)</f>
        <v>1</v>
      </c>
      <c r="L119" s="109">
        <f>IF(VLOOKUP($E119,武器奇术!$A:$R,15,FALSE)="天工",0%,IF($C$17+VLOOKUP($E119,武器奇术!$A:$R,7,FALSE)&gt;80%,80%,$C$17+VLOOKUP($E119,武器奇术!$A:$R,7,FALSE))+IF($C$19&gt;20%,20%,$C$19))</f>
        <v>0.887</v>
      </c>
      <c r="M119" s="110">
        <f>IF(VLOOKUP($E119,武器奇术!$A:$R,15,FALSE)="天工",0%,IF($C$18+VLOOKUP($E119,武器奇术!$A:$R,9,FALSE)&gt;40%,40%,$C$18+VLOOKUP($E119,武器奇术!$A:$R,9,FALSE))+IF($C$20&gt;10%,10%,$C$20))</f>
        <v>0.0986</v>
      </c>
      <c r="N119" s="111">
        <f>IF(VLOOKUP($E119,武器奇术!$A:$R,15,FALSE)="天工",100%,MIN($C$16,1))</f>
        <v>1</v>
      </c>
      <c r="O119" s="112" t="str">
        <f>VLOOKUP($E119,武器奇术!$A:$R,16,FALSE)</f>
        <v>双刀</v>
      </c>
      <c r="P119" s="113">
        <f t="shared" si="108"/>
        <v>0.17</v>
      </c>
      <c r="Q119" s="99">
        <f>$B$5*(1+VLOOKUP($E119,武器奇术!$A:$R,5,FALSE)+IF($G$5="飞隼",0.1,0)+IF($G$5="撼天",0.05,0))-$F$9*IF(VLOOKUP($E119,武器奇术!$A:$S,19,FALSE)=1,0.9,1)+IF($I$5="√",160,0)</f>
        <v>2904.2</v>
      </c>
      <c r="R119" s="91">
        <f t="shared" si="60"/>
        <v>2904.2</v>
      </c>
      <c r="S119" s="91">
        <f>MAX($C$5,$B$5)*(1+VLOOKUP($E119,武器奇术!$A:$R,5,FALSE)+IF($G$5="飞隼",0.1,0)+IF($G$5="撼天",0.05,0))-$F$9*IF(VLOOKUP($E119,武器奇术!$A:$S,19,FALSE)=1,0.9,1)+IF($I$5="√",320,0)</f>
        <v>2904.2</v>
      </c>
      <c r="T119" s="93">
        <f>IF(($D$5+VLOOKUP($E119,武器奇术!$A:$R,13,FALSE)+IF($I$3="√",10,0)-VLOOKUP($F$7,目标属性!$A:$R,5,FALSE))&gt;0,($D$5+VLOOKUP($E119,武器奇术!$A:$R,13,FALSE)+IF($I$3="√",10,0)-VLOOKUP($F$7,目标属性!$A:$R,5,FALSE))/200,($D$5+VLOOKUP($E119,武器奇术!$A:$R,13,FALSE)+IF($I$3="√",10,0)-VLOOKUP($F$7,目标属性!$A:$R,5,FALSE))/100)</f>
        <v>0.3925</v>
      </c>
      <c r="U119" s="120">
        <f>$E$5+IF(VLOOKUP($E119,武器奇术!$A:$R,18,FALSE)="鼠鼠",0.24,0)+IF(期望!$G$5="燕归",6/100,0)</f>
        <v>0.06</v>
      </c>
      <c r="V119" s="91">
        <v>1</v>
      </c>
      <c r="W119" s="92">
        <f>Q119*VLOOKUP($E119,武器奇术!$A:$R,2,FALSE)*(1+T119)*(1+U119)*V119</f>
        <v>6816.1379491205</v>
      </c>
      <c r="X119" s="93">
        <f>(1-IF(VLOOKUP($E119,武器奇术!$A:$R,16,FALSE)="陌刀",1,$N119))*(1-$M119)</f>
        <v>0</v>
      </c>
      <c r="Y119" s="92">
        <f>R119*VLOOKUP($E119,武器奇术!$A:$R,2,FALSE)*(1+T119)*(1+U119)*V119*(1+$E$16+VLOOKUP($E119,武器奇术!$A:$R,8,FALSE))</f>
        <v>16317.8342501945</v>
      </c>
      <c r="Z119" s="93">
        <f t="shared" si="61"/>
        <v>0.887</v>
      </c>
      <c r="AA119" s="92">
        <f>S119*VLOOKUP($E119,武器奇术!$A:$R,2,FALSE)*(1+T119)*(1+U119)*V119*(1+$E$17+VLOOKUP($E119,武器奇术!$A:$R,10,FALSE))</f>
        <v>9201.78623131268</v>
      </c>
      <c r="AB119" s="93">
        <f t="shared" si="62"/>
        <v>0.0986</v>
      </c>
      <c r="AC119" s="92">
        <f>R119*VLOOKUP($E119,武器奇术!$A:$R,2,FALSE)*(1+T119)*(1+U119)*V119</f>
        <v>6816.1379491205</v>
      </c>
      <c r="AD119" s="93">
        <f t="shared" si="63"/>
        <v>0.0144</v>
      </c>
      <c r="AE119" s="101">
        <f t="shared" si="64"/>
        <v>15479.3674887973</v>
      </c>
      <c r="AF119" s="102">
        <f>VLOOKUP($E119,武器奇术!$A:$R,3,FALSE)*(1+IF(VLOOKUP($E119,武器奇术!$A:$R,15,FALSE)="武器",$E$15,0))</f>
        <v>573.43</v>
      </c>
      <c r="AG119" s="92">
        <f t="shared" si="65"/>
        <v>573.43</v>
      </c>
      <c r="AH119" s="92">
        <f>VLOOKUP($E119,武器奇术!$A:$R,3,FALSE)*(1+IF(VLOOKUP($E119,武器奇术!$A:$R,15,FALSE)="武器",$E$15,0))</f>
        <v>573.43</v>
      </c>
      <c r="AI119" s="93">
        <f>IF(($D$5+VLOOKUP($E119,武器奇术!$A:$R,13,FALSE)+IF($I$3="√",10,0)-VLOOKUP($F$7,目标属性!$A:$R,5,FALSE))&gt;0,($D$5+VLOOKUP($E119,武器奇术!$A:$R,13,FALSE)+IF($I$3="√",10,0)-VLOOKUP($F$7,目标属性!$A:$R,5,FALSE))/200,($D$5+VLOOKUP($E119,武器奇术!$A:$R,13,FALSE)+IF($I$3="√",10,0)-VLOOKUP($F$7,目标属性!$A:$R,5,FALSE))/100)</f>
        <v>0.3925</v>
      </c>
      <c r="AJ119" s="120">
        <f>$E$5+IF(VLOOKUP($E119,武器奇术!$A:$R,18,FALSE)="鼠鼠",0.24,0)+IF(期望!$G$5="燕归",6/100,0)</f>
        <v>0.06</v>
      </c>
      <c r="AK119" s="91">
        <v>1</v>
      </c>
      <c r="AL119" s="92">
        <f t="shared" si="109"/>
        <v>846.4113515</v>
      </c>
      <c r="AM119" s="93">
        <f>(1-IF(VLOOKUP($E119,武器奇术!$A:$R,16,FALSE)="陌刀",1,$N119))*(1-$M119)</f>
        <v>0</v>
      </c>
      <c r="AN119" s="92">
        <f>AG119*(1+AI119)*(1+AJ119)*AK119*(1+$E$16+VLOOKUP($E119,武器奇术!$A:$R,8,FALSE))</f>
        <v>2026.308775491</v>
      </c>
      <c r="AO119" s="93">
        <f t="shared" si="94"/>
        <v>0.887</v>
      </c>
      <c r="AP119" s="92">
        <f>AH119*(1+AI119)*(1+AJ119)*AK119*(1+$E$17+VLOOKUP($E119,武器奇术!$A:$R,10,FALSE))</f>
        <v>1142.655324525</v>
      </c>
      <c r="AQ119" s="93">
        <f t="shared" si="95"/>
        <v>0.0986</v>
      </c>
      <c r="AR119" s="92">
        <f t="shared" si="67"/>
        <v>846.4113515</v>
      </c>
      <c r="AS119" s="93">
        <f t="shared" si="68"/>
        <v>0.0144</v>
      </c>
      <c r="AT119" s="101">
        <f t="shared" si="69"/>
        <v>1922.19002232028</v>
      </c>
      <c r="AU119" s="99">
        <f>IF(VLOOKUP($E119,武器奇术!$A:$R,18,FALSE)="极乐",0,$B$7*IF($G$5="撼天",1.05,1)+IF(AND(VLOOKUP($E119,武器奇术!$A:$R,15,FALSE)="武器",VLOOKUP($E119,武器奇术!$A:$R,17,FALSE)="鸣金"),$E$3*(1+$E$15),0))</f>
        <v>0</v>
      </c>
      <c r="AV119" s="91">
        <f t="shared" si="70"/>
        <v>0</v>
      </c>
      <c r="AW119" s="91">
        <f>IF(VLOOKUP($E119,武器奇术!$A:$R,18,FALSE)="极乐",0,MAX($C$7*IF($G$5="撼天",1.05,1)+IF(AND(VLOOKUP($E119,武器奇术!$A:$R,15,FALSE)="武器",VLOOKUP($E119,武器奇术!$A:$R,17,FALSE)="鸣金"),$E$3*(1+$E$15),0),AU119))</f>
        <v>0</v>
      </c>
      <c r="AX119" s="93">
        <f>IF(($D$7+IF(VLOOKUP($E119,武器奇术!$A:$R,17,FALSE)="鸣金",$D$15,0)-VLOOKUP($F$7,目标属性!$A:$R,6,FALSE))&gt;0,($D$7+IF(VLOOKUP($E119,武器奇术!$A:$R,17,FALSE)="鸣金",$D$15,0)-VLOOKUP($F$7,目标属性!$A:$R,6,FALSE))/200,($D$7+IF(VLOOKUP($E119,武器奇术!$A:$R,17,FALSE)="鸣金",$D$15,0)-VLOOKUP($F$7,目标属性!$A:$R,6,FALSE))/100)</f>
        <v>-0.24</v>
      </c>
      <c r="AY119" s="100">
        <f t="shared" si="89"/>
        <v>0</v>
      </c>
      <c r="AZ119" s="91">
        <v>1</v>
      </c>
      <c r="BA119" s="92">
        <f>AU119*IF(VLOOKUP($E119,武器奇术!$A:$R,17,FALSE)="鸣金",VLOOKUP($E119,武器奇术!$A:$R,4,FALSE),VLOOKUP($E119,武器奇术!$A:$R,2,FALSE))*(1+AX119)*(1+AY119)*AZ119</f>
        <v>0</v>
      </c>
      <c r="BB119" s="93">
        <f>(1-IF(VLOOKUP($E119,武器奇术!$A:$R,16,FALSE)="陌刀",1,$N119))*(1-$M119)</f>
        <v>0</v>
      </c>
      <c r="BC119" s="92">
        <f>AV119*IF(VLOOKUP($E119,武器奇术!$A:$R,17,FALSE)="鸣金",VLOOKUP($E119,武器奇术!$A:$R,4,FALSE),VLOOKUP($E119,武器奇术!$A:$R,2,FALSE))*(1+AX119)*(1+AY119)*AZ119*(1+$E$16+VLOOKUP($E119,武器奇术!$A:$R,8,FALSE))</f>
        <v>0</v>
      </c>
      <c r="BD119" s="93">
        <f t="shared" si="96"/>
        <v>0.887</v>
      </c>
      <c r="BE119" s="92">
        <f>AW119*IF(VLOOKUP($E119,武器奇术!$A:$R,17,FALSE)="鸣金",VLOOKUP($E119,武器奇术!$A:$R,4,FALSE),VLOOKUP($E119,武器奇术!$A:$R,2,FALSE))*(1+AX119)*(1+AY119)*AZ119*(1+$E$17+VLOOKUP($E119,武器奇术!$A:$R,10,FALSE))</f>
        <v>0</v>
      </c>
      <c r="BF119" s="93">
        <f t="shared" si="97"/>
        <v>0.0986</v>
      </c>
      <c r="BG119" s="92">
        <f>AV119*IF(VLOOKUP($E119,武器奇术!$A:$R,17,FALSE)="鸣金",VLOOKUP($E119,武器奇术!$A:$R,4,FALSE),VLOOKUP($E119,武器奇术!$A:$R,2,FALSE))*(1+AX119)*(1+AY119)*AZ119</f>
        <v>0</v>
      </c>
      <c r="BH119" s="93">
        <f t="shared" si="71"/>
        <v>0.0144</v>
      </c>
      <c r="BI119" s="101">
        <f t="shared" si="72"/>
        <v>0</v>
      </c>
      <c r="BJ119" s="99">
        <f>IF(VLOOKUP($E119,武器奇术!$A:$R,18,FALSE)="极乐",0,$B$9*IF($G$5="撼天",1.05,1)+IF(AND(VLOOKUP($E119,武器奇术!$A:$R,15,FALSE)="武器",VLOOKUP($E119,武器奇术!$A:$R,17,FALSE)="裂石"),$E$3*(1+$E$15),0))</f>
        <v>0</v>
      </c>
      <c r="BK119" s="91">
        <f t="shared" si="73"/>
        <v>0</v>
      </c>
      <c r="BL119" s="91">
        <f>IF(VLOOKUP($E119,武器奇术!$A:$R,18,FALSE)="极乐",0,MAX($C$9*IF($G$5="撼天",1.05,1)+IF(AND(VLOOKUP($E119,武器奇术!$A:$R,15,FALSE)="武器",VLOOKUP($E119,武器奇术!$A:$R,17,FALSE)="裂石"),$E$3*(1+$E$15),0),BJ119))</f>
        <v>0</v>
      </c>
      <c r="BM119" s="93">
        <f>IF(($D$9+IF(VLOOKUP($E119,武器奇术!$A:$R,17,FALSE)="裂石",$D$15,0)-VLOOKUP($F$7,目标属性!$A:$R,6,FALSE))&gt;0,($D$9+IF(VLOOKUP($E119,武器奇术!$A:$R,17,FALSE)="裂石",$D$15,0)-VLOOKUP($F$7,目标属性!$A:$R,6,FALSE))/200,($D$9+IF(VLOOKUP($E119,武器奇术!$A:$R,17,FALSE)="裂石",$D$15,0)-VLOOKUP($F$7,目标属性!$A:$R,6,FALSE))/100)</f>
        <v>-0.24</v>
      </c>
      <c r="BN119" s="100">
        <f t="shared" si="90"/>
        <v>0</v>
      </c>
      <c r="BO119" s="91">
        <v>1</v>
      </c>
      <c r="BP119" s="92">
        <f>BJ119*IF(VLOOKUP($E119,武器奇术!$A:$R,17,FALSE)="裂石",VLOOKUP($E119,武器奇术!$A:$R,4,FALSE),VLOOKUP($E119,武器奇术!$A:$R,2,FALSE))*(1+BM119)*(1+BN119)*BO119</f>
        <v>0</v>
      </c>
      <c r="BQ119" s="93">
        <f>(1-IF(VLOOKUP($E119,武器奇术!$A:$R,16,FALSE)="陌刀",1,$N119))*(1-$M119)</f>
        <v>0</v>
      </c>
      <c r="BR119" s="92">
        <f>BK119*IF(VLOOKUP($E119,武器奇术!$A:$R,17,FALSE)="裂石",VLOOKUP($E119,武器奇术!$A:$R,4,FALSE),VLOOKUP($E119,武器奇术!$A:$R,2,FALSE))*(1+BM119)*(1+BN119)*BO119*(1+$E$16+VLOOKUP($E119,武器奇术!$A:$R,8,FALSE))</f>
        <v>0</v>
      </c>
      <c r="BS119" s="93">
        <f t="shared" si="98"/>
        <v>0.887</v>
      </c>
      <c r="BT119" s="92">
        <f>BL119*IF(VLOOKUP($E119,武器奇术!$A:$R,17,FALSE)="裂石",VLOOKUP($E119,武器奇术!$A:$R,4,FALSE),VLOOKUP($E119,武器奇术!$A:$R,2,FALSE))*(1+BM119)*(1+BN119)*BO119*(1+$E$17+VLOOKUP($E119,武器奇术!$A:$R,10,FALSE))</f>
        <v>0</v>
      </c>
      <c r="BU119" s="93">
        <f t="shared" si="99"/>
        <v>0.0986</v>
      </c>
      <c r="BV119" s="92">
        <f>BK119*IF(VLOOKUP($E119,武器奇术!$A:$R,17,FALSE)="裂石",VLOOKUP($E119,武器奇术!$A:$R,4,FALSE),VLOOKUP($E119,武器奇术!$A:$R,2,FALSE))*(1+BM119)*(1+BN119)*BO119</f>
        <v>0</v>
      </c>
      <c r="BW119" s="93">
        <f t="shared" si="74"/>
        <v>0.0144</v>
      </c>
      <c r="BX119" s="101">
        <f t="shared" si="75"/>
        <v>0</v>
      </c>
      <c r="BY119" s="99">
        <f>IF(VLOOKUP($E119,武器奇术!$A:$R,18,FALSE)="极乐",0,$B$11*IF($G$5="撼天",1.05,1)+IF(AND(VLOOKUP($E119,武器奇术!$A:$R,15,FALSE)="武器",VLOOKUP($E119,武器奇术!$A:$R,17,FALSE)="牵丝"),$E$3*(1+$E$15),0))</f>
        <v>0</v>
      </c>
      <c r="BZ119" s="91">
        <f t="shared" si="76"/>
        <v>0</v>
      </c>
      <c r="CA119" s="91">
        <f>IF(VLOOKUP($E119,武器奇术!$A:$R,18,FALSE)="极乐",0,MAX($C$11*IF($G$5="撼天",1.05,1)+IF(AND(VLOOKUP($E119,武器奇术!$A:$R,15,FALSE)="武器",VLOOKUP($E119,武器奇术!$A:$R,17,FALSE)="牵丝"),$E$3*(1+$E$15),0),BY119))</f>
        <v>0</v>
      </c>
      <c r="CB119" s="93">
        <f>IF(($D$11+IF(VLOOKUP($E119,武器奇术!$A:$R,17,FALSE)="牵丝",$D$15,0)-VLOOKUP($F$7,目标属性!$A:$R,6,FALSE))&gt;0,($D$11+IF(VLOOKUP($E119,武器奇术!$A:$R,17,FALSE)="牵丝",$D$15,0)-VLOOKUP($F$7,目标属性!$A:$R,6,FALSE))/200,($D$11+IF(VLOOKUP($E119,武器奇术!$A:$R,17,FALSE)="牵丝",$D$15,0)-VLOOKUP($F$7,目标属性!$A:$R,6,FALSE))/100)</f>
        <v>-0.24</v>
      </c>
      <c r="CC119" s="100">
        <f t="shared" si="91"/>
        <v>0</v>
      </c>
      <c r="CD119" s="91">
        <v>1</v>
      </c>
      <c r="CE119" s="92">
        <f>BY119*IF(VLOOKUP($E119,武器奇术!$A:$R,17,FALSE)="牵丝",VLOOKUP($E119,武器奇术!$A:$R,4,FALSE),VLOOKUP($E119,武器奇术!$A:$R,2,FALSE))*(1+CB119)*(1+CC119)*CD119</f>
        <v>0</v>
      </c>
      <c r="CF119" s="93">
        <f>(1-IF(VLOOKUP($E119,武器奇术!$A:$R,16,FALSE)="陌刀",1,$N119))*(1-$M119)</f>
        <v>0</v>
      </c>
      <c r="CG119" s="92">
        <f>BZ119*IF(VLOOKUP($E119,武器奇术!$A:$R,17,FALSE)="牵丝",VLOOKUP($E119,武器奇术!$A:$R,4,FALSE),VLOOKUP($E119,武器奇术!$A:$R,2,FALSE))*(1+CB119)*(1+CC119)*CD119*(1+$E$16+VLOOKUP($E119,武器奇术!$A:$R,8,FALSE))</f>
        <v>0</v>
      </c>
      <c r="CH119" s="93">
        <f t="shared" si="100"/>
        <v>0.887</v>
      </c>
      <c r="CI119" s="92">
        <f>CA119*IF(VLOOKUP($E119,武器奇术!$A:$R,17,FALSE)="牵丝",VLOOKUP($E119,武器奇术!$A:$R,4,FALSE),VLOOKUP($E119,武器奇术!$A:$R,2,FALSE))*(1+CB119)*(1+CC119)*CD119*(1+$E$17+VLOOKUP($E119,武器奇术!$A:$R,10,FALSE))</f>
        <v>0</v>
      </c>
      <c r="CJ119" s="93">
        <f t="shared" si="101"/>
        <v>0.0986</v>
      </c>
      <c r="CK119" s="92">
        <f>BZ119*IF(VLOOKUP($E119,武器奇术!$A:$R,17,FALSE)="牵丝",VLOOKUP($E119,武器奇术!$A:$R,4,FALSE),VLOOKUP($E119,武器奇术!$A:$R,2,FALSE))*(1+CB119)*(1+CC119)*CD119</f>
        <v>0</v>
      </c>
      <c r="CL119" s="93">
        <f t="shared" si="77"/>
        <v>0.0144</v>
      </c>
      <c r="CM119" s="101">
        <f t="shared" si="78"/>
        <v>0</v>
      </c>
      <c r="CN119" s="99">
        <f>IF(VLOOKUP($E119,武器奇术!$A:$R,18,FALSE)="极乐",0,$B$13*IF($G$5="撼天",1.05,1)+IF(AND(VLOOKUP($E119,武器奇术!$A:$R,15,FALSE)="武器",VLOOKUP($E119,武器奇术!$A:$R,17,FALSE)="破竹"),$E$3*(1+$E$15),0))</f>
        <v>686.71</v>
      </c>
      <c r="CO119" s="91">
        <f t="shared" si="79"/>
        <v>1052.21</v>
      </c>
      <c r="CP119" s="91">
        <f>IF(VLOOKUP($E119,武器奇术!$A:$R,18,FALSE)="极乐",0,MAX($C$13*IF($G$5="撼天",1.05,1)+IF(AND(VLOOKUP($E119,武器奇术!$A:$R,15,FALSE)="武器",VLOOKUP($E119,武器奇术!$A:$R,17,FALSE)="破竹"),$E$3*(1+$E$15),0),CN119))</f>
        <v>1417.71</v>
      </c>
      <c r="CQ119" s="93">
        <f>IF(($D$13+IF(VLOOKUP($E119,武器奇术!$A:$R,17,FALSE)="破竹",$D$15,0)-VLOOKUP($F$7,目标属性!$A:$R,6,FALSE)+IF(VLOOKUP($E119,武器奇术!$A:$V,22,FALSE)=1,4,0)+IF(VLOOKUP($E119,武器奇术!$A:$T,20,FALSE)=1,10,0))&gt;0,($D$13+IF(VLOOKUP($E119,武器奇术!$A:$R,17,FALSE)="破竹",$D$15,0)-VLOOKUP($F$7,目标属性!$A:$R,6,FALSE)+IF(VLOOKUP($E119,武器奇术!$A:$V,22,FALSE)=1,4,0)+IF(VLOOKUP($E119,武器奇术!$A:$T,20,FALSE)=1,10,0))/200,($D$13+IF(VLOOKUP($E119,武器奇术!$A:$R,17,FALSE)="破竹",$D$15,0)-VLOOKUP($F$7,目标属性!$A:$R,6,FALSE)+IF(VLOOKUP($E119,武器奇术!$A:$V,22,FALSE)=1,4,0)+IF(VLOOKUP($E119,武器奇术!$A:$T,20,FALSE)=1,10,0))/100)</f>
        <v>0.078</v>
      </c>
      <c r="CR119" s="120">
        <f>$E$13+IF(期望!$G$5="燕归",6%,0)</f>
        <v>0.208</v>
      </c>
      <c r="CS119" s="91">
        <v>1</v>
      </c>
      <c r="CT119" s="92">
        <f>CN119*IF(VLOOKUP($E119,武器奇术!$A:$R,17,FALSE)="破竹",VLOOKUP($E119,武器奇术!$A:$R,4,FALSE),VLOOKUP($E119,武器奇术!$A:$R,2,FALSE))*(1+CQ119)*(1+CR119)*CS119</f>
        <v>2132.903082182</v>
      </c>
      <c r="CU119" s="93">
        <f>(1-IF(VLOOKUP($E119,武器奇术!$A:$R,16,FALSE)="陌刀",1,$N119))*(1-$M119)</f>
        <v>0</v>
      </c>
      <c r="CV119" s="92">
        <f>CO119*IF(VLOOKUP($E119,武器奇术!$A:$R,17,FALSE)="破竹",VLOOKUP($E119,武器奇术!$A:$R,4,FALSE),VLOOKUP($E119,武器奇术!$A:$R,2,FALSE))*(1+CQ119)*(1+CR119)*CS119*(1+$E$16+VLOOKUP($E119,武器奇术!$A:$R,8,FALSE))</f>
        <v>7823.9185585384</v>
      </c>
      <c r="CW119" s="93">
        <f t="shared" si="102"/>
        <v>0.887</v>
      </c>
      <c r="CX119" s="92">
        <f>CP119*IF(VLOOKUP($E119,武器奇术!$A:$R,17,FALSE)="破竹",VLOOKUP($E119,武器奇术!$A:$R,4,FALSE),VLOOKUP($E119,武器奇术!$A:$R,2,FALSE))*(1+CQ119)*(1+CR119)*CS119*(1+$E$17+VLOOKUP($E119,武器奇术!$A:$R,10,FALSE))</f>
        <v>5944.54913815777</v>
      </c>
      <c r="CY119" s="93">
        <f t="shared" si="103"/>
        <v>0.0986</v>
      </c>
      <c r="CZ119" s="92">
        <f>CO119*IF(VLOOKUP($E119,武器奇术!$A:$R,17,FALSE)="破竹",VLOOKUP($E119,武器奇术!$A:$R,4,FALSE),VLOOKUP($E119,武器奇术!$A:$R,2,FALSE))*(1+CQ119)*(1+CR119)*CS119</f>
        <v>3268.13640707536</v>
      </c>
      <c r="DA119" s="93">
        <f t="shared" si="80"/>
        <v>0.0144</v>
      </c>
      <c r="DB119" s="101">
        <f t="shared" si="81"/>
        <v>7573.0094707078</v>
      </c>
      <c r="DC119" s="99">
        <f>IF(VLOOKUP($E119,武器奇术!$A:$R,18,FALSE)="极乐",0,$B$15)</f>
        <v>66</v>
      </c>
      <c r="DD119" s="91">
        <f t="shared" si="111"/>
        <v>95.9</v>
      </c>
      <c r="DE119" s="91">
        <f>IF(VLOOKUP($E119,武器奇术!$A:$R,18,FALSE)="极乐",0,$C$15)</f>
        <v>125.8</v>
      </c>
      <c r="DF119" s="93">
        <f>IF((IF(VLOOKUP($E119,武器奇术!$A:$R,17,FALSE)="鸣金",$D$7,0)+IF(VLOOKUP($E119,武器奇术!$A:$R,17,FALSE)="裂石",$D$9,0)+IF(VLOOKUP($E119,武器奇术!$A:$R,17,FALSE)="牵丝",$D$11,0)+IF(VLOOKUP($E119,武器奇术!$A:$R,17,FALSE)="破竹",$D$13,0)+$D$15-VLOOKUP($F$7,目标属性!$A:$R,6,FALSE)+IF(VLOOKUP($E119,武器奇术!$A:$V,22,FALSE)=1,4,0)+IF(VLOOKUP($E119,武器奇术!$A:$T,20,FALSE)=1,10,0))&gt;0,(IF(VLOOKUP($E119,武器奇术!$A:$R,17,FALSE)="鸣金",$D$7,0)+IF(VLOOKUP($E119,武器奇术!$A:$R,17,FALSE)="裂石",$D$9,0)+IF(VLOOKUP($E119,武器奇术!$A:$R,17,FALSE)="牵丝",$D$11,0)+IF(VLOOKUP($E119,武器奇术!$A:$R,17,FALSE)="破竹",$D$13,0)+$D$15-VLOOKUP($F$7,目标属性!$A:$R,6,FALSE)+IF(VLOOKUP($E119,武器奇术!$A:$V,22,FALSE)=1,4,0)+IF(VLOOKUP($E119,武器奇术!$A:$T,20,FALSE)=1,10,0))/200,(IF(VLOOKUP($E119,武器奇术!$A:$R,17,FALSE)="鸣金",$D$7,0)+IF(VLOOKUP($E119,武器奇术!$A:$R,17,FALSE)="裂石",$D$9,0)+IF(VLOOKUP($E119,武器奇术!$A:$R,17,FALSE)="牵丝",$D$11,0)+IF(VLOOKUP($E119,武器奇术!$A:$R,17,FALSE)="破竹",$D$13,0)+$D$15-VLOOKUP($F$7,目标属性!$A:$R,6,FALSE)+IF(VLOOKUP($E119,武器奇术!$A:$V,22,FALSE)=1,4,0)+IF(VLOOKUP($E119,武器奇术!$A:$T,20,FALSE)=1,10,0))/100)</f>
        <v>0.078</v>
      </c>
      <c r="DG119" s="120">
        <f>$E$13+IF(期望!$G$5="燕归",6%,0)</f>
        <v>0.208</v>
      </c>
      <c r="DH119" s="91">
        <v>1</v>
      </c>
      <c r="DI119" s="92">
        <f>DC119*IF(VLOOKUP($E119,武器奇术!$A:$R,17,FALSE)="破竹",VLOOKUP($E119,武器奇术!$A:$R,4,FALSE),VLOOKUP($E119,武器奇术!$A:$R,2,FALSE))*(1+DF119)*(1+DG119)*DH119</f>
        <v>204.99425292192</v>
      </c>
      <c r="DJ119" s="93">
        <f>(1-IF(VLOOKUP($E119,武器奇术!$A:$R,16,FALSE)="陌刀",1,$N119))*(1-$M119)</f>
        <v>0</v>
      </c>
      <c r="DK119" s="92">
        <f>DD119*IF(VLOOKUP($E119,武器奇术!$A:$R,17,FALSE)="破竹",VLOOKUP($E119,武器奇术!$A:$R,4,FALSE),VLOOKUP($E119,武器奇术!$A:$R,2,FALSE))*(1+DF119)*(1+DG119)*DH119*(1+$E$16+VLOOKUP($E119,武器奇术!$A:$R,8,FALSE))</f>
        <v>713.083690293604</v>
      </c>
      <c r="DL119" s="93">
        <f t="shared" si="104"/>
        <v>0.887</v>
      </c>
      <c r="DM119" s="92">
        <f>DE119*IF(VLOOKUP($E119,武器奇术!$A:$R,17,FALSE)="破竹",VLOOKUP($E119,武器奇术!$A:$R,4,FALSE),VLOOKUP($E119,武器奇术!$A:$R,2,FALSE))*(1+DF119)*(1+DG119)*DH119*(1+$E$17+VLOOKUP($E119,武器奇术!$A:$R,10,FALSE))</f>
        <v>527.48748445045</v>
      </c>
      <c r="DN119" s="93">
        <f t="shared" si="105"/>
        <v>0.0986</v>
      </c>
      <c r="DO119" s="92">
        <f>DD119*IF(VLOOKUP($E119,武器奇术!$A:$R,17,FALSE)="破竹",VLOOKUP($E119,武器奇术!$A:$R,4,FALSE),VLOOKUP($E119,武器奇术!$A:$R,2,FALSE))*(1+DF119)*(1+DG119)*DH119</f>
        <v>297.862861442608</v>
      </c>
      <c r="DP119" s="93">
        <f t="shared" si="106"/>
        <v>0.0144</v>
      </c>
      <c r="DQ119" s="101">
        <f t="shared" si="107"/>
        <v>688.804724462015</v>
      </c>
    </row>
    <row r="120" spans="1:121">
      <c r="B120" t="s">
        <v>169</v>
      </c>
      <c r="C120">
        <v>0.5</v>
      </c>
      <c r="E120" s="105" t="s">
        <v>204</v>
      </c>
      <c r="F120" s="106">
        <v>1</v>
      </c>
      <c r="G120" s="107">
        <f t="shared" si="115"/>
        <v>0</v>
      </c>
      <c r="H120" s="131">
        <f>IF(VLOOKUP($E120,武器奇术!$A:$R,18,FALSE)="天工",AE120,(AE120+AT120+BI120+BX120+CM120+DB120+DQ120))*(1+J120)*F120*K120*(1+G120)*(1+$G$21*5%)</f>
        <v>73899.4960548868</v>
      </c>
      <c r="I120" s="93">
        <f t="shared" si="58"/>
        <v>0.00948002826025409</v>
      </c>
      <c r="J120" s="93">
        <f>$F$3+VLOOKUP($E120,武器奇术!$A:$R,12,FALSE)+VLOOKUP($E120,武器奇术!$A:$R,14,FALSE)*$G$3+$P120</f>
        <v>0.713</v>
      </c>
      <c r="K120" s="94">
        <f>VLOOKUP($E120,武器奇术!$A:$R,11,FALSE)</f>
        <v>1</v>
      </c>
      <c r="L120" s="109">
        <f>IF(VLOOKUP($E120,武器奇术!$A:$R,15,FALSE)="天工",0%,IF($C$17+VLOOKUP($E120,武器奇术!$A:$R,7,FALSE)&gt;80%,80%,$C$17+VLOOKUP($E120,武器奇术!$A:$R,7,FALSE))+IF($C$19&gt;20%,20%,$C$19))</f>
        <v>0.887</v>
      </c>
      <c r="M120" s="110">
        <f>IF(VLOOKUP($E120,武器奇术!$A:$R,15,FALSE)="天工",0%,IF($C$18+VLOOKUP($E120,武器奇术!$A:$R,9,FALSE)&gt;40%,40%,$C$18+VLOOKUP($E120,武器奇术!$A:$R,9,FALSE))+IF($C$20&gt;10%,10%,$C$20))</f>
        <v>0.0986</v>
      </c>
      <c r="N120" s="111">
        <f>IF(VLOOKUP($E120,武器奇术!$A:$R,15,FALSE)="天工",100%,MIN($C$16,1))</f>
        <v>1</v>
      </c>
      <c r="O120" s="112" t="str">
        <f>VLOOKUP($E120,武器奇术!$A:$R,16,FALSE)</f>
        <v>双刀</v>
      </c>
      <c r="P120" s="113">
        <f t="shared" si="108"/>
        <v>0.17</v>
      </c>
      <c r="Q120" s="99">
        <f>$B$5*(1+VLOOKUP($E120,武器奇术!$A:$R,5,FALSE)+IF($G$5="飞隼",0.1,0)+IF($G$5="撼天",0.05,0))-$F$9*IF(VLOOKUP($E120,武器奇术!$A:$S,19,FALSE)=1,0.9,1)+IF($I$5="√",160,0)</f>
        <v>2904.2</v>
      </c>
      <c r="R120" s="91">
        <f t="shared" si="60"/>
        <v>2904.2</v>
      </c>
      <c r="S120" s="91">
        <f>MAX($C$5,$B$5)*(1+VLOOKUP($E120,武器奇术!$A:$R,5,FALSE)+IF($G$5="飞隼",0.1,0)+IF($G$5="撼天",0.05,0))-$F$9*IF(VLOOKUP($E120,武器奇术!$A:$S,19,FALSE)=1,0.9,1)+IF($I$5="√",320,0)</f>
        <v>2904.2</v>
      </c>
      <c r="T120" s="93">
        <f>IF(($D$5+VLOOKUP($E120,武器奇术!$A:$R,13,FALSE)+IF($I$3="√",10,0)-VLOOKUP($F$7,目标属性!$A:$R,5,FALSE))&gt;0,($D$5+VLOOKUP($E120,武器奇术!$A:$R,13,FALSE)+IF($I$3="√",10,0)-VLOOKUP($F$7,目标属性!$A:$R,5,FALSE))/200,($D$5+VLOOKUP($E120,武器奇术!$A:$R,13,FALSE)+IF($I$3="√",10,0)-VLOOKUP($F$7,目标属性!$A:$R,5,FALSE))/100)</f>
        <v>0.3925</v>
      </c>
      <c r="U120" s="120">
        <f>$E$5+IF(VLOOKUP($E120,武器奇术!$A:$R,18,FALSE)="鼠鼠",0.24,0)+IF(期望!$G$5="燕归",6/100,0)</f>
        <v>0.06</v>
      </c>
      <c r="V120" s="91">
        <v>1</v>
      </c>
      <c r="W120" s="92">
        <f>Q120*VLOOKUP($E120,武器奇术!$A:$R,2,FALSE)*(1+T120)*(1+U120)*V120</f>
        <v>8185.0240415658</v>
      </c>
      <c r="X120" s="93">
        <f>(1-IF(VLOOKUP($E120,武器奇术!$A:$R,16,FALSE)="陌刀",1,$N120))*(1-$M120)</f>
        <v>0</v>
      </c>
      <c r="Y120" s="92">
        <f>R120*VLOOKUP($E120,武器奇术!$A:$R,2,FALSE)*(1+T120)*(1+U120)*V120*(1+$E$16+VLOOKUP($E120,武器奇术!$A:$R,8,FALSE))</f>
        <v>19594.9475555085</v>
      </c>
      <c r="Z120" s="93">
        <f t="shared" si="61"/>
        <v>0.887</v>
      </c>
      <c r="AA120" s="92">
        <f>S120*VLOOKUP($E120,武器奇术!$A:$R,2,FALSE)*(1+T120)*(1+U120)*V120*(1+$E$17+VLOOKUP($E120,武器奇术!$A:$R,10,FALSE))</f>
        <v>11049.7824561138</v>
      </c>
      <c r="AB120" s="93">
        <f t="shared" si="62"/>
        <v>0.0986</v>
      </c>
      <c r="AC120" s="92">
        <f>R120*VLOOKUP($E120,武器奇术!$A:$R,2,FALSE)*(1+T120)*(1+U120)*V120</f>
        <v>8185.0240415658</v>
      </c>
      <c r="AD120" s="93">
        <f t="shared" si="63"/>
        <v>0.0144</v>
      </c>
      <c r="AE120" s="101">
        <f t="shared" si="64"/>
        <v>18588.0913781074</v>
      </c>
      <c r="AF120" s="102">
        <f>VLOOKUP($E120,武器奇术!$A:$R,3,FALSE)*(1+IF(VLOOKUP($E120,武器奇术!$A:$R,15,FALSE)="武器",$E$15,0))</f>
        <v>687.83</v>
      </c>
      <c r="AG120" s="92">
        <f t="shared" si="65"/>
        <v>687.83</v>
      </c>
      <c r="AH120" s="92">
        <f>VLOOKUP($E120,武器奇术!$A:$R,3,FALSE)*(1+IF(VLOOKUP($E120,武器奇术!$A:$R,15,FALSE)="武器",$E$15,0))</f>
        <v>687.83</v>
      </c>
      <c r="AI120" s="93">
        <f>IF(($D$5+VLOOKUP($E120,武器奇术!$A:$R,13,FALSE)+IF($I$3="√",10,0)-VLOOKUP($F$7,目标属性!$A:$R,5,FALSE))&gt;0,($D$5+VLOOKUP($E120,武器奇术!$A:$R,13,FALSE)+IF($I$3="√",10,0)-VLOOKUP($F$7,目标属性!$A:$R,5,FALSE))/200,($D$5+VLOOKUP($E120,武器奇术!$A:$R,13,FALSE)+IF($I$3="√",10,0)-VLOOKUP($F$7,目标属性!$A:$R,5,FALSE))/100)</f>
        <v>0.3925</v>
      </c>
      <c r="AJ120" s="120">
        <f>$E$5+IF(VLOOKUP($E120,武器奇术!$A:$R,18,FALSE)="鼠鼠",0.24,0)+IF(期望!$G$5="燕归",6/100,0)</f>
        <v>0.06</v>
      </c>
      <c r="AK120" s="91">
        <v>1</v>
      </c>
      <c r="AL120" s="92">
        <f t="shared" si="109"/>
        <v>1015.2714715</v>
      </c>
      <c r="AM120" s="93">
        <f>(1-IF(VLOOKUP($E120,武器奇术!$A:$R,16,FALSE)="陌刀",1,$N120))*(1-$M120)</f>
        <v>0</v>
      </c>
      <c r="AN120" s="92">
        <f>AG120*(1+AI120)*(1+AJ120)*AK120*(1+$E$16+VLOOKUP($E120,武器奇术!$A:$R,8,FALSE))</f>
        <v>2430.559902771</v>
      </c>
      <c r="AO120" s="93">
        <f t="shared" si="94"/>
        <v>0.887</v>
      </c>
      <c r="AP120" s="92">
        <f>AH120*(1+AI120)*(1+AJ120)*AK120*(1+$E$17+VLOOKUP($E120,武器奇术!$A:$R,10,FALSE))</f>
        <v>1370.616486525</v>
      </c>
      <c r="AQ120" s="93">
        <f t="shared" si="95"/>
        <v>0.0986</v>
      </c>
      <c r="AR120" s="92">
        <f t="shared" si="67"/>
        <v>1015.2714715</v>
      </c>
      <c r="AS120" s="93">
        <f t="shared" si="68"/>
        <v>0.0144</v>
      </c>
      <c r="AT120" s="101">
        <f t="shared" si="69"/>
        <v>2305.66932851884</v>
      </c>
      <c r="AU120" s="99">
        <f>IF(VLOOKUP($E120,武器奇术!$A:$R,18,FALSE)="极乐",0,$B$7*IF($G$5="撼天",1.05,1)+IF(AND(VLOOKUP($E120,武器奇术!$A:$R,15,FALSE)="武器",VLOOKUP($E120,武器奇术!$A:$R,17,FALSE)="鸣金"),$E$3*(1+$E$15),0))</f>
        <v>0</v>
      </c>
      <c r="AV120" s="91">
        <f t="shared" si="70"/>
        <v>0</v>
      </c>
      <c r="AW120" s="91">
        <f>IF(VLOOKUP($E120,武器奇术!$A:$R,18,FALSE)="极乐",0,MAX($C$7*IF($G$5="撼天",1.05,1)+IF(AND(VLOOKUP($E120,武器奇术!$A:$R,15,FALSE)="武器",VLOOKUP($E120,武器奇术!$A:$R,17,FALSE)="鸣金"),$E$3*(1+$E$15),0),AU120))</f>
        <v>0</v>
      </c>
      <c r="AX120" s="93">
        <f>IF(($D$7+IF(VLOOKUP($E120,武器奇术!$A:$R,17,FALSE)="鸣金",$D$15,0)-VLOOKUP($F$7,目标属性!$A:$R,6,FALSE))&gt;0,($D$7+IF(VLOOKUP($E120,武器奇术!$A:$R,17,FALSE)="鸣金",$D$15,0)-VLOOKUP($F$7,目标属性!$A:$R,6,FALSE))/200,($D$7+IF(VLOOKUP($E120,武器奇术!$A:$R,17,FALSE)="鸣金",$D$15,0)-VLOOKUP($F$7,目标属性!$A:$R,6,FALSE))/100)</f>
        <v>-0.24</v>
      </c>
      <c r="AY120" s="100">
        <f t="shared" si="89"/>
        <v>0</v>
      </c>
      <c r="AZ120" s="91">
        <v>1</v>
      </c>
      <c r="BA120" s="92">
        <f>AU120*IF(VLOOKUP($E120,武器奇术!$A:$R,17,FALSE)="鸣金",VLOOKUP($E120,武器奇术!$A:$R,4,FALSE),VLOOKUP($E120,武器奇术!$A:$R,2,FALSE))*(1+AX120)*(1+AY120)*AZ120</f>
        <v>0</v>
      </c>
      <c r="BB120" s="93">
        <f>(1-IF(VLOOKUP($E120,武器奇术!$A:$R,16,FALSE)="陌刀",1,$N120))*(1-$M120)</f>
        <v>0</v>
      </c>
      <c r="BC120" s="92">
        <f>AV120*IF(VLOOKUP($E120,武器奇术!$A:$R,17,FALSE)="鸣金",VLOOKUP($E120,武器奇术!$A:$R,4,FALSE),VLOOKUP($E120,武器奇术!$A:$R,2,FALSE))*(1+AX120)*(1+AY120)*AZ120*(1+$E$16+VLOOKUP($E120,武器奇术!$A:$R,8,FALSE))</f>
        <v>0</v>
      </c>
      <c r="BD120" s="93">
        <f t="shared" si="96"/>
        <v>0.887</v>
      </c>
      <c r="BE120" s="92">
        <f>AW120*IF(VLOOKUP($E120,武器奇术!$A:$R,17,FALSE)="鸣金",VLOOKUP($E120,武器奇术!$A:$R,4,FALSE),VLOOKUP($E120,武器奇术!$A:$R,2,FALSE))*(1+AX120)*(1+AY120)*AZ120*(1+$E$17+VLOOKUP($E120,武器奇术!$A:$R,10,FALSE))</f>
        <v>0</v>
      </c>
      <c r="BF120" s="93">
        <f t="shared" si="97"/>
        <v>0.0986</v>
      </c>
      <c r="BG120" s="92">
        <f>AV120*IF(VLOOKUP($E120,武器奇术!$A:$R,17,FALSE)="鸣金",VLOOKUP($E120,武器奇术!$A:$R,4,FALSE),VLOOKUP($E120,武器奇术!$A:$R,2,FALSE))*(1+AX120)*(1+AY120)*AZ120</f>
        <v>0</v>
      </c>
      <c r="BH120" s="93">
        <f t="shared" si="71"/>
        <v>0.0144</v>
      </c>
      <c r="BI120" s="101">
        <f t="shared" si="72"/>
        <v>0</v>
      </c>
      <c r="BJ120" s="99">
        <f>IF(VLOOKUP($E120,武器奇术!$A:$R,18,FALSE)="极乐",0,$B$9*IF($G$5="撼天",1.05,1)+IF(AND(VLOOKUP($E120,武器奇术!$A:$R,15,FALSE)="武器",VLOOKUP($E120,武器奇术!$A:$R,17,FALSE)="裂石"),$E$3*(1+$E$15),0))</f>
        <v>0</v>
      </c>
      <c r="BK120" s="91">
        <f t="shared" si="73"/>
        <v>0</v>
      </c>
      <c r="BL120" s="91">
        <f>IF(VLOOKUP($E120,武器奇术!$A:$R,18,FALSE)="极乐",0,MAX($C$9*IF($G$5="撼天",1.05,1)+IF(AND(VLOOKUP($E120,武器奇术!$A:$R,15,FALSE)="武器",VLOOKUP($E120,武器奇术!$A:$R,17,FALSE)="裂石"),$E$3*(1+$E$15),0),BJ120))</f>
        <v>0</v>
      </c>
      <c r="BM120" s="93">
        <f>IF(($D$9+IF(VLOOKUP($E120,武器奇术!$A:$R,17,FALSE)="裂石",$D$15,0)-VLOOKUP($F$7,目标属性!$A:$R,6,FALSE))&gt;0,($D$9+IF(VLOOKUP($E120,武器奇术!$A:$R,17,FALSE)="裂石",$D$15,0)-VLOOKUP($F$7,目标属性!$A:$R,6,FALSE))/200,($D$9+IF(VLOOKUP($E120,武器奇术!$A:$R,17,FALSE)="裂石",$D$15,0)-VLOOKUP($F$7,目标属性!$A:$R,6,FALSE))/100)</f>
        <v>-0.24</v>
      </c>
      <c r="BN120" s="100">
        <f t="shared" si="90"/>
        <v>0</v>
      </c>
      <c r="BO120" s="91">
        <v>1</v>
      </c>
      <c r="BP120" s="92">
        <f>BJ120*IF(VLOOKUP($E120,武器奇术!$A:$R,17,FALSE)="裂石",VLOOKUP($E120,武器奇术!$A:$R,4,FALSE),VLOOKUP($E120,武器奇术!$A:$R,2,FALSE))*(1+BM120)*(1+BN120)*BO120</f>
        <v>0</v>
      </c>
      <c r="BQ120" s="93">
        <f>(1-IF(VLOOKUP($E120,武器奇术!$A:$R,16,FALSE)="陌刀",1,$N120))*(1-$M120)</f>
        <v>0</v>
      </c>
      <c r="BR120" s="92">
        <f>BK120*IF(VLOOKUP($E120,武器奇术!$A:$R,17,FALSE)="裂石",VLOOKUP($E120,武器奇术!$A:$R,4,FALSE),VLOOKUP($E120,武器奇术!$A:$R,2,FALSE))*(1+BM120)*(1+BN120)*BO120*(1+$E$16+VLOOKUP($E120,武器奇术!$A:$R,8,FALSE))</f>
        <v>0</v>
      </c>
      <c r="BS120" s="93">
        <f t="shared" si="98"/>
        <v>0.887</v>
      </c>
      <c r="BT120" s="92">
        <f>BL120*IF(VLOOKUP($E120,武器奇术!$A:$R,17,FALSE)="裂石",VLOOKUP($E120,武器奇术!$A:$R,4,FALSE),VLOOKUP($E120,武器奇术!$A:$R,2,FALSE))*(1+BM120)*(1+BN120)*BO120*(1+$E$17+VLOOKUP($E120,武器奇术!$A:$R,10,FALSE))</f>
        <v>0</v>
      </c>
      <c r="BU120" s="93">
        <f t="shared" si="99"/>
        <v>0.0986</v>
      </c>
      <c r="BV120" s="92">
        <f>BK120*IF(VLOOKUP($E120,武器奇术!$A:$R,17,FALSE)="裂石",VLOOKUP($E120,武器奇术!$A:$R,4,FALSE),VLOOKUP($E120,武器奇术!$A:$R,2,FALSE))*(1+BM120)*(1+BN120)*BO120</f>
        <v>0</v>
      </c>
      <c r="BW120" s="93">
        <f t="shared" si="74"/>
        <v>0.0144</v>
      </c>
      <c r="BX120" s="101">
        <f t="shared" si="75"/>
        <v>0</v>
      </c>
      <c r="BY120" s="99">
        <f>IF(VLOOKUP($E120,武器奇术!$A:$R,18,FALSE)="极乐",0,$B$11*IF($G$5="撼天",1.05,1)+IF(AND(VLOOKUP($E120,武器奇术!$A:$R,15,FALSE)="武器",VLOOKUP($E120,武器奇术!$A:$R,17,FALSE)="牵丝"),$E$3*(1+$E$15),0))</f>
        <v>0</v>
      </c>
      <c r="BZ120" s="91">
        <f t="shared" si="76"/>
        <v>0</v>
      </c>
      <c r="CA120" s="91">
        <f>IF(VLOOKUP($E120,武器奇术!$A:$R,18,FALSE)="极乐",0,MAX($C$11*IF($G$5="撼天",1.05,1)+IF(AND(VLOOKUP($E120,武器奇术!$A:$R,15,FALSE)="武器",VLOOKUP($E120,武器奇术!$A:$R,17,FALSE)="牵丝"),$E$3*(1+$E$15),0),BY120))</f>
        <v>0</v>
      </c>
      <c r="CB120" s="93">
        <f>IF(($D$11+IF(VLOOKUP($E120,武器奇术!$A:$R,17,FALSE)="牵丝",$D$15,0)-VLOOKUP($F$7,目标属性!$A:$R,6,FALSE))&gt;0,($D$11+IF(VLOOKUP($E120,武器奇术!$A:$R,17,FALSE)="牵丝",$D$15,0)-VLOOKUP($F$7,目标属性!$A:$R,6,FALSE))/200,($D$11+IF(VLOOKUP($E120,武器奇术!$A:$R,17,FALSE)="牵丝",$D$15,0)-VLOOKUP($F$7,目标属性!$A:$R,6,FALSE))/100)</f>
        <v>-0.24</v>
      </c>
      <c r="CC120" s="100">
        <f t="shared" si="91"/>
        <v>0</v>
      </c>
      <c r="CD120" s="91">
        <v>1</v>
      </c>
      <c r="CE120" s="92">
        <f>BY120*IF(VLOOKUP($E120,武器奇术!$A:$R,17,FALSE)="牵丝",VLOOKUP($E120,武器奇术!$A:$R,4,FALSE),VLOOKUP($E120,武器奇术!$A:$R,2,FALSE))*(1+CB120)*(1+CC120)*CD120</f>
        <v>0</v>
      </c>
      <c r="CF120" s="93">
        <f>(1-IF(VLOOKUP($E120,武器奇术!$A:$R,16,FALSE)="陌刀",1,$N120))*(1-$M120)</f>
        <v>0</v>
      </c>
      <c r="CG120" s="92">
        <f>BZ120*IF(VLOOKUP($E120,武器奇术!$A:$R,17,FALSE)="牵丝",VLOOKUP($E120,武器奇术!$A:$R,4,FALSE),VLOOKUP($E120,武器奇术!$A:$R,2,FALSE))*(1+CB120)*(1+CC120)*CD120*(1+$E$16+VLOOKUP($E120,武器奇术!$A:$R,8,FALSE))</f>
        <v>0</v>
      </c>
      <c r="CH120" s="93">
        <f t="shared" si="100"/>
        <v>0.887</v>
      </c>
      <c r="CI120" s="92">
        <f>CA120*IF(VLOOKUP($E120,武器奇术!$A:$R,17,FALSE)="牵丝",VLOOKUP($E120,武器奇术!$A:$R,4,FALSE),VLOOKUP($E120,武器奇术!$A:$R,2,FALSE))*(1+CB120)*(1+CC120)*CD120*(1+$E$17+VLOOKUP($E120,武器奇术!$A:$R,10,FALSE))</f>
        <v>0</v>
      </c>
      <c r="CJ120" s="93">
        <f t="shared" si="101"/>
        <v>0.0986</v>
      </c>
      <c r="CK120" s="92">
        <f>BZ120*IF(VLOOKUP($E120,武器奇术!$A:$R,17,FALSE)="牵丝",VLOOKUP($E120,武器奇术!$A:$R,4,FALSE),VLOOKUP($E120,武器奇术!$A:$R,2,FALSE))*(1+CB120)*(1+CC120)*CD120</f>
        <v>0</v>
      </c>
      <c r="CL120" s="93">
        <f t="shared" si="77"/>
        <v>0.0144</v>
      </c>
      <c r="CM120" s="101">
        <f t="shared" si="78"/>
        <v>0</v>
      </c>
      <c r="CN120" s="99">
        <f>IF(VLOOKUP($E120,武器奇术!$A:$R,18,FALSE)="极乐",0,$B$13*IF($G$5="撼天",1.05,1)+IF(AND(VLOOKUP($E120,武器奇术!$A:$R,15,FALSE)="武器",VLOOKUP($E120,武器奇术!$A:$R,17,FALSE)="破竹"),$E$3*(1+$E$15),0))</f>
        <v>686.71</v>
      </c>
      <c r="CO120" s="91">
        <f t="shared" si="79"/>
        <v>1052.21</v>
      </c>
      <c r="CP120" s="91">
        <f>IF(VLOOKUP($E120,武器奇术!$A:$R,18,FALSE)="极乐",0,MAX($C$13*IF($G$5="撼天",1.05,1)+IF(AND(VLOOKUP($E120,武器奇术!$A:$R,15,FALSE)="武器",VLOOKUP($E120,武器奇术!$A:$R,17,FALSE)="破竹"),$E$3*(1+$E$15),0),CN120))</f>
        <v>1417.71</v>
      </c>
      <c r="CQ120" s="93">
        <f>IF(($D$13+IF(VLOOKUP($E120,武器奇术!$A:$R,17,FALSE)="破竹",$D$15,0)-VLOOKUP($F$7,目标属性!$A:$R,6,FALSE)+IF(VLOOKUP($E120,武器奇术!$A:$V,22,FALSE)=1,4,0)+IF(VLOOKUP($E120,武器奇术!$A:$T,20,FALSE)=1,10,0))&gt;0,($D$13+IF(VLOOKUP($E120,武器奇术!$A:$R,17,FALSE)="破竹",$D$15,0)-VLOOKUP($F$7,目标属性!$A:$R,6,FALSE)+IF(VLOOKUP($E120,武器奇术!$A:$V,22,FALSE)=1,4,0)+IF(VLOOKUP($E120,武器奇术!$A:$T,20,FALSE)=1,10,0))/200,($D$13+IF(VLOOKUP($E120,武器奇术!$A:$R,17,FALSE)="破竹",$D$15,0)-VLOOKUP($F$7,目标属性!$A:$R,6,FALSE)+IF(VLOOKUP($E120,武器奇术!$A:$V,22,FALSE)=1,4,0)+IF(VLOOKUP($E120,武器奇术!$A:$T,20,FALSE)=1,10,0))/100)</f>
        <v>0.078</v>
      </c>
      <c r="CR120" s="120">
        <f>$E$13+IF(期望!$G$5="燕归",6%,0)</f>
        <v>0.208</v>
      </c>
      <c r="CS120" s="91">
        <v>1</v>
      </c>
      <c r="CT120" s="92">
        <f>CN120*IF(VLOOKUP($E120,武器奇术!$A:$R,17,FALSE)="破竹",VLOOKUP($E120,武器奇术!$A:$R,4,FALSE),VLOOKUP($E120,武器奇术!$A:$R,2,FALSE))*(1+CQ120)*(1+CR120)*CS120</f>
        <v>2561.19529358357</v>
      </c>
      <c r="CU120" s="93">
        <f>(1-IF(VLOOKUP($E120,武器奇术!$A:$R,16,FALSE)="陌刀",1,$N120))*(1-$M120)</f>
        <v>0</v>
      </c>
      <c r="CV120" s="92">
        <f>CO120*IF(VLOOKUP($E120,武器奇术!$A:$R,17,FALSE)="破竹",VLOOKUP($E120,武器奇术!$A:$R,4,FALSE),VLOOKUP($E120,武器奇术!$A:$R,2,FALSE))*(1+CQ120)*(1+CR120)*CS120*(1+$E$16+VLOOKUP($E120,武器奇术!$A:$R,8,FALSE))</f>
        <v>9394.98074568392</v>
      </c>
      <c r="CW120" s="93">
        <f t="shared" si="102"/>
        <v>0.887</v>
      </c>
      <c r="CX120" s="92">
        <f>CP120*IF(VLOOKUP($E120,武器奇术!$A:$R,17,FALSE)="破竹",VLOOKUP($E120,武器奇术!$A:$R,4,FALSE),VLOOKUP($E120,武器奇术!$A:$R,2,FALSE))*(1+CQ120)*(1+CR120)*CS120*(1+$E$17+VLOOKUP($E120,武器奇术!$A:$R,10,FALSE))</f>
        <v>7138.22929992223</v>
      </c>
      <c r="CY120" s="93">
        <f t="shared" si="103"/>
        <v>0.0986</v>
      </c>
      <c r="CZ120" s="92">
        <f>CO120*IF(VLOOKUP($E120,武器奇术!$A:$R,17,FALSE)="破竹",VLOOKUP($E120,武器奇术!$A:$R,4,FALSE),VLOOKUP($E120,武器奇术!$A:$R,2,FALSE))*(1+CQ120)*(1+CR120)*CS120</f>
        <v>3924.38627639261</v>
      </c>
      <c r="DA120" s="93">
        <f t="shared" si="80"/>
        <v>0.0144</v>
      </c>
      <c r="DB120" s="101">
        <f t="shared" si="81"/>
        <v>9093.68849277402</v>
      </c>
      <c r="DC120" s="99">
        <f>IF(VLOOKUP($E120,武器奇术!$A:$R,18,FALSE)="极乐",0,$B$15)</f>
        <v>66</v>
      </c>
      <c r="DD120" s="91">
        <f t="shared" si="111"/>
        <v>95.9</v>
      </c>
      <c r="DE120" s="91">
        <f>IF(VLOOKUP($E120,武器奇术!$A:$R,18,FALSE)="极乐",0,$C$15)</f>
        <v>125.8</v>
      </c>
      <c r="DF120" s="93">
        <f>IF((IF(VLOOKUP($E120,武器奇术!$A:$R,17,FALSE)="鸣金",$D$7,0)+IF(VLOOKUP($E120,武器奇术!$A:$R,17,FALSE)="裂石",$D$9,0)+IF(VLOOKUP($E120,武器奇术!$A:$R,17,FALSE)="牵丝",$D$11,0)+IF(VLOOKUP($E120,武器奇术!$A:$R,17,FALSE)="破竹",$D$13,0)+$D$15-VLOOKUP($F$7,目标属性!$A:$R,6,FALSE)+IF(VLOOKUP($E120,武器奇术!$A:$V,22,FALSE)=1,4,0)+IF(VLOOKUP($E120,武器奇术!$A:$T,20,FALSE)=1,10,0))&gt;0,(IF(VLOOKUP($E120,武器奇术!$A:$R,17,FALSE)="鸣金",$D$7,0)+IF(VLOOKUP($E120,武器奇术!$A:$R,17,FALSE)="裂石",$D$9,0)+IF(VLOOKUP($E120,武器奇术!$A:$R,17,FALSE)="牵丝",$D$11,0)+IF(VLOOKUP($E120,武器奇术!$A:$R,17,FALSE)="破竹",$D$13,0)+$D$15-VLOOKUP($F$7,目标属性!$A:$R,6,FALSE)+IF(VLOOKUP($E120,武器奇术!$A:$V,22,FALSE)=1,4,0)+IF(VLOOKUP($E120,武器奇术!$A:$T,20,FALSE)=1,10,0))/200,(IF(VLOOKUP($E120,武器奇术!$A:$R,17,FALSE)="鸣金",$D$7,0)+IF(VLOOKUP($E120,武器奇术!$A:$R,17,FALSE)="裂石",$D$9,0)+IF(VLOOKUP($E120,武器奇术!$A:$R,17,FALSE)="牵丝",$D$11,0)+IF(VLOOKUP($E120,武器奇术!$A:$R,17,FALSE)="破竹",$D$13,0)+$D$15-VLOOKUP($F$7,目标属性!$A:$R,6,FALSE)+IF(VLOOKUP($E120,武器奇术!$A:$V,22,FALSE)=1,4,0)+IF(VLOOKUP($E120,武器奇术!$A:$T,20,FALSE)=1,10,0))/100)</f>
        <v>0.078</v>
      </c>
      <c r="DG120" s="120">
        <f>$E$13+IF(期望!$G$5="燕归",6%,0)</f>
        <v>0.208</v>
      </c>
      <c r="DH120" s="91">
        <v>1</v>
      </c>
      <c r="DI120" s="92">
        <f>DC120*IF(VLOOKUP($E120,武器奇术!$A:$R,17,FALSE)="破竹",VLOOKUP($E120,武器奇术!$A:$R,4,FALSE),VLOOKUP($E120,武器奇术!$A:$R,2,FALSE))*(1+DF120)*(1+DG120)*DH120</f>
        <v>246.15760565088</v>
      </c>
      <c r="DJ120" s="93">
        <f>(1-IF(VLOOKUP($E120,武器奇术!$A:$R,16,FALSE)="陌刀",1,$N120))*(1-$M120)</f>
        <v>0</v>
      </c>
      <c r="DK120" s="92">
        <f>DD120*IF(VLOOKUP($E120,武器奇术!$A:$R,17,FALSE)="破竹",VLOOKUP($E120,武器奇术!$A:$R,4,FALSE),VLOOKUP($E120,武器奇术!$A:$R,2,FALSE))*(1+DF120)*(1+DG120)*DH120*(1+$E$16+VLOOKUP($E120,武器奇术!$A:$R,8,FALSE))</f>
        <v>856.272658035076</v>
      </c>
      <c r="DL120" s="93">
        <f t="shared" si="104"/>
        <v>0.887</v>
      </c>
      <c r="DM120" s="92">
        <f>DE120*IF(VLOOKUP($E120,武器奇术!$A:$R,17,FALSE)="破竹",VLOOKUP($E120,武器奇术!$A:$R,4,FALSE),VLOOKUP($E120,武器奇术!$A:$R,2,FALSE))*(1+DF120)*(1+DG120)*DH120*(1+$E$17+VLOOKUP($E120,武器奇术!$A:$R,10,FALSE))</f>
        <v>633.408275268014</v>
      </c>
      <c r="DN120" s="93">
        <f t="shared" si="105"/>
        <v>0.0986</v>
      </c>
      <c r="DO120" s="92">
        <f>DD120*IF(VLOOKUP($E120,武器奇术!$A:$R,17,FALSE)="破竹",VLOOKUP($E120,武器奇术!$A:$R,4,FALSE),VLOOKUP($E120,武器奇术!$A:$R,2,FALSE))*(1+DF120)*(1+DG120)*DH120</f>
        <v>357.674460332112</v>
      </c>
      <c r="DP120" s="93">
        <f t="shared" si="106"/>
        <v>0.0144</v>
      </c>
      <c r="DQ120" s="101">
        <f t="shared" si="107"/>
        <v>827.118415847321</v>
      </c>
    </row>
    <row r="121" spans="1:121">
      <c r="A121" s="33" t="s">
        <v>143</v>
      </c>
      <c r="B121" t="s">
        <v>186</v>
      </c>
      <c r="C121">
        <v>1</v>
      </c>
      <c r="D121" s="33" t="s">
        <v>205</v>
      </c>
      <c r="E121" s="105" t="s">
        <v>206</v>
      </c>
      <c r="F121" s="106">
        <f>SUM(F117:F120)+4</f>
        <v>8</v>
      </c>
      <c r="G121" s="107">
        <f>$E$23</f>
        <v>0.32</v>
      </c>
      <c r="H121" s="131">
        <f>IF(VLOOKUP($E121,武器奇术!$A:$R,18,FALSE)="天工",AE121,(AE121+AT121+BI121+BX121+CM121+DB121+DQ121))*(1+J121)*F121*K121*(1+G121)*(1+$G$21*5%)</f>
        <v>205914.602221279</v>
      </c>
      <c r="I121" s="93">
        <f t="shared" si="58"/>
        <v>0.0264152849811973</v>
      </c>
      <c r="J121" s="93">
        <f>$F$3+VLOOKUP($E121,武器奇术!$A:$R,12,FALSE)+VLOOKUP($E121,武器奇术!$A:$R,14,FALSE)*$G$3+$P121</f>
        <v>1.513</v>
      </c>
      <c r="K121" s="94">
        <f>VLOOKUP($E121,武器奇术!$A:$R,11,FALSE)</f>
        <v>1</v>
      </c>
      <c r="L121" s="109">
        <f>IF(VLOOKUP($E121,武器奇术!$A:$R,15,FALSE)="天工",0%,IF($C$17+VLOOKUP($E121,武器奇术!$A:$R,7,FALSE)&gt;80%,80%,$C$17+VLOOKUP($E121,武器奇术!$A:$R,7,FALSE))+IF($C$19&gt;20%,20%,$C$19))</f>
        <v>0.887</v>
      </c>
      <c r="M121" s="110">
        <f>IF(VLOOKUP($E121,武器奇术!$A:$R,15,FALSE)="天工",0%,IF($C$18+VLOOKUP($E121,武器奇术!$A:$R,9,FALSE)&gt;40%,40%,$C$18+VLOOKUP($E121,武器奇术!$A:$R,9,FALSE))+IF($C$20&gt;10%,10%,$C$20))</f>
        <v>0.0986</v>
      </c>
      <c r="N121" s="111">
        <f>IF(VLOOKUP($E121,武器奇术!$A:$R,15,FALSE)="天工",100%,MIN($C$16,1))</f>
        <v>1</v>
      </c>
      <c r="O121" s="112" t="str">
        <f>VLOOKUP($E121,武器奇术!$A:$R,16,FALSE)</f>
        <v>绳标</v>
      </c>
      <c r="P121" s="113">
        <f t="shared" si="108"/>
        <v>0.17</v>
      </c>
      <c r="Q121" s="99">
        <f>$B$5*(1+VLOOKUP($E121,武器奇术!$A:$R,5,FALSE)+IF($G$5="飞隼",0.1,0)+IF($G$5="撼天",0.05,0))-$F$9*IF(VLOOKUP($E121,武器奇术!$A:$S,19,FALSE)=1,0.9,1)+IF($I$5="√",160,0)</f>
        <v>2848.3</v>
      </c>
      <c r="R121" s="91">
        <f t="shared" si="60"/>
        <v>2848.3</v>
      </c>
      <c r="S121" s="91">
        <f>MAX($C$5,$B$5)*(1+VLOOKUP($E121,武器奇术!$A:$R,5,FALSE)+IF($G$5="飞隼",0.1,0)+IF($G$5="撼天",0.05,0))-$F$9*IF(VLOOKUP($E121,武器奇术!$A:$S,19,FALSE)=1,0.9,1)+IF($I$5="√",320,0)</f>
        <v>2848.3</v>
      </c>
      <c r="T121" s="93">
        <f>IF(($D$5+VLOOKUP($E121,武器奇术!$A:$R,13,FALSE)+IF($I$3="√",10,0)-VLOOKUP($F$7,目标属性!$A:$R,5,FALSE))&gt;0,($D$5+VLOOKUP($E121,武器奇术!$A:$R,13,FALSE)+IF($I$3="√",10,0)-VLOOKUP($F$7,目标属性!$A:$R,5,FALSE))/200,($D$5+VLOOKUP($E121,武器奇术!$A:$R,13,FALSE)+IF($I$3="√",10,0)-VLOOKUP($F$7,目标属性!$A:$R,5,FALSE))/100)</f>
        <v>0.3925</v>
      </c>
      <c r="U121" s="120">
        <f>$E$5+IF(VLOOKUP($E121,武器奇术!$A:$R,18,FALSE)="鼠鼠",0.24,0)+IF(期望!$G$5="燕归",6/100,0)</f>
        <v>0.3</v>
      </c>
      <c r="V121" s="91">
        <v>1</v>
      </c>
      <c r="W121" s="92">
        <f>Q121*VLOOKUP($E121,武器奇术!$A:$R,2,FALSE)*(1+T121)*(1+U121)*V121</f>
        <v>1804.64727625</v>
      </c>
      <c r="X121" s="93">
        <f>(1-IF(VLOOKUP($E121,武器奇术!$A:$R,16,FALSE)="陌刀",1,$N121))*(1-$M121)</f>
        <v>0</v>
      </c>
      <c r="Y121" s="92">
        <f>R121*VLOOKUP($E121,武器奇术!$A:$R,2,FALSE)*(1+T121)*(1+U121)*V121*(1+$E$16+VLOOKUP($E121,武器奇术!$A:$R,8,FALSE))</f>
        <v>4320.3255793425</v>
      </c>
      <c r="Z121" s="93">
        <f t="shared" si="61"/>
        <v>0.887</v>
      </c>
      <c r="AA121" s="92">
        <f>S121*VLOOKUP($E121,武器奇术!$A:$R,2,FALSE)*(1+T121)*(1+U121)*V121*(1+$E$17+VLOOKUP($E121,武器奇术!$A:$R,10,FALSE))</f>
        <v>2436.2738229375</v>
      </c>
      <c r="AB121" s="93">
        <f t="shared" si="62"/>
        <v>0.0986</v>
      </c>
      <c r="AC121" s="92">
        <f>R121*VLOOKUP($E121,武器奇术!$A:$R,2,FALSE)*(1+T121)*(1+U121)*V121</f>
        <v>1804.64727625</v>
      </c>
      <c r="AD121" s="93">
        <f t="shared" si="63"/>
        <v>0.0144</v>
      </c>
      <c r="AE121" s="101">
        <f t="shared" si="64"/>
        <v>4098.33230859643</v>
      </c>
      <c r="AF121" s="102">
        <f>VLOOKUP($E121,武器奇术!$A:$R,3,FALSE)*(1+IF(VLOOKUP($E121,武器奇术!$A:$R,15,FALSE)="武器",$E$15,0))</f>
        <v>0</v>
      </c>
      <c r="AG121" s="92">
        <f t="shared" si="65"/>
        <v>0</v>
      </c>
      <c r="AH121" s="92">
        <f>VLOOKUP($E121,武器奇术!$A:$R,3,FALSE)*(1+IF(VLOOKUP($E121,武器奇术!$A:$R,15,FALSE)="武器",$E$15,0))</f>
        <v>0</v>
      </c>
      <c r="AI121" s="93">
        <f>IF(($D$5+VLOOKUP($E121,武器奇术!$A:$R,13,FALSE)+IF($I$3="√",10,0)-VLOOKUP($F$7,目标属性!$A:$R,5,FALSE))&gt;0,($D$5+VLOOKUP($E121,武器奇术!$A:$R,13,FALSE)+IF($I$3="√",10,0)-VLOOKUP($F$7,目标属性!$A:$R,5,FALSE))/200,($D$5+VLOOKUP($E121,武器奇术!$A:$R,13,FALSE)+IF($I$3="√",10,0)-VLOOKUP($F$7,目标属性!$A:$R,5,FALSE))/100)</f>
        <v>0.3925</v>
      </c>
      <c r="AJ121" s="120">
        <f>$E$5+IF(VLOOKUP($E121,武器奇术!$A:$R,18,FALSE)="鼠鼠",0.24,0)+IF(期望!$G$5="燕归",6/100,0)</f>
        <v>0.3</v>
      </c>
      <c r="AK121" s="91">
        <v>1</v>
      </c>
      <c r="AL121" s="92">
        <f t="shared" si="109"/>
        <v>0</v>
      </c>
      <c r="AM121" s="93">
        <f>(1-IF(VLOOKUP($E121,武器奇术!$A:$R,16,FALSE)="陌刀",1,$N121))*(1-$M121)</f>
        <v>0</v>
      </c>
      <c r="AN121" s="92">
        <f>AG121*(1+AI121)*(1+AJ121)*AK121*(1+$E$16+VLOOKUP($E121,武器奇术!$A:$R,8,FALSE))</f>
        <v>0</v>
      </c>
      <c r="AO121" s="93">
        <f t="shared" si="94"/>
        <v>0.887</v>
      </c>
      <c r="AP121" s="92">
        <f>AH121*(1+AI121)*(1+AJ121)*AK121*(1+$E$17+VLOOKUP($E121,武器奇术!$A:$R,10,FALSE))</f>
        <v>0</v>
      </c>
      <c r="AQ121" s="93">
        <f t="shared" si="95"/>
        <v>0.0986</v>
      </c>
      <c r="AR121" s="92">
        <f t="shared" si="67"/>
        <v>0</v>
      </c>
      <c r="AS121" s="93">
        <f t="shared" si="68"/>
        <v>0.0144</v>
      </c>
      <c r="AT121" s="101">
        <f t="shared" si="69"/>
        <v>0</v>
      </c>
      <c r="AU121" s="99">
        <f>IF(VLOOKUP($E121,武器奇术!$A:$R,18,FALSE)="极乐",0,$B$7*IF($G$5="撼天",1.05,1)+IF(AND(VLOOKUP($E121,武器奇术!$A:$R,15,FALSE)="武器",VLOOKUP($E121,武器奇术!$A:$R,17,FALSE)="鸣金"),$E$3*(1+$E$15),0))</f>
        <v>0</v>
      </c>
      <c r="AV121" s="91">
        <f t="shared" si="70"/>
        <v>0</v>
      </c>
      <c r="AW121" s="91">
        <f>IF(VLOOKUP($E121,武器奇术!$A:$R,18,FALSE)="极乐",0,MAX($C$7*IF($G$5="撼天",1.05,1)+IF(AND(VLOOKUP($E121,武器奇术!$A:$R,15,FALSE)="武器",VLOOKUP($E121,武器奇术!$A:$R,17,FALSE)="鸣金"),$E$3*(1+$E$15),0),AU121))</f>
        <v>0</v>
      </c>
      <c r="AX121" s="93">
        <f>IF(($D$7+IF(VLOOKUP($E121,武器奇术!$A:$R,17,FALSE)="鸣金",$D$15,0)-VLOOKUP($F$7,目标属性!$A:$R,6,FALSE))&gt;0,($D$7+IF(VLOOKUP($E121,武器奇术!$A:$R,17,FALSE)="鸣金",$D$15,0)-VLOOKUP($F$7,目标属性!$A:$R,6,FALSE))/200,($D$7+IF(VLOOKUP($E121,武器奇术!$A:$R,17,FALSE)="鸣金",$D$15,0)-VLOOKUP($F$7,目标属性!$A:$R,6,FALSE))/100)</f>
        <v>-0.24</v>
      </c>
      <c r="AY121" s="100">
        <f t="shared" si="89"/>
        <v>0</v>
      </c>
      <c r="AZ121" s="91">
        <v>1</v>
      </c>
      <c r="BA121" s="92">
        <f>AU121*IF(VLOOKUP($E121,武器奇术!$A:$R,17,FALSE)="鸣金",VLOOKUP($E121,武器奇术!$A:$R,4,FALSE),VLOOKUP($E121,武器奇术!$A:$R,2,FALSE))*(1+AX121)*(1+AY121)*AZ121</f>
        <v>0</v>
      </c>
      <c r="BB121" s="93">
        <f>(1-IF(VLOOKUP($E121,武器奇术!$A:$R,16,FALSE)="陌刀",1,$N121))*(1-$M121)</f>
        <v>0</v>
      </c>
      <c r="BC121" s="92">
        <f>AV121*IF(VLOOKUP($E121,武器奇术!$A:$R,17,FALSE)="鸣金",VLOOKUP($E121,武器奇术!$A:$R,4,FALSE),VLOOKUP($E121,武器奇术!$A:$R,2,FALSE))*(1+AX121)*(1+AY121)*AZ121*(1+$E$16+VLOOKUP($E121,武器奇术!$A:$R,8,FALSE))</f>
        <v>0</v>
      </c>
      <c r="BD121" s="93">
        <f t="shared" si="96"/>
        <v>0.887</v>
      </c>
      <c r="BE121" s="92">
        <f>AW121*IF(VLOOKUP($E121,武器奇术!$A:$R,17,FALSE)="鸣金",VLOOKUP($E121,武器奇术!$A:$R,4,FALSE),VLOOKUP($E121,武器奇术!$A:$R,2,FALSE))*(1+AX121)*(1+AY121)*AZ121*(1+$E$17+VLOOKUP($E121,武器奇术!$A:$R,10,FALSE))</f>
        <v>0</v>
      </c>
      <c r="BF121" s="93">
        <f t="shared" si="97"/>
        <v>0.0986</v>
      </c>
      <c r="BG121" s="92">
        <f>AV121*IF(VLOOKUP($E121,武器奇术!$A:$R,17,FALSE)="鸣金",VLOOKUP($E121,武器奇术!$A:$R,4,FALSE),VLOOKUP($E121,武器奇术!$A:$R,2,FALSE))*(1+AX121)*(1+AY121)*AZ121</f>
        <v>0</v>
      </c>
      <c r="BH121" s="93">
        <f t="shared" si="71"/>
        <v>0.0144</v>
      </c>
      <c r="BI121" s="101">
        <f t="shared" si="72"/>
        <v>0</v>
      </c>
      <c r="BJ121" s="99">
        <f>IF(VLOOKUP($E121,武器奇术!$A:$R,18,FALSE)="极乐",0,$B$9*IF($G$5="撼天",1.05,1)+IF(AND(VLOOKUP($E121,武器奇术!$A:$R,15,FALSE)="武器",VLOOKUP($E121,武器奇术!$A:$R,17,FALSE)="裂石"),$E$3*(1+$E$15),0))</f>
        <v>0</v>
      </c>
      <c r="BK121" s="91">
        <f t="shared" si="73"/>
        <v>0</v>
      </c>
      <c r="BL121" s="91">
        <f>IF(VLOOKUP($E121,武器奇术!$A:$R,18,FALSE)="极乐",0,MAX($C$9*IF($G$5="撼天",1.05,1)+IF(AND(VLOOKUP($E121,武器奇术!$A:$R,15,FALSE)="武器",VLOOKUP($E121,武器奇术!$A:$R,17,FALSE)="裂石"),$E$3*(1+$E$15),0),BJ121))</f>
        <v>0</v>
      </c>
      <c r="BM121" s="93">
        <f>IF(($D$9+IF(VLOOKUP($E121,武器奇术!$A:$R,17,FALSE)="裂石",$D$15,0)-VLOOKUP($F$7,目标属性!$A:$R,6,FALSE))&gt;0,($D$9+IF(VLOOKUP($E121,武器奇术!$A:$R,17,FALSE)="裂石",$D$15,0)-VLOOKUP($F$7,目标属性!$A:$R,6,FALSE))/200,($D$9+IF(VLOOKUP($E121,武器奇术!$A:$R,17,FALSE)="裂石",$D$15,0)-VLOOKUP($F$7,目标属性!$A:$R,6,FALSE))/100)</f>
        <v>-0.24</v>
      </c>
      <c r="BN121" s="100">
        <f t="shared" si="90"/>
        <v>0</v>
      </c>
      <c r="BO121" s="91">
        <v>1</v>
      </c>
      <c r="BP121" s="92">
        <f>BJ121*IF(VLOOKUP($E121,武器奇术!$A:$R,17,FALSE)="裂石",VLOOKUP($E121,武器奇术!$A:$R,4,FALSE),VLOOKUP($E121,武器奇术!$A:$R,2,FALSE))*(1+BM121)*(1+BN121)*BO121</f>
        <v>0</v>
      </c>
      <c r="BQ121" s="93">
        <f>(1-IF(VLOOKUP($E121,武器奇术!$A:$R,16,FALSE)="陌刀",1,$N121))*(1-$M121)</f>
        <v>0</v>
      </c>
      <c r="BR121" s="92">
        <f>BK121*IF(VLOOKUP($E121,武器奇术!$A:$R,17,FALSE)="裂石",VLOOKUP($E121,武器奇术!$A:$R,4,FALSE),VLOOKUP($E121,武器奇术!$A:$R,2,FALSE))*(1+BM121)*(1+BN121)*BO121*(1+$E$16+VLOOKUP($E121,武器奇术!$A:$R,8,FALSE))</f>
        <v>0</v>
      </c>
      <c r="BS121" s="93">
        <f t="shared" si="98"/>
        <v>0.887</v>
      </c>
      <c r="BT121" s="92">
        <f>BL121*IF(VLOOKUP($E121,武器奇术!$A:$R,17,FALSE)="裂石",VLOOKUP($E121,武器奇术!$A:$R,4,FALSE),VLOOKUP($E121,武器奇术!$A:$R,2,FALSE))*(1+BM121)*(1+BN121)*BO121*(1+$E$17+VLOOKUP($E121,武器奇术!$A:$R,10,FALSE))</f>
        <v>0</v>
      </c>
      <c r="BU121" s="93">
        <f t="shared" si="99"/>
        <v>0.0986</v>
      </c>
      <c r="BV121" s="92">
        <f>BK121*IF(VLOOKUP($E121,武器奇术!$A:$R,17,FALSE)="裂石",VLOOKUP($E121,武器奇术!$A:$R,4,FALSE),VLOOKUP($E121,武器奇术!$A:$R,2,FALSE))*(1+BM121)*(1+BN121)*BO121</f>
        <v>0</v>
      </c>
      <c r="BW121" s="93">
        <f t="shared" si="74"/>
        <v>0.0144</v>
      </c>
      <c r="BX121" s="101">
        <f t="shared" si="75"/>
        <v>0</v>
      </c>
      <c r="BY121" s="99">
        <f>IF(VLOOKUP($E121,武器奇术!$A:$R,18,FALSE)="极乐",0,$B$11*IF($G$5="撼天",1.05,1)+IF(AND(VLOOKUP($E121,武器奇术!$A:$R,15,FALSE)="武器",VLOOKUP($E121,武器奇术!$A:$R,17,FALSE)="牵丝"),$E$3*(1+$E$15),0))</f>
        <v>0</v>
      </c>
      <c r="BZ121" s="91">
        <f t="shared" si="76"/>
        <v>0</v>
      </c>
      <c r="CA121" s="91">
        <f>IF(VLOOKUP($E121,武器奇术!$A:$R,18,FALSE)="极乐",0,MAX($C$11*IF($G$5="撼天",1.05,1)+IF(AND(VLOOKUP($E121,武器奇术!$A:$R,15,FALSE)="武器",VLOOKUP($E121,武器奇术!$A:$R,17,FALSE)="牵丝"),$E$3*(1+$E$15),0),BY121))</f>
        <v>0</v>
      </c>
      <c r="CB121" s="93">
        <f>IF(($D$11+IF(VLOOKUP($E121,武器奇术!$A:$R,17,FALSE)="牵丝",$D$15,0)-VLOOKUP($F$7,目标属性!$A:$R,6,FALSE))&gt;0,($D$11+IF(VLOOKUP($E121,武器奇术!$A:$R,17,FALSE)="牵丝",$D$15,0)-VLOOKUP($F$7,目标属性!$A:$R,6,FALSE))/200,($D$11+IF(VLOOKUP($E121,武器奇术!$A:$R,17,FALSE)="牵丝",$D$15,0)-VLOOKUP($F$7,目标属性!$A:$R,6,FALSE))/100)</f>
        <v>-0.24</v>
      </c>
      <c r="CC121" s="100">
        <f t="shared" si="91"/>
        <v>0</v>
      </c>
      <c r="CD121" s="91">
        <v>1</v>
      </c>
      <c r="CE121" s="92">
        <f>BY121*IF(VLOOKUP($E121,武器奇术!$A:$R,17,FALSE)="牵丝",VLOOKUP($E121,武器奇术!$A:$R,4,FALSE),VLOOKUP($E121,武器奇术!$A:$R,2,FALSE))*(1+CB121)*(1+CC121)*CD121</f>
        <v>0</v>
      </c>
      <c r="CF121" s="93">
        <f>(1-IF(VLOOKUP($E121,武器奇术!$A:$R,16,FALSE)="陌刀",1,$N121))*(1-$M121)</f>
        <v>0</v>
      </c>
      <c r="CG121" s="92">
        <f>BZ121*IF(VLOOKUP($E121,武器奇术!$A:$R,17,FALSE)="牵丝",VLOOKUP($E121,武器奇术!$A:$R,4,FALSE),VLOOKUP($E121,武器奇术!$A:$R,2,FALSE))*(1+CB121)*(1+CC121)*CD121*(1+$E$16+VLOOKUP($E121,武器奇术!$A:$R,8,FALSE))</f>
        <v>0</v>
      </c>
      <c r="CH121" s="93">
        <f t="shared" si="100"/>
        <v>0.887</v>
      </c>
      <c r="CI121" s="92">
        <f>CA121*IF(VLOOKUP($E121,武器奇术!$A:$R,17,FALSE)="牵丝",VLOOKUP($E121,武器奇术!$A:$R,4,FALSE),VLOOKUP($E121,武器奇术!$A:$R,2,FALSE))*(1+CB121)*(1+CC121)*CD121*(1+$E$17+VLOOKUP($E121,武器奇术!$A:$R,10,FALSE))</f>
        <v>0</v>
      </c>
      <c r="CJ121" s="93">
        <f t="shared" si="101"/>
        <v>0.0986</v>
      </c>
      <c r="CK121" s="92">
        <f>BZ121*IF(VLOOKUP($E121,武器奇术!$A:$R,17,FALSE)="牵丝",VLOOKUP($E121,武器奇术!$A:$R,4,FALSE),VLOOKUP($E121,武器奇术!$A:$R,2,FALSE))*(1+CB121)*(1+CC121)*CD121</f>
        <v>0</v>
      </c>
      <c r="CL121" s="93">
        <f t="shared" si="77"/>
        <v>0.0144</v>
      </c>
      <c r="CM121" s="101">
        <f t="shared" si="78"/>
        <v>0</v>
      </c>
      <c r="CN121" s="99">
        <f>IF(VLOOKUP($E121,武器奇术!$A:$R,18,FALSE)="极乐",0,$B$13*IF($G$5="撼天",1.05,1)+IF(AND(VLOOKUP($E121,武器奇术!$A:$R,15,FALSE)="武器",VLOOKUP($E121,武器奇术!$A:$R,17,FALSE)="破竹"),$E$3*(1+$E$15),0))</f>
        <v>490.8</v>
      </c>
      <c r="CO121" s="91">
        <f t="shared" si="79"/>
        <v>856.3</v>
      </c>
      <c r="CP121" s="91">
        <f>IF(VLOOKUP($E121,武器奇术!$A:$R,18,FALSE)="极乐",0,MAX($C$13*IF($G$5="撼天",1.05,1)+IF(AND(VLOOKUP($E121,武器奇术!$A:$R,15,FALSE)="武器",VLOOKUP($E121,武器奇术!$A:$R,17,FALSE)="破竹"),$E$3*(1+$E$15),0),CN121))</f>
        <v>1221.8</v>
      </c>
      <c r="CQ121" s="93">
        <f>IF(($D$13+IF(VLOOKUP($E121,武器奇术!$A:$R,17,FALSE)="破竹",$D$15,0)-VLOOKUP($F$7,目标属性!$A:$R,6,FALSE)+IF(VLOOKUP($E121,武器奇术!$A:$V,22,FALSE)=1,4,0)+IF(VLOOKUP($E121,武器奇术!$A:$T,20,FALSE)=1,10,0))&gt;0,($D$13+IF(VLOOKUP($E121,武器奇术!$A:$R,17,FALSE)="破竹",$D$15,0)-VLOOKUP($F$7,目标属性!$A:$R,6,FALSE)+IF(VLOOKUP($E121,武器奇术!$A:$V,22,FALSE)=1,4,0)+IF(VLOOKUP($E121,武器奇术!$A:$T,20,FALSE)=1,10,0))/200,($D$13+IF(VLOOKUP($E121,武器奇术!$A:$R,17,FALSE)="破竹",$D$15,0)-VLOOKUP($F$7,目标属性!$A:$R,6,FALSE)+IF(VLOOKUP($E121,武器奇术!$A:$V,22,FALSE)=1,4,0)+IF(VLOOKUP($E121,武器奇术!$A:$T,20,FALSE)=1,10,0))/100)</f>
        <v>0.028</v>
      </c>
      <c r="CR121" s="120">
        <f>$E$13+IF(期望!$G$5="燕归",6%,0)</f>
        <v>0.208</v>
      </c>
      <c r="CS121" s="91">
        <v>1</v>
      </c>
      <c r="CT121" s="92">
        <f>CN121*IF(VLOOKUP($E121,武器奇术!$A:$R,17,FALSE)="破竹",VLOOKUP($E121,武器奇术!$A:$R,4,FALSE),VLOOKUP($E121,武器奇术!$A:$R,2,FALSE))*(1+CQ121)*(1+CR121)*CS121</f>
        <v>319.98079008</v>
      </c>
      <c r="CU121" s="93">
        <f>(1-IF(VLOOKUP($E121,武器奇术!$A:$R,16,FALSE)="陌刀",1,$N121))*(1-$M121)</f>
        <v>0</v>
      </c>
      <c r="CV121" s="92">
        <f>CO121*IF(VLOOKUP($E121,武器奇术!$A:$R,17,FALSE)="破竹",VLOOKUP($E121,武器奇术!$A:$R,4,FALSE),VLOOKUP($E121,武器奇术!$A:$R,2,FALSE))*(1+CQ121)*(1+CR121)*CS121*(1+$E$16+VLOOKUP($E121,武器奇术!$A:$R,8,FALSE))</f>
        <v>1336.50147515472</v>
      </c>
      <c r="CW121" s="93">
        <f t="shared" si="102"/>
        <v>0.887</v>
      </c>
      <c r="CX121" s="92">
        <f>CP121*IF(VLOOKUP($E121,武器奇术!$A:$R,17,FALSE)="破竹",VLOOKUP($E121,武器奇术!$A:$R,4,FALSE),VLOOKUP($E121,武器奇术!$A:$R,2,FALSE))*(1+CQ121)*(1+CR121)*CS121*(1+$E$17+VLOOKUP($E121,武器奇术!$A:$R,10,FALSE))</f>
        <v>1075.358424168</v>
      </c>
      <c r="CY121" s="93">
        <f t="shared" si="103"/>
        <v>0.0986</v>
      </c>
      <c r="CZ121" s="92">
        <f>CO121*IF(VLOOKUP($E121,武器奇术!$A:$R,17,FALSE)="破竹",VLOOKUP($E121,武器奇术!$A:$R,4,FALSE),VLOOKUP($E121,武器奇术!$A:$R,2,FALSE))*(1+CQ121)*(1+CR121)*CS121</f>
        <v>558.27129288</v>
      </c>
      <c r="DA121" s="93">
        <f t="shared" si="80"/>
        <v>0.0144</v>
      </c>
      <c r="DB121" s="101">
        <f t="shared" si="81"/>
        <v>1299.54625570267</v>
      </c>
      <c r="DC121" s="99">
        <f>IF(VLOOKUP($E121,武器奇术!$A:$R,18,FALSE)="极乐",0,$B$15)</f>
        <v>66</v>
      </c>
      <c r="DD121" s="91">
        <f t="shared" si="111"/>
        <v>95.9</v>
      </c>
      <c r="DE121" s="91">
        <f>IF(VLOOKUP($E121,武器奇术!$A:$R,18,FALSE)="极乐",0,$C$15)</f>
        <v>125.8</v>
      </c>
      <c r="DF121" s="93">
        <f>IF((IF(VLOOKUP($E121,武器奇术!$A:$R,17,FALSE)="鸣金",$D$7,0)+IF(VLOOKUP($E121,武器奇术!$A:$R,17,FALSE)="裂石",$D$9,0)+IF(VLOOKUP($E121,武器奇术!$A:$R,17,FALSE)="牵丝",$D$11,0)+IF(VLOOKUP($E121,武器奇术!$A:$R,17,FALSE)="破竹",$D$13,0)+$D$15-VLOOKUP($F$7,目标属性!$A:$R,6,FALSE)+IF(VLOOKUP($E121,武器奇术!$A:$V,22,FALSE)=1,4,0)+IF(VLOOKUP($E121,武器奇术!$A:$T,20,FALSE)=1,10,0))&gt;0,(IF(VLOOKUP($E121,武器奇术!$A:$R,17,FALSE)="鸣金",$D$7,0)+IF(VLOOKUP($E121,武器奇术!$A:$R,17,FALSE)="裂石",$D$9,0)+IF(VLOOKUP($E121,武器奇术!$A:$R,17,FALSE)="牵丝",$D$11,0)+IF(VLOOKUP($E121,武器奇术!$A:$R,17,FALSE)="破竹",$D$13,0)+$D$15-VLOOKUP($F$7,目标属性!$A:$R,6,FALSE)+IF(VLOOKUP($E121,武器奇术!$A:$V,22,FALSE)=1,4,0)+IF(VLOOKUP($E121,武器奇术!$A:$T,20,FALSE)=1,10,0))/200,(IF(VLOOKUP($E121,武器奇术!$A:$R,17,FALSE)="鸣金",$D$7,0)+IF(VLOOKUP($E121,武器奇术!$A:$R,17,FALSE)="裂石",$D$9,0)+IF(VLOOKUP($E121,武器奇术!$A:$R,17,FALSE)="牵丝",$D$11,0)+IF(VLOOKUP($E121,武器奇术!$A:$R,17,FALSE)="破竹",$D$13,0)+$D$15-VLOOKUP($F$7,目标属性!$A:$R,6,FALSE)+IF(VLOOKUP($E121,武器奇术!$A:$V,22,FALSE)=1,4,0)+IF(VLOOKUP($E121,武器奇术!$A:$T,20,FALSE)=1,10,0))/100)</f>
        <v>0.028</v>
      </c>
      <c r="DG121" s="120">
        <f>$E$13+IF(期望!$G$5="燕归",6%,0)</f>
        <v>0.208</v>
      </c>
      <c r="DH121" s="91">
        <v>1</v>
      </c>
      <c r="DI121" s="92">
        <f>DC121*IF(VLOOKUP($E121,武器奇术!$A:$R,17,FALSE)="破竹",VLOOKUP($E121,武器奇术!$A:$R,4,FALSE),VLOOKUP($E121,武器奇术!$A:$R,2,FALSE))*(1+DF121)*(1+DG121)*DH121</f>
        <v>43.0292016</v>
      </c>
      <c r="DJ121" s="93">
        <f>(1-IF(VLOOKUP($E121,武器奇术!$A:$R,16,FALSE)="陌刀",1,$N121))*(1-$M121)</f>
        <v>0</v>
      </c>
      <c r="DK121" s="92">
        <f>DD121*IF(VLOOKUP($E121,武器奇术!$A:$R,17,FALSE)="破竹",VLOOKUP($E121,武器奇术!$A:$R,4,FALSE),VLOOKUP($E121,武器奇术!$A:$R,2,FALSE))*(1+DF121)*(1+DG121)*DH121*(1+$E$16+VLOOKUP($E121,武器奇术!$A:$R,8,FALSE))</f>
        <v>149.67942481296</v>
      </c>
      <c r="DL121" s="93">
        <f t="shared" si="104"/>
        <v>0.887</v>
      </c>
      <c r="DM121" s="92">
        <f>DE121*IF(VLOOKUP($E121,武器奇术!$A:$R,17,FALSE)="破竹",VLOOKUP($E121,武器奇术!$A:$R,4,FALSE),VLOOKUP($E121,武器奇术!$A:$R,2,FALSE))*(1+DF121)*(1+DG121)*DH121*(1+$E$17+VLOOKUP($E121,武器奇术!$A:$R,10,FALSE))</f>
        <v>110.721959208</v>
      </c>
      <c r="DN121" s="93">
        <f t="shared" si="105"/>
        <v>0.0986</v>
      </c>
      <c r="DO121" s="92">
        <f>DD121*IF(VLOOKUP($E121,武器奇术!$A:$R,17,FALSE)="破竹",VLOOKUP($E121,武器奇术!$A:$R,4,FALSE),VLOOKUP($E121,武器奇术!$A:$R,2,FALSE))*(1+DF121)*(1+DG121)*DH121</f>
        <v>62.52273384</v>
      </c>
      <c r="DP121" s="93">
        <f t="shared" si="106"/>
        <v>0.0144</v>
      </c>
      <c r="DQ121" s="101">
        <f t="shared" si="107"/>
        <v>144.5831623543</v>
      </c>
    </row>
    <row r="122" spans="1:121">
      <c r="A122" s="33"/>
      <c r="B122" s="130" t="s">
        <v>153</v>
      </c>
      <c r="C122">
        <v>0.166</v>
      </c>
      <c r="D122" s="33"/>
      <c r="E122" s="105" t="s">
        <v>207</v>
      </c>
      <c r="F122" s="123">
        <f>IF($K$3="×",0,(F116+F117*2+F118+F119*8+F120*5+F121)*0.15/3.5)</f>
        <v>0</v>
      </c>
      <c r="G122" s="107"/>
      <c r="H122" s="131">
        <f>IF(VLOOKUP($E122,武器奇术!$A:$R,18,FALSE)="天工",AE122,(AE122+AT122+BI122+BX122+CM122+DB122+DQ122))*(1+J122)*F122*K122*(1+G122)*(1+$G$21*5%)</f>
        <v>0</v>
      </c>
      <c r="I122" s="93">
        <f t="shared" si="58"/>
        <v>0</v>
      </c>
      <c r="J122" s="93">
        <f>$F$3+VLOOKUP($E122,武器奇术!$A:$R,12,FALSE)+VLOOKUP($E122,武器奇术!$A:$R,14,FALSE)*$G$3+$P122</f>
        <v>0.423</v>
      </c>
      <c r="K122" s="94">
        <f>VLOOKUP($E122,武器奇术!$A:$R,11,FALSE)</f>
        <v>1</v>
      </c>
      <c r="L122" s="109">
        <f>IF(VLOOKUP($E122,武器奇术!$A:$R,15,FALSE)="天工",0%,IF($C$17+VLOOKUP($E122,武器奇术!$A:$R,7,FALSE)&gt;80%,80%,$C$17+VLOOKUP($E122,武器奇术!$A:$R,7,FALSE))+IF($C$19&gt;20%,20%,$C$19))</f>
        <v>0.887</v>
      </c>
      <c r="M122" s="110">
        <f>IF(VLOOKUP($E122,武器奇术!$A:$R,15,FALSE)="天工",0%,IF($C$18+VLOOKUP($E122,武器奇术!$A:$R,9,FALSE)&gt;40%,40%,$C$18+VLOOKUP($E122,武器奇术!$A:$R,9,FALSE))+IF($C$20&gt;10%,10%,$C$20))</f>
        <v>0.0986</v>
      </c>
      <c r="N122" s="111">
        <f>IF(VLOOKUP($E122,武器奇术!$A:$R,15,FALSE)="天工",100%,MIN($C$16,1))</f>
        <v>1</v>
      </c>
      <c r="O122" s="112" t="str">
        <f>VLOOKUP($E122,武器奇术!$A:$R,16,FALSE)</f>
        <v>N/A</v>
      </c>
      <c r="P122" s="113">
        <f t="shared" si="108"/>
        <v>0</v>
      </c>
      <c r="Q122" s="99">
        <f>$B$5*(1+VLOOKUP($E122,武器奇术!$A:$R,5,FALSE)+IF($G$5="飞隼",0.1,0)+IF($G$5="撼天",0.05,0))-$F$9*IF(VLOOKUP($E122,武器奇术!$A:$S,19,FALSE)=1,0.9,1)+IF($I$5="√",160,0)</f>
        <v>2848.3</v>
      </c>
      <c r="R122" s="91">
        <f t="shared" si="60"/>
        <v>2848.3</v>
      </c>
      <c r="S122" s="91">
        <f>MAX($C$5,$B$5)*(1+VLOOKUP($E122,武器奇术!$A:$R,5,FALSE)+IF($G$5="飞隼",0.1,0)+IF($G$5="撼天",0.05,0))-$F$9*IF(VLOOKUP($E122,武器奇术!$A:$S,19,FALSE)=1,0.9,1)+IF($I$5="√",320,0)</f>
        <v>2848.3</v>
      </c>
      <c r="T122" s="93">
        <f>IF(($D$5+VLOOKUP($E122,武器奇术!$A:$R,13,FALSE)+IF($I$3="√",10,0)-VLOOKUP($F$7,目标属性!$A:$R,5,FALSE))&gt;0,($D$5+VLOOKUP($E122,武器奇术!$A:$R,13,FALSE)+IF($I$3="√",10,0)-VLOOKUP($F$7,目标属性!$A:$R,5,FALSE))/200,($D$5+VLOOKUP($E122,武器奇术!$A:$R,13,FALSE)+IF($I$3="√",10,0)-VLOOKUP($F$7,目标属性!$A:$R,5,FALSE))/100)</f>
        <v>0.3925</v>
      </c>
      <c r="U122" s="100">
        <f>$E$5+IF(VLOOKUP($E122,武器奇术!$A:$R,18,FALSE)="鼠鼠",0.24,0)</f>
        <v>0</v>
      </c>
      <c r="V122" s="91">
        <v>1</v>
      </c>
      <c r="W122" s="92">
        <f>Q122*VLOOKUP($E122,武器奇术!$A:$R,2,FALSE)*(1+T122)*(1+U122)*V122</f>
        <v>7932.5155</v>
      </c>
      <c r="X122" s="93">
        <f>(1-IF(VLOOKUP($E122,武器奇术!$A:$R,16,FALSE)="陌刀",1,$N122))*(1-$M122)</f>
        <v>0</v>
      </c>
      <c r="Y122" s="92">
        <f>R122*VLOOKUP($E122,武器奇术!$A:$R,2,FALSE)*(1+T122)*(1+U122)*V122*(1+$E$16+VLOOKUP($E122,武器奇术!$A:$R,8,FALSE))</f>
        <v>18990.442107</v>
      </c>
      <c r="Z122" s="93">
        <f t="shared" si="61"/>
        <v>0.887</v>
      </c>
      <c r="AA122" s="92">
        <f>S122*VLOOKUP($E122,武器奇术!$A:$R,2,FALSE)*(1+T122)*(1+U122)*V122*(1+$E$17+VLOOKUP($E122,武器奇术!$A:$R,10,FALSE))</f>
        <v>10708.895925</v>
      </c>
      <c r="AB122" s="93">
        <f t="shared" si="62"/>
        <v>0.0986</v>
      </c>
      <c r="AC122" s="92">
        <f>R122*VLOOKUP($E122,武器奇术!$A:$R,2,FALSE)*(1+T122)*(1+U122)*V122</f>
        <v>7932.5155</v>
      </c>
      <c r="AD122" s="93">
        <f t="shared" si="63"/>
        <v>0.0144</v>
      </c>
      <c r="AE122" s="101">
        <f t="shared" si="64"/>
        <v>18014.647510314</v>
      </c>
      <c r="AF122" s="102">
        <f>VLOOKUP($E122,武器奇术!$A:$R,3,FALSE)*(1+IF(VLOOKUP($E122,武器奇术!$A:$R,15,FALSE)="武器",$E$15,0))</f>
        <v>0</v>
      </c>
      <c r="AG122" s="92">
        <f t="shared" si="65"/>
        <v>0</v>
      </c>
      <c r="AH122" s="92">
        <f>VLOOKUP($E122,武器奇术!$A:$R,3,FALSE)*(1+IF(VLOOKUP($E122,武器奇术!$A:$R,15,FALSE)="武器",$E$15,0))</f>
        <v>0</v>
      </c>
      <c r="AI122" s="93">
        <f>IF(($D$5+VLOOKUP($E122,武器奇术!$A:$R,13,FALSE)+IF($I$3="√",10,0)-VLOOKUP($F$7,目标属性!$A:$R,5,FALSE))&gt;0,($D$5+VLOOKUP($E122,武器奇术!$A:$R,13,FALSE)+IF($I$3="√",10,0)-VLOOKUP($F$7,目标属性!$A:$R,5,FALSE))/200,($D$5+VLOOKUP($E122,武器奇术!$A:$R,13,FALSE)+IF($I$3="√",10,0)-VLOOKUP($F$7,目标属性!$A:$R,5,FALSE))/100)</f>
        <v>0.3925</v>
      </c>
      <c r="AJ122" s="100">
        <f>$E$5+IF(VLOOKUP($E122,武器奇术!$A:$R,18,FALSE)="鼠鼠",0.24,0)</f>
        <v>0</v>
      </c>
      <c r="AK122" s="91">
        <v>1</v>
      </c>
      <c r="AL122" s="92">
        <f t="shared" si="109"/>
        <v>0</v>
      </c>
      <c r="AM122" s="93">
        <f>(1-IF(VLOOKUP($E122,武器奇术!$A:$R,16,FALSE)="陌刀",1,$N122))*(1-$M122)</f>
        <v>0</v>
      </c>
      <c r="AN122" s="92">
        <f>AG122*(1+AI122)*(1+AJ122)*AK122*(1+$E$16+VLOOKUP($E122,武器奇术!$A:$R,8,FALSE))</f>
        <v>0</v>
      </c>
      <c r="AO122" s="93">
        <f t="shared" si="94"/>
        <v>0.887</v>
      </c>
      <c r="AP122" s="92">
        <f>AH122*(1+AI122)*(1+AJ122)*AK122*(1+$E$17+VLOOKUP($E122,武器奇术!$A:$R,10,FALSE))</f>
        <v>0</v>
      </c>
      <c r="AQ122" s="93">
        <f t="shared" si="95"/>
        <v>0.0986</v>
      </c>
      <c r="AR122" s="92">
        <f t="shared" si="67"/>
        <v>0</v>
      </c>
      <c r="AS122" s="93">
        <f t="shared" si="68"/>
        <v>0.0144</v>
      </c>
      <c r="AT122" s="101">
        <f t="shared" si="69"/>
        <v>0</v>
      </c>
      <c r="AU122" s="99">
        <f>IF(VLOOKUP($E122,武器奇术!$A:$R,18,FALSE)="极乐",0,$B$7*IF($G$5="撼天",1.05,1)+IF(AND(VLOOKUP($E122,武器奇术!$A:$R,15,FALSE)="武器",VLOOKUP($E122,武器奇术!$A:$R,17,FALSE)="鸣金"),$E$3*(1+$E$15),0))</f>
        <v>0</v>
      </c>
      <c r="AV122" s="91">
        <f t="shared" si="70"/>
        <v>0</v>
      </c>
      <c r="AW122" s="91">
        <f>IF(VLOOKUP($E122,武器奇术!$A:$R,18,FALSE)="极乐",0,MAX($C$7*IF($G$5="撼天",1.05,1)+IF(AND(VLOOKUP($E122,武器奇术!$A:$R,15,FALSE)="武器",VLOOKUP($E122,武器奇术!$A:$R,17,FALSE)="鸣金"),$E$3*(1+$E$15),0),AU122))</f>
        <v>0</v>
      </c>
      <c r="AX122" s="93">
        <f>IF(($D$7+IF(VLOOKUP($E122,武器奇术!$A:$R,17,FALSE)="鸣金",$D$15,0)-VLOOKUP($F$7,目标属性!$A:$R,6,FALSE))&gt;0,($D$7+IF(VLOOKUP($E122,武器奇术!$A:$R,17,FALSE)="鸣金",$D$15,0)-VLOOKUP($F$7,目标属性!$A:$R,6,FALSE))/200,($D$7+IF(VLOOKUP($E122,武器奇术!$A:$R,17,FALSE)="鸣金",$D$15,0)-VLOOKUP($F$7,目标属性!$A:$R,6,FALSE))/100)</f>
        <v>-0.24</v>
      </c>
      <c r="AY122" s="100">
        <f t="shared" si="89"/>
        <v>0</v>
      </c>
      <c r="AZ122" s="91">
        <v>1</v>
      </c>
      <c r="BA122" s="92">
        <f>AU122*IF(VLOOKUP($E122,武器奇术!$A:$R,17,FALSE)="鸣金",VLOOKUP($E122,武器奇术!$A:$R,4,FALSE),VLOOKUP($E122,武器奇术!$A:$R,2,FALSE))*(1+AX122)*(1+AY122)*AZ122</f>
        <v>0</v>
      </c>
      <c r="BB122" s="93">
        <f>(1-IF(VLOOKUP($E122,武器奇术!$A:$R,16,FALSE)="陌刀",1,$N122))*(1-$M122)</f>
        <v>0</v>
      </c>
      <c r="BC122" s="92">
        <f>AV122*IF(VLOOKUP($E122,武器奇术!$A:$R,17,FALSE)="鸣金",VLOOKUP($E122,武器奇术!$A:$R,4,FALSE),VLOOKUP($E122,武器奇术!$A:$R,2,FALSE))*(1+AX122)*(1+AY122)*AZ122*(1+$E$16+VLOOKUP($E122,武器奇术!$A:$R,8,FALSE))</f>
        <v>0</v>
      </c>
      <c r="BD122" s="93">
        <f t="shared" si="96"/>
        <v>0.887</v>
      </c>
      <c r="BE122" s="92">
        <f>AW122*IF(VLOOKUP($E122,武器奇术!$A:$R,17,FALSE)="鸣金",VLOOKUP($E122,武器奇术!$A:$R,4,FALSE),VLOOKUP($E122,武器奇术!$A:$R,2,FALSE))*(1+AX122)*(1+AY122)*AZ122*(1+$E$17+VLOOKUP($E122,武器奇术!$A:$R,10,FALSE))</f>
        <v>0</v>
      </c>
      <c r="BF122" s="93">
        <f t="shared" si="97"/>
        <v>0.0986</v>
      </c>
      <c r="BG122" s="92">
        <f>AV122*IF(VLOOKUP($E122,武器奇术!$A:$R,17,FALSE)="鸣金",VLOOKUP($E122,武器奇术!$A:$R,4,FALSE),VLOOKUP($E122,武器奇术!$A:$R,2,FALSE))*(1+AX122)*(1+AY122)*AZ122</f>
        <v>0</v>
      </c>
      <c r="BH122" s="93">
        <f t="shared" si="71"/>
        <v>0.0144</v>
      </c>
      <c r="BI122" s="101">
        <f t="shared" si="72"/>
        <v>0</v>
      </c>
      <c r="BJ122" s="99">
        <f>IF(VLOOKUP($E122,武器奇术!$A:$R,18,FALSE)="极乐",0,$B$9*IF($G$5="撼天",1.05,1)+IF(AND(VLOOKUP($E122,武器奇术!$A:$R,15,FALSE)="武器",VLOOKUP($E122,武器奇术!$A:$R,17,FALSE)="裂石"),$E$3*(1+$E$15),0))</f>
        <v>0</v>
      </c>
      <c r="BK122" s="91">
        <f t="shared" si="73"/>
        <v>0</v>
      </c>
      <c r="BL122" s="91">
        <f>IF(VLOOKUP($E122,武器奇术!$A:$R,18,FALSE)="极乐",0,MAX($C$9*IF($G$5="撼天",1.05,1)+IF(AND(VLOOKUP($E122,武器奇术!$A:$R,15,FALSE)="武器",VLOOKUP($E122,武器奇术!$A:$R,17,FALSE)="裂石"),$E$3*(1+$E$15),0),BJ122))</f>
        <v>0</v>
      </c>
      <c r="BM122" s="93">
        <f>IF(($D$9+IF(VLOOKUP($E122,武器奇术!$A:$R,17,FALSE)="裂石",$D$15,0)-VLOOKUP($F$7,目标属性!$A:$R,6,FALSE))&gt;0,($D$9+IF(VLOOKUP($E122,武器奇术!$A:$R,17,FALSE)="裂石",$D$15,0)-VLOOKUP($F$7,目标属性!$A:$R,6,FALSE))/200,($D$9+IF(VLOOKUP($E122,武器奇术!$A:$R,17,FALSE)="裂石",$D$15,0)-VLOOKUP($F$7,目标属性!$A:$R,6,FALSE))/100)</f>
        <v>-0.24</v>
      </c>
      <c r="BN122" s="100">
        <f t="shared" si="90"/>
        <v>0</v>
      </c>
      <c r="BO122" s="91">
        <v>1</v>
      </c>
      <c r="BP122" s="92">
        <f>BJ122*IF(VLOOKUP($E122,武器奇术!$A:$R,17,FALSE)="裂石",VLOOKUP($E122,武器奇术!$A:$R,4,FALSE),VLOOKUP($E122,武器奇术!$A:$R,2,FALSE))*(1+BM122)*(1+BN122)*BO122</f>
        <v>0</v>
      </c>
      <c r="BQ122" s="93">
        <f>(1-IF(VLOOKUP($E122,武器奇术!$A:$R,16,FALSE)="陌刀",1,$N122))*(1-$M122)</f>
        <v>0</v>
      </c>
      <c r="BR122" s="92">
        <f>BK122*IF(VLOOKUP($E122,武器奇术!$A:$R,17,FALSE)="裂石",VLOOKUP($E122,武器奇术!$A:$R,4,FALSE),VLOOKUP($E122,武器奇术!$A:$R,2,FALSE))*(1+BM122)*(1+BN122)*BO122*(1+$E$16+VLOOKUP($E122,武器奇术!$A:$R,8,FALSE))</f>
        <v>0</v>
      </c>
      <c r="BS122" s="93">
        <f t="shared" si="98"/>
        <v>0.887</v>
      </c>
      <c r="BT122" s="92">
        <f>BL122*IF(VLOOKUP($E122,武器奇术!$A:$R,17,FALSE)="裂石",VLOOKUP($E122,武器奇术!$A:$R,4,FALSE),VLOOKUP($E122,武器奇术!$A:$R,2,FALSE))*(1+BM122)*(1+BN122)*BO122*(1+$E$17+VLOOKUP($E122,武器奇术!$A:$R,10,FALSE))</f>
        <v>0</v>
      </c>
      <c r="BU122" s="93">
        <f t="shared" si="99"/>
        <v>0.0986</v>
      </c>
      <c r="BV122" s="92">
        <f>BK122*IF(VLOOKUP($E122,武器奇术!$A:$R,17,FALSE)="裂石",VLOOKUP($E122,武器奇术!$A:$R,4,FALSE),VLOOKUP($E122,武器奇术!$A:$R,2,FALSE))*(1+BM122)*(1+BN122)*BO122</f>
        <v>0</v>
      </c>
      <c r="BW122" s="93">
        <f t="shared" si="74"/>
        <v>0.0144</v>
      </c>
      <c r="BX122" s="101">
        <f t="shared" si="75"/>
        <v>0</v>
      </c>
      <c r="BY122" s="99">
        <f>IF(VLOOKUP($E122,武器奇术!$A:$R,18,FALSE)="极乐",0,$B$11*IF($G$5="撼天",1.05,1)+IF(AND(VLOOKUP($E122,武器奇术!$A:$R,15,FALSE)="武器",VLOOKUP($E122,武器奇术!$A:$R,17,FALSE)="牵丝"),$E$3*(1+$E$15),0))</f>
        <v>0</v>
      </c>
      <c r="BZ122" s="91">
        <f t="shared" si="76"/>
        <v>0</v>
      </c>
      <c r="CA122" s="91">
        <f>IF(VLOOKUP($E122,武器奇术!$A:$R,18,FALSE)="极乐",0,MAX($C$11*IF($G$5="撼天",1.05,1)+IF(AND(VLOOKUP($E122,武器奇术!$A:$R,15,FALSE)="武器",VLOOKUP($E122,武器奇术!$A:$R,17,FALSE)="牵丝"),$E$3*(1+$E$15),0),BY122))</f>
        <v>0</v>
      </c>
      <c r="CB122" s="93">
        <f>IF(($D$11+IF(VLOOKUP($E122,武器奇术!$A:$R,17,FALSE)="牵丝",$D$15,0)-VLOOKUP($F$7,目标属性!$A:$R,6,FALSE))&gt;0,($D$11+IF(VLOOKUP($E122,武器奇术!$A:$R,17,FALSE)="牵丝",$D$15,0)-VLOOKUP($F$7,目标属性!$A:$R,6,FALSE))/200,($D$11+IF(VLOOKUP($E122,武器奇术!$A:$R,17,FALSE)="牵丝",$D$15,0)-VLOOKUP($F$7,目标属性!$A:$R,6,FALSE))/100)</f>
        <v>-0.24</v>
      </c>
      <c r="CC122" s="100">
        <f t="shared" si="91"/>
        <v>0</v>
      </c>
      <c r="CD122" s="91">
        <v>1</v>
      </c>
      <c r="CE122" s="92">
        <f>BY122*IF(VLOOKUP($E122,武器奇术!$A:$R,17,FALSE)="牵丝",VLOOKUP($E122,武器奇术!$A:$R,4,FALSE),VLOOKUP($E122,武器奇术!$A:$R,2,FALSE))*(1+CB122)*(1+CC122)*CD122</f>
        <v>0</v>
      </c>
      <c r="CF122" s="93">
        <f>(1-IF(VLOOKUP($E122,武器奇术!$A:$R,16,FALSE)="陌刀",1,$N122))*(1-$M122)</f>
        <v>0</v>
      </c>
      <c r="CG122" s="92">
        <f>BZ122*IF(VLOOKUP($E122,武器奇术!$A:$R,17,FALSE)="牵丝",VLOOKUP($E122,武器奇术!$A:$R,4,FALSE),VLOOKUP($E122,武器奇术!$A:$R,2,FALSE))*(1+CB122)*(1+CC122)*CD122*(1+$E$16+VLOOKUP($E122,武器奇术!$A:$R,8,FALSE))</f>
        <v>0</v>
      </c>
      <c r="CH122" s="93">
        <f t="shared" si="100"/>
        <v>0.887</v>
      </c>
      <c r="CI122" s="92">
        <f>CA122*IF(VLOOKUP($E122,武器奇术!$A:$R,17,FALSE)="牵丝",VLOOKUP($E122,武器奇术!$A:$R,4,FALSE),VLOOKUP($E122,武器奇术!$A:$R,2,FALSE))*(1+CB122)*(1+CC122)*CD122*(1+$E$17+VLOOKUP($E122,武器奇术!$A:$R,10,FALSE))</f>
        <v>0</v>
      </c>
      <c r="CJ122" s="93">
        <f t="shared" si="101"/>
        <v>0.0986</v>
      </c>
      <c r="CK122" s="92">
        <f>BZ122*IF(VLOOKUP($E122,武器奇术!$A:$R,17,FALSE)="牵丝",VLOOKUP($E122,武器奇术!$A:$R,4,FALSE),VLOOKUP($E122,武器奇术!$A:$R,2,FALSE))*(1+CB122)*(1+CC122)*CD122</f>
        <v>0</v>
      </c>
      <c r="CL122" s="93">
        <f t="shared" si="77"/>
        <v>0.0144</v>
      </c>
      <c r="CM122" s="101">
        <f t="shared" si="78"/>
        <v>0</v>
      </c>
      <c r="CN122" s="99">
        <f>IF(VLOOKUP($E122,武器奇术!$A:$R,18,FALSE)="极乐",0,$B$13*IF($G$5="撼天",1.05,1)+IF(AND(VLOOKUP($E122,武器奇术!$A:$R,15,FALSE)="武器",VLOOKUP($E122,武器奇术!$A:$R,17,FALSE)="破竹"),$E$3*(1+$E$15),0))</f>
        <v>0</v>
      </c>
      <c r="CO122" s="91">
        <f t="shared" si="79"/>
        <v>0</v>
      </c>
      <c r="CP122" s="91">
        <f>IF(VLOOKUP($E122,武器奇术!$A:$R,18,FALSE)="极乐",0,MAX($C$13*IF($G$5="撼天",1.05,1)+IF(AND(VLOOKUP($E122,武器奇术!$A:$R,15,FALSE)="武器",VLOOKUP($E122,武器奇术!$A:$R,17,FALSE)="破竹"),$E$3*(1+$E$15),0),CN122))</f>
        <v>0</v>
      </c>
      <c r="CQ122" s="93">
        <f>IF(($D$13+IF(VLOOKUP($E122,武器奇术!$A:$R,17,FALSE)="破竹",$D$15,0)-VLOOKUP($F$7,目标属性!$A:$R,6,FALSE)+IF(VLOOKUP($E122,武器奇术!$A:$V,22,FALSE)=1,4,0)+IF(VLOOKUP($E122,武器奇术!$A:$T,20,FALSE)=1,10,0))&gt;0,($D$13+IF(VLOOKUP($E122,武器奇术!$A:$R,17,FALSE)="破竹",$D$15,0)-VLOOKUP($F$7,目标属性!$A:$R,6,FALSE)+IF(VLOOKUP($E122,武器奇术!$A:$V,22,FALSE)=1,4,0)+IF(VLOOKUP($E122,武器奇术!$A:$T,20,FALSE)=1,10,0))/200,($D$13+IF(VLOOKUP($E122,武器奇术!$A:$R,17,FALSE)="破竹",$D$15,0)-VLOOKUP($F$7,目标属性!$A:$R,6,FALSE)+IF(VLOOKUP($E122,武器奇术!$A:$V,22,FALSE)=1,4,0)+IF(VLOOKUP($E122,武器奇术!$A:$T,20,FALSE)=1,10,0))/100)</f>
        <v>0.028</v>
      </c>
      <c r="CR122" s="100">
        <f t="shared" si="83"/>
        <v>0.148</v>
      </c>
      <c r="CS122" s="91">
        <v>1</v>
      </c>
      <c r="CT122" s="92">
        <f>CN122*IF(VLOOKUP($E122,武器奇术!$A:$R,17,FALSE)="破竹",VLOOKUP($E122,武器奇术!$A:$R,4,FALSE),VLOOKUP($E122,武器奇术!$A:$R,2,FALSE))*(1+CQ122)*(1+CR122)*CS122</f>
        <v>0</v>
      </c>
      <c r="CU122" s="93">
        <f>(1-IF(VLOOKUP($E122,武器奇术!$A:$R,16,FALSE)="陌刀",1,$N122))*(1-$M122)</f>
        <v>0</v>
      </c>
      <c r="CV122" s="92">
        <f>CO122*IF(VLOOKUP($E122,武器奇术!$A:$R,17,FALSE)="破竹",VLOOKUP($E122,武器奇术!$A:$R,4,FALSE),VLOOKUP($E122,武器奇术!$A:$R,2,FALSE))*(1+CQ122)*(1+CR122)*CS122*(1+$E$16+VLOOKUP($E122,武器奇术!$A:$R,8,FALSE))</f>
        <v>0</v>
      </c>
      <c r="CW122" s="93">
        <f t="shared" si="102"/>
        <v>0.887</v>
      </c>
      <c r="CX122" s="92">
        <f>CP122*IF(VLOOKUP($E122,武器奇术!$A:$R,17,FALSE)="破竹",VLOOKUP($E122,武器奇术!$A:$R,4,FALSE),VLOOKUP($E122,武器奇术!$A:$R,2,FALSE))*(1+CQ122)*(1+CR122)*CS122*(1+$E$17+VLOOKUP($E122,武器奇术!$A:$R,10,FALSE))</f>
        <v>0</v>
      </c>
      <c r="CY122" s="93">
        <f t="shared" si="103"/>
        <v>0.0986</v>
      </c>
      <c r="CZ122" s="92">
        <f>CO122*IF(VLOOKUP($E122,武器奇术!$A:$R,17,FALSE)="破竹",VLOOKUP($E122,武器奇术!$A:$R,4,FALSE),VLOOKUP($E122,武器奇术!$A:$R,2,FALSE))*(1+CQ122)*(1+CR122)*CS122</f>
        <v>0</v>
      </c>
      <c r="DA122" s="93">
        <f t="shared" si="80"/>
        <v>0.0144</v>
      </c>
      <c r="DB122" s="101">
        <f t="shared" si="81"/>
        <v>0</v>
      </c>
      <c r="DC122" s="99">
        <f>IF(VLOOKUP($E122,武器奇术!$A:$R,18,FALSE)="极乐",0,$B$15)</f>
        <v>0</v>
      </c>
      <c r="DD122" s="91">
        <f t="shared" si="111"/>
        <v>0</v>
      </c>
      <c r="DE122" s="91">
        <f>IF(VLOOKUP($E122,武器奇术!$A:$R,18,FALSE)="极乐",0,$C$15)</f>
        <v>0</v>
      </c>
      <c r="DF122" s="93">
        <f>IF((IF(VLOOKUP($E122,武器奇术!$A:$R,17,FALSE)="鸣金",$D$7,0)+IF(VLOOKUP($E122,武器奇术!$A:$R,17,FALSE)="裂石",$D$9,0)+IF(VLOOKUP($E122,武器奇术!$A:$R,17,FALSE)="牵丝",$D$11,0)+IF(VLOOKUP($E122,武器奇术!$A:$R,17,FALSE)="破竹",$D$13,0)+$D$15-VLOOKUP($F$7,目标属性!$A:$R,6,FALSE)+IF(VLOOKUP($E122,武器奇术!$A:$V,22,FALSE)=1,4,0)+IF(VLOOKUP($E122,武器奇术!$A:$T,20,FALSE)=1,10,0))&gt;0,(IF(VLOOKUP($E122,武器奇术!$A:$R,17,FALSE)="鸣金",$D$7,0)+IF(VLOOKUP($E122,武器奇术!$A:$R,17,FALSE)="裂石",$D$9,0)+IF(VLOOKUP($E122,武器奇术!$A:$R,17,FALSE)="牵丝",$D$11,0)+IF(VLOOKUP($E122,武器奇术!$A:$R,17,FALSE)="破竹",$D$13,0)+$D$15-VLOOKUP($F$7,目标属性!$A:$R,6,FALSE)+IF(VLOOKUP($E122,武器奇术!$A:$V,22,FALSE)=1,4,0)+IF(VLOOKUP($E122,武器奇术!$A:$T,20,FALSE)=1,10,0))/200,(IF(VLOOKUP($E122,武器奇术!$A:$R,17,FALSE)="鸣金",$D$7,0)+IF(VLOOKUP($E122,武器奇术!$A:$R,17,FALSE)="裂石",$D$9,0)+IF(VLOOKUP($E122,武器奇术!$A:$R,17,FALSE)="牵丝",$D$11,0)+IF(VLOOKUP($E122,武器奇术!$A:$R,17,FALSE)="破竹",$D$13,0)+$D$15-VLOOKUP($F$7,目标属性!$A:$R,6,FALSE)+IF(VLOOKUP($E122,武器奇术!$A:$V,22,FALSE)=1,4,0)+IF(VLOOKUP($E122,武器奇术!$A:$T,20,FALSE)=1,10,0))/100)</f>
        <v>0.028</v>
      </c>
      <c r="DG122" s="100">
        <f>$E$13</f>
        <v>0.148</v>
      </c>
      <c r="DH122" s="91">
        <v>1</v>
      </c>
      <c r="DI122" s="92">
        <f>DC122*IF(VLOOKUP($E122,武器奇术!$A:$R,17,FALSE)="破竹",VLOOKUP($E122,武器奇术!$A:$R,4,FALSE),VLOOKUP($E122,武器奇术!$A:$R,2,FALSE))*(1+DF122)*(1+DG122)*DH122</f>
        <v>0</v>
      </c>
      <c r="DJ122" s="93">
        <f>(1-IF(VLOOKUP($E122,武器奇术!$A:$R,16,FALSE)="陌刀",1,$N122))*(1-$M122)</f>
        <v>0</v>
      </c>
      <c r="DK122" s="92">
        <f>DD122*IF(VLOOKUP($E122,武器奇术!$A:$R,17,FALSE)="破竹",VLOOKUP($E122,武器奇术!$A:$R,4,FALSE),VLOOKUP($E122,武器奇术!$A:$R,2,FALSE))*(1+DF122)*(1+DG122)*DH122*(1+$E$16+VLOOKUP($E122,武器奇术!$A:$R,8,FALSE))</f>
        <v>0</v>
      </c>
      <c r="DL122" s="93">
        <f t="shared" si="104"/>
        <v>0.887</v>
      </c>
      <c r="DM122" s="92">
        <f>DE122*IF(VLOOKUP($E122,武器奇术!$A:$R,17,FALSE)="破竹",VLOOKUP($E122,武器奇术!$A:$R,4,FALSE),VLOOKUP($E122,武器奇术!$A:$R,2,FALSE))*(1+DF122)*(1+DG122)*DH122*(1+$E$17+VLOOKUP($E122,武器奇术!$A:$R,10,FALSE))</f>
        <v>0</v>
      </c>
      <c r="DN122" s="93">
        <f t="shared" si="105"/>
        <v>0.0986</v>
      </c>
      <c r="DO122" s="92">
        <f>DD122*IF(VLOOKUP($E122,武器奇术!$A:$R,17,FALSE)="破竹",VLOOKUP($E122,武器奇术!$A:$R,4,FALSE),VLOOKUP($E122,武器奇术!$A:$R,2,FALSE))*(1+DF122)*(1+DG122)*DH122</f>
        <v>0</v>
      </c>
      <c r="DP122" s="93">
        <f t="shared" si="106"/>
        <v>0.0144</v>
      </c>
      <c r="DQ122" s="101">
        <f t="shared" si="107"/>
        <v>0</v>
      </c>
    </row>
    <row r="123" spans="1:121">
      <c r="A123" s="33"/>
      <c r="B123" s="130" t="s">
        <v>155</v>
      </c>
      <c r="C123">
        <v>0.633</v>
      </c>
      <c r="D123" s="33"/>
      <c r="E123" s="105" t="s">
        <v>208</v>
      </c>
      <c r="F123" s="106">
        <v>3</v>
      </c>
      <c r="G123" s="107">
        <f t="shared" si="115"/>
        <v>0</v>
      </c>
      <c r="H123" s="131">
        <f>IF(VLOOKUP($E123,武器奇术!$A:$R,18,FALSE)="天工",AE123,(AE123+AT123+BI123+BX123+CM123+DB123+DQ123))*(1+J123)*F123*K123*(1+G123)*(1+$G$21*5%)</f>
        <v>130478.661496363</v>
      </c>
      <c r="I123" s="93">
        <f t="shared" si="58"/>
        <v>0.0167381574216276</v>
      </c>
      <c r="J123" s="93">
        <f>$F$3+VLOOKUP($E123,武器奇术!$A:$R,12,FALSE)+VLOOKUP($E123,武器奇术!$A:$R,14,FALSE)*$G$3+$P123</f>
        <v>0.523</v>
      </c>
      <c r="K123" s="94">
        <f>VLOOKUP($E123,武器奇术!$A:$R,11,FALSE)</f>
        <v>1</v>
      </c>
      <c r="L123" s="109">
        <f>IF(VLOOKUP($E123,武器奇术!$A:$R,15,FALSE)="天工",0%,IF($C$17+VLOOKUP($E123,武器奇术!$A:$R,7,FALSE)&gt;80%,80%,$C$17+VLOOKUP($E123,武器奇术!$A:$R,7,FALSE))+IF($C$19&gt;20%,20%,$C$19))</f>
        <v>0.887</v>
      </c>
      <c r="M123" s="110">
        <f>IF(VLOOKUP($E123,武器奇术!$A:$R,15,FALSE)="天工",0%,IF($C$18+VLOOKUP($E123,武器奇术!$A:$R,9,FALSE)&gt;40%,40%,$C$18+VLOOKUP($E123,武器奇术!$A:$R,9,FALSE))+IF($C$20&gt;10%,10%,$C$20))</f>
        <v>0.0986</v>
      </c>
      <c r="N123" s="111">
        <f>IF(VLOOKUP($E123,武器奇术!$A:$R,15,FALSE)="天工",100%,MIN($C$16,1))</f>
        <v>1</v>
      </c>
      <c r="O123" s="112" t="str">
        <f>VLOOKUP($E123,武器奇术!$A:$R,16,FALSE)</f>
        <v>N/A</v>
      </c>
      <c r="P123" s="113">
        <f t="shared" si="108"/>
        <v>0</v>
      </c>
      <c r="Q123" s="99">
        <f>$B$5*(1+VLOOKUP($E123,武器奇术!$A:$R,5,FALSE)+IF($G$5="飞隼",0.1,0)+IF($G$5="撼天",0.05,0))-$F$9*IF(VLOOKUP($E123,武器奇术!$A:$S,19,FALSE)=1,0.9,1)+IF($I$5="√",160,0)</f>
        <v>2848.3</v>
      </c>
      <c r="R123" s="91">
        <f t="shared" si="60"/>
        <v>2848.3</v>
      </c>
      <c r="S123" s="91">
        <f>MAX($C$5,$B$5)*(1+VLOOKUP($E123,武器奇术!$A:$R,5,FALSE)+IF($G$5="飞隼",0.1,0)+IF($G$5="撼天",0.05,0))-$F$9*IF(VLOOKUP($E123,武器奇术!$A:$S,19,FALSE)=1,0.9,1)+IF($I$5="√",320,0)</f>
        <v>2848.3</v>
      </c>
      <c r="T123" s="93">
        <f>IF(($D$5+VLOOKUP($E123,武器奇术!$A:$R,13,FALSE)+IF($I$3="√",10,0)-VLOOKUP($F$7,目标属性!$A:$R,5,FALSE))&gt;0,($D$5+VLOOKUP($E123,武器奇术!$A:$R,13,FALSE)+IF($I$3="√",10,0)-VLOOKUP($F$7,目标属性!$A:$R,5,FALSE))/200,($D$5+VLOOKUP($E123,武器奇术!$A:$R,13,FALSE)+IF($I$3="√",10,0)-VLOOKUP($F$7,目标属性!$A:$R,5,FALSE))/100)</f>
        <v>0.3925</v>
      </c>
      <c r="U123" s="100">
        <f>$E$5+IF(VLOOKUP($E123,武器奇术!$A:$R,18,FALSE)="鼠鼠",0.24,0)</f>
        <v>0</v>
      </c>
      <c r="V123" s="91">
        <v>1</v>
      </c>
      <c r="W123" s="92">
        <f>Q123*VLOOKUP($E123,武器奇术!$A:$R,2,FALSE)*(1+T123)*(1+U123)*V123</f>
        <v>5910.51729905</v>
      </c>
      <c r="X123" s="93">
        <f>(1-IF(VLOOKUP($E123,武器奇术!$A:$R,16,FALSE)="陌刀",1,$N123))*(1-$M123)</f>
        <v>0</v>
      </c>
      <c r="Y123" s="92">
        <f>R123*VLOOKUP($E123,武器奇术!$A:$R,2,FALSE)*(1+T123)*(1+U123)*V123*(1+$E$16+VLOOKUP($E123,武器奇术!$A:$R,8,FALSE))</f>
        <v>14149.7784139257</v>
      </c>
      <c r="Z123" s="93">
        <f t="shared" si="61"/>
        <v>0.887</v>
      </c>
      <c r="AA123" s="92">
        <f>S123*VLOOKUP($E123,武器奇术!$A:$R,2,FALSE)*(1+T123)*(1+U123)*V123*(1+$E$17+VLOOKUP($E123,武器奇术!$A:$R,10,FALSE))</f>
        <v>7979.1983537175</v>
      </c>
      <c r="AB123" s="93">
        <f t="shared" si="62"/>
        <v>0.0986</v>
      </c>
      <c r="AC123" s="92">
        <f>R123*VLOOKUP($E123,武器奇术!$A:$R,2,FALSE)*(1+T123)*(1+U123)*V123</f>
        <v>5910.51729905</v>
      </c>
      <c r="AD123" s="93">
        <f t="shared" si="63"/>
        <v>0.0144</v>
      </c>
      <c r="AE123" s="101">
        <f t="shared" si="64"/>
        <v>13422.713859935</v>
      </c>
      <c r="AF123" s="102">
        <f>VLOOKUP($E123,武器奇术!$A:$R,3,FALSE)*(1+IF(VLOOKUP($E123,武器奇术!$A:$R,15,FALSE)="武器",$E$15,0))</f>
        <v>358</v>
      </c>
      <c r="AG123" s="92">
        <f t="shared" si="65"/>
        <v>358</v>
      </c>
      <c r="AH123" s="92">
        <f>VLOOKUP($E123,武器奇术!$A:$R,3,FALSE)*(1+IF(VLOOKUP($E123,武器奇术!$A:$R,15,FALSE)="武器",$E$15,0))</f>
        <v>358</v>
      </c>
      <c r="AI123" s="93">
        <f>IF(($D$5+VLOOKUP($E123,武器奇术!$A:$R,13,FALSE)+IF($I$3="√",10,0)-VLOOKUP($F$7,目标属性!$A:$R,5,FALSE))&gt;0,($D$5+VLOOKUP($E123,武器奇术!$A:$R,13,FALSE)+IF($I$3="√",10,0)-VLOOKUP($F$7,目标属性!$A:$R,5,FALSE))/200,($D$5+VLOOKUP($E123,武器奇术!$A:$R,13,FALSE)+IF($I$3="√",10,0)-VLOOKUP($F$7,目标属性!$A:$R,5,FALSE))/100)</f>
        <v>0.3925</v>
      </c>
      <c r="AJ123" s="100">
        <f>$E$5+IF(VLOOKUP($E123,武器奇术!$A:$R,18,FALSE)="鼠鼠",0.24,0)</f>
        <v>0</v>
      </c>
      <c r="AK123" s="91">
        <v>1</v>
      </c>
      <c r="AL123" s="92">
        <f t="shared" si="109"/>
        <v>498.515</v>
      </c>
      <c r="AM123" s="93">
        <f>(1-IF(VLOOKUP($E123,武器奇术!$A:$R,16,FALSE)="陌刀",1,$N123))*(1-$M123)</f>
        <v>0</v>
      </c>
      <c r="AN123" s="92">
        <f>AG123*(1+AI123)*(1+AJ123)*AK123*(1+$E$16+VLOOKUP($E123,武器奇术!$A:$R,8,FALSE))</f>
        <v>1193.44491</v>
      </c>
      <c r="AO123" s="93">
        <f t="shared" si="94"/>
        <v>0.887</v>
      </c>
      <c r="AP123" s="92">
        <f>AH123*(1+AI123)*(1+AJ123)*AK123*(1+$E$17+VLOOKUP($E123,武器奇术!$A:$R,10,FALSE))</f>
        <v>672.99525</v>
      </c>
      <c r="AQ123" s="93">
        <f t="shared" si="95"/>
        <v>0.0986</v>
      </c>
      <c r="AR123" s="92">
        <f t="shared" si="67"/>
        <v>498.515</v>
      </c>
      <c r="AS123" s="93">
        <f t="shared" si="68"/>
        <v>0.0144</v>
      </c>
      <c r="AT123" s="101">
        <f t="shared" si="69"/>
        <v>1132.12158282</v>
      </c>
      <c r="AU123" s="99">
        <f>IF(VLOOKUP($E123,武器奇术!$A:$R,18,FALSE)="极乐",0,$B$7*IF($G$5="撼天",1.05,1)+IF(AND(VLOOKUP($E123,武器奇术!$A:$R,15,FALSE)="武器",VLOOKUP($E123,武器奇术!$A:$R,17,FALSE)="鸣金"),$E$3*(1+$E$15),0))</f>
        <v>0</v>
      </c>
      <c r="AV123" s="91">
        <f t="shared" si="70"/>
        <v>0</v>
      </c>
      <c r="AW123" s="91">
        <f>IF(VLOOKUP($E123,武器奇术!$A:$R,18,FALSE)="极乐",0,MAX($C$7*IF($G$5="撼天",1.05,1)+IF(AND(VLOOKUP($E123,武器奇术!$A:$R,15,FALSE)="武器",VLOOKUP($E123,武器奇术!$A:$R,17,FALSE)="鸣金"),$E$3*(1+$E$15),0),AU123))</f>
        <v>0</v>
      </c>
      <c r="AX123" s="93">
        <f>IF(($D$7+IF(VLOOKUP($E123,武器奇术!$A:$R,17,FALSE)="鸣金",$D$15,0)-VLOOKUP($F$7,目标属性!$A:$R,6,FALSE))&gt;0,($D$7+IF(VLOOKUP($E123,武器奇术!$A:$R,17,FALSE)="鸣金",$D$15,0)-VLOOKUP($F$7,目标属性!$A:$R,6,FALSE))/200,($D$7+IF(VLOOKUP($E123,武器奇术!$A:$R,17,FALSE)="鸣金",$D$15,0)-VLOOKUP($F$7,目标属性!$A:$R,6,FALSE))/100)</f>
        <v>-0.24</v>
      </c>
      <c r="AY123" s="100">
        <f t="shared" si="89"/>
        <v>0</v>
      </c>
      <c r="AZ123" s="91">
        <v>1</v>
      </c>
      <c r="BA123" s="92">
        <f>AU123*IF(VLOOKUP($E123,武器奇术!$A:$R,17,FALSE)="鸣金",VLOOKUP($E123,武器奇术!$A:$R,4,FALSE),VLOOKUP($E123,武器奇术!$A:$R,2,FALSE))*(1+AX123)*(1+AY123)*AZ123</f>
        <v>0</v>
      </c>
      <c r="BB123" s="93">
        <f>(1-IF(VLOOKUP($E123,武器奇术!$A:$R,16,FALSE)="陌刀",1,$N123))*(1-$M123)</f>
        <v>0</v>
      </c>
      <c r="BC123" s="92">
        <f>AV123*IF(VLOOKUP($E123,武器奇术!$A:$R,17,FALSE)="鸣金",VLOOKUP($E123,武器奇术!$A:$R,4,FALSE),VLOOKUP($E123,武器奇术!$A:$R,2,FALSE))*(1+AX123)*(1+AY123)*AZ123*(1+$E$16+VLOOKUP($E123,武器奇术!$A:$R,8,FALSE))</f>
        <v>0</v>
      </c>
      <c r="BD123" s="93">
        <f t="shared" si="96"/>
        <v>0.887</v>
      </c>
      <c r="BE123" s="92">
        <f>AW123*IF(VLOOKUP($E123,武器奇术!$A:$R,17,FALSE)="鸣金",VLOOKUP($E123,武器奇术!$A:$R,4,FALSE),VLOOKUP($E123,武器奇术!$A:$R,2,FALSE))*(1+AX123)*(1+AY123)*AZ123*(1+$E$17+VLOOKUP($E123,武器奇术!$A:$R,10,FALSE))</f>
        <v>0</v>
      </c>
      <c r="BF123" s="93">
        <f t="shared" si="97"/>
        <v>0.0986</v>
      </c>
      <c r="BG123" s="92">
        <f>AV123*IF(VLOOKUP($E123,武器奇术!$A:$R,17,FALSE)="鸣金",VLOOKUP($E123,武器奇术!$A:$R,4,FALSE),VLOOKUP($E123,武器奇术!$A:$R,2,FALSE))*(1+AX123)*(1+AY123)*AZ123</f>
        <v>0</v>
      </c>
      <c r="BH123" s="93">
        <f t="shared" si="71"/>
        <v>0.0144</v>
      </c>
      <c r="BI123" s="101">
        <f t="shared" si="72"/>
        <v>0</v>
      </c>
      <c r="BJ123" s="99">
        <f>IF(VLOOKUP($E123,武器奇术!$A:$R,18,FALSE)="极乐",0,$B$9*IF($G$5="撼天",1.05,1)+IF(AND(VLOOKUP($E123,武器奇术!$A:$R,15,FALSE)="武器",VLOOKUP($E123,武器奇术!$A:$R,17,FALSE)="裂石"),$E$3*(1+$E$15),0))</f>
        <v>0</v>
      </c>
      <c r="BK123" s="91">
        <f t="shared" si="73"/>
        <v>0</v>
      </c>
      <c r="BL123" s="91">
        <f>IF(VLOOKUP($E123,武器奇术!$A:$R,18,FALSE)="极乐",0,MAX($C$9*IF($G$5="撼天",1.05,1)+IF(AND(VLOOKUP($E123,武器奇术!$A:$R,15,FALSE)="武器",VLOOKUP($E123,武器奇术!$A:$R,17,FALSE)="裂石"),$E$3*(1+$E$15),0),BJ123))</f>
        <v>0</v>
      </c>
      <c r="BM123" s="93">
        <f>IF(($D$9+IF(VLOOKUP($E123,武器奇术!$A:$R,17,FALSE)="裂石",$D$15,0)-VLOOKUP($F$7,目标属性!$A:$R,6,FALSE))&gt;0,($D$9+IF(VLOOKUP($E123,武器奇术!$A:$R,17,FALSE)="裂石",$D$15,0)-VLOOKUP($F$7,目标属性!$A:$R,6,FALSE))/200,($D$9+IF(VLOOKUP($E123,武器奇术!$A:$R,17,FALSE)="裂石",$D$15,0)-VLOOKUP($F$7,目标属性!$A:$R,6,FALSE))/100)</f>
        <v>-0.24</v>
      </c>
      <c r="BN123" s="100">
        <f t="shared" si="90"/>
        <v>0</v>
      </c>
      <c r="BO123" s="91">
        <v>1</v>
      </c>
      <c r="BP123" s="92">
        <f>BJ123*IF(VLOOKUP($E123,武器奇术!$A:$R,17,FALSE)="裂石",VLOOKUP($E123,武器奇术!$A:$R,4,FALSE),VLOOKUP($E123,武器奇术!$A:$R,2,FALSE))*(1+BM123)*(1+BN123)*BO123</f>
        <v>0</v>
      </c>
      <c r="BQ123" s="93">
        <f>(1-IF(VLOOKUP($E123,武器奇术!$A:$R,16,FALSE)="陌刀",1,$N123))*(1-$M123)</f>
        <v>0</v>
      </c>
      <c r="BR123" s="92">
        <f>BK123*IF(VLOOKUP($E123,武器奇术!$A:$R,17,FALSE)="裂石",VLOOKUP($E123,武器奇术!$A:$R,4,FALSE),VLOOKUP($E123,武器奇术!$A:$R,2,FALSE))*(1+BM123)*(1+BN123)*BO123*(1+$E$16+VLOOKUP($E123,武器奇术!$A:$R,8,FALSE))</f>
        <v>0</v>
      </c>
      <c r="BS123" s="93">
        <f t="shared" si="98"/>
        <v>0.887</v>
      </c>
      <c r="BT123" s="92">
        <f>BL123*IF(VLOOKUP($E123,武器奇术!$A:$R,17,FALSE)="裂石",VLOOKUP($E123,武器奇术!$A:$R,4,FALSE),VLOOKUP($E123,武器奇术!$A:$R,2,FALSE))*(1+BM123)*(1+BN123)*BO123*(1+$E$17+VLOOKUP($E123,武器奇术!$A:$R,10,FALSE))</f>
        <v>0</v>
      </c>
      <c r="BU123" s="93">
        <f t="shared" si="99"/>
        <v>0.0986</v>
      </c>
      <c r="BV123" s="92">
        <f>BK123*IF(VLOOKUP($E123,武器奇术!$A:$R,17,FALSE)="裂石",VLOOKUP($E123,武器奇术!$A:$R,4,FALSE),VLOOKUP($E123,武器奇术!$A:$R,2,FALSE))*(1+BM123)*(1+BN123)*BO123</f>
        <v>0</v>
      </c>
      <c r="BW123" s="93">
        <f t="shared" si="74"/>
        <v>0.0144</v>
      </c>
      <c r="BX123" s="101">
        <f t="shared" si="75"/>
        <v>0</v>
      </c>
      <c r="BY123" s="99">
        <f>IF(VLOOKUP($E123,武器奇术!$A:$R,18,FALSE)="极乐",0,$B$11*IF($G$5="撼天",1.05,1)+IF(AND(VLOOKUP($E123,武器奇术!$A:$R,15,FALSE)="武器",VLOOKUP($E123,武器奇术!$A:$R,17,FALSE)="牵丝"),$E$3*(1+$E$15),0))</f>
        <v>0</v>
      </c>
      <c r="BZ123" s="91">
        <f t="shared" si="76"/>
        <v>0</v>
      </c>
      <c r="CA123" s="91">
        <f>IF(VLOOKUP($E123,武器奇术!$A:$R,18,FALSE)="极乐",0,MAX($C$11*IF($G$5="撼天",1.05,1)+IF(AND(VLOOKUP($E123,武器奇术!$A:$R,15,FALSE)="武器",VLOOKUP($E123,武器奇术!$A:$R,17,FALSE)="牵丝"),$E$3*(1+$E$15),0),BY123))</f>
        <v>0</v>
      </c>
      <c r="CB123" s="93">
        <f>IF(($D$11+IF(VLOOKUP($E123,武器奇术!$A:$R,17,FALSE)="牵丝",$D$15,0)-VLOOKUP($F$7,目标属性!$A:$R,6,FALSE))&gt;0,($D$11+IF(VLOOKUP($E123,武器奇术!$A:$R,17,FALSE)="牵丝",$D$15,0)-VLOOKUP($F$7,目标属性!$A:$R,6,FALSE))/200,($D$11+IF(VLOOKUP($E123,武器奇术!$A:$R,17,FALSE)="牵丝",$D$15,0)-VLOOKUP($F$7,目标属性!$A:$R,6,FALSE))/100)</f>
        <v>-0.24</v>
      </c>
      <c r="CC123" s="100">
        <f t="shared" si="91"/>
        <v>0</v>
      </c>
      <c r="CD123" s="91">
        <v>1</v>
      </c>
      <c r="CE123" s="92">
        <f>BY123*IF(VLOOKUP($E123,武器奇术!$A:$R,17,FALSE)="牵丝",VLOOKUP($E123,武器奇术!$A:$R,4,FALSE),VLOOKUP($E123,武器奇术!$A:$R,2,FALSE))*(1+CB123)*(1+CC123)*CD123</f>
        <v>0</v>
      </c>
      <c r="CF123" s="93">
        <f>(1-IF(VLOOKUP($E123,武器奇术!$A:$R,16,FALSE)="陌刀",1,$N123))*(1-$M123)</f>
        <v>0</v>
      </c>
      <c r="CG123" s="92">
        <f>BZ123*IF(VLOOKUP($E123,武器奇术!$A:$R,17,FALSE)="牵丝",VLOOKUP($E123,武器奇术!$A:$R,4,FALSE),VLOOKUP($E123,武器奇术!$A:$R,2,FALSE))*(1+CB123)*(1+CC123)*CD123*(1+$E$16+VLOOKUP($E123,武器奇术!$A:$R,8,FALSE))</f>
        <v>0</v>
      </c>
      <c r="CH123" s="93">
        <f t="shared" si="100"/>
        <v>0.887</v>
      </c>
      <c r="CI123" s="92">
        <f>CA123*IF(VLOOKUP($E123,武器奇术!$A:$R,17,FALSE)="牵丝",VLOOKUP($E123,武器奇术!$A:$R,4,FALSE),VLOOKUP($E123,武器奇术!$A:$R,2,FALSE))*(1+CB123)*(1+CC123)*CD123*(1+$E$17+VLOOKUP($E123,武器奇术!$A:$R,10,FALSE))</f>
        <v>0</v>
      </c>
      <c r="CJ123" s="93">
        <f t="shared" si="101"/>
        <v>0.0986</v>
      </c>
      <c r="CK123" s="92">
        <f>BZ123*IF(VLOOKUP($E123,武器奇术!$A:$R,17,FALSE)="牵丝",VLOOKUP($E123,武器奇术!$A:$R,4,FALSE),VLOOKUP($E123,武器奇术!$A:$R,2,FALSE))*(1+CB123)*(1+CC123)*CD123</f>
        <v>0</v>
      </c>
      <c r="CL123" s="93">
        <f t="shared" si="77"/>
        <v>0.0144</v>
      </c>
      <c r="CM123" s="101">
        <f t="shared" si="78"/>
        <v>0</v>
      </c>
      <c r="CN123" s="99">
        <f>IF(VLOOKUP($E123,武器奇术!$A:$R,18,FALSE)="极乐",0,$B$13*IF($G$5="撼天",1.05,1)+IF(AND(VLOOKUP($E123,武器奇术!$A:$R,15,FALSE)="武器",VLOOKUP($E123,武器奇术!$A:$R,17,FALSE)="破竹"),$E$3*(1+$E$15),0))</f>
        <v>490.8</v>
      </c>
      <c r="CO123" s="91">
        <f t="shared" si="79"/>
        <v>856.3</v>
      </c>
      <c r="CP123" s="91">
        <f>IF(VLOOKUP($E123,武器奇术!$A:$R,18,FALSE)="极乐",0,MAX($C$13*IF($G$5="撼天",1.05,1)+IF(AND(VLOOKUP($E123,武器奇术!$A:$R,15,FALSE)="武器",VLOOKUP($E123,武器奇术!$A:$R,17,FALSE)="破竹"),$E$3*(1+$E$15),0),CN123))</f>
        <v>1221.8</v>
      </c>
      <c r="CQ123" s="93">
        <f>IF(($D$13+IF(VLOOKUP($E123,武器奇术!$A:$R,17,FALSE)="破竹",$D$15,0)-VLOOKUP($F$7,目标属性!$A:$R,6,FALSE)+IF(VLOOKUP($E123,武器奇术!$A:$V,22,FALSE)=1,4,0)+IF(VLOOKUP($E123,武器奇术!$A:$T,20,FALSE)=1,10,0))&gt;0,($D$13+IF(VLOOKUP($E123,武器奇术!$A:$R,17,FALSE)="破竹",$D$15,0)-VLOOKUP($F$7,目标属性!$A:$R,6,FALSE)+IF(VLOOKUP($E123,武器奇术!$A:$V,22,FALSE)=1,4,0)+IF(VLOOKUP($E123,武器奇术!$A:$T,20,FALSE)=1,10,0))/200,($D$13+IF(VLOOKUP($E123,武器奇术!$A:$R,17,FALSE)="破竹",$D$15,0)-VLOOKUP($F$7,目标属性!$A:$R,6,FALSE)+IF(VLOOKUP($E123,武器奇术!$A:$V,22,FALSE)=1,4,0)+IF(VLOOKUP($E123,武器奇术!$A:$T,20,FALSE)=1,10,0))/100)</f>
        <v>0.028</v>
      </c>
      <c r="CR123" s="100">
        <f t="shared" si="83"/>
        <v>0.148</v>
      </c>
      <c r="CS123" s="91">
        <v>1</v>
      </c>
      <c r="CT123" s="92">
        <f>CN123*IF(VLOOKUP($E123,武器奇术!$A:$R,17,FALSE)="破竹",VLOOKUP($E123,武器奇术!$A:$R,4,FALSE),VLOOKUP($E123,武器奇术!$A:$R,2,FALSE))*(1+CQ123)*(1+CR123)*CS123</f>
        <v>1294.71856347456</v>
      </c>
      <c r="CU123" s="93">
        <f>(1-IF(VLOOKUP($E123,武器奇术!$A:$R,16,FALSE)="陌刀",1,$N123))*(1-$M123)</f>
        <v>0</v>
      </c>
      <c r="CV123" s="92">
        <f>CO123*IF(VLOOKUP($E123,武器奇术!$A:$R,17,FALSE)="破竹",VLOOKUP($E123,武器奇术!$A:$R,4,FALSE),VLOOKUP($E123,武器奇术!$A:$R,2,FALSE))*(1+CQ123)*(1+CR123)*CS123*(1+$E$16+VLOOKUP($E123,武器奇术!$A:$R,8,FALSE))</f>
        <v>5407.80360458928</v>
      </c>
      <c r="CW123" s="93">
        <f t="shared" si="102"/>
        <v>0.887</v>
      </c>
      <c r="CX123" s="92">
        <f>CP123*IF(VLOOKUP($E123,武器奇术!$A:$R,17,FALSE)="破竹",VLOOKUP($E123,武器奇术!$A:$R,4,FALSE),VLOOKUP($E123,武器奇术!$A:$R,2,FALSE))*(1+CQ123)*(1+CR123)*CS123*(1+$E$17+VLOOKUP($E123,武器奇术!$A:$R,10,FALSE))</f>
        <v>4351.15656102658</v>
      </c>
      <c r="CY123" s="93">
        <f t="shared" si="103"/>
        <v>0.0986</v>
      </c>
      <c r="CZ123" s="92">
        <f>CO123*IF(VLOOKUP($E123,武器奇术!$A:$R,17,FALSE)="破竹",VLOOKUP($E123,武器奇术!$A:$R,4,FALSE),VLOOKUP($E123,武器奇术!$A:$R,2,FALSE))*(1+CQ123)*(1+CR123)*CS123</f>
        <v>2258.89874878416</v>
      </c>
      <c r="DA123" s="93">
        <f t="shared" si="80"/>
        <v>0.0144</v>
      </c>
      <c r="DB123" s="101">
        <f t="shared" si="81"/>
        <v>5258.2739761704</v>
      </c>
      <c r="DC123" s="99">
        <f>IF(VLOOKUP($E123,武器奇术!$A:$R,18,FALSE)="极乐",0,$B$15)</f>
        <v>66</v>
      </c>
      <c r="DD123" s="91">
        <f t="shared" si="111"/>
        <v>95.9</v>
      </c>
      <c r="DE123" s="91">
        <f>IF(VLOOKUP($E123,武器奇术!$A:$R,18,FALSE)="极乐",0,$C$15)</f>
        <v>125.8</v>
      </c>
      <c r="DF123" s="93">
        <f>IF((IF(VLOOKUP($E123,武器奇术!$A:$R,17,FALSE)="鸣金",$D$7,0)+IF(VLOOKUP($E123,武器奇术!$A:$R,17,FALSE)="裂石",$D$9,0)+IF(VLOOKUP($E123,武器奇术!$A:$R,17,FALSE)="牵丝",$D$11,0)+IF(VLOOKUP($E123,武器奇术!$A:$R,17,FALSE)="破竹",$D$13,0)+$D$15-VLOOKUP($F$7,目标属性!$A:$R,6,FALSE)+IF(VLOOKUP($E123,武器奇术!$A:$V,22,FALSE)=1,4,0)+IF(VLOOKUP($E123,武器奇术!$A:$T,20,FALSE)=1,10,0))&gt;0,(IF(VLOOKUP($E123,武器奇术!$A:$R,17,FALSE)="鸣金",$D$7,0)+IF(VLOOKUP($E123,武器奇术!$A:$R,17,FALSE)="裂石",$D$9,0)+IF(VLOOKUP($E123,武器奇术!$A:$R,17,FALSE)="牵丝",$D$11,0)+IF(VLOOKUP($E123,武器奇术!$A:$R,17,FALSE)="破竹",$D$13,0)+$D$15-VLOOKUP($F$7,目标属性!$A:$R,6,FALSE)+IF(VLOOKUP($E123,武器奇术!$A:$V,22,FALSE)=1,4,0)+IF(VLOOKUP($E123,武器奇术!$A:$T,20,FALSE)=1,10,0))/200,(IF(VLOOKUP($E123,武器奇术!$A:$R,17,FALSE)="鸣金",$D$7,0)+IF(VLOOKUP($E123,武器奇术!$A:$R,17,FALSE)="裂石",$D$9,0)+IF(VLOOKUP($E123,武器奇术!$A:$R,17,FALSE)="牵丝",$D$11,0)+IF(VLOOKUP($E123,武器奇术!$A:$R,17,FALSE)="破竹",$D$13,0)+$D$15-VLOOKUP($F$7,目标属性!$A:$R,6,FALSE)+IF(VLOOKUP($E123,武器奇术!$A:$V,22,FALSE)=1,4,0)+IF(VLOOKUP($E123,武器奇术!$A:$T,20,FALSE)=1,10,0))/100)</f>
        <v>0.028</v>
      </c>
      <c r="DG123" s="100">
        <f>$E$13</f>
        <v>0.148</v>
      </c>
      <c r="DH123" s="91">
        <v>1</v>
      </c>
      <c r="DI123" s="92">
        <f>DC123*IF(VLOOKUP($E123,武器奇术!$A:$R,17,FALSE)="破竹",VLOOKUP($E123,武器奇术!$A:$R,4,FALSE),VLOOKUP($E123,武器奇术!$A:$R,2,FALSE))*(1+DF123)*(1+DG123)*DH123</f>
        <v>174.1064082912</v>
      </c>
      <c r="DJ123" s="93">
        <f>(1-IF(VLOOKUP($E123,武器奇术!$A:$R,16,FALSE)="陌刀",1,$N123))*(1-$M123)</f>
        <v>0</v>
      </c>
      <c r="DK123" s="92">
        <f>DD123*IF(VLOOKUP($E123,武器奇术!$A:$R,17,FALSE)="破竹",VLOOKUP($E123,武器奇术!$A:$R,4,FALSE),VLOOKUP($E123,武器奇术!$A:$R,2,FALSE))*(1+DF123)*(1+DG123)*DH123*(1+$E$16+VLOOKUP($E123,武器奇术!$A:$R,8,FALSE))</f>
        <v>605.638637954119</v>
      </c>
      <c r="DL123" s="93">
        <f t="shared" si="104"/>
        <v>0.887</v>
      </c>
      <c r="DM123" s="92">
        <f>DE123*IF(VLOOKUP($E123,武器奇术!$A:$R,17,FALSE)="破竹",VLOOKUP($E123,武器奇术!$A:$R,4,FALSE),VLOOKUP($E123,武器奇术!$A:$R,2,FALSE))*(1+DF123)*(1+DG123)*DH123*(1+$E$17+VLOOKUP($E123,武器奇术!$A:$R,10,FALSE))</f>
        <v>448.007444243856</v>
      </c>
      <c r="DN123" s="93">
        <f t="shared" si="105"/>
        <v>0.0986</v>
      </c>
      <c r="DO123" s="92">
        <f>DD123*IF(VLOOKUP($E123,武器奇术!$A:$R,17,FALSE)="破竹",VLOOKUP($E123,武器奇术!$A:$R,4,FALSE),VLOOKUP($E123,武器奇术!$A:$R,2,FALSE))*(1+DF123)*(1+DG123)*DH123</f>
        <v>252.98188719888</v>
      </c>
      <c r="DP123" s="93">
        <f t="shared" si="106"/>
        <v>0.0144</v>
      </c>
      <c r="DQ123" s="101">
        <f t="shared" si="107"/>
        <v>585.017945043412</v>
      </c>
    </row>
    <row r="124" spans="1:121">
      <c r="A124" s="33"/>
      <c r="B124" s="130">
        <v>1234</v>
      </c>
      <c r="C124">
        <v>2.4</v>
      </c>
      <c r="D124" s="33"/>
      <c r="E124" s="105" t="s">
        <v>209</v>
      </c>
      <c r="F124" s="106">
        <v>2</v>
      </c>
      <c r="G124" s="107">
        <f t="shared" si="115"/>
        <v>0</v>
      </c>
      <c r="H124" s="131">
        <f>IF(VLOOKUP($E124,武器奇术!$A:$R,18,FALSE)="天工",AE124,(AE124+AT124+BI124+BX124+CM124+DB124+DQ124))*(1+J124)*F124*K124*(1+G124)*(1+$G$21*5%)</f>
        <v>58340.4541075245</v>
      </c>
      <c r="I124" s="93">
        <f t="shared" si="58"/>
        <v>0.00748407205976902</v>
      </c>
      <c r="J124" s="93">
        <f>$F$3+VLOOKUP($E124,武器奇术!$A:$R,12,FALSE)+VLOOKUP($E124,武器奇术!$A:$R,14,FALSE)*$G$3+$P124</f>
        <v>0.813</v>
      </c>
      <c r="K124" s="94">
        <f>VLOOKUP($E124,武器奇术!$A:$R,11,FALSE)</f>
        <v>1</v>
      </c>
      <c r="L124" s="109">
        <f>IF(VLOOKUP($E124,武器奇术!$A:$R,15,FALSE)="天工",0%,IF($C$17+VLOOKUP($E124,武器奇术!$A:$R,7,FALSE)&gt;80%,80%,$C$17+VLOOKUP($E124,武器奇术!$A:$R,7,FALSE))+IF($C$19&gt;20%,20%,$C$19))</f>
        <v>0.887</v>
      </c>
      <c r="M124" s="110">
        <f>IF(VLOOKUP($E124,武器奇术!$A:$R,15,FALSE)="天工",0%,IF($C$18+VLOOKUP($E124,武器奇术!$A:$R,9,FALSE)&gt;40%,40%,$C$18+VLOOKUP($E124,武器奇术!$A:$R,9,FALSE))+IF($C$20&gt;10%,10%,$C$20))</f>
        <v>0.0986</v>
      </c>
      <c r="N124" s="111">
        <f>IF(VLOOKUP($E124,武器奇术!$A:$R,15,FALSE)="天工",100%,MIN($C$16,1))</f>
        <v>1</v>
      </c>
      <c r="O124" s="112" t="str">
        <f>VLOOKUP($E124,武器奇术!$A:$R,16,FALSE)</f>
        <v>双刀</v>
      </c>
      <c r="P124" s="113">
        <f t="shared" si="108"/>
        <v>0.17</v>
      </c>
      <c r="Q124" s="99">
        <f>$B$5*(1+VLOOKUP($E124,武器奇术!$A:$R,5,FALSE)+IF($G$5="飞隼",0.1,0)+IF($G$5="撼天",0.05,0))-$F$9*IF(VLOOKUP($E124,武器奇术!$A:$S,19,FALSE)=1,0.9,1)+IF($I$5="√",160,0)</f>
        <v>2904.2</v>
      </c>
      <c r="R124" s="91">
        <f t="shared" si="60"/>
        <v>2904.2</v>
      </c>
      <c r="S124" s="91">
        <f>MAX($C$5,$B$5)*(1+VLOOKUP($E124,武器奇术!$A:$R,5,FALSE)+IF($G$5="飞隼",0.1,0)+IF($G$5="撼天",0.05,0))-$F$9*IF(VLOOKUP($E124,武器奇术!$A:$S,19,FALSE)=1,0.9,1)+IF($I$5="√",320,0)</f>
        <v>2904.2</v>
      </c>
      <c r="T124" s="93">
        <f>IF(($D$5+VLOOKUP($E124,武器奇术!$A:$R,13,FALSE)+IF($I$3="√",10,0)-VLOOKUP($F$7,目标属性!$A:$R,5,FALSE))&gt;0,($D$5+VLOOKUP($E124,武器奇术!$A:$R,13,FALSE)+IF($I$3="√",10,0)-VLOOKUP($F$7,目标属性!$A:$R,5,FALSE))/200,($D$5+VLOOKUP($E124,武器奇术!$A:$R,13,FALSE)+IF($I$3="√",10,0)-VLOOKUP($F$7,目标属性!$A:$R,5,FALSE))/100)</f>
        <v>0.3925</v>
      </c>
      <c r="U124" s="120">
        <f>$E$5+IF(VLOOKUP($E124,武器奇术!$A:$R,18,FALSE)="鼠鼠",0.24,0)+IF(期望!$G$5="燕归",6/100,0)</f>
        <v>0.06</v>
      </c>
      <c r="V124" s="91">
        <v>1</v>
      </c>
      <c r="W124" s="92">
        <f>Q124*VLOOKUP($E124,武器奇术!$A:$R,2,FALSE)*(1+T124)*(1+U124)*V124</f>
        <v>3051.8190803672</v>
      </c>
      <c r="X124" s="93">
        <f>(1-IF(VLOOKUP($E124,武器奇术!$A:$R,16,FALSE)="陌刀",1,$N124))*(1-$M124)</f>
        <v>0</v>
      </c>
      <c r="Y124" s="92">
        <f>R124*VLOOKUP($E124,武器奇术!$A:$R,2,FALSE)*(1+T124)*(1+U124)*V124*(1+$E$16+VLOOKUP($E124,武器奇术!$A:$R,8,FALSE))</f>
        <v>7306.05487839908</v>
      </c>
      <c r="Z124" s="93">
        <f t="shared" si="61"/>
        <v>0.887</v>
      </c>
      <c r="AA124" s="92">
        <f>S124*VLOOKUP($E124,武器奇术!$A:$R,2,FALSE)*(1+T124)*(1+U124)*V124*(1+$E$17+VLOOKUP($E124,武器奇术!$A:$R,10,FALSE))</f>
        <v>4119.95575849572</v>
      </c>
      <c r="AB124" s="93">
        <f t="shared" si="62"/>
        <v>0.0986</v>
      </c>
      <c r="AC124" s="92">
        <f>R124*VLOOKUP($E124,武器奇术!$A:$R,2,FALSE)*(1+T124)*(1+U124)*V124</f>
        <v>3051.8190803672</v>
      </c>
      <c r="AD124" s="93">
        <f t="shared" si="63"/>
        <v>0.0144</v>
      </c>
      <c r="AE124" s="101">
        <f t="shared" si="64"/>
        <v>6930.64450968495</v>
      </c>
      <c r="AF124" s="102">
        <f>VLOOKUP($E124,武器奇术!$A:$R,3,FALSE)*(1+IF(VLOOKUP($E124,武器奇术!$A:$R,15,FALSE)="武器",$E$15,0))</f>
        <v>257.4</v>
      </c>
      <c r="AG124" s="92">
        <f t="shared" si="65"/>
        <v>257.4</v>
      </c>
      <c r="AH124" s="92">
        <f>VLOOKUP($E124,武器奇术!$A:$R,3,FALSE)*(1+IF(VLOOKUP($E124,武器奇术!$A:$R,15,FALSE)="武器",$E$15,0))</f>
        <v>257.4</v>
      </c>
      <c r="AI124" s="93">
        <f>IF(($D$5+VLOOKUP($E124,武器奇术!$A:$R,13,FALSE)+IF($I$3="√",10,0)-VLOOKUP($F$7,目标属性!$A:$R,5,FALSE))&gt;0,($D$5+VLOOKUP($E124,武器奇术!$A:$R,13,FALSE)+IF($I$3="√",10,0)-VLOOKUP($F$7,目标属性!$A:$R,5,FALSE))/200,($D$5+VLOOKUP($E124,武器奇术!$A:$R,13,FALSE)+IF($I$3="√",10,0)-VLOOKUP($F$7,目标属性!$A:$R,5,FALSE))/100)</f>
        <v>0.3925</v>
      </c>
      <c r="AJ124" s="120">
        <f>$E$5+IF(VLOOKUP($E124,武器奇术!$A:$R,18,FALSE)="鼠鼠",0.24,0)+IF(期望!$G$5="燕归",6/100,0)</f>
        <v>0.06</v>
      </c>
      <c r="AK124" s="91">
        <v>1</v>
      </c>
      <c r="AL124" s="92">
        <f t="shared" si="109"/>
        <v>379.93527</v>
      </c>
      <c r="AM124" s="93">
        <f>(1-IF(VLOOKUP($E124,武器奇术!$A:$R,16,FALSE)="陌刀",1,$N124))*(1-$M124)</f>
        <v>0</v>
      </c>
      <c r="AN124" s="92">
        <f>AG124*(1+AI124)*(1+AJ124)*AK124*(1+$E$16+VLOOKUP($E124,武器奇术!$A:$R,8,FALSE))</f>
        <v>909.56503638</v>
      </c>
      <c r="AO124" s="93">
        <f t="shared" si="94"/>
        <v>0.887</v>
      </c>
      <c r="AP124" s="92">
        <f>AH124*(1+AI124)*(1+AJ124)*AK124*(1+$E$17+VLOOKUP($E124,武器奇术!$A:$R,10,FALSE))</f>
        <v>512.9126145</v>
      </c>
      <c r="AQ124" s="93">
        <f t="shared" si="95"/>
        <v>0.0986</v>
      </c>
      <c r="AR124" s="92">
        <f t="shared" si="67"/>
        <v>379.93527</v>
      </c>
      <c r="AS124" s="93">
        <f t="shared" si="68"/>
        <v>0.0144</v>
      </c>
      <c r="AT124" s="101">
        <f t="shared" si="69"/>
        <v>862.82843894676</v>
      </c>
      <c r="AU124" s="99">
        <f>IF(VLOOKUP($E124,武器奇术!$A:$R,18,FALSE)="极乐",0,$B$7*IF($G$5="撼天",1.05,1)+IF(AND(VLOOKUP($E124,武器奇术!$A:$R,15,FALSE)="武器",VLOOKUP($E124,武器奇术!$A:$R,17,FALSE)="鸣金"),$E$3*(1+$E$15),0))</f>
        <v>0</v>
      </c>
      <c r="AV124" s="91">
        <f t="shared" si="70"/>
        <v>0</v>
      </c>
      <c r="AW124" s="91">
        <f>IF(VLOOKUP($E124,武器奇术!$A:$R,18,FALSE)="极乐",0,MAX($C$7*IF($G$5="撼天",1.05,1)+IF(AND(VLOOKUP($E124,武器奇术!$A:$R,15,FALSE)="武器",VLOOKUP($E124,武器奇术!$A:$R,17,FALSE)="鸣金"),$E$3*(1+$E$15),0),AU124))</f>
        <v>0</v>
      </c>
      <c r="AX124" s="93">
        <f>IF(($D$7+IF(VLOOKUP($E124,武器奇术!$A:$R,17,FALSE)="鸣金",$D$15,0)-VLOOKUP($F$7,目标属性!$A:$R,6,FALSE))&gt;0,($D$7+IF(VLOOKUP($E124,武器奇术!$A:$R,17,FALSE)="鸣金",$D$15,0)-VLOOKUP($F$7,目标属性!$A:$R,6,FALSE))/200,($D$7+IF(VLOOKUP($E124,武器奇术!$A:$R,17,FALSE)="鸣金",$D$15,0)-VLOOKUP($F$7,目标属性!$A:$R,6,FALSE))/100)</f>
        <v>-0.24</v>
      </c>
      <c r="AY124" s="100">
        <f t="shared" si="89"/>
        <v>0</v>
      </c>
      <c r="AZ124" s="91">
        <v>1</v>
      </c>
      <c r="BA124" s="92">
        <f>AU124*IF(VLOOKUP($E124,武器奇术!$A:$R,17,FALSE)="鸣金",VLOOKUP($E124,武器奇术!$A:$R,4,FALSE),VLOOKUP($E124,武器奇术!$A:$R,2,FALSE))*(1+AX124)*(1+AY124)*AZ124</f>
        <v>0</v>
      </c>
      <c r="BB124" s="93">
        <f>(1-IF(VLOOKUP($E124,武器奇术!$A:$R,16,FALSE)="陌刀",1,$N124))*(1-$M124)</f>
        <v>0</v>
      </c>
      <c r="BC124" s="92">
        <f>AV124*IF(VLOOKUP($E124,武器奇术!$A:$R,17,FALSE)="鸣金",VLOOKUP($E124,武器奇术!$A:$R,4,FALSE),VLOOKUP($E124,武器奇术!$A:$R,2,FALSE))*(1+AX124)*(1+AY124)*AZ124*(1+$E$16+VLOOKUP($E124,武器奇术!$A:$R,8,FALSE))</f>
        <v>0</v>
      </c>
      <c r="BD124" s="93">
        <f t="shared" si="96"/>
        <v>0.887</v>
      </c>
      <c r="BE124" s="92">
        <f>AW124*IF(VLOOKUP($E124,武器奇术!$A:$R,17,FALSE)="鸣金",VLOOKUP($E124,武器奇术!$A:$R,4,FALSE),VLOOKUP($E124,武器奇术!$A:$R,2,FALSE))*(1+AX124)*(1+AY124)*AZ124*(1+$E$17+VLOOKUP($E124,武器奇术!$A:$R,10,FALSE))</f>
        <v>0</v>
      </c>
      <c r="BF124" s="93">
        <f t="shared" si="97"/>
        <v>0.0986</v>
      </c>
      <c r="BG124" s="92">
        <f>AV124*IF(VLOOKUP($E124,武器奇术!$A:$R,17,FALSE)="鸣金",VLOOKUP($E124,武器奇术!$A:$R,4,FALSE),VLOOKUP($E124,武器奇术!$A:$R,2,FALSE))*(1+AX124)*(1+AY124)*AZ124</f>
        <v>0</v>
      </c>
      <c r="BH124" s="93">
        <f t="shared" si="71"/>
        <v>0.0144</v>
      </c>
      <c r="BI124" s="101">
        <f t="shared" si="72"/>
        <v>0</v>
      </c>
      <c r="BJ124" s="99">
        <f>IF(VLOOKUP($E124,武器奇术!$A:$R,18,FALSE)="极乐",0,$B$9*IF($G$5="撼天",1.05,1)+IF(AND(VLOOKUP($E124,武器奇术!$A:$R,15,FALSE)="武器",VLOOKUP($E124,武器奇术!$A:$R,17,FALSE)="裂石"),$E$3*(1+$E$15),0))</f>
        <v>0</v>
      </c>
      <c r="BK124" s="91">
        <f t="shared" si="73"/>
        <v>0</v>
      </c>
      <c r="BL124" s="91">
        <f>IF(VLOOKUP($E124,武器奇术!$A:$R,18,FALSE)="极乐",0,MAX($C$9*IF($G$5="撼天",1.05,1)+IF(AND(VLOOKUP($E124,武器奇术!$A:$R,15,FALSE)="武器",VLOOKUP($E124,武器奇术!$A:$R,17,FALSE)="裂石"),$E$3*(1+$E$15),0),BJ124))</f>
        <v>0</v>
      </c>
      <c r="BM124" s="93">
        <f>IF(($D$9+IF(VLOOKUP($E124,武器奇术!$A:$R,17,FALSE)="裂石",$D$15,0)-VLOOKUP($F$7,目标属性!$A:$R,6,FALSE))&gt;0,($D$9+IF(VLOOKUP($E124,武器奇术!$A:$R,17,FALSE)="裂石",$D$15,0)-VLOOKUP($F$7,目标属性!$A:$R,6,FALSE))/200,($D$9+IF(VLOOKUP($E124,武器奇术!$A:$R,17,FALSE)="裂石",$D$15,0)-VLOOKUP($F$7,目标属性!$A:$R,6,FALSE))/100)</f>
        <v>-0.24</v>
      </c>
      <c r="BN124" s="100">
        <f t="shared" si="90"/>
        <v>0</v>
      </c>
      <c r="BO124" s="91">
        <v>1</v>
      </c>
      <c r="BP124" s="92">
        <f>BJ124*IF(VLOOKUP($E124,武器奇术!$A:$R,17,FALSE)="裂石",VLOOKUP($E124,武器奇术!$A:$R,4,FALSE),VLOOKUP($E124,武器奇术!$A:$R,2,FALSE))*(1+BM124)*(1+BN124)*BO124</f>
        <v>0</v>
      </c>
      <c r="BQ124" s="93">
        <f>(1-IF(VLOOKUP($E124,武器奇术!$A:$R,16,FALSE)="陌刀",1,$N124))*(1-$M124)</f>
        <v>0</v>
      </c>
      <c r="BR124" s="92">
        <f>BK124*IF(VLOOKUP($E124,武器奇术!$A:$R,17,FALSE)="裂石",VLOOKUP($E124,武器奇术!$A:$R,4,FALSE),VLOOKUP($E124,武器奇术!$A:$R,2,FALSE))*(1+BM124)*(1+BN124)*BO124*(1+$E$16+VLOOKUP($E124,武器奇术!$A:$R,8,FALSE))</f>
        <v>0</v>
      </c>
      <c r="BS124" s="93">
        <f t="shared" si="98"/>
        <v>0.887</v>
      </c>
      <c r="BT124" s="92">
        <f>BL124*IF(VLOOKUP($E124,武器奇术!$A:$R,17,FALSE)="裂石",VLOOKUP($E124,武器奇术!$A:$R,4,FALSE),VLOOKUP($E124,武器奇术!$A:$R,2,FALSE))*(1+BM124)*(1+BN124)*BO124*(1+$E$17+VLOOKUP($E124,武器奇术!$A:$R,10,FALSE))</f>
        <v>0</v>
      </c>
      <c r="BU124" s="93">
        <f t="shared" si="99"/>
        <v>0.0986</v>
      </c>
      <c r="BV124" s="92">
        <f>BK124*IF(VLOOKUP($E124,武器奇术!$A:$R,17,FALSE)="裂石",VLOOKUP($E124,武器奇术!$A:$R,4,FALSE),VLOOKUP($E124,武器奇术!$A:$R,2,FALSE))*(1+BM124)*(1+BN124)*BO124</f>
        <v>0</v>
      </c>
      <c r="BW124" s="93">
        <f t="shared" si="74"/>
        <v>0.0144</v>
      </c>
      <c r="BX124" s="101">
        <f t="shared" si="75"/>
        <v>0</v>
      </c>
      <c r="BY124" s="99">
        <f>IF(VLOOKUP($E124,武器奇术!$A:$R,18,FALSE)="极乐",0,$B$11*IF($G$5="撼天",1.05,1)+IF(AND(VLOOKUP($E124,武器奇术!$A:$R,15,FALSE)="武器",VLOOKUP($E124,武器奇术!$A:$R,17,FALSE)="牵丝"),$E$3*(1+$E$15),0))</f>
        <v>0</v>
      </c>
      <c r="BZ124" s="91">
        <f t="shared" si="76"/>
        <v>0</v>
      </c>
      <c r="CA124" s="91">
        <f>IF(VLOOKUP($E124,武器奇术!$A:$R,18,FALSE)="极乐",0,MAX($C$11*IF($G$5="撼天",1.05,1)+IF(AND(VLOOKUP($E124,武器奇术!$A:$R,15,FALSE)="武器",VLOOKUP($E124,武器奇术!$A:$R,17,FALSE)="牵丝"),$E$3*(1+$E$15),0),BY124))</f>
        <v>0</v>
      </c>
      <c r="CB124" s="93">
        <f>IF(($D$11+IF(VLOOKUP($E124,武器奇术!$A:$R,17,FALSE)="牵丝",$D$15,0)-VLOOKUP($F$7,目标属性!$A:$R,6,FALSE))&gt;0,($D$11+IF(VLOOKUP($E124,武器奇术!$A:$R,17,FALSE)="牵丝",$D$15,0)-VLOOKUP($F$7,目标属性!$A:$R,6,FALSE))/200,($D$11+IF(VLOOKUP($E124,武器奇术!$A:$R,17,FALSE)="牵丝",$D$15,0)-VLOOKUP($F$7,目标属性!$A:$R,6,FALSE))/100)</f>
        <v>-0.24</v>
      </c>
      <c r="CC124" s="100">
        <f t="shared" si="91"/>
        <v>0</v>
      </c>
      <c r="CD124" s="91">
        <v>1</v>
      </c>
      <c r="CE124" s="92">
        <f>BY124*IF(VLOOKUP($E124,武器奇术!$A:$R,17,FALSE)="牵丝",VLOOKUP($E124,武器奇术!$A:$R,4,FALSE),VLOOKUP($E124,武器奇术!$A:$R,2,FALSE))*(1+CB124)*(1+CC124)*CD124</f>
        <v>0</v>
      </c>
      <c r="CF124" s="93">
        <f>(1-IF(VLOOKUP($E124,武器奇术!$A:$R,16,FALSE)="陌刀",1,$N124))*(1-$M124)</f>
        <v>0</v>
      </c>
      <c r="CG124" s="92">
        <f>BZ124*IF(VLOOKUP($E124,武器奇术!$A:$R,17,FALSE)="牵丝",VLOOKUP($E124,武器奇术!$A:$R,4,FALSE),VLOOKUP($E124,武器奇术!$A:$R,2,FALSE))*(1+CB124)*(1+CC124)*CD124*(1+$E$16+VLOOKUP($E124,武器奇术!$A:$R,8,FALSE))</f>
        <v>0</v>
      </c>
      <c r="CH124" s="93">
        <f t="shared" si="100"/>
        <v>0.887</v>
      </c>
      <c r="CI124" s="92">
        <f>CA124*IF(VLOOKUP($E124,武器奇术!$A:$R,17,FALSE)="牵丝",VLOOKUP($E124,武器奇术!$A:$R,4,FALSE),VLOOKUP($E124,武器奇术!$A:$R,2,FALSE))*(1+CB124)*(1+CC124)*CD124*(1+$E$17+VLOOKUP($E124,武器奇术!$A:$R,10,FALSE))</f>
        <v>0</v>
      </c>
      <c r="CJ124" s="93">
        <f t="shared" si="101"/>
        <v>0.0986</v>
      </c>
      <c r="CK124" s="92">
        <f>BZ124*IF(VLOOKUP($E124,武器奇术!$A:$R,17,FALSE)="牵丝",VLOOKUP($E124,武器奇术!$A:$R,4,FALSE),VLOOKUP($E124,武器奇术!$A:$R,2,FALSE))*(1+CB124)*(1+CC124)*CD124</f>
        <v>0</v>
      </c>
      <c r="CL124" s="93">
        <f t="shared" si="77"/>
        <v>0.0144</v>
      </c>
      <c r="CM124" s="101">
        <f t="shared" si="78"/>
        <v>0</v>
      </c>
      <c r="CN124" s="99">
        <f>IF(VLOOKUP($E124,武器奇术!$A:$R,18,FALSE)="极乐",0,$B$13*IF($G$5="撼天",1.05,1)+IF(AND(VLOOKUP($E124,武器奇术!$A:$R,15,FALSE)="武器",VLOOKUP($E124,武器奇术!$A:$R,17,FALSE)="破竹"),$E$3*(1+$E$15),0))</f>
        <v>686.71</v>
      </c>
      <c r="CO124" s="91">
        <f t="shared" si="79"/>
        <v>1052.21</v>
      </c>
      <c r="CP124" s="91">
        <f>IF(VLOOKUP($E124,武器奇术!$A:$R,18,FALSE)="极乐",0,MAX($C$13*IF($G$5="撼天",1.05,1)+IF(AND(VLOOKUP($E124,武器奇术!$A:$R,15,FALSE)="武器",VLOOKUP($E124,武器奇术!$A:$R,17,FALSE)="破竹"),$E$3*(1+$E$15),0),CN124))</f>
        <v>1417.71</v>
      </c>
      <c r="CQ124" s="93">
        <f>IF(($D$13+IF(VLOOKUP($E124,武器奇术!$A:$R,17,FALSE)="破竹",$D$15,0)-VLOOKUP($F$7,目标属性!$A:$R,6,FALSE)+IF(VLOOKUP($E124,武器奇术!$A:$V,22,FALSE)=1,4,0)+IF(VLOOKUP($E124,武器奇术!$A:$T,20,FALSE)=1,10,0))&gt;0,($D$13+IF(VLOOKUP($E124,武器奇术!$A:$R,17,FALSE)="破竹",$D$15,0)-VLOOKUP($F$7,目标属性!$A:$R,6,FALSE)+IF(VLOOKUP($E124,武器奇术!$A:$V,22,FALSE)=1,4,0)+IF(VLOOKUP($E124,武器奇术!$A:$T,20,FALSE)=1,10,0))/200,($D$13+IF(VLOOKUP($E124,武器奇术!$A:$R,17,FALSE)="破竹",$D$15,0)-VLOOKUP($F$7,目标属性!$A:$R,6,FALSE)+IF(VLOOKUP($E124,武器奇术!$A:$V,22,FALSE)=1,4,0)+IF(VLOOKUP($E124,武器奇术!$A:$T,20,FALSE)=1,10,0))/100)</f>
        <v>0.078</v>
      </c>
      <c r="CR124" s="120">
        <f>$E$13+IF(期望!$G$5="燕归",6%,0)</f>
        <v>0.208</v>
      </c>
      <c r="CS124" s="91">
        <v>1</v>
      </c>
      <c r="CT124" s="92">
        <f>CN124*IF(VLOOKUP($E124,武器奇术!$A:$R,17,FALSE)="破竹",VLOOKUP($E124,武器奇术!$A:$R,4,FALSE),VLOOKUP($E124,武器奇术!$A:$R,2,FALSE))*(1+CQ124)*(1+CR124)*CS124</f>
        <v>954.951949537555</v>
      </c>
      <c r="CU124" s="93">
        <f>(1-IF(VLOOKUP($E124,武器奇术!$A:$R,16,FALSE)="陌刀",1,$N124))*(1-$M124)</f>
        <v>0</v>
      </c>
      <c r="CV124" s="92">
        <f>CO124*IF(VLOOKUP($E124,武器奇术!$A:$R,17,FALSE)="破竹",VLOOKUP($E124,武器奇术!$A:$R,4,FALSE),VLOOKUP($E124,武器奇术!$A:$R,2,FALSE))*(1+CQ124)*(1+CR124)*CS124*(1+$E$16+VLOOKUP($E124,武器奇术!$A:$R,8,FALSE))</f>
        <v>3502.95629600566</v>
      </c>
      <c r="CW124" s="93">
        <f t="shared" si="102"/>
        <v>0.887</v>
      </c>
      <c r="CX124" s="92">
        <f>CP124*IF(VLOOKUP($E124,武器奇术!$A:$R,17,FALSE)="破竹",VLOOKUP($E124,武器奇术!$A:$R,4,FALSE),VLOOKUP($E124,武器奇术!$A:$R,2,FALSE))*(1+CQ124)*(1+CR124)*CS124*(1+$E$17+VLOOKUP($E124,武器奇术!$A:$R,10,FALSE))</f>
        <v>2661.51745760437</v>
      </c>
      <c r="CY124" s="93">
        <f t="shared" si="103"/>
        <v>0.0986</v>
      </c>
      <c r="CZ124" s="92">
        <f>CO124*IF(VLOOKUP($E124,武器奇术!$A:$R,17,FALSE)="破竹",VLOOKUP($E124,武器奇术!$A:$R,4,FALSE),VLOOKUP($E124,武器奇术!$A:$R,2,FALSE))*(1+CQ124)*(1+CR124)*CS124</f>
        <v>1463.22318128892</v>
      </c>
      <c r="DA124" s="93">
        <f t="shared" si="80"/>
        <v>0.0144</v>
      </c>
      <c r="DB124" s="101">
        <f t="shared" si="81"/>
        <v>3390.61826968737</v>
      </c>
      <c r="DC124" s="99">
        <f>IF(VLOOKUP($E124,武器奇术!$A:$R,18,FALSE)="极乐",0,$B$15)</f>
        <v>66</v>
      </c>
      <c r="DD124" s="91">
        <f t="shared" si="111"/>
        <v>95.9</v>
      </c>
      <c r="DE124" s="91">
        <f>IF(VLOOKUP($E124,武器奇术!$A:$R,18,FALSE)="极乐",0,$C$15)</f>
        <v>125.8</v>
      </c>
      <c r="DF124" s="93">
        <f>IF((IF(VLOOKUP($E124,武器奇术!$A:$R,17,FALSE)="鸣金",$D$7,0)+IF(VLOOKUP($E124,武器奇术!$A:$R,17,FALSE)="裂石",$D$9,0)+IF(VLOOKUP($E124,武器奇术!$A:$R,17,FALSE)="牵丝",$D$11,0)+IF(VLOOKUP($E124,武器奇术!$A:$R,17,FALSE)="破竹",$D$13,0)+$D$15-VLOOKUP($F$7,目标属性!$A:$R,6,FALSE)+IF(VLOOKUP($E124,武器奇术!$A:$V,22,FALSE)=1,4,0)+IF(VLOOKUP($E124,武器奇术!$A:$T,20,FALSE)=1,10,0))&gt;0,(IF(VLOOKUP($E124,武器奇术!$A:$R,17,FALSE)="鸣金",$D$7,0)+IF(VLOOKUP($E124,武器奇术!$A:$R,17,FALSE)="裂石",$D$9,0)+IF(VLOOKUP($E124,武器奇术!$A:$R,17,FALSE)="牵丝",$D$11,0)+IF(VLOOKUP($E124,武器奇术!$A:$R,17,FALSE)="破竹",$D$13,0)+$D$15-VLOOKUP($F$7,目标属性!$A:$R,6,FALSE)+IF(VLOOKUP($E124,武器奇术!$A:$V,22,FALSE)=1,4,0)+IF(VLOOKUP($E124,武器奇术!$A:$T,20,FALSE)=1,10,0))/200,(IF(VLOOKUP($E124,武器奇术!$A:$R,17,FALSE)="鸣金",$D$7,0)+IF(VLOOKUP($E124,武器奇术!$A:$R,17,FALSE)="裂石",$D$9,0)+IF(VLOOKUP($E124,武器奇术!$A:$R,17,FALSE)="牵丝",$D$11,0)+IF(VLOOKUP($E124,武器奇术!$A:$R,17,FALSE)="破竹",$D$13,0)+$D$15-VLOOKUP($F$7,目标属性!$A:$R,6,FALSE)+IF(VLOOKUP($E124,武器奇术!$A:$V,22,FALSE)=1,4,0)+IF(VLOOKUP($E124,武器奇术!$A:$T,20,FALSE)=1,10,0))/100)</f>
        <v>0.078</v>
      </c>
      <c r="DG124" s="120">
        <f>$E$13+IF(期望!$G$5="燕归",6%,0)</f>
        <v>0.208</v>
      </c>
      <c r="DH124" s="91">
        <v>1</v>
      </c>
      <c r="DI124" s="92">
        <f>DC124*IF(VLOOKUP($E124,武器奇术!$A:$R,17,FALSE)="破竹",VLOOKUP($E124,武器奇术!$A:$R,4,FALSE),VLOOKUP($E124,武器奇术!$A:$R,2,FALSE))*(1+DF124)*(1+DG124)*DH124</f>
        <v>91.78085169792</v>
      </c>
      <c r="DJ124" s="93">
        <f>(1-IF(VLOOKUP($E124,武器奇术!$A:$R,16,FALSE)="陌刀",1,$N124))*(1-$M124)</f>
        <v>0</v>
      </c>
      <c r="DK124" s="92">
        <f>DD124*IF(VLOOKUP($E124,武器奇术!$A:$R,17,FALSE)="破竹",VLOOKUP($E124,武器奇术!$A:$R,4,FALSE),VLOOKUP($E124,武器奇术!$A:$R,2,FALSE))*(1+DF124)*(1+DG124)*DH124*(1+$E$16+VLOOKUP($E124,武器奇术!$A:$R,8,FALSE))</f>
        <v>319.264698859489</v>
      </c>
      <c r="DL124" s="93">
        <f t="shared" si="104"/>
        <v>0.887</v>
      </c>
      <c r="DM124" s="92">
        <f>DE124*IF(VLOOKUP($E124,武器奇术!$A:$R,17,FALSE)="破竹",VLOOKUP($E124,武器奇术!$A:$R,4,FALSE),VLOOKUP($E124,武器奇术!$A:$R,2,FALSE))*(1+DF124)*(1+DG124)*DH124*(1+$E$17+VLOOKUP($E124,武器奇术!$A:$R,10,FALSE))</f>
        <v>236.16881884633</v>
      </c>
      <c r="DN124" s="93">
        <f t="shared" si="105"/>
        <v>0.0986</v>
      </c>
      <c r="DO124" s="92">
        <f>DD124*IF(VLOOKUP($E124,武器奇术!$A:$R,17,FALSE)="破竹",VLOOKUP($E124,武器奇术!$A:$R,4,FALSE),VLOOKUP($E124,武器奇术!$A:$R,2,FALSE))*(1+DF124)*(1+DG124)*DH124</f>
        <v>133.360358755008</v>
      </c>
      <c r="DP124" s="93">
        <f t="shared" si="106"/>
        <v>0.0144</v>
      </c>
      <c r="DQ124" s="101">
        <f t="shared" si="107"/>
        <v>308.394422592687</v>
      </c>
    </row>
    <row r="125" spans="1:121">
      <c r="A125" s="33"/>
      <c r="B125" s="130">
        <v>5</v>
      </c>
      <c r="C125">
        <v>0.9</v>
      </c>
      <c r="D125" s="33" t="s">
        <v>172</v>
      </c>
      <c r="E125" s="105" t="s">
        <v>210</v>
      </c>
      <c r="F125" s="106">
        <v>2</v>
      </c>
      <c r="G125" s="107">
        <f t="shared" si="115"/>
        <v>0</v>
      </c>
      <c r="H125" s="131">
        <f>IF(VLOOKUP($E125,武器奇术!$A:$R,18,FALSE)="天工",AE125,(AE125+AT125+BI125+BX125+CM125+DB125+DQ125))*(1+J125)*F125*K125*(1+G125)*(1+$G$21*5%)</f>
        <v>81221.0976994457</v>
      </c>
      <c r="I125" s="93">
        <f t="shared" si="58"/>
        <v>0.0104192632240377</v>
      </c>
      <c r="J125" s="93">
        <f>$F$3+VLOOKUP($E125,武器奇术!$A:$R,12,FALSE)+VLOOKUP($E125,武器奇术!$A:$R,14,FALSE)*$G$3+$P125</f>
        <v>0.813</v>
      </c>
      <c r="K125" s="94">
        <f>VLOOKUP($E125,武器奇术!$A:$R,11,FALSE)</f>
        <v>1</v>
      </c>
      <c r="L125" s="109">
        <f>IF(VLOOKUP($E125,武器奇术!$A:$R,15,FALSE)="天工",0%,IF($C$17+VLOOKUP($E125,武器奇术!$A:$R,7,FALSE)&gt;80%,80%,$C$17+VLOOKUP($E125,武器奇术!$A:$R,7,FALSE))+IF($C$19&gt;20%,20%,$C$19))</f>
        <v>0.887</v>
      </c>
      <c r="M125" s="110">
        <f>IF(VLOOKUP($E125,武器奇术!$A:$R,15,FALSE)="天工",0%,IF($C$18+VLOOKUP($E125,武器奇术!$A:$R,9,FALSE)&gt;40%,40%,$C$18+VLOOKUP($E125,武器奇术!$A:$R,9,FALSE))+IF($C$20&gt;10%,10%,$C$20))</f>
        <v>0.0986</v>
      </c>
      <c r="N125" s="111">
        <f>IF(VLOOKUP($E125,武器奇术!$A:$R,15,FALSE)="天工",100%,MIN($C$16,1))</f>
        <v>1</v>
      </c>
      <c r="O125" s="112" t="str">
        <f>VLOOKUP($E125,武器奇术!$A:$R,16,FALSE)</f>
        <v>双刀</v>
      </c>
      <c r="P125" s="113">
        <f t="shared" si="108"/>
        <v>0.17</v>
      </c>
      <c r="Q125" s="99">
        <f>$B$5*(1+VLOOKUP($E125,武器奇术!$A:$R,5,FALSE)+IF($G$5="飞隼",0.1,0)+IF($G$5="撼天",0.05,0))-$F$9*IF(VLOOKUP($E125,武器奇术!$A:$S,19,FALSE)=1,0.9,1)+IF($I$5="√",160,0)</f>
        <v>2904.2</v>
      </c>
      <c r="R125" s="91">
        <f t="shared" si="60"/>
        <v>2904.2</v>
      </c>
      <c r="S125" s="91">
        <f>MAX($C$5,$B$5)*(1+VLOOKUP($E125,武器奇术!$A:$R,5,FALSE)+IF($G$5="飞隼",0.1,0)+IF($G$5="撼天",0.05,0))-$F$9*IF(VLOOKUP($E125,武器奇术!$A:$S,19,FALSE)=1,0.9,1)+IF($I$5="√",320,0)</f>
        <v>2904.2</v>
      </c>
      <c r="T125" s="93">
        <f>IF(($D$5+VLOOKUP($E125,武器奇术!$A:$R,13,FALSE)+IF($I$3="√",10,0)-VLOOKUP($F$7,目标属性!$A:$R,5,FALSE))&gt;0,($D$5+VLOOKUP($E125,武器奇术!$A:$R,13,FALSE)+IF($I$3="√",10,0)-VLOOKUP($F$7,目标属性!$A:$R,5,FALSE))/200,($D$5+VLOOKUP($E125,武器奇术!$A:$R,13,FALSE)+IF($I$3="√",10,0)-VLOOKUP($F$7,目标属性!$A:$R,5,FALSE))/100)</f>
        <v>0.3925</v>
      </c>
      <c r="U125" s="120">
        <f>$E$5+IF(VLOOKUP($E125,武器奇术!$A:$R,18,FALSE)="鼠鼠",0.24,0)+IF(期望!$G$5="燕归",6/100,0)</f>
        <v>0.06</v>
      </c>
      <c r="V125" s="91">
        <v>1</v>
      </c>
      <c r="W125" s="92">
        <f>Q125*VLOOKUP($E125,武器奇术!$A:$R,2,FALSE)*(1+T125)*(1+U125)*V125</f>
        <v>4249.5354685212</v>
      </c>
      <c r="X125" s="93">
        <f>(1-IF(VLOOKUP($E125,武器奇术!$A:$R,16,FALSE)="陌刀",1,$N125))*(1-$M125)</f>
        <v>0</v>
      </c>
      <c r="Y125" s="92">
        <f>R125*VLOOKUP($E125,武器奇术!$A:$R,2,FALSE)*(1+T125)*(1+U125)*V125*(1+$E$16+VLOOKUP($E125,武器奇术!$A:$R,8,FALSE))</f>
        <v>10173.3879116398</v>
      </c>
      <c r="Z125" s="93">
        <f t="shared" si="61"/>
        <v>0.887</v>
      </c>
      <c r="AA125" s="92">
        <f>S125*VLOOKUP($E125,武器奇术!$A:$R,2,FALSE)*(1+T125)*(1+U125)*V125*(1+$E$17+VLOOKUP($E125,武器奇术!$A:$R,10,FALSE))</f>
        <v>5736.87288250362</v>
      </c>
      <c r="AB125" s="93">
        <f t="shared" si="62"/>
        <v>0.0986</v>
      </c>
      <c r="AC125" s="92">
        <f>R125*VLOOKUP($E125,武器奇术!$A:$R,2,FALSE)*(1+T125)*(1+U125)*V125</f>
        <v>4249.5354685212</v>
      </c>
      <c r="AD125" s="93">
        <f t="shared" si="63"/>
        <v>0.0144</v>
      </c>
      <c r="AE125" s="101">
        <f t="shared" si="64"/>
        <v>9650.64405458606</v>
      </c>
      <c r="AF125" s="102">
        <f>VLOOKUP($E125,武器奇术!$A:$R,3,FALSE)*(1+IF(VLOOKUP($E125,武器奇术!$A:$R,15,FALSE)="武器",$E$15,0))</f>
        <v>357.5</v>
      </c>
      <c r="AG125" s="92">
        <f t="shared" si="65"/>
        <v>357.5</v>
      </c>
      <c r="AH125" s="92">
        <f>VLOOKUP($E125,武器奇术!$A:$R,3,FALSE)*(1+IF(VLOOKUP($E125,武器奇术!$A:$R,15,FALSE)="武器",$E$15,0))</f>
        <v>357.5</v>
      </c>
      <c r="AI125" s="93">
        <f>IF(($D$5+VLOOKUP($E125,武器奇术!$A:$R,13,FALSE)+IF($I$3="√",10,0)-VLOOKUP($F$7,目标属性!$A:$R,5,FALSE))&gt;0,($D$5+VLOOKUP($E125,武器奇术!$A:$R,13,FALSE)+IF($I$3="√",10,0)-VLOOKUP($F$7,目标属性!$A:$R,5,FALSE))/200,($D$5+VLOOKUP($E125,武器奇术!$A:$R,13,FALSE)+IF($I$3="√",10,0)-VLOOKUP($F$7,目标属性!$A:$R,5,FALSE))/100)</f>
        <v>0.3925</v>
      </c>
      <c r="AJ125" s="120">
        <f>$E$5+IF(VLOOKUP($E125,武器奇术!$A:$R,18,FALSE)="鼠鼠",0.24,0)+IF(期望!$G$5="燕归",6/100,0)</f>
        <v>0.06</v>
      </c>
      <c r="AK125" s="91">
        <v>1</v>
      </c>
      <c r="AL125" s="92">
        <f t="shared" si="109"/>
        <v>527.687875</v>
      </c>
      <c r="AM125" s="93">
        <f>(1-IF(VLOOKUP($E125,武器奇术!$A:$R,16,FALSE)="陌刀",1,$N125))*(1-$M125)</f>
        <v>0</v>
      </c>
      <c r="AN125" s="92">
        <f>AG125*(1+AI125)*(1+AJ125)*AK125*(1+$E$16+VLOOKUP($E125,武器奇术!$A:$R,8,FALSE))</f>
        <v>1263.28477275</v>
      </c>
      <c r="AO125" s="93">
        <f t="shared" si="94"/>
        <v>0.887</v>
      </c>
      <c r="AP125" s="92">
        <f>AH125*(1+AI125)*(1+AJ125)*AK125*(1+$E$17+VLOOKUP($E125,武器奇术!$A:$R,10,FALSE))</f>
        <v>712.37863125</v>
      </c>
      <c r="AQ125" s="93">
        <f t="shared" si="95"/>
        <v>0.0986</v>
      </c>
      <c r="AR125" s="92">
        <f t="shared" si="67"/>
        <v>527.687875</v>
      </c>
      <c r="AS125" s="93">
        <f t="shared" si="68"/>
        <v>0.0144</v>
      </c>
      <c r="AT125" s="101">
        <f t="shared" si="69"/>
        <v>1198.3728318705</v>
      </c>
      <c r="AU125" s="99">
        <f>IF(VLOOKUP($E125,武器奇术!$A:$R,18,FALSE)="极乐",0,$B$7*IF($G$5="撼天",1.05,1)+IF(AND(VLOOKUP($E125,武器奇术!$A:$R,15,FALSE)="武器",VLOOKUP($E125,武器奇术!$A:$R,17,FALSE)="鸣金"),$E$3*(1+$E$15),0))</f>
        <v>0</v>
      </c>
      <c r="AV125" s="91">
        <f t="shared" si="70"/>
        <v>0</v>
      </c>
      <c r="AW125" s="91">
        <f>IF(VLOOKUP($E125,武器奇术!$A:$R,18,FALSE)="极乐",0,MAX($C$7*IF($G$5="撼天",1.05,1)+IF(AND(VLOOKUP($E125,武器奇术!$A:$R,15,FALSE)="武器",VLOOKUP($E125,武器奇术!$A:$R,17,FALSE)="鸣金"),$E$3*(1+$E$15),0),AU125))</f>
        <v>0</v>
      </c>
      <c r="AX125" s="93">
        <f>IF(($D$7+IF(VLOOKUP($E125,武器奇术!$A:$R,17,FALSE)="鸣金",$D$15,0)-VLOOKUP($F$7,目标属性!$A:$R,6,FALSE))&gt;0,($D$7+IF(VLOOKUP($E125,武器奇术!$A:$R,17,FALSE)="鸣金",$D$15,0)-VLOOKUP($F$7,目标属性!$A:$R,6,FALSE))/200,($D$7+IF(VLOOKUP($E125,武器奇术!$A:$R,17,FALSE)="鸣金",$D$15,0)-VLOOKUP($F$7,目标属性!$A:$R,6,FALSE))/100)</f>
        <v>-0.24</v>
      </c>
      <c r="AY125" s="100">
        <f t="shared" si="89"/>
        <v>0</v>
      </c>
      <c r="AZ125" s="91">
        <v>1</v>
      </c>
      <c r="BA125" s="92">
        <f>AU125*IF(VLOOKUP($E125,武器奇术!$A:$R,17,FALSE)="鸣金",VLOOKUP($E125,武器奇术!$A:$R,4,FALSE),VLOOKUP($E125,武器奇术!$A:$R,2,FALSE))*(1+AX125)*(1+AY125)*AZ125</f>
        <v>0</v>
      </c>
      <c r="BB125" s="93">
        <f>(1-IF(VLOOKUP($E125,武器奇术!$A:$R,16,FALSE)="陌刀",1,$N125))*(1-$M125)</f>
        <v>0</v>
      </c>
      <c r="BC125" s="92">
        <f>AV125*IF(VLOOKUP($E125,武器奇术!$A:$R,17,FALSE)="鸣金",VLOOKUP($E125,武器奇术!$A:$R,4,FALSE),VLOOKUP($E125,武器奇术!$A:$R,2,FALSE))*(1+AX125)*(1+AY125)*AZ125*(1+$E$16+VLOOKUP($E125,武器奇术!$A:$R,8,FALSE))</f>
        <v>0</v>
      </c>
      <c r="BD125" s="93">
        <f t="shared" si="96"/>
        <v>0.887</v>
      </c>
      <c r="BE125" s="92">
        <f>AW125*IF(VLOOKUP($E125,武器奇术!$A:$R,17,FALSE)="鸣金",VLOOKUP($E125,武器奇术!$A:$R,4,FALSE),VLOOKUP($E125,武器奇术!$A:$R,2,FALSE))*(1+AX125)*(1+AY125)*AZ125*(1+$E$17+VLOOKUP($E125,武器奇术!$A:$R,10,FALSE))</f>
        <v>0</v>
      </c>
      <c r="BF125" s="93">
        <f t="shared" si="97"/>
        <v>0.0986</v>
      </c>
      <c r="BG125" s="92">
        <f>AV125*IF(VLOOKUP($E125,武器奇术!$A:$R,17,FALSE)="鸣金",VLOOKUP($E125,武器奇术!$A:$R,4,FALSE),VLOOKUP($E125,武器奇术!$A:$R,2,FALSE))*(1+AX125)*(1+AY125)*AZ125</f>
        <v>0</v>
      </c>
      <c r="BH125" s="93">
        <f t="shared" si="71"/>
        <v>0.0144</v>
      </c>
      <c r="BI125" s="101">
        <f t="shared" si="72"/>
        <v>0</v>
      </c>
      <c r="BJ125" s="99">
        <f>IF(VLOOKUP($E125,武器奇术!$A:$R,18,FALSE)="极乐",0,$B$9*IF($G$5="撼天",1.05,1)+IF(AND(VLOOKUP($E125,武器奇术!$A:$R,15,FALSE)="武器",VLOOKUP($E125,武器奇术!$A:$R,17,FALSE)="裂石"),$E$3*(1+$E$15),0))</f>
        <v>0</v>
      </c>
      <c r="BK125" s="91">
        <f t="shared" si="73"/>
        <v>0</v>
      </c>
      <c r="BL125" s="91">
        <f>IF(VLOOKUP($E125,武器奇术!$A:$R,18,FALSE)="极乐",0,MAX($C$9*IF($G$5="撼天",1.05,1)+IF(AND(VLOOKUP($E125,武器奇术!$A:$R,15,FALSE)="武器",VLOOKUP($E125,武器奇术!$A:$R,17,FALSE)="裂石"),$E$3*(1+$E$15),0),BJ125))</f>
        <v>0</v>
      </c>
      <c r="BM125" s="93">
        <f>IF(($D$9+IF(VLOOKUP($E125,武器奇术!$A:$R,17,FALSE)="裂石",$D$15,0)-VLOOKUP($F$7,目标属性!$A:$R,6,FALSE))&gt;0,($D$9+IF(VLOOKUP($E125,武器奇术!$A:$R,17,FALSE)="裂石",$D$15,0)-VLOOKUP($F$7,目标属性!$A:$R,6,FALSE))/200,($D$9+IF(VLOOKUP($E125,武器奇术!$A:$R,17,FALSE)="裂石",$D$15,0)-VLOOKUP($F$7,目标属性!$A:$R,6,FALSE))/100)</f>
        <v>-0.24</v>
      </c>
      <c r="BN125" s="100">
        <f t="shared" si="90"/>
        <v>0</v>
      </c>
      <c r="BO125" s="91">
        <v>1</v>
      </c>
      <c r="BP125" s="92">
        <f>BJ125*IF(VLOOKUP($E125,武器奇术!$A:$R,17,FALSE)="裂石",VLOOKUP($E125,武器奇术!$A:$R,4,FALSE),VLOOKUP($E125,武器奇术!$A:$R,2,FALSE))*(1+BM125)*(1+BN125)*BO125</f>
        <v>0</v>
      </c>
      <c r="BQ125" s="93">
        <f>(1-IF(VLOOKUP($E125,武器奇术!$A:$R,16,FALSE)="陌刀",1,$N125))*(1-$M125)</f>
        <v>0</v>
      </c>
      <c r="BR125" s="92">
        <f>BK125*IF(VLOOKUP($E125,武器奇术!$A:$R,17,FALSE)="裂石",VLOOKUP($E125,武器奇术!$A:$R,4,FALSE),VLOOKUP($E125,武器奇术!$A:$R,2,FALSE))*(1+BM125)*(1+BN125)*BO125*(1+$E$16+VLOOKUP($E125,武器奇术!$A:$R,8,FALSE))</f>
        <v>0</v>
      </c>
      <c r="BS125" s="93">
        <f t="shared" si="98"/>
        <v>0.887</v>
      </c>
      <c r="BT125" s="92">
        <f>BL125*IF(VLOOKUP($E125,武器奇术!$A:$R,17,FALSE)="裂石",VLOOKUP($E125,武器奇术!$A:$R,4,FALSE),VLOOKUP($E125,武器奇术!$A:$R,2,FALSE))*(1+BM125)*(1+BN125)*BO125*(1+$E$17+VLOOKUP($E125,武器奇术!$A:$R,10,FALSE))</f>
        <v>0</v>
      </c>
      <c r="BU125" s="93">
        <f t="shared" si="99"/>
        <v>0.0986</v>
      </c>
      <c r="BV125" s="92">
        <f>BK125*IF(VLOOKUP($E125,武器奇术!$A:$R,17,FALSE)="裂石",VLOOKUP($E125,武器奇术!$A:$R,4,FALSE),VLOOKUP($E125,武器奇术!$A:$R,2,FALSE))*(1+BM125)*(1+BN125)*BO125</f>
        <v>0</v>
      </c>
      <c r="BW125" s="93">
        <f t="shared" si="74"/>
        <v>0.0144</v>
      </c>
      <c r="BX125" s="101">
        <f t="shared" si="75"/>
        <v>0</v>
      </c>
      <c r="BY125" s="99">
        <f>IF(VLOOKUP($E125,武器奇术!$A:$R,18,FALSE)="极乐",0,$B$11*IF($G$5="撼天",1.05,1)+IF(AND(VLOOKUP($E125,武器奇术!$A:$R,15,FALSE)="武器",VLOOKUP($E125,武器奇术!$A:$R,17,FALSE)="牵丝"),$E$3*(1+$E$15),0))</f>
        <v>0</v>
      </c>
      <c r="BZ125" s="91">
        <f t="shared" si="76"/>
        <v>0</v>
      </c>
      <c r="CA125" s="91">
        <f>IF(VLOOKUP($E125,武器奇术!$A:$R,18,FALSE)="极乐",0,MAX($C$11*IF($G$5="撼天",1.05,1)+IF(AND(VLOOKUP($E125,武器奇术!$A:$R,15,FALSE)="武器",VLOOKUP($E125,武器奇术!$A:$R,17,FALSE)="牵丝"),$E$3*(1+$E$15),0),BY125))</f>
        <v>0</v>
      </c>
      <c r="CB125" s="93">
        <f>IF(($D$11+IF(VLOOKUP($E125,武器奇术!$A:$R,17,FALSE)="牵丝",$D$15,0)-VLOOKUP($F$7,目标属性!$A:$R,6,FALSE))&gt;0,($D$11+IF(VLOOKUP($E125,武器奇术!$A:$R,17,FALSE)="牵丝",$D$15,0)-VLOOKUP($F$7,目标属性!$A:$R,6,FALSE))/200,($D$11+IF(VLOOKUP($E125,武器奇术!$A:$R,17,FALSE)="牵丝",$D$15,0)-VLOOKUP($F$7,目标属性!$A:$R,6,FALSE))/100)</f>
        <v>-0.24</v>
      </c>
      <c r="CC125" s="100">
        <f t="shared" si="91"/>
        <v>0</v>
      </c>
      <c r="CD125" s="91">
        <v>1</v>
      </c>
      <c r="CE125" s="92">
        <f>BY125*IF(VLOOKUP($E125,武器奇术!$A:$R,17,FALSE)="牵丝",VLOOKUP($E125,武器奇术!$A:$R,4,FALSE),VLOOKUP($E125,武器奇术!$A:$R,2,FALSE))*(1+CB125)*(1+CC125)*CD125</f>
        <v>0</v>
      </c>
      <c r="CF125" s="93">
        <f>(1-IF(VLOOKUP($E125,武器奇术!$A:$R,16,FALSE)="陌刀",1,$N125))*(1-$M125)</f>
        <v>0</v>
      </c>
      <c r="CG125" s="92">
        <f>BZ125*IF(VLOOKUP($E125,武器奇术!$A:$R,17,FALSE)="牵丝",VLOOKUP($E125,武器奇术!$A:$R,4,FALSE),VLOOKUP($E125,武器奇术!$A:$R,2,FALSE))*(1+CB125)*(1+CC125)*CD125*(1+$E$16+VLOOKUP($E125,武器奇术!$A:$R,8,FALSE))</f>
        <v>0</v>
      </c>
      <c r="CH125" s="93">
        <f t="shared" si="100"/>
        <v>0.887</v>
      </c>
      <c r="CI125" s="92">
        <f>CA125*IF(VLOOKUP($E125,武器奇术!$A:$R,17,FALSE)="牵丝",VLOOKUP($E125,武器奇术!$A:$R,4,FALSE),VLOOKUP($E125,武器奇术!$A:$R,2,FALSE))*(1+CB125)*(1+CC125)*CD125*(1+$E$17+VLOOKUP($E125,武器奇术!$A:$R,10,FALSE))</f>
        <v>0</v>
      </c>
      <c r="CJ125" s="93">
        <f t="shared" si="101"/>
        <v>0.0986</v>
      </c>
      <c r="CK125" s="92">
        <f>BZ125*IF(VLOOKUP($E125,武器奇术!$A:$R,17,FALSE)="牵丝",VLOOKUP($E125,武器奇术!$A:$R,4,FALSE),VLOOKUP($E125,武器奇术!$A:$R,2,FALSE))*(1+CB125)*(1+CC125)*CD125</f>
        <v>0</v>
      </c>
      <c r="CL125" s="93">
        <f t="shared" si="77"/>
        <v>0.0144</v>
      </c>
      <c r="CM125" s="101">
        <f t="shared" si="78"/>
        <v>0</v>
      </c>
      <c r="CN125" s="99">
        <f>IF(VLOOKUP($E125,武器奇术!$A:$R,18,FALSE)="极乐",0,$B$13*IF($G$5="撼天",1.05,1)+IF(AND(VLOOKUP($E125,武器奇术!$A:$R,15,FALSE)="武器",VLOOKUP($E125,武器奇术!$A:$R,17,FALSE)="破竹"),$E$3*(1+$E$15),0))</f>
        <v>686.71</v>
      </c>
      <c r="CO125" s="91">
        <f t="shared" si="79"/>
        <v>1052.21</v>
      </c>
      <c r="CP125" s="91">
        <f>IF(VLOOKUP($E125,武器奇术!$A:$R,18,FALSE)="极乐",0,MAX($C$13*IF($G$5="撼天",1.05,1)+IF(AND(VLOOKUP($E125,武器奇术!$A:$R,15,FALSE)="武器",VLOOKUP($E125,武器奇术!$A:$R,17,FALSE)="破竹"),$E$3*(1+$E$15),0),CN125))</f>
        <v>1417.71</v>
      </c>
      <c r="CQ125" s="93">
        <f>IF(($D$13+IF(VLOOKUP($E125,武器奇术!$A:$R,17,FALSE)="破竹",$D$15,0)-VLOOKUP($F$7,目标属性!$A:$R,6,FALSE)+IF(VLOOKUP($E125,武器奇术!$A:$V,22,FALSE)=1,4,0)+IF(VLOOKUP($E125,武器奇术!$A:$T,20,FALSE)=1,10,0))&gt;0,($D$13+IF(VLOOKUP($E125,武器奇术!$A:$R,17,FALSE)="破竹",$D$15,0)-VLOOKUP($F$7,目标属性!$A:$R,6,FALSE)+IF(VLOOKUP($E125,武器奇术!$A:$V,22,FALSE)=1,4,0)+IF(VLOOKUP($E125,武器奇术!$A:$T,20,FALSE)=1,10,0))/200,($D$13+IF(VLOOKUP($E125,武器奇术!$A:$R,17,FALSE)="破竹",$D$15,0)-VLOOKUP($F$7,目标属性!$A:$R,6,FALSE)+IF(VLOOKUP($E125,武器奇术!$A:$V,22,FALSE)=1,4,0)+IF(VLOOKUP($E125,武器奇术!$A:$T,20,FALSE)=1,10,0))/100)</f>
        <v>0.078</v>
      </c>
      <c r="CR125" s="120">
        <f>$E$13+IF(期望!$G$5="燕归",6%,0)</f>
        <v>0.208</v>
      </c>
      <c r="CS125" s="91">
        <v>1</v>
      </c>
      <c r="CT125" s="92">
        <f>CN125*IF(VLOOKUP($E125,武器奇术!$A:$R,17,FALSE)="破竹",VLOOKUP($E125,武器奇术!$A:$R,4,FALSE),VLOOKUP($E125,武器奇术!$A:$R,2,FALSE))*(1+CQ125)*(1+CR125)*CS125</f>
        <v>1329.73222639562</v>
      </c>
      <c r="CU125" s="93">
        <f>(1-IF(VLOOKUP($E125,武器奇术!$A:$R,16,FALSE)="陌刀",1,$N125))*(1-$M125)</f>
        <v>0</v>
      </c>
      <c r="CV125" s="92">
        <f>CO125*IF(VLOOKUP($E125,武器奇术!$A:$R,17,FALSE)="破竹",VLOOKUP($E125,武器奇术!$A:$R,4,FALSE),VLOOKUP($E125,武器奇术!$A:$R,2,FALSE))*(1+CQ125)*(1+CR125)*CS125*(1+$E$16+VLOOKUP($E125,武器奇术!$A:$R,8,FALSE))</f>
        <v>4877.72591773842</v>
      </c>
      <c r="CW125" s="93">
        <f t="shared" si="102"/>
        <v>0.887</v>
      </c>
      <c r="CX125" s="92">
        <f>CP125*IF(VLOOKUP($E125,武器奇术!$A:$R,17,FALSE)="破竹",VLOOKUP($E125,武器奇术!$A:$R,4,FALSE),VLOOKUP($E125,武器奇术!$A:$R,2,FALSE))*(1+CQ125)*(1+CR125)*CS125*(1+$E$17+VLOOKUP($E125,武器奇术!$A:$R,10,FALSE))</f>
        <v>3706.0561384318</v>
      </c>
      <c r="CY125" s="93">
        <f t="shared" si="103"/>
        <v>0.0986</v>
      </c>
      <c r="CZ125" s="92">
        <f>CO125*IF(VLOOKUP($E125,武器奇术!$A:$R,17,FALSE)="破竹",VLOOKUP($E125,武器奇术!$A:$R,4,FALSE),VLOOKUP($E125,武器奇术!$A:$R,2,FALSE))*(1+CQ125)*(1+CR125)*CS125</f>
        <v>2037.47949780218</v>
      </c>
      <c r="DA125" s="93">
        <f t="shared" si="80"/>
        <v>0.0144</v>
      </c>
      <c r="DB125" s="101">
        <f t="shared" si="81"/>
        <v>4721.2997290517</v>
      </c>
      <c r="DC125" s="99">
        <f>IF(VLOOKUP($E125,武器奇术!$A:$R,18,FALSE)="极乐",0,$B$15)</f>
        <v>66</v>
      </c>
      <c r="DD125" s="91">
        <f t="shared" si="111"/>
        <v>95.9</v>
      </c>
      <c r="DE125" s="91">
        <f>IF(VLOOKUP($E125,武器奇术!$A:$R,18,FALSE)="极乐",0,$C$15)</f>
        <v>125.8</v>
      </c>
      <c r="DF125" s="93">
        <f>IF((IF(VLOOKUP($E125,武器奇术!$A:$R,17,FALSE)="鸣金",$D$7,0)+IF(VLOOKUP($E125,武器奇术!$A:$R,17,FALSE)="裂石",$D$9,0)+IF(VLOOKUP($E125,武器奇术!$A:$R,17,FALSE)="牵丝",$D$11,0)+IF(VLOOKUP($E125,武器奇术!$A:$R,17,FALSE)="破竹",$D$13,0)+$D$15-VLOOKUP($F$7,目标属性!$A:$R,6,FALSE)+IF(VLOOKUP($E125,武器奇术!$A:$V,22,FALSE)=1,4,0)+IF(VLOOKUP($E125,武器奇术!$A:$T,20,FALSE)=1,10,0))&gt;0,(IF(VLOOKUP($E125,武器奇术!$A:$R,17,FALSE)="鸣金",$D$7,0)+IF(VLOOKUP($E125,武器奇术!$A:$R,17,FALSE)="裂石",$D$9,0)+IF(VLOOKUP($E125,武器奇术!$A:$R,17,FALSE)="牵丝",$D$11,0)+IF(VLOOKUP($E125,武器奇术!$A:$R,17,FALSE)="破竹",$D$13,0)+$D$15-VLOOKUP($F$7,目标属性!$A:$R,6,FALSE)+IF(VLOOKUP($E125,武器奇术!$A:$V,22,FALSE)=1,4,0)+IF(VLOOKUP($E125,武器奇术!$A:$T,20,FALSE)=1,10,0))/200,(IF(VLOOKUP($E125,武器奇术!$A:$R,17,FALSE)="鸣金",$D$7,0)+IF(VLOOKUP($E125,武器奇术!$A:$R,17,FALSE)="裂石",$D$9,0)+IF(VLOOKUP($E125,武器奇术!$A:$R,17,FALSE)="牵丝",$D$11,0)+IF(VLOOKUP($E125,武器奇术!$A:$R,17,FALSE)="破竹",$D$13,0)+$D$15-VLOOKUP($F$7,目标属性!$A:$R,6,FALSE)+IF(VLOOKUP($E125,武器奇术!$A:$V,22,FALSE)=1,4,0)+IF(VLOOKUP($E125,武器奇术!$A:$T,20,FALSE)=1,10,0))/100)</f>
        <v>0.078</v>
      </c>
      <c r="DG125" s="120">
        <f>$E$13+IF(期望!$G$5="燕归",6%,0)</f>
        <v>0.208</v>
      </c>
      <c r="DH125" s="91">
        <v>1</v>
      </c>
      <c r="DI125" s="92">
        <f>DC125*IF(VLOOKUP($E125,武器奇术!$A:$R,17,FALSE)="破竹",VLOOKUP($E125,武器奇术!$A:$R,4,FALSE),VLOOKUP($E125,武器奇术!$A:$R,2,FALSE))*(1+DF125)*(1+DG125)*DH125</f>
        <v>127.80114887232</v>
      </c>
      <c r="DJ125" s="93">
        <f>(1-IF(VLOOKUP($E125,武器奇术!$A:$R,16,FALSE)="陌刀",1,$N125))*(1-$M125)</f>
        <v>0</v>
      </c>
      <c r="DK125" s="92">
        <f>DD125*IF(VLOOKUP($E125,武器奇术!$A:$R,17,FALSE)="破竹",VLOOKUP($E125,武器奇术!$A:$R,4,FALSE),VLOOKUP($E125,武器奇术!$A:$R,2,FALSE))*(1+DF125)*(1+DG125)*DH125*(1+$E$16+VLOOKUP($E125,武器奇术!$A:$R,8,FALSE))</f>
        <v>444.563267324122</v>
      </c>
      <c r="DL125" s="93">
        <f t="shared" si="104"/>
        <v>0.887</v>
      </c>
      <c r="DM125" s="92">
        <f>DE125*IF(VLOOKUP($E125,武器奇术!$A:$R,17,FALSE)="破竹",VLOOKUP($E125,武器奇术!$A:$R,4,FALSE),VLOOKUP($E125,武器奇术!$A:$R,2,FALSE))*(1+DF125)*(1+DG125)*DH125*(1+$E$17+VLOOKUP($E125,武器奇术!$A:$R,10,FALSE))</f>
        <v>328.855592621002</v>
      </c>
      <c r="DN125" s="93">
        <f t="shared" si="105"/>
        <v>0.0986</v>
      </c>
      <c r="DO125" s="92">
        <f>DD125*IF(VLOOKUP($E125,武器奇术!$A:$R,17,FALSE)="破竹",VLOOKUP($E125,武器奇术!$A:$R,4,FALSE),VLOOKUP($E125,武器奇术!$A:$R,2,FALSE))*(1+DF125)*(1+DG125)*DH125</f>
        <v>185.698942073568</v>
      </c>
      <c r="DP125" s="93">
        <f t="shared" si="106"/>
        <v>0.0144</v>
      </c>
      <c r="DQ125" s="101">
        <f t="shared" si="107"/>
        <v>429.426844314786</v>
      </c>
    </row>
    <row r="126" spans="1:121">
      <c r="A126" s="33"/>
      <c r="B126" s="130" t="s">
        <v>158</v>
      </c>
      <c r="C126">
        <v>0.6</v>
      </c>
      <c r="D126" s="33"/>
      <c r="E126" s="105" t="s">
        <v>211</v>
      </c>
      <c r="F126" s="106">
        <v>2</v>
      </c>
      <c r="G126" s="107">
        <f t="shared" si="115"/>
        <v>0</v>
      </c>
      <c r="H126" s="131">
        <f>IF(VLOOKUP($E126,武器奇术!$A:$R,18,FALSE)="天工",AE126,(AE126+AT126+BI126+BX126+CM126+DB126+DQ126))*(1+J126)*F126*K126*(1+G126)*(1+$G$21*5%)</f>
        <v>130277.540129797</v>
      </c>
      <c r="I126" s="93">
        <f t="shared" si="58"/>
        <v>0.0167123570259475</v>
      </c>
      <c r="J126" s="93">
        <f>$F$3+VLOOKUP($E126,武器奇术!$A:$R,12,FALSE)+VLOOKUP($E126,武器奇术!$A:$R,14,FALSE)*$G$3+$P126</f>
        <v>0.813</v>
      </c>
      <c r="K126" s="94">
        <f>VLOOKUP($E126,武器奇术!$A:$R,11,FALSE)</f>
        <v>1</v>
      </c>
      <c r="L126" s="109">
        <f>IF(VLOOKUP($E126,武器奇术!$A:$R,15,FALSE)="天工",0%,IF($C$17+VLOOKUP($E126,武器奇术!$A:$R,7,FALSE)&gt;80%,80%,$C$17+VLOOKUP($E126,武器奇术!$A:$R,7,FALSE))+IF($C$19&gt;20%,20%,$C$19))</f>
        <v>0.887</v>
      </c>
      <c r="M126" s="110">
        <f>IF(VLOOKUP($E126,武器奇术!$A:$R,15,FALSE)="天工",0%,IF($C$18+VLOOKUP($E126,武器奇术!$A:$R,9,FALSE)&gt;40%,40%,$C$18+VLOOKUP($E126,武器奇术!$A:$R,9,FALSE))+IF($C$20&gt;10%,10%,$C$20))</f>
        <v>0.0986</v>
      </c>
      <c r="N126" s="111">
        <f>IF(VLOOKUP($E126,武器奇术!$A:$R,15,FALSE)="天工",100%,MIN($C$16,1))</f>
        <v>1</v>
      </c>
      <c r="O126" s="112" t="str">
        <f>VLOOKUP($E126,武器奇术!$A:$R,16,FALSE)</f>
        <v>双刀</v>
      </c>
      <c r="P126" s="113">
        <f t="shared" si="108"/>
        <v>0.17</v>
      </c>
      <c r="Q126" s="99">
        <f>$B$5*(1+VLOOKUP($E126,武器奇术!$A:$R,5,FALSE)+IF($G$5="飞隼",0.1,0)+IF($G$5="撼天",0.05,0))-$F$9*IF(VLOOKUP($E126,武器奇术!$A:$S,19,FALSE)=1,0.9,1)+IF($I$5="√",160,0)</f>
        <v>2904.2</v>
      </c>
      <c r="R126" s="91">
        <f t="shared" si="60"/>
        <v>2904.2</v>
      </c>
      <c r="S126" s="91">
        <f>MAX($C$5,$B$5)*(1+VLOOKUP($E126,武器奇术!$A:$R,5,FALSE)+IF($G$5="飞隼",0.1,0)+IF($G$5="撼天",0.05,0))-$F$9*IF(VLOOKUP($E126,武器奇术!$A:$S,19,FALSE)=1,0.9,1)+IF($I$5="√",320,0)</f>
        <v>2904.2</v>
      </c>
      <c r="T126" s="93">
        <f>IF(($D$5+VLOOKUP($E126,武器奇术!$A:$R,13,FALSE)+IF($I$3="√",10,0)-VLOOKUP($F$7,目标属性!$A:$R,5,FALSE))&gt;0,($D$5+VLOOKUP($E126,武器奇术!$A:$R,13,FALSE)+IF($I$3="√",10,0)-VLOOKUP($F$7,目标属性!$A:$R,5,FALSE))/200,($D$5+VLOOKUP($E126,武器奇术!$A:$R,13,FALSE)+IF($I$3="√",10,0)-VLOOKUP($F$7,目标属性!$A:$R,5,FALSE))/100)</f>
        <v>0.3925</v>
      </c>
      <c r="U126" s="120">
        <f>$E$5+IF(VLOOKUP($E126,武器奇术!$A:$R,18,FALSE)="鼠鼠",0.24,0)+IF(期望!$G$5="燕归",6/100,0)</f>
        <v>0.06</v>
      </c>
      <c r="V126" s="91">
        <v>1</v>
      </c>
      <c r="W126" s="92">
        <f>Q126*VLOOKUP($E126,武器奇术!$A:$R,2,FALSE)*(1+T126)*(1+U126)*V126</f>
        <v>6816.1379491205</v>
      </c>
      <c r="X126" s="93">
        <f>(1-IF(VLOOKUP($E126,武器奇术!$A:$R,16,FALSE)="陌刀",1,$N126))*(1-$M126)</f>
        <v>0</v>
      </c>
      <c r="Y126" s="92">
        <f>R126*VLOOKUP($E126,武器奇术!$A:$R,2,FALSE)*(1+T126)*(1+U126)*V126*(1+$E$16+VLOOKUP($E126,武器奇术!$A:$R,8,FALSE))</f>
        <v>16317.8342501945</v>
      </c>
      <c r="Z126" s="93">
        <f t="shared" si="61"/>
        <v>0.887</v>
      </c>
      <c r="AA126" s="92">
        <f>S126*VLOOKUP($E126,武器奇术!$A:$R,2,FALSE)*(1+T126)*(1+U126)*V126*(1+$E$17+VLOOKUP($E126,武器奇术!$A:$R,10,FALSE))</f>
        <v>9201.78623131268</v>
      </c>
      <c r="AB126" s="93">
        <f t="shared" si="62"/>
        <v>0.0986</v>
      </c>
      <c r="AC126" s="92">
        <f>R126*VLOOKUP($E126,武器奇术!$A:$R,2,FALSE)*(1+T126)*(1+U126)*V126</f>
        <v>6816.1379491205</v>
      </c>
      <c r="AD126" s="93">
        <f t="shared" si="63"/>
        <v>0.0144</v>
      </c>
      <c r="AE126" s="101">
        <f t="shared" si="64"/>
        <v>15479.3674887973</v>
      </c>
      <c r="AF126" s="102">
        <f>VLOOKUP($E126,武器奇术!$A:$R,3,FALSE)*(1+IF(VLOOKUP($E126,武器奇术!$A:$R,15,FALSE)="武器",$E$15,0))</f>
        <v>573.43</v>
      </c>
      <c r="AG126" s="92">
        <f t="shared" si="65"/>
        <v>573.43</v>
      </c>
      <c r="AH126" s="92">
        <f>VLOOKUP($E126,武器奇术!$A:$R,3,FALSE)*(1+IF(VLOOKUP($E126,武器奇术!$A:$R,15,FALSE)="武器",$E$15,0))</f>
        <v>573.43</v>
      </c>
      <c r="AI126" s="93">
        <f>IF(($D$5+VLOOKUP($E126,武器奇术!$A:$R,13,FALSE)+IF($I$3="√",10,0)-VLOOKUP($F$7,目标属性!$A:$R,5,FALSE))&gt;0,($D$5+VLOOKUP($E126,武器奇术!$A:$R,13,FALSE)+IF($I$3="√",10,0)-VLOOKUP($F$7,目标属性!$A:$R,5,FALSE))/200,($D$5+VLOOKUP($E126,武器奇术!$A:$R,13,FALSE)+IF($I$3="√",10,0)-VLOOKUP($F$7,目标属性!$A:$R,5,FALSE))/100)</f>
        <v>0.3925</v>
      </c>
      <c r="AJ126" s="120">
        <f>$E$5+IF(VLOOKUP($E126,武器奇术!$A:$R,18,FALSE)="鼠鼠",0.24,0)+IF(期望!$G$5="燕归",6/100,0)</f>
        <v>0.06</v>
      </c>
      <c r="AK126" s="91">
        <v>1</v>
      </c>
      <c r="AL126" s="92">
        <f t="shared" si="109"/>
        <v>846.4113515</v>
      </c>
      <c r="AM126" s="93">
        <f>(1-IF(VLOOKUP($E126,武器奇术!$A:$R,16,FALSE)="陌刀",1,$N126))*(1-$M126)</f>
        <v>0</v>
      </c>
      <c r="AN126" s="92">
        <f>AG126*(1+AI126)*(1+AJ126)*AK126*(1+$E$16+VLOOKUP($E126,武器奇术!$A:$R,8,FALSE))</f>
        <v>2026.308775491</v>
      </c>
      <c r="AO126" s="93">
        <f t="shared" si="94"/>
        <v>0.887</v>
      </c>
      <c r="AP126" s="92">
        <f>AH126*(1+AI126)*(1+AJ126)*AK126*(1+$E$17+VLOOKUP($E126,武器奇术!$A:$R,10,FALSE))</f>
        <v>1142.655324525</v>
      </c>
      <c r="AQ126" s="93">
        <f t="shared" si="95"/>
        <v>0.0986</v>
      </c>
      <c r="AR126" s="92">
        <f t="shared" si="67"/>
        <v>846.4113515</v>
      </c>
      <c r="AS126" s="93">
        <f t="shared" si="68"/>
        <v>0.0144</v>
      </c>
      <c r="AT126" s="101">
        <f t="shared" si="69"/>
        <v>1922.19002232028</v>
      </c>
      <c r="AU126" s="99">
        <f>IF(VLOOKUP($E126,武器奇术!$A:$R,18,FALSE)="极乐",0,$B$7*IF($G$5="撼天",1.05,1)+IF(AND(VLOOKUP($E126,武器奇术!$A:$R,15,FALSE)="武器",VLOOKUP($E126,武器奇术!$A:$R,17,FALSE)="鸣金"),$E$3*(1+$E$15),0))</f>
        <v>0</v>
      </c>
      <c r="AV126" s="91">
        <f t="shared" si="70"/>
        <v>0</v>
      </c>
      <c r="AW126" s="91">
        <f>IF(VLOOKUP($E126,武器奇术!$A:$R,18,FALSE)="极乐",0,MAX($C$7*IF($G$5="撼天",1.05,1)+IF(AND(VLOOKUP($E126,武器奇术!$A:$R,15,FALSE)="武器",VLOOKUP($E126,武器奇术!$A:$R,17,FALSE)="鸣金"),$E$3*(1+$E$15),0),AU126))</f>
        <v>0</v>
      </c>
      <c r="AX126" s="93">
        <f>IF(($D$7+IF(VLOOKUP($E126,武器奇术!$A:$R,17,FALSE)="鸣金",$D$15,0)-VLOOKUP($F$7,目标属性!$A:$R,6,FALSE))&gt;0,($D$7+IF(VLOOKUP($E126,武器奇术!$A:$R,17,FALSE)="鸣金",$D$15,0)-VLOOKUP($F$7,目标属性!$A:$R,6,FALSE))/200,($D$7+IF(VLOOKUP($E126,武器奇术!$A:$R,17,FALSE)="鸣金",$D$15,0)-VLOOKUP($F$7,目标属性!$A:$R,6,FALSE))/100)</f>
        <v>-0.24</v>
      </c>
      <c r="AY126" s="100">
        <f t="shared" si="89"/>
        <v>0</v>
      </c>
      <c r="AZ126" s="91">
        <v>1</v>
      </c>
      <c r="BA126" s="92">
        <f>AU126*IF(VLOOKUP($E126,武器奇术!$A:$R,17,FALSE)="鸣金",VLOOKUP($E126,武器奇术!$A:$R,4,FALSE),VLOOKUP($E126,武器奇术!$A:$R,2,FALSE))*(1+AX126)*(1+AY126)*AZ126</f>
        <v>0</v>
      </c>
      <c r="BB126" s="93">
        <f>(1-IF(VLOOKUP($E126,武器奇术!$A:$R,16,FALSE)="陌刀",1,$N126))*(1-$M126)</f>
        <v>0</v>
      </c>
      <c r="BC126" s="92">
        <f>AV126*IF(VLOOKUP($E126,武器奇术!$A:$R,17,FALSE)="鸣金",VLOOKUP($E126,武器奇术!$A:$R,4,FALSE),VLOOKUP($E126,武器奇术!$A:$R,2,FALSE))*(1+AX126)*(1+AY126)*AZ126*(1+$E$16+VLOOKUP($E126,武器奇术!$A:$R,8,FALSE))</f>
        <v>0</v>
      </c>
      <c r="BD126" s="93">
        <f t="shared" si="96"/>
        <v>0.887</v>
      </c>
      <c r="BE126" s="92">
        <f>AW126*IF(VLOOKUP($E126,武器奇术!$A:$R,17,FALSE)="鸣金",VLOOKUP($E126,武器奇术!$A:$R,4,FALSE),VLOOKUP($E126,武器奇术!$A:$R,2,FALSE))*(1+AX126)*(1+AY126)*AZ126*(1+$E$17+VLOOKUP($E126,武器奇术!$A:$R,10,FALSE))</f>
        <v>0</v>
      </c>
      <c r="BF126" s="93">
        <f t="shared" si="97"/>
        <v>0.0986</v>
      </c>
      <c r="BG126" s="92">
        <f>AV126*IF(VLOOKUP($E126,武器奇术!$A:$R,17,FALSE)="鸣金",VLOOKUP($E126,武器奇术!$A:$R,4,FALSE),VLOOKUP($E126,武器奇术!$A:$R,2,FALSE))*(1+AX126)*(1+AY126)*AZ126</f>
        <v>0</v>
      </c>
      <c r="BH126" s="93">
        <f t="shared" si="71"/>
        <v>0.0144</v>
      </c>
      <c r="BI126" s="101">
        <f t="shared" si="72"/>
        <v>0</v>
      </c>
      <c r="BJ126" s="99">
        <f>IF(VLOOKUP($E126,武器奇术!$A:$R,18,FALSE)="极乐",0,$B$9*IF($G$5="撼天",1.05,1)+IF(AND(VLOOKUP($E126,武器奇术!$A:$R,15,FALSE)="武器",VLOOKUP($E126,武器奇术!$A:$R,17,FALSE)="裂石"),$E$3*(1+$E$15),0))</f>
        <v>0</v>
      </c>
      <c r="BK126" s="91">
        <f t="shared" si="73"/>
        <v>0</v>
      </c>
      <c r="BL126" s="91">
        <f>IF(VLOOKUP($E126,武器奇术!$A:$R,18,FALSE)="极乐",0,MAX($C$9*IF($G$5="撼天",1.05,1)+IF(AND(VLOOKUP($E126,武器奇术!$A:$R,15,FALSE)="武器",VLOOKUP($E126,武器奇术!$A:$R,17,FALSE)="裂石"),$E$3*(1+$E$15),0),BJ126))</f>
        <v>0</v>
      </c>
      <c r="BM126" s="93">
        <f>IF(($D$9+IF(VLOOKUP($E126,武器奇术!$A:$R,17,FALSE)="裂石",$D$15,0)-VLOOKUP($F$7,目标属性!$A:$R,6,FALSE))&gt;0,($D$9+IF(VLOOKUP($E126,武器奇术!$A:$R,17,FALSE)="裂石",$D$15,0)-VLOOKUP($F$7,目标属性!$A:$R,6,FALSE))/200,($D$9+IF(VLOOKUP($E126,武器奇术!$A:$R,17,FALSE)="裂石",$D$15,0)-VLOOKUP($F$7,目标属性!$A:$R,6,FALSE))/100)</f>
        <v>-0.24</v>
      </c>
      <c r="BN126" s="100">
        <f t="shared" si="90"/>
        <v>0</v>
      </c>
      <c r="BO126" s="91">
        <v>1</v>
      </c>
      <c r="BP126" s="92">
        <f>BJ126*IF(VLOOKUP($E126,武器奇术!$A:$R,17,FALSE)="裂石",VLOOKUP($E126,武器奇术!$A:$R,4,FALSE),VLOOKUP($E126,武器奇术!$A:$R,2,FALSE))*(1+BM126)*(1+BN126)*BO126</f>
        <v>0</v>
      </c>
      <c r="BQ126" s="93">
        <f>(1-IF(VLOOKUP($E126,武器奇术!$A:$R,16,FALSE)="陌刀",1,$N126))*(1-$M126)</f>
        <v>0</v>
      </c>
      <c r="BR126" s="92">
        <f>BK126*IF(VLOOKUP($E126,武器奇术!$A:$R,17,FALSE)="裂石",VLOOKUP($E126,武器奇术!$A:$R,4,FALSE),VLOOKUP($E126,武器奇术!$A:$R,2,FALSE))*(1+BM126)*(1+BN126)*BO126*(1+$E$16+VLOOKUP($E126,武器奇术!$A:$R,8,FALSE))</f>
        <v>0</v>
      </c>
      <c r="BS126" s="93">
        <f t="shared" si="98"/>
        <v>0.887</v>
      </c>
      <c r="BT126" s="92">
        <f>BL126*IF(VLOOKUP($E126,武器奇术!$A:$R,17,FALSE)="裂石",VLOOKUP($E126,武器奇术!$A:$R,4,FALSE),VLOOKUP($E126,武器奇术!$A:$R,2,FALSE))*(1+BM126)*(1+BN126)*BO126*(1+$E$17+VLOOKUP($E126,武器奇术!$A:$R,10,FALSE))</f>
        <v>0</v>
      </c>
      <c r="BU126" s="93">
        <f t="shared" si="99"/>
        <v>0.0986</v>
      </c>
      <c r="BV126" s="92">
        <f>BK126*IF(VLOOKUP($E126,武器奇术!$A:$R,17,FALSE)="裂石",VLOOKUP($E126,武器奇术!$A:$R,4,FALSE),VLOOKUP($E126,武器奇术!$A:$R,2,FALSE))*(1+BM126)*(1+BN126)*BO126</f>
        <v>0</v>
      </c>
      <c r="BW126" s="93">
        <f t="shared" si="74"/>
        <v>0.0144</v>
      </c>
      <c r="BX126" s="101">
        <f t="shared" si="75"/>
        <v>0</v>
      </c>
      <c r="BY126" s="99">
        <f>IF(VLOOKUP($E126,武器奇术!$A:$R,18,FALSE)="极乐",0,$B$11*IF($G$5="撼天",1.05,1)+IF(AND(VLOOKUP($E126,武器奇术!$A:$R,15,FALSE)="武器",VLOOKUP($E126,武器奇术!$A:$R,17,FALSE)="牵丝"),$E$3*(1+$E$15),0))</f>
        <v>0</v>
      </c>
      <c r="BZ126" s="91">
        <f t="shared" si="76"/>
        <v>0</v>
      </c>
      <c r="CA126" s="91">
        <f>IF(VLOOKUP($E126,武器奇术!$A:$R,18,FALSE)="极乐",0,MAX($C$11*IF($G$5="撼天",1.05,1)+IF(AND(VLOOKUP($E126,武器奇术!$A:$R,15,FALSE)="武器",VLOOKUP($E126,武器奇术!$A:$R,17,FALSE)="牵丝"),$E$3*(1+$E$15),0),BY126))</f>
        <v>0</v>
      </c>
      <c r="CB126" s="93">
        <f>IF(($D$11+IF(VLOOKUP($E126,武器奇术!$A:$R,17,FALSE)="牵丝",$D$15,0)-VLOOKUP($F$7,目标属性!$A:$R,6,FALSE))&gt;0,($D$11+IF(VLOOKUP($E126,武器奇术!$A:$R,17,FALSE)="牵丝",$D$15,0)-VLOOKUP($F$7,目标属性!$A:$R,6,FALSE))/200,($D$11+IF(VLOOKUP($E126,武器奇术!$A:$R,17,FALSE)="牵丝",$D$15,0)-VLOOKUP($F$7,目标属性!$A:$R,6,FALSE))/100)</f>
        <v>-0.24</v>
      </c>
      <c r="CC126" s="100">
        <f t="shared" si="91"/>
        <v>0</v>
      </c>
      <c r="CD126" s="91">
        <v>1</v>
      </c>
      <c r="CE126" s="92">
        <f>BY126*IF(VLOOKUP($E126,武器奇术!$A:$R,17,FALSE)="牵丝",VLOOKUP($E126,武器奇术!$A:$R,4,FALSE),VLOOKUP($E126,武器奇术!$A:$R,2,FALSE))*(1+CB126)*(1+CC126)*CD126</f>
        <v>0</v>
      </c>
      <c r="CF126" s="93">
        <f>(1-IF(VLOOKUP($E126,武器奇术!$A:$R,16,FALSE)="陌刀",1,$N126))*(1-$M126)</f>
        <v>0</v>
      </c>
      <c r="CG126" s="92">
        <f>BZ126*IF(VLOOKUP($E126,武器奇术!$A:$R,17,FALSE)="牵丝",VLOOKUP($E126,武器奇术!$A:$R,4,FALSE),VLOOKUP($E126,武器奇术!$A:$R,2,FALSE))*(1+CB126)*(1+CC126)*CD126*(1+$E$16+VLOOKUP($E126,武器奇术!$A:$R,8,FALSE))</f>
        <v>0</v>
      </c>
      <c r="CH126" s="93">
        <f t="shared" si="100"/>
        <v>0.887</v>
      </c>
      <c r="CI126" s="92">
        <f>CA126*IF(VLOOKUP($E126,武器奇术!$A:$R,17,FALSE)="牵丝",VLOOKUP($E126,武器奇术!$A:$R,4,FALSE),VLOOKUP($E126,武器奇术!$A:$R,2,FALSE))*(1+CB126)*(1+CC126)*CD126*(1+$E$17+VLOOKUP($E126,武器奇术!$A:$R,10,FALSE))</f>
        <v>0</v>
      </c>
      <c r="CJ126" s="93">
        <f t="shared" si="101"/>
        <v>0.0986</v>
      </c>
      <c r="CK126" s="92">
        <f>BZ126*IF(VLOOKUP($E126,武器奇术!$A:$R,17,FALSE)="牵丝",VLOOKUP($E126,武器奇术!$A:$R,4,FALSE),VLOOKUP($E126,武器奇术!$A:$R,2,FALSE))*(1+CB126)*(1+CC126)*CD126</f>
        <v>0</v>
      </c>
      <c r="CL126" s="93">
        <f t="shared" si="77"/>
        <v>0.0144</v>
      </c>
      <c r="CM126" s="101">
        <f t="shared" si="78"/>
        <v>0</v>
      </c>
      <c r="CN126" s="99">
        <f>IF(VLOOKUP($E126,武器奇术!$A:$R,18,FALSE)="极乐",0,$B$13*IF($G$5="撼天",1.05,1)+IF(AND(VLOOKUP($E126,武器奇术!$A:$R,15,FALSE)="武器",VLOOKUP($E126,武器奇术!$A:$R,17,FALSE)="破竹"),$E$3*(1+$E$15),0))</f>
        <v>686.71</v>
      </c>
      <c r="CO126" s="91">
        <f t="shared" si="79"/>
        <v>1052.21</v>
      </c>
      <c r="CP126" s="91">
        <f>IF(VLOOKUP($E126,武器奇术!$A:$R,18,FALSE)="极乐",0,MAX($C$13*IF($G$5="撼天",1.05,1)+IF(AND(VLOOKUP($E126,武器奇术!$A:$R,15,FALSE)="武器",VLOOKUP($E126,武器奇术!$A:$R,17,FALSE)="破竹"),$E$3*(1+$E$15),0),CN126))</f>
        <v>1417.71</v>
      </c>
      <c r="CQ126" s="93">
        <f>IF(($D$13+IF(VLOOKUP($E126,武器奇术!$A:$R,17,FALSE)="破竹",$D$15,0)-VLOOKUP($F$7,目标属性!$A:$R,6,FALSE)+IF(VLOOKUP($E126,武器奇术!$A:$V,22,FALSE)=1,4,0)+IF(VLOOKUP($E126,武器奇术!$A:$T,20,FALSE)=1,10,0))&gt;0,($D$13+IF(VLOOKUP($E126,武器奇术!$A:$R,17,FALSE)="破竹",$D$15,0)-VLOOKUP($F$7,目标属性!$A:$R,6,FALSE)+IF(VLOOKUP($E126,武器奇术!$A:$V,22,FALSE)=1,4,0)+IF(VLOOKUP($E126,武器奇术!$A:$T,20,FALSE)=1,10,0))/200,($D$13+IF(VLOOKUP($E126,武器奇术!$A:$R,17,FALSE)="破竹",$D$15,0)-VLOOKUP($F$7,目标属性!$A:$R,6,FALSE)+IF(VLOOKUP($E126,武器奇术!$A:$V,22,FALSE)=1,4,0)+IF(VLOOKUP($E126,武器奇术!$A:$T,20,FALSE)=1,10,0))/100)</f>
        <v>0.078</v>
      </c>
      <c r="CR126" s="120">
        <f>$E$13+IF(期望!$G$5="燕归",6%,0)</f>
        <v>0.208</v>
      </c>
      <c r="CS126" s="91">
        <v>1</v>
      </c>
      <c r="CT126" s="92">
        <f>CN126*IF(VLOOKUP($E126,武器奇术!$A:$R,17,FALSE)="破竹",VLOOKUP($E126,武器奇术!$A:$R,4,FALSE),VLOOKUP($E126,武器奇术!$A:$R,2,FALSE))*(1+CQ126)*(1+CR126)*CS126</f>
        <v>2132.903082182</v>
      </c>
      <c r="CU126" s="93">
        <f>(1-IF(VLOOKUP($E126,武器奇术!$A:$R,16,FALSE)="陌刀",1,$N126))*(1-$M126)</f>
        <v>0</v>
      </c>
      <c r="CV126" s="92">
        <f>CO126*IF(VLOOKUP($E126,武器奇术!$A:$R,17,FALSE)="破竹",VLOOKUP($E126,武器奇术!$A:$R,4,FALSE),VLOOKUP($E126,武器奇术!$A:$R,2,FALSE))*(1+CQ126)*(1+CR126)*CS126*(1+$E$16+VLOOKUP($E126,武器奇术!$A:$R,8,FALSE))</f>
        <v>7823.9185585384</v>
      </c>
      <c r="CW126" s="93">
        <f t="shared" si="102"/>
        <v>0.887</v>
      </c>
      <c r="CX126" s="92">
        <f>CP126*IF(VLOOKUP($E126,武器奇术!$A:$R,17,FALSE)="破竹",VLOOKUP($E126,武器奇术!$A:$R,4,FALSE),VLOOKUP($E126,武器奇术!$A:$R,2,FALSE))*(1+CQ126)*(1+CR126)*CS126*(1+$E$17+VLOOKUP($E126,武器奇术!$A:$R,10,FALSE))</f>
        <v>5944.54913815777</v>
      </c>
      <c r="CY126" s="93">
        <f t="shared" si="103"/>
        <v>0.0986</v>
      </c>
      <c r="CZ126" s="92">
        <f>CO126*IF(VLOOKUP($E126,武器奇术!$A:$R,17,FALSE)="破竹",VLOOKUP($E126,武器奇术!$A:$R,4,FALSE),VLOOKUP($E126,武器奇术!$A:$R,2,FALSE))*(1+CQ126)*(1+CR126)*CS126</f>
        <v>3268.13640707536</v>
      </c>
      <c r="DA126" s="93">
        <f t="shared" si="80"/>
        <v>0.0144</v>
      </c>
      <c r="DB126" s="101">
        <f t="shared" si="81"/>
        <v>7573.0094707078</v>
      </c>
      <c r="DC126" s="99">
        <f>IF(VLOOKUP($E126,武器奇术!$A:$R,18,FALSE)="极乐",0,$B$15)</f>
        <v>66</v>
      </c>
      <c r="DD126" s="91">
        <f t="shared" si="111"/>
        <v>95.9</v>
      </c>
      <c r="DE126" s="91">
        <f>IF(VLOOKUP($E126,武器奇术!$A:$R,18,FALSE)="极乐",0,$C$15)</f>
        <v>125.8</v>
      </c>
      <c r="DF126" s="93">
        <f>IF((IF(VLOOKUP($E126,武器奇术!$A:$R,17,FALSE)="鸣金",$D$7,0)+IF(VLOOKUP($E126,武器奇术!$A:$R,17,FALSE)="裂石",$D$9,0)+IF(VLOOKUP($E126,武器奇术!$A:$R,17,FALSE)="牵丝",$D$11,0)+IF(VLOOKUP($E126,武器奇术!$A:$R,17,FALSE)="破竹",$D$13,0)+$D$15-VLOOKUP($F$7,目标属性!$A:$R,6,FALSE)+IF(VLOOKUP($E126,武器奇术!$A:$V,22,FALSE)=1,4,0)+IF(VLOOKUP($E126,武器奇术!$A:$T,20,FALSE)=1,10,0))&gt;0,(IF(VLOOKUP($E126,武器奇术!$A:$R,17,FALSE)="鸣金",$D$7,0)+IF(VLOOKUP($E126,武器奇术!$A:$R,17,FALSE)="裂石",$D$9,0)+IF(VLOOKUP($E126,武器奇术!$A:$R,17,FALSE)="牵丝",$D$11,0)+IF(VLOOKUP($E126,武器奇术!$A:$R,17,FALSE)="破竹",$D$13,0)+$D$15-VLOOKUP($F$7,目标属性!$A:$R,6,FALSE)+IF(VLOOKUP($E126,武器奇术!$A:$V,22,FALSE)=1,4,0)+IF(VLOOKUP($E126,武器奇术!$A:$T,20,FALSE)=1,10,0))/200,(IF(VLOOKUP($E126,武器奇术!$A:$R,17,FALSE)="鸣金",$D$7,0)+IF(VLOOKUP($E126,武器奇术!$A:$R,17,FALSE)="裂石",$D$9,0)+IF(VLOOKUP($E126,武器奇术!$A:$R,17,FALSE)="牵丝",$D$11,0)+IF(VLOOKUP($E126,武器奇术!$A:$R,17,FALSE)="破竹",$D$13,0)+$D$15-VLOOKUP($F$7,目标属性!$A:$R,6,FALSE)+IF(VLOOKUP($E126,武器奇术!$A:$V,22,FALSE)=1,4,0)+IF(VLOOKUP($E126,武器奇术!$A:$T,20,FALSE)=1,10,0))/100)</f>
        <v>0.078</v>
      </c>
      <c r="DG126" s="120">
        <f>$E$13+IF(期望!$G$5="燕归",6%,0)</f>
        <v>0.208</v>
      </c>
      <c r="DH126" s="91">
        <v>1</v>
      </c>
      <c r="DI126" s="92">
        <f>DC126*IF(VLOOKUP($E126,武器奇术!$A:$R,17,FALSE)="破竹",VLOOKUP($E126,武器奇术!$A:$R,4,FALSE),VLOOKUP($E126,武器奇术!$A:$R,2,FALSE))*(1+DF126)*(1+DG126)*DH126</f>
        <v>204.99425292192</v>
      </c>
      <c r="DJ126" s="93">
        <f>(1-IF(VLOOKUP($E126,武器奇术!$A:$R,16,FALSE)="陌刀",1,$N126))*(1-$M126)</f>
        <v>0</v>
      </c>
      <c r="DK126" s="92">
        <f>DD126*IF(VLOOKUP($E126,武器奇术!$A:$R,17,FALSE)="破竹",VLOOKUP($E126,武器奇术!$A:$R,4,FALSE),VLOOKUP($E126,武器奇术!$A:$R,2,FALSE))*(1+DF126)*(1+DG126)*DH126*(1+$E$16+VLOOKUP($E126,武器奇术!$A:$R,8,FALSE))</f>
        <v>713.083690293604</v>
      </c>
      <c r="DL126" s="93">
        <f t="shared" si="104"/>
        <v>0.887</v>
      </c>
      <c r="DM126" s="92">
        <f>DE126*IF(VLOOKUP($E126,武器奇术!$A:$R,17,FALSE)="破竹",VLOOKUP($E126,武器奇术!$A:$R,4,FALSE),VLOOKUP($E126,武器奇术!$A:$R,2,FALSE))*(1+DF126)*(1+DG126)*DH126*(1+$E$17+VLOOKUP($E126,武器奇术!$A:$R,10,FALSE))</f>
        <v>527.48748445045</v>
      </c>
      <c r="DN126" s="93">
        <f t="shared" si="105"/>
        <v>0.0986</v>
      </c>
      <c r="DO126" s="92">
        <f>DD126*IF(VLOOKUP($E126,武器奇术!$A:$R,17,FALSE)="破竹",VLOOKUP($E126,武器奇术!$A:$R,4,FALSE),VLOOKUP($E126,武器奇术!$A:$R,2,FALSE))*(1+DF126)*(1+DG126)*DH126</f>
        <v>297.862861442608</v>
      </c>
      <c r="DP126" s="93">
        <f t="shared" si="106"/>
        <v>0.0144</v>
      </c>
      <c r="DQ126" s="101">
        <f t="shared" si="107"/>
        <v>688.804724462015</v>
      </c>
    </row>
    <row r="127" spans="1:121">
      <c r="A127" s="33"/>
      <c r="B127" s="130">
        <v>12345</v>
      </c>
      <c r="C127">
        <v>3.3</v>
      </c>
      <c r="D127" s="33"/>
      <c r="E127" s="105" t="s">
        <v>212</v>
      </c>
      <c r="F127" s="106">
        <f>IF($E$26&gt;=32,1,2)</f>
        <v>2</v>
      </c>
      <c r="G127" s="107">
        <f t="shared" ref="G127:G132" si="116">$E$24</f>
        <v>0</v>
      </c>
      <c r="H127" s="131">
        <f>IF(VLOOKUP($E127,武器奇术!$A:$R,18,FALSE)="天工",AE127,(AE127+AT127+BI127+BX127+CM127+DB127+DQ127))*(1+J127)*F127*K127*(1+G127)*(1+$G$21*5%)</f>
        <v>156427.071042043</v>
      </c>
      <c r="I127" s="93">
        <f t="shared" ref="I127:I142" si="117">H127/$C$30</f>
        <v>0.0200668899426044</v>
      </c>
      <c r="J127" s="93">
        <f>$F$3+VLOOKUP($E127,武器奇术!$A:$R,12,FALSE)+VLOOKUP($E127,武器奇术!$A:$R,14,FALSE)*$G$3+$P127</f>
        <v>0.813</v>
      </c>
      <c r="K127" s="94">
        <f>VLOOKUP($E127,武器奇术!$A:$R,11,FALSE)</f>
        <v>1</v>
      </c>
      <c r="L127" s="109">
        <f>IF(VLOOKUP($E127,武器奇术!$A:$R,15,FALSE)="天工",0%,IF($C$17+VLOOKUP($E127,武器奇术!$A:$R,7,FALSE)&gt;80%,80%,$C$17+VLOOKUP($E127,武器奇术!$A:$R,7,FALSE))+IF($C$19&gt;20%,20%,$C$19))</f>
        <v>0.887</v>
      </c>
      <c r="M127" s="110">
        <f>IF(VLOOKUP($E127,武器奇术!$A:$R,15,FALSE)="天工",0%,IF($C$18+VLOOKUP($E127,武器奇术!$A:$R,9,FALSE)&gt;40%,40%,$C$18+VLOOKUP($E127,武器奇术!$A:$R,9,FALSE))+IF($C$20&gt;10%,10%,$C$20))</f>
        <v>0.0986</v>
      </c>
      <c r="N127" s="111">
        <f>IF(VLOOKUP($E127,武器奇术!$A:$R,15,FALSE)="天工",100%,MIN($C$16,1))</f>
        <v>1</v>
      </c>
      <c r="O127" s="112" t="str">
        <f>VLOOKUP($E127,武器奇术!$A:$R,16,FALSE)</f>
        <v>双刀</v>
      </c>
      <c r="P127" s="113">
        <f t="shared" si="108"/>
        <v>0.17</v>
      </c>
      <c r="Q127" s="99">
        <f>$B$5*(1+VLOOKUP($E127,武器奇术!$A:$R,5,FALSE)+IF($G$5="飞隼",0.1,0)+IF($G$5="撼天",0.05,0))-$F$9*IF(VLOOKUP($E127,武器奇术!$A:$S,19,FALSE)=1,0.9,1)+IF($I$5="√",160,0)</f>
        <v>2904.2</v>
      </c>
      <c r="R127" s="91">
        <f t="shared" ref="R127:R142" si="118">(Q127+S127)/2</f>
        <v>2904.2</v>
      </c>
      <c r="S127" s="91">
        <f>MAX($C$5,$B$5)*(1+VLOOKUP($E127,武器奇术!$A:$R,5,FALSE)+IF($G$5="飞隼",0.1,0)+IF($G$5="撼天",0.05,0))-$F$9*IF(VLOOKUP($E127,武器奇术!$A:$S,19,FALSE)=1,0.9,1)+IF($I$5="√",320,0)</f>
        <v>2904.2</v>
      </c>
      <c r="T127" s="93">
        <f>IF(($D$5+VLOOKUP($E127,武器奇术!$A:$R,13,FALSE)+IF($I$3="√",10,0)-VLOOKUP($F$7,目标属性!$A:$R,5,FALSE))&gt;0,($D$5+VLOOKUP($E127,武器奇术!$A:$R,13,FALSE)+IF($I$3="√",10,0)-VLOOKUP($F$7,目标属性!$A:$R,5,FALSE))/200,($D$5+VLOOKUP($E127,武器奇术!$A:$R,13,FALSE)+IF($I$3="√",10,0)-VLOOKUP($F$7,目标属性!$A:$R,5,FALSE))/100)</f>
        <v>0.3925</v>
      </c>
      <c r="U127" s="120">
        <f>$E$5+IF(VLOOKUP($E127,武器奇术!$A:$R,18,FALSE)="鼠鼠",0.24,0)+IF(期望!$G$5="燕归",6/100,0)</f>
        <v>0.06</v>
      </c>
      <c r="V127" s="91">
        <v>1</v>
      </c>
      <c r="W127" s="92">
        <f>Q127*VLOOKUP($E127,武器奇术!$A:$R,2,FALSE)*(1+T127)*(1+U127)*V127</f>
        <v>8185.0240415658</v>
      </c>
      <c r="X127" s="93">
        <f>(1-IF(VLOOKUP($E127,武器奇术!$A:$R,16,FALSE)="陌刀",1,$N127))*(1-$M127)</f>
        <v>0</v>
      </c>
      <c r="Y127" s="92">
        <f>R127*VLOOKUP($E127,武器奇术!$A:$R,2,FALSE)*(1+T127)*(1+U127)*V127*(1+$E$16+VLOOKUP($E127,武器奇术!$A:$R,8,FALSE))</f>
        <v>19594.9475555085</v>
      </c>
      <c r="Z127" s="93">
        <f t="shared" ref="Z127:Z142" si="119">IF($L127+$M127&lt;=100%,$N127*$L127,$N127*(1-$M127))</f>
        <v>0.887</v>
      </c>
      <c r="AA127" s="92">
        <f>S127*VLOOKUP($E127,武器奇术!$A:$R,2,FALSE)*(1+T127)*(1+U127)*V127*(1+$E$17+VLOOKUP($E127,武器奇术!$A:$R,10,FALSE))</f>
        <v>11049.7824561138</v>
      </c>
      <c r="AB127" s="93">
        <f t="shared" ref="AB127:AB142" si="120">$M127</f>
        <v>0.0986</v>
      </c>
      <c r="AC127" s="92">
        <f>R127*VLOOKUP($E127,武器奇术!$A:$R,2,FALSE)*(1+T127)*(1+U127)*V127</f>
        <v>8185.0240415658</v>
      </c>
      <c r="AD127" s="93">
        <f t="shared" ref="AD127:AD142" si="121">MAX((1-X127-Z127-AB127),0)</f>
        <v>0.0144</v>
      </c>
      <c r="AE127" s="101">
        <f t="shared" ref="AE127:AE142" si="122">W127*X127+Y127*Z127+AA127*AB127+AC127*AD127</f>
        <v>18588.0913781074</v>
      </c>
      <c r="AF127" s="102">
        <f>VLOOKUP($E127,武器奇术!$A:$R,3,FALSE)*(1+IF(VLOOKUP($E127,武器奇术!$A:$R,15,FALSE)="武器",$E$15,0))</f>
        <v>687.83</v>
      </c>
      <c r="AG127" s="92">
        <f t="shared" ref="AG127:AG142" si="123">(AF127+AH127)/2</f>
        <v>687.83</v>
      </c>
      <c r="AH127" s="92">
        <f>VLOOKUP($E127,武器奇术!$A:$R,3,FALSE)*(1+IF(VLOOKUP($E127,武器奇术!$A:$R,15,FALSE)="武器",$E$15,0))</f>
        <v>687.83</v>
      </c>
      <c r="AI127" s="93">
        <f>IF(($D$5+VLOOKUP($E127,武器奇术!$A:$R,13,FALSE)+IF($I$3="√",10,0)-VLOOKUP($F$7,目标属性!$A:$R,5,FALSE))&gt;0,($D$5+VLOOKUP($E127,武器奇术!$A:$R,13,FALSE)+IF($I$3="√",10,0)-VLOOKUP($F$7,目标属性!$A:$R,5,FALSE))/200,($D$5+VLOOKUP($E127,武器奇术!$A:$R,13,FALSE)+IF($I$3="√",10,0)-VLOOKUP($F$7,目标属性!$A:$R,5,FALSE))/100)</f>
        <v>0.3925</v>
      </c>
      <c r="AJ127" s="120">
        <f>$E$5+IF(VLOOKUP($E127,武器奇术!$A:$R,18,FALSE)="鼠鼠",0.24,0)+IF(期望!$G$5="燕归",6/100,0)</f>
        <v>0.06</v>
      </c>
      <c r="AK127" s="91">
        <v>1</v>
      </c>
      <c r="AL127" s="92">
        <f t="shared" si="109"/>
        <v>1015.2714715</v>
      </c>
      <c r="AM127" s="93">
        <f>(1-IF(VLOOKUP($E127,武器奇术!$A:$R,16,FALSE)="陌刀",1,$N127))*(1-$M127)</f>
        <v>0</v>
      </c>
      <c r="AN127" s="92">
        <f>AG127*(1+AI127)*(1+AJ127)*AK127*(1+$E$16+VLOOKUP($E127,武器奇术!$A:$R,8,FALSE))</f>
        <v>2430.559902771</v>
      </c>
      <c r="AO127" s="93">
        <f t="shared" si="94"/>
        <v>0.887</v>
      </c>
      <c r="AP127" s="92">
        <f>AH127*(1+AI127)*(1+AJ127)*AK127*(1+$E$17+VLOOKUP($E127,武器奇术!$A:$R,10,FALSE))</f>
        <v>1370.616486525</v>
      </c>
      <c r="AQ127" s="93">
        <f t="shared" si="95"/>
        <v>0.0986</v>
      </c>
      <c r="AR127" s="92">
        <f t="shared" ref="AR127:AR142" si="124">AG127*(1+AI127)*(1+AJ127)*AK127</f>
        <v>1015.2714715</v>
      </c>
      <c r="AS127" s="93">
        <f t="shared" ref="AS127:AS142" si="125">MAX((1-AM127-AO127-AQ127),0)</f>
        <v>0.0144</v>
      </c>
      <c r="AT127" s="101">
        <f t="shared" ref="AT127:AT142" si="126">AL127*AM127+AN127*AO127+AP127*AQ127+AR127*AS127</f>
        <v>2305.66932851884</v>
      </c>
      <c r="AU127" s="99">
        <f>IF(VLOOKUP($E127,武器奇术!$A:$R,18,FALSE)="极乐",0,$B$7*IF($G$5="撼天",1.05,1)+IF(AND(VLOOKUP($E127,武器奇术!$A:$R,15,FALSE)="武器",VLOOKUP($E127,武器奇术!$A:$R,17,FALSE)="鸣金"),$E$3*(1+$E$15),0))</f>
        <v>0</v>
      </c>
      <c r="AV127" s="91">
        <f t="shared" ref="AV127:AV142" si="127">(AU127+AW127)/2</f>
        <v>0</v>
      </c>
      <c r="AW127" s="91">
        <f>IF(VLOOKUP($E127,武器奇术!$A:$R,18,FALSE)="极乐",0,MAX($C$7*IF($G$5="撼天",1.05,1)+IF(AND(VLOOKUP($E127,武器奇术!$A:$R,15,FALSE)="武器",VLOOKUP($E127,武器奇术!$A:$R,17,FALSE)="鸣金"),$E$3*(1+$E$15),0),AU127))</f>
        <v>0</v>
      </c>
      <c r="AX127" s="93">
        <f>IF(($D$7+IF(VLOOKUP($E127,武器奇术!$A:$R,17,FALSE)="鸣金",$D$15,0)-VLOOKUP($F$7,目标属性!$A:$R,6,FALSE))&gt;0,($D$7+IF(VLOOKUP($E127,武器奇术!$A:$R,17,FALSE)="鸣金",$D$15,0)-VLOOKUP($F$7,目标属性!$A:$R,6,FALSE))/200,($D$7+IF(VLOOKUP($E127,武器奇术!$A:$R,17,FALSE)="鸣金",$D$15,0)-VLOOKUP($F$7,目标属性!$A:$R,6,FALSE))/100)</f>
        <v>-0.24</v>
      </c>
      <c r="AY127" s="100">
        <f t="shared" si="89"/>
        <v>0</v>
      </c>
      <c r="AZ127" s="91">
        <v>1</v>
      </c>
      <c r="BA127" s="92">
        <f>AU127*IF(VLOOKUP($E127,武器奇术!$A:$R,17,FALSE)="鸣金",VLOOKUP($E127,武器奇术!$A:$R,4,FALSE),VLOOKUP($E127,武器奇术!$A:$R,2,FALSE))*(1+AX127)*(1+AY127)*AZ127</f>
        <v>0</v>
      </c>
      <c r="BB127" s="93">
        <f>(1-IF(VLOOKUP($E127,武器奇术!$A:$R,16,FALSE)="陌刀",1,$N127))*(1-$M127)</f>
        <v>0</v>
      </c>
      <c r="BC127" s="92">
        <f>AV127*IF(VLOOKUP($E127,武器奇术!$A:$R,17,FALSE)="鸣金",VLOOKUP($E127,武器奇术!$A:$R,4,FALSE),VLOOKUP($E127,武器奇术!$A:$R,2,FALSE))*(1+AX127)*(1+AY127)*AZ127*(1+$E$16+VLOOKUP($E127,武器奇术!$A:$R,8,FALSE))</f>
        <v>0</v>
      </c>
      <c r="BD127" s="93">
        <f t="shared" si="96"/>
        <v>0.887</v>
      </c>
      <c r="BE127" s="92">
        <f>AW127*IF(VLOOKUP($E127,武器奇术!$A:$R,17,FALSE)="鸣金",VLOOKUP($E127,武器奇术!$A:$R,4,FALSE),VLOOKUP($E127,武器奇术!$A:$R,2,FALSE))*(1+AX127)*(1+AY127)*AZ127*(1+$E$17+VLOOKUP($E127,武器奇术!$A:$R,10,FALSE))</f>
        <v>0</v>
      </c>
      <c r="BF127" s="93">
        <f t="shared" si="97"/>
        <v>0.0986</v>
      </c>
      <c r="BG127" s="92">
        <f>AV127*IF(VLOOKUP($E127,武器奇术!$A:$R,17,FALSE)="鸣金",VLOOKUP($E127,武器奇术!$A:$R,4,FALSE),VLOOKUP($E127,武器奇术!$A:$R,2,FALSE))*(1+AX127)*(1+AY127)*AZ127</f>
        <v>0</v>
      </c>
      <c r="BH127" s="93">
        <f t="shared" ref="BH127:BH142" si="128">MAX((1-BB127-BD127-BF127),0)</f>
        <v>0.0144</v>
      </c>
      <c r="BI127" s="101">
        <f t="shared" ref="BI127:BI142" si="129">BA127*BB127+BC127*BD127+BE127*BF127+BG127*BH127</f>
        <v>0</v>
      </c>
      <c r="BJ127" s="99">
        <f>IF(VLOOKUP($E127,武器奇术!$A:$R,18,FALSE)="极乐",0,$B$9*IF($G$5="撼天",1.05,1)+IF(AND(VLOOKUP($E127,武器奇术!$A:$R,15,FALSE)="武器",VLOOKUP($E127,武器奇术!$A:$R,17,FALSE)="裂石"),$E$3*(1+$E$15),0))</f>
        <v>0</v>
      </c>
      <c r="BK127" s="91">
        <f t="shared" ref="BK127:BK142" si="130">(BJ127+BL127)/2</f>
        <v>0</v>
      </c>
      <c r="BL127" s="91">
        <f>IF(VLOOKUP($E127,武器奇术!$A:$R,18,FALSE)="极乐",0,MAX($C$9*IF($G$5="撼天",1.05,1)+IF(AND(VLOOKUP($E127,武器奇术!$A:$R,15,FALSE)="武器",VLOOKUP($E127,武器奇术!$A:$R,17,FALSE)="裂石"),$E$3*(1+$E$15),0),BJ127))</f>
        <v>0</v>
      </c>
      <c r="BM127" s="93">
        <f>IF(($D$9+IF(VLOOKUP($E127,武器奇术!$A:$R,17,FALSE)="裂石",$D$15,0)-VLOOKUP($F$7,目标属性!$A:$R,6,FALSE))&gt;0,($D$9+IF(VLOOKUP($E127,武器奇术!$A:$R,17,FALSE)="裂石",$D$15,0)-VLOOKUP($F$7,目标属性!$A:$R,6,FALSE))/200,($D$9+IF(VLOOKUP($E127,武器奇术!$A:$R,17,FALSE)="裂石",$D$15,0)-VLOOKUP($F$7,目标属性!$A:$R,6,FALSE))/100)</f>
        <v>-0.24</v>
      </c>
      <c r="BN127" s="100">
        <f t="shared" si="90"/>
        <v>0</v>
      </c>
      <c r="BO127" s="91">
        <v>1</v>
      </c>
      <c r="BP127" s="92">
        <f>BJ127*IF(VLOOKUP($E127,武器奇术!$A:$R,17,FALSE)="裂石",VLOOKUP($E127,武器奇术!$A:$R,4,FALSE),VLOOKUP($E127,武器奇术!$A:$R,2,FALSE))*(1+BM127)*(1+BN127)*BO127</f>
        <v>0</v>
      </c>
      <c r="BQ127" s="93">
        <f>(1-IF(VLOOKUP($E127,武器奇术!$A:$R,16,FALSE)="陌刀",1,$N127))*(1-$M127)</f>
        <v>0</v>
      </c>
      <c r="BR127" s="92">
        <f>BK127*IF(VLOOKUP($E127,武器奇术!$A:$R,17,FALSE)="裂石",VLOOKUP($E127,武器奇术!$A:$R,4,FALSE),VLOOKUP($E127,武器奇术!$A:$R,2,FALSE))*(1+BM127)*(1+BN127)*BO127*(1+$E$16+VLOOKUP($E127,武器奇术!$A:$R,8,FALSE))</f>
        <v>0</v>
      </c>
      <c r="BS127" s="93">
        <f t="shared" si="98"/>
        <v>0.887</v>
      </c>
      <c r="BT127" s="92">
        <f>BL127*IF(VLOOKUP($E127,武器奇术!$A:$R,17,FALSE)="裂石",VLOOKUP($E127,武器奇术!$A:$R,4,FALSE),VLOOKUP($E127,武器奇术!$A:$R,2,FALSE))*(1+BM127)*(1+BN127)*BO127*(1+$E$17+VLOOKUP($E127,武器奇术!$A:$R,10,FALSE))</f>
        <v>0</v>
      </c>
      <c r="BU127" s="93">
        <f t="shared" si="99"/>
        <v>0.0986</v>
      </c>
      <c r="BV127" s="92">
        <f>BK127*IF(VLOOKUP($E127,武器奇术!$A:$R,17,FALSE)="裂石",VLOOKUP($E127,武器奇术!$A:$R,4,FALSE),VLOOKUP($E127,武器奇术!$A:$R,2,FALSE))*(1+BM127)*(1+BN127)*BO127</f>
        <v>0</v>
      </c>
      <c r="BW127" s="93">
        <f t="shared" ref="BW127:BW142" si="131">MAX((1-BQ127-BS127-BU127),0)</f>
        <v>0.0144</v>
      </c>
      <c r="BX127" s="101">
        <f t="shared" ref="BX127:BX142" si="132">BP127*BQ127+BR127*BS127+BT127*BU127+BV127*BW127</f>
        <v>0</v>
      </c>
      <c r="BY127" s="99">
        <f>IF(VLOOKUP($E127,武器奇术!$A:$R,18,FALSE)="极乐",0,$B$11*IF($G$5="撼天",1.05,1)+IF(AND(VLOOKUP($E127,武器奇术!$A:$R,15,FALSE)="武器",VLOOKUP($E127,武器奇术!$A:$R,17,FALSE)="牵丝"),$E$3*(1+$E$15),0))</f>
        <v>0</v>
      </c>
      <c r="BZ127" s="91">
        <f t="shared" ref="BZ127:BZ142" si="133">(BY127+CA127)/2</f>
        <v>0</v>
      </c>
      <c r="CA127" s="91">
        <f>IF(VLOOKUP($E127,武器奇术!$A:$R,18,FALSE)="极乐",0,MAX($C$11*IF($G$5="撼天",1.05,1)+IF(AND(VLOOKUP($E127,武器奇术!$A:$R,15,FALSE)="武器",VLOOKUP($E127,武器奇术!$A:$R,17,FALSE)="牵丝"),$E$3*(1+$E$15),0),BY127))</f>
        <v>0</v>
      </c>
      <c r="CB127" s="93">
        <f>IF(($D$11+IF(VLOOKUP($E127,武器奇术!$A:$R,17,FALSE)="牵丝",$D$15,0)-VLOOKUP($F$7,目标属性!$A:$R,6,FALSE))&gt;0,($D$11+IF(VLOOKUP($E127,武器奇术!$A:$R,17,FALSE)="牵丝",$D$15,0)-VLOOKUP($F$7,目标属性!$A:$R,6,FALSE))/200,($D$11+IF(VLOOKUP($E127,武器奇术!$A:$R,17,FALSE)="牵丝",$D$15,0)-VLOOKUP($F$7,目标属性!$A:$R,6,FALSE))/100)</f>
        <v>-0.24</v>
      </c>
      <c r="CC127" s="100">
        <f t="shared" si="91"/>
        <v>0</v>
      </c>
      <c r="CD127" s="91">
        <v>1</v>
      </c>
      <c r="CE127" s="92">
        <f>BY127*IF(VLOOKUP($E127,武器奇术!$A:$R,17,FALSE)="牵丝",VLOOKUP($E127,武器奇术!$A:$R,4,FALSE),VLOOKUP($E127,武器奇术!$A:$R,2,FALSE))*(1+CB127)*(1+CC127)*CD127</f>
        <v>0</v>
      </c>
      <c r="CF127" s="93">
        <f>(1-IF(VLOOKUP($E127,武器奇术!$A:$R,16,FALSE)="陌刀",1,$N127))*(1-$M127)</f>
        <v>0</v>
      </c>
      <c r="CG127" s="92">
        <f>BZ127*IF(VLOOKUP($E127,武器奇术!$A:$R,17,FALSE)="牵丝",VLOOKUP($E127,武器奇术!$A:$R,4,FALSE),VLOOKUP($E127,武器奇术!$A:$R,2,FALSE))*(1+CB127)*(1+CC127)*CD127*(1+$E$16+VLOOKUP($E127,武器奇术!$A:$R,8,FALSE))</f>
        <v>0</v>
      </c>
      <c r="CH127" s="93">
        <f t="shared" si="100"/>
        <v>0.887</v>
      </c>
      <c r="CI127" s="92">
        <f>CA127*IF(VLOOKUP($E127,武器奇术!$A:$R,17,FALSE)="牵丝",VLOOKUP($E127,武器奇术!$A:$R,4,FALSE),VLOOKUP($E127,武器奇术!$A:$R,2,FALSE))*(1+CB127)*(1+CC127)*CD127*(1+$E$17+VLOOKUP($E127,武器奇术!$A:$R,10,FALSE))</f>
        <v>0</v>
      </c>
      <c r="CJ127" s="93">
        <f t="shared" si="101"/>
        <v>0.0986</v>
      </c>
      <c r="CK127" s="92">
        <f>BZ127*IF(VLOOKUP($E127,武器奇术!$A:$R,17,FALSE)="牵丝",VLOOKUP($E127,武器奇术!$A:$R,4,FALSE),VLOOKUP($E127,武器奇术!$A:$R,2,FALSE))*(1+CB127)*(1+CC127)*CD127</f>
        <v>0</v>
      </c>
      <c r="CL127" s="93">
        <f t="shared" ref="CL127:CL142" si="134">MAX((1-CF127-CH127-CJ127),0)</f>
        <v>0.0144</v>
      </c>
      <c r="CM127" s="101">
        <f t="shared" ref="CM127:CM142" si="135">CE127*CF127+CG127*CH127+CI127*CJ127+CK127*CL127</f>
        <v>0</v>
      </c>
      <c r="CN127" s="99">
        <f>IF(VLOOKUP($E127,武器奇术!$A:$R,18,FALSE)="极乐",0,$B$13*IF($G$5="撼天",1.05,1)+IF(AND(VLOOKUP($E127,武器奇术!$A:$R,15,FALSE)="武器",VLOOKUP($E127,武器奇术!$A:$R,17,FALSE)="破竹"),$E$3*(1+$E$15),0))</f>
        <v>686.71</v>
      </c>
      <c r="CO127" s="91">
        <f t="shared" ref="CO127:CO142" si="136">(CN127+CP127)/2</f>
        <v>1052.21</v>
      </c>
      <c r="CP127" s="91">
        <f>IF(VLOOKUP($E127,武器奇术!$A:$R,18,FALSE)="极乐",0,MAX($C$13*IF($G$5="撼天",1.05,1)+IF(AND(VLOOKUP($E127,武器奇术!$A:$R,15,FALSE)="武器",VLOOKUP($E127,武器奇术!$A:$R,17,FALSE)="破竹"),$E$3*(1+$E$15),0),CN127))</f>
        <v>1417.71</v>
      </c>
      <c r="CQ127" s="93">
        <f>IF(($D$13+IF(VLOOKUP($E127,武器奇术!$A:$R,17,FALSE)="破竹",$D$15,0)-VLOOKUP($F$7,目标属性!$A:$R,6,FALSE)+IF(VLOOKUP($E127,武器奇术!$A:$V,22,FALSE)=1,4,0)+IF(VLOOKUP($E127,武器奇术!$A:$T,20,FALSE)=1,10,0))&gt;0,($D$13+IF(VLOOKUP($E127,武器奇术!$A:$R,17,FALSE)="破竹",$D$15,0)-VLOOKUP($F$7,目标属性!$A:$R,6,FALSE)+IF(VLOOKUP($E127,武器奇术!$A:$V,22,FALSE)=1,4,0)+IF(VLOOKUP($E127,武器奇术!$A:$T,20,FALSE)=1,10,0))/200,($D$13+IF(VLOOKUP($E127,武器奇术!$A:$R,17,FALSE)="破竹",$D$15,0)-VLOOKUP($F$7,目标属性!$A:$R,6,FALSE)+IF(VLOOKUP($E127,武器奇术!$A:$V,22,FALSE)=1,4,0)+IF(VLOOKUP($E127,武器奇术!$A:$T,20,FALSE)=1,10,0))/100)</f>
        <v>0.078</v>
      </c>
      <c r="CR127" s="120">
        <f>$E$13+IF(期望!$G$5="燕归",6%,0)</f>
        <v>0.208</v>
      </c>
      <c r="CS127" s="91">
        <v>1</v>
      </c>
      <c r="CT127" s="92">
        <f>CN127*IF(VLOOKUP($E127,武器奇术!$A:$R,17,FALSE)="破竹",VLOOKUP($E127,武器奇术!$A:$R,4,FALSE),VLOOKUP($E127,武器奇术!$A:$R,2,FALSE))*(1+CQ127)*(1+CR127)*CS127</f>
        <v>2561.19529358357</v>
      </c>
      <c r="CU127" s="93">
        <f>(1-IF(VLOOKUP($E127,武器奇术!$A:$R,16,FALSE)="陌刀",1,$N127))*(1-$M127)</f>
        <v>0</v>
      </c>
      <c r="CV127" s="92">
        <f>CO127*IF(VLOOKUP($E127,武器奇术!$A:$R,17,FALSE)="破竹",VLOOKUP($E127,武器奇术!$A:$R,4,FALSE),VLOOKUP($E127,武器奇术!$A:$R,2,FALSE))*(1+CQ127)*(1+CR127)*CS127*(1+$E$16+VLOOKUP($E127,武器奇术!$A:$R,8,FALSE))</f>
        <v>9394.98074568392</v>
      </c>
      <c r="CW127" s="93">
        <f t="shared" si="102"/>
        <v>0.887</v>
      </c>
      <c r="CX127" s="92">
        <f>CP127*IF(VLOOKUP($E127,武器奇术!$A:$R,17,FALSE)="破竹",VLOOKUP($E127,武器奇术!$A:$R,4,FALSE),VLOOKUP($E127,武器奇术!$A:$R,2,FALSE))*(1+CQ127)*(1+CR127)*CS127*(1+$E$17+VLOOKUP($E127,武器奇术!$A:$R,10,FALSE))</f>
        <v>7138.22929992223</v>
      </c>
      <c r="CY127" s="93">
        <f t="shared" si="103"/>
        <v>0.0986</v>
      </c>
      <c r="CZ127" s="92">
        <f>CO127*IF(VLOOKUP($E127,武器奇术!$A:$R,17,FALSE)="破竹",VLOOKUP($E127,武器奇术!$A:$R,4,FALSE),VLOOKUP($E127,武器奇术!$A:$R,2,FALSE))*(1+CQ127)*(1+CR127)*CS127</f>
        <v>3924.38627639261</v>
      </c>
      <c r="DA127" s="93">
        <f t="shared" ref="DA127:DA142" si="137">MAX((1-CU127-CW127-CY127),0)</f>
        <v>0.0144</v>
      </c>
      <c r="DB127" s="101">
        <f t="shared" ref="DB127:DB142" si="138">CT127*CU127+CV127*CW127+CX127*CY127+CZ127*DA127</f>
        <v>9093.68849277402</v>
      </c>
      <c r="DC127" s="99">
        <f>IF(VLOOKUP($E127,武器奇术!$A:$R,18,FALSE)="极乐",0,$B$15)</f>
        <v>66</v>
      </c>
      <c r="DD127" s="91">
        <f t="shared" si="111"/>
        <v>95.9</v>
      </c>
      <c r="DE127" s="91">
        <f>IF(VLOOKUP($E127,武器奇术!$A:$R,18,FALSE)="极乐",0,$C$15)</f>
        <v>125.8</v>
      </c>
      <c r="DF127" s="93">
        <f>IF((IF(VLOOKUP($E127,武器奇术!$A:$R,17,FALSE)="鸣金",$D$7,0)+IF(VLOOKUP($E127,武器奇术!$A:$R,17,FALSE)="裂石",$D$9,0)+IF(VLOOKUP($E127,武器奇术!$A:$R,17,FALSE)="牵丝",$D$11,0)+IF(VLOOKUP($E127,武器奇术!$A:$R,17,FALSE)="破竹",$D$13,0)+$D$15-VLOOKUP($F$7,目标属性!$A:$R,6,FALSE)+IF(VLOOKUP($E127,武器奇术!$A:$V,22,FALSE)=1,4,0)+IF(VLOOKUP($E127,武器奇术!$A:$T,20,FALSE)=1,10,0))&gt;0,(IF(VLOOKUP($E127,武器奇术!$A:$R,17,FALSE)="鸣金",$D$7,0)+IF(VLOOKUP($E127,武器奇术!$A:$R,17,FALSE)="裂石",$D$9,0)+IF(VLOOKUP($E127,武器奇术!$A:$R,17,FALSE)="牵丝",$D$11,0)+IF(VLOOKUP($E127,武器奇术!$A:$R,17,FALSE)="破竹",$D$13,0)+$D$15-VLOOKUP($F$7,目标属性!$A:$R,6,FALSE)+IF(VLOOKUP($E127,武器奇术!$A:$V,22,FALSE)=1,4,0)+IF(VLOOKUP($E127,武器奇术!$A:$T,20,FALSE)=1,10,0))/200,(IF(VLOOKUP($E127,武器奇术!$A:$R,17,FALSE)="鸣金",$D$7,0)+IF(VLOOKUP($E127,武器奇术!$A:$R,17,FALSE)="裂石",$D$9,0)+IF(VLOOKUP($E127,武器奇术!$A:$R,17,FALSE)="牵丝",$D$11,0)+IF(VLOOKUP($E127,武器奇术!$A:$R,17,FALSE)="破竹",$D$13,0)+$D$15-VLOOKUP($F$7,目标属性!$A:$R,6,FALSE)+IF(VLOOKUP($E127,武器奇术!$A:$V,22,FALSE)=1,4,0)+IF(VLOOKUP($E127,武器奇术!$A:$T,20,FALSE)=1,10,0))/100)</f>
        <v>0.078</v>
      </c>
      <c r="DG127" s="120">
        <f>$E$13+IF(期望!$G$5="燕归",6%,0)</f>
        <v>0.208</v>
      </c>
      <c r="DH127" s="91">
        <v>1</v>
      </c>
      <c r="DI127" s="92">
        <f>DC127*IF(VLOOKUP($E127,武器奇术!$A:$R,17,FALSE)="破竹",VLOOKUP($E127,武器奇术!$A:$R,4,FALSE),VLOOKUP($E127,武器奇术!$A:$R,2,FALSE))*(1+DF127)*(1+DG127)*DH127</f>
        <v>246.15760565088</v>
      </c>
      <c r="DJ127" s="93">
        <f>(1-IF(VLOOKUP($E127,武器奇术!$A:$R,16,FALSE)="陌刀",1,$N127))*(1-$M127)</f>
        <v>0</v>
      </c>
      <c r="DK127" s="92">
        <f>DD127*IF(VLOOKUP($E127,武器奇术!$A:$R,17,FALSE)="破竹",VLOOKUP($E127,武器奇术!$A:$R,4,FALSE),VLOOKUP($E127,武器奇术!$A:$R,2,FALSE))*(1+DF127)*(1+DG127)*DH127*(1+$E$16+VLOOKUP($E127,武器奇术!$A:$R,8,FALSE))</f>
        <v>856.272658035076</v>
      </c>
      <c r="DL127" s="93">
        <f t="shared" si="104"/>
        <v>0.887</v>
      </c>
      <c r="DM127" s="92">
        <f>DE127*IF(VLOOKUP($E127,武器奇术!$A:$R,17,FALSE)="破竹",VLOOKUP($E127,武器奇术!$A:$R,4,FALSE),VLOOKUP($E127,武器奇术!$A:$R,2,FALSE))*(1+DF127)*(1+DG127)*DH127*(1+$E$17+VLOOKUP($E127,武器奇术!$A:$R,10,FALSE))</f>
        <v>633.408275268014</v>
      </c>
      <c r="DN127" s="93">
        <f t="shared" si="105"/>
        <v>0.0986</v>
      </c>
      <c r="DO127" s="92">
        <f>DD127*IF(VLOOKUP($E127,武器奇术!$A:$R,17,FALSE)="破竹",VLOOKUP($E127,武器奇术!$A:$R,4,FALSE),VLOOKUP($E127,武器奇术!$A:$R,2,FALSE))*(1+DF127)*(1+DG127)*DH127</f>
        <v>357.674460332112</v>
      </c>
      <c r="DP127" s="93">
        <f t="shared" si="106"/>
        <v>0.0144</v>
      </c>
      <c r="DQ127" s="101">
        <f t="shared" si="107"/>
        <v>827.118415847321</v>
      </c>
    </row>
    <row r="128" spans="1:121">
      <c r="A128" s="33"/>
      <c r="B128" s="130" t="s">
        <v>158</v>
      </c>
      <c r="C128">
        <v>0.6</v>
      </c>
      <c r="D128" s="33"/>
      <c r="E128" s="105" t="s">
        <v>213</v>
      </c>
      <c r="F128" s="106">
        <v>2</v>
      </c>
      <c r="G128" s="107">
        <f t="shared" si="116"/>
        <v>0</v>
      </c>
      <c r="H128" s="123">
        <f>IF(VLOOKUP($E128,武器奇术!$A:$R,18,FALSE)="天工",AE128,(AE128+AT128+BI128+BX128+CM128+DB128+DQ128))*(1+J128)*F128*K128*(1+G128)*(1+$G$21*5%)*IF(AND($E$26&lt;12,$E$26&gt;6,$F$26="√"),0.8,1)</f>
        <v>228369.593208288</v>
      </c>
      <c r="I128" s="93">
        <f t="shared" si="117"/>
        <v>0.0292958722721106</v>
      </c>
      <c r="J128" s="93">
        <f>$F$3+VLOOKUP($E128,武器奇术!$A:$R,12,FALSE)+VLOOKUP($E128,武器奇术!$A:$R,14,FALSE)*$G$3+$P128</f>
        <v>0.813</v>
      </c>
      <c r="K128" s="94">
        <f>VLOOKUP($E128,武器奇术!$A:$R,11,FALSE)</f>
        <v>1</v>
      </c>
      <c r="L128" s="109">
        <f>IF(VLOOKUP($E128,武器奇术!$A:$R,15,FALSE)="天工",0%,IF($C$17+VLOOKUP($E128,武器奇术!$A:$R,7,FALSE)&gt;80%,80%,$C$17+VLOOKUP($E128,武器奇术!$A:$R,7,FALSE))+IF($C$19&gt;20%,20%,$C$19))</f>
        <v>0.887</v>
      </c>
      <c r="M128" s="110">
        <f>IF(VLOOKUP($E128,武器奇术!$A:$R,15,FALSE)="天工",0%,IF($C$18+VLOOKUP($E128,武器奇术!$A:$R,9,FALSE)&gt;40%,40%,$C$18+VLOOKUP($E128,武器奇术!$A:$R,9,FALSE))+IF($C$20&gt;10%,10%,$C$20))</f>
        <v>0.0986</v>
      </c>
      <c r="N128" s="111">
        <f>IF(VLOOKUP($E128,武器奇术!$A:$R,15,FALSE)="天工",100%,MIN($C$16,1))</f>
        <v>1</v>
      </c>
      <c r="O128" s="112" t="str">
        <f>VLOOKUP($E128,武器奇术!$A:$R,16,FALSE)</f>
        <v>双刀</v>
      </c>
      <c r="P128" s="113">
        <f t="shared" si="108"/>
        <v>0.17</v>
      </c>
      <c r="Q128" s="99">
        <f>$B$5*(1+VLOOKUP($E128,武器奇术!$A:$R,5,FALSE)+IF($G$5="飞隼",0.1,0)+IF($G$5="撼天",0.05,0))-$F$9*IF(VLOOKUP($E128,武器奇术!$A:$S,19,FALSE)=1,0.9,1)+IF($I$5="√",160,0)</f>
        <v>2904.2</v>
      </c>
      <c r="R128" s="91">
        <f t="shared" si="118"/>
        <v>2904.2</v>
      </c>
      <c r="S128" s="91">
        <f>MAX($C$5,$B$5)*(1+VLOOKUP($E128,武器奇术!$A:$R,5,FALSE)+IF($G$5="飞隼",0.1,0)+IF($G$5="撼天",0.05,0))-$F$9*IF(VLOOKUP($E128,武器奇术!$A:$S,19,FALSE)=1,0.9,1)+IF($I$5="√",320,0)</f>
        <v>2904.2</v>
      </c>
      <c r="T128" s="93">
        <f>IF(($D$5+VLOOKUP($E128,武器奇术!$A:$R,13,FALSE)+IF($I$3="√",10,0)-VLOOKUP($F$7,目标属性!$A:$R,5,FALSE))&gt;0,($D$5+VLOOKUP($E128,武器奇术!$A:$R,13,FALSE)+IF($I$3="√",10,0)-VLOOKUP($F$7,目标属性!$A:$R,5,FALSE))/200,($D$5+VLOOKUP($E128,武器奇术!$A:$R,13,FALSE)+IF($I$3="√",10,0)-VLOOKUP($F$7,目标属性!$A:$R,5,FALSE))/100)</f>
        <v>0.3925</v>
      </c>
      <c r="U128" s="120">
        <f>$E$5+IF(VLOOKUP($E128,武器奇术!$A:$R,18,FALSE)="鼠鼠",0.24,0)+IF(期望!$G$5="燕归",6/100,0)</f>
        <v>0.06</v>
      </c>
      <c r="V128" s="91">
        <v>1</v>
      </c>
      <c r="W128" s="92">
        <f>Q128*VLOOKUP($E128,武器奇术!$A:$R,2,FALSE)*(1+T128)*(1+U128)*V128</f>
        <v>11949.8144522042</v>
      </c>
      <c r="X128" s="93">
        <f>(1-IF(VLOOKUP($E128,武器奇术!$A:$R,16,FALSE)="陌刀",1,$N128))*(1-$M128)</f>
        <v>0</v>
      </c>
      <c r="Y128" s="92">
        <f>R128*VLOOKUP($E128,武器奇术!$A:$R,2,FALSE)*(1+T128)*(1+U128)*V128*(1+$E$16+VLOOKUP($E128,武器奇术!$A:$R,8,FALSE))</f>
        <v>28607.8557985769</v>
      </c>
      <c r="Z128" s="93">
        <f t="shared" si="119"/>
        <v>0.887</v>
      </c>
      <c r="AA128" s="92">
        <f>S128*VLOOKUP($E128,武器奇术!$A:$R,2,FALSE)*(1+T128)*(1+U128)*V128*(1+$E$17+VLOOKUP($E128,武器奇术!$A:$R,10,FALSE))</f>
        <v>16132.2495104757</v>
      </c>
      <c r="AB128" s="93">
        <f t="shared" si="120"/>
        <v>0.0986</v>
      </c>
      <c r="AC128" s="92">
        <f>R128*VLOOKUP($E128,武器奇术!$A:$R,2,FALSE)*(1+T128)*(1+U128)*V128</f>
        <v>11949.8144522042</v>
      </c>
      <c r="AD128" s="93">
        <f t="shared" si="121"/>
        <v>0.0144</v>
      </c>
      <c r="AE128" s="101">
        <f t="shared" si="122"/>
        <v>27137.8852231824</v>
      </c>
      <c r="AF128" s="102">
        <f>VLOOKUP($E128,武器奇术!$A:$R,3,FALSE)*(1+IF(VLOOKUP($E128,武器奇术!$A:$R,15,FALSE)="武器",$E$15,0))</f>
        <v>1003.86</v>
      </c>
      <c r="AG128" s="92">
        <f t="shared" si="123"/>
        <v>1003.86</v>
      </c>
      <c r="AH128" s="92">
        <f>VLOOKUP($E128,武器奇术!$A:$R,3,FALSE)*(1+IF(VLOOKUP($E128,武器奇术!$A:$R,15,FALSE)="武器",$E$15,0))</f>
        <v>1003.86</v>
      </c>
      <c r="AI128" s="93">
        <f>IF(($D$5+VLOOKUP($E128,武器奇术!$A:$R,13,FALSE)+IF($I$3="√",10,0)-VLOOKUP($F$7,目标属性!$A:$R,5,FALSE))&gt;0,($D$5+VLOOKUP($E128,武器奇术!$A:$R,13,FALSE)+IF($I$3="√",10,0)-VLOOKUP($F$7,目标属性!$A:$R,5,FALSE))/200,($D$5+VLOOKUP($E128,武器奇术!$A:$R,13,FALSE)+IF($I$3="√",10,0)-VLOOKUP($F$7,目标属性!$A:$R,5,FALSE))/100)</f>
        <v>0.3925</v>
      </c>
      <c r="AJ128" s="120">
        <f>$E$5+IF(VLOOKUP($E128,武器奇术!$A:$R,18,FALSE)="鼠鼠",0.24,0)+IF(期望!$G$5="燕归",6/100,0)</f>
        <v>0.06</v>
      </c>
      <c r="AK128" s="91">
        <v>1</v>
      </c>
      <c r="AL128" s="92">
        <f t="shared" si="109"/>
        <v>1481.747553</v>
      </c>
      <c r="AM128" s="93">
        <f>(1-IF(VLOOKUP($E128,武器奇术!$A:$R,16,FALSE)="陌刀",1,$N128))*(1-$M128)</f>
        <v>0</v>
      </c>
      <c r="AN128" s="92">
        <f>AG128*(1+AI128)*(1+AJ128)*AK128*(1+$E$16+VLOOKUP($E128,武器奇术!$A:$R,8,FALSE))</f>
        <v>3547.303641882</v>
      </c>
      <c r="AO128" s="93">
        <f t="shared" si="94"/>
        <v>0.887</v>
      </c>
      <c r="AP128" s="92">
        <f>AH128*(1+AI128)*(1+AJ128)*AK128*(1+$E$17+VLOOKUP($E128,武器奇术!$A:$R,10,FALSE))</f>
        <v>2000.35919655</v>
      </c>
      <c r="AQ128" s="93">
        <f t="shared" si="95"/>
        <v>0.0986</v>
      </c>
      <c r="AR128" s="92">
        <f t="shared" si="124"/>
        <v>1481.747553</v>
      </c>
      <c r="AS128" s="93">
        <f t="shared" si="125"/>
        <v>0.0144</v>
      </c>
      <c r="AT128" s="101">
        <f t="shared" si="126"/>
        <v>3365.03091189236</v>
      </c>
      <c r="AU128" s="99">
        <f>IF(VLOOKUP($E128,武器奇术!$A:$R,18,FALSE)="极乐",0,$B$7*IF($G$5="撼天",1.05,1)+IF(AND(VLOOKUP($E128,武器奇术!$A:$R,15,FALSE)="武器",VLOOKUP($E128,武器奇术!$A:$R,17,FALSE)="鸣金"),$E$3*(1+$E$15),0))</f>
        <v>0</v>
      </c>
      <c r="AV128" s="91">
        <f t="shared" si="127"/>
        <v>0</v>
      </c>
      <c r="AW128" s="91">
        <f>IF(VLOOKUP($E128,武器奇术!$A:$R,18,FALSE)="极乐",0,MAX($C$7*IF($G$5="撼天",1.05,1)+IF(AND(VLOOKUP($E128,武器奇术!$A:$R,15,FALSE)="武器",VLOOKUP($E128,武器奇术!$A:$R,17,FALSE)="鸣金"),$E$3*(1+$E$15),0),AU128))</f>
        <v>0</v>
      </c>
      <c r="AX128" s="93">
        <f>IF(($D$7+IF(VLOOKUP($E128,武器奇术!$A:$R,17,FALSE)="鸣金",$D$15,0)-VLOOKUP($F$7,目标属性!$A:$R,6,FALSE))&gt;0,($D$7+IF(VLOOKUP($E128,武器奇术!$A:$R,17,FALSE)="鸣金",$D$15,0)-VLOOKUP($F$7,目标属性!$A:$R,6,FALSE))/200,($D$7+IF(VLOOKUP($E128,武器奇术!$A:$R,17,FALSE)="鸣金",$D$15,0)-VLOOKUP($F$7,目标属性!$A:$R,6,FALSE))/100)</f>
        <v>-0.24</v>
      </c>
      <c r="AY128" s="100">
        <f t="shared" si="89"/>
        <v>0</v>
      </c>
      <c r="AZ128" s="91">
        <v>1</v>
      </c>
      <c r="BA128" s="92">
        <f>AU128*IF(VLOOKUP($E128,武器奇术!$A:$R,17,FALSE)="鸣金",VLOOKUP($E128,武器奇术!$A:$R,4,FALSE),VLOOKUP($E128,武器奇术!$A:$R,2,FALSE))*(1+AX128)*(1+AY128)*AZ128</f>
        <v>0</v>
      </c>
      <c r="BB128" s="93">
        <f>(1-IF(VLOOKUP($E128,武器奇术!$A:$R,16,FALSE)="陌刀",1,$N128))*(1-$M128)</f>
        <v>0</v>
      </c>
      <c r="BC128" s="92">
        <f>AV128*IF(VLOOKUP($E128,武器奇术!$A:$R,17,FALSE)="鸣金",VLOOKUP($E128,武器奇术!$A:$R,4,FALSE),VLOOKUP($E128,武器奇术!$A:$R,2,FALSE))*(1+AX128)*(1+AY128)*AZ128*(1+$E$16+VLOOKUP($E128,武器奇术!$A:$R,8,FALSE))</f>
        <v>0</v>
      </c>
      <c r="BD128" s="93">
        <f t="shared" si="96"/>
        <v>0.887</v>
      </c>
      <c r="BE128" s="92">
        <f>AW128*IF(VLOOKUP($E128,武器奇术!$A:$R,17,FALSE)="鸣金",VLOOKUP($E128,武器奇术!$A:$R,4,FALSE),VLOOKUP($E128,武器奇术!$A:$R,2,FALSE))*(1+AX128)*(1+AY128)*AZ128*(1+$E$17+VLOOKUP($E128,武器奇术!$A:$R,10,FALSE))</f>
        <v>0</v>
      </c>
      <c r="BF128" s="93">
        <f t="shared" si="97"/>
        <v>0.0986</v>
      </c>
      <c r="BG128" s="92">
        <f>AV128*IF(VLOOKUP($E128,武器奇术!$A:$R,17,FALSE)="鸣金",VLOOKUP($E128,武器奇术!$A:$R,4,FALSE),VLOOKUP($E128,武器奇术!$A:$R,2,FALSE))*(1+AX128)*(1+AY128)*AZ128</f>
        <v>0</v>
      </c>
      <c r="BH128" s="93">
        <f t="shared" si="128"/>
        <v>0.0144</v>
      </c>
      <c r="BI128" s="101">
        <f t="shared" si="129"/>
        <v>0</v>
      </c>
      <c r="BJ128" s="99">
        <f>IF(VLOOKUP($E128,武器奇术!$A:$R,18,FALSE)="极乐",0,$B$9*IF($G$5="撼天",1.05,1)+IF(AND(VLOOKUP($E128,武器奇术!$A:$R,15,FALSE)="武器",VLOOKUP($E128,武器奇术!$A:$R,17,FALSE)="裂石"),$E$3*(1+$E$15),0))</f>
        <v>0</v>
      </c>
      <c r="BK128" s="91">
        <f t="shared" si="130"/>
        <v>0</v>
      </c>
      <c r="BL128" s="91">
        <f>IF(VLOOKUP($E128,武器奇术!$A:$R,18,FALSE)="极乐",0,MAX($C$9*IF($G$5="撼天",1.05,1)+IF(AND(VLOOKUP($E128,武器奇术!$A:$R,15,FALSE)="武器",VLOOKUP($E128,武器奇术!$A:$R,17,FALSE)="裂石"),$E$3*(1+$E$15),0),BJ128))</f>
        <v>0</v>
      </c>
      <c r="BM128" s="93">
        <f>IF(($D$9+IF(VLOOKUP($E128,武器奇术!$A:$R,17,FALSE)="裂石",$D$15,0)-VLOOKUP($F$7,目标属性!$A:$R,6,FALSE))&gt;0,($D$9+IF(VLOOKUP($E128,武器奇术!$A:$R,17,FALSE)="裂石",$D$15,0)-VLOOKUP($F$7,目标属性!$A:$R,6,FALSE))/200,($D$9+IF(VLOOKUP($E128,武器奇术!$A:$R,17,FALSE)="裂石",$D$15,0)-VLOOKUP($F$7,目标属性!$A:$R,6,FALSE))/100)</f>
        <v>-0.24</v>
      </c>
      <c r="BN128" s="100">
        <f t="shared" si="90"/>
        <v>0</v>
      </c>
      <c r="BO128" s="91">
        <v>1</v>
      </c>
      <c r="BP128" s="92">
        <f>BJ128*IF(VLOOKUP($E128,武器奇术!$A:$R,17,FALSE)="裂石",VLOOKUP($E128,武器奇术!$A:$R,4,FALSE),VLOOKUP($E128,武器奇术!$A:$R,2,FALSE))*(1+BM128)*(1+BN128)*BO128</f>
        <v>0</v>
      </c>
      <c r="BQ128" s="93">
        <f>(1-IF(VLOOKUP($E128,武器奇术!$A:$R,16,FALSE)="陌刀",1,$N128))*(1-$M128)</f>
        <v>0</v>
      </c>
      <c r="BR128" s="92">
        <f>BK128*IF(VLOOKUP($E128,武器奇术!$A:$R,17,FALSE)="裂石",VLOOKUP($E128,武器奇术!$A:$R,4,FALSE),VLOOKUP($E128,武器奇术!$A:$R,2,FALSE))*(1+BM128)*(1+BN128)*BO128*(1+$E$16+VLOOKUP($E128,武器奇术!$A:$R,8,FALSE))</f>
        <v>0</v>
      </c>
      <c r="BS128" s="93">
        <f t="shared" si="98"/>
        <v>0.887</v>
      </c>
      <c r="BT128" s="92">
        <f>BL128*IF(VLOOKUP($E128,武器奇术!$A:$R,17,FALSE)="裂石",VLOOKUP($E128,武器奇术!$A:$R,4,FALSE),VLOOKUP($E128,武器奇术!$A:$R,2,FALSE))*(1+BM128)*(1+BN128)*BO128*(1+$E$17+VLOOKUP($E128,武器奇术!$A:$R,10,FALSE))</f>
        <v>0</v>
      </c>
      <c r="BU128" s="93">
        <f t="shared" si="99"/>
        <v>0.0986</v>
      </c>
      <c r="BV128" s="92">
        <f>BK128*IF(VLOOKUP($E128,武器奇术!$A:$R,17,FALSE)="裂石",VLOOKUP($E128,武器奇术!$A:$R,4,FALSE),VLOOKUP($E128,武器奇术!$A:$R,2,FALSE))*(1+BM128)*(1+BN128)*BO128</f>
        <v>0</v>
      </c>
      <c r="BW128" s="93">
        <f t="shared" si="131"/>
        <v>0.0144</v>
      </c>
      <c r="BX128" s="101">
        <f t="shared" si="132"/>
        <v>0</v>
      </c>
      <c r="BY128" s="99">
        <f>IF(VLOOKUP($E128,武器奇术!$A:$R,18,FALSE)="极乐",0,$B$11*IF($G$5="撼天",1.05,1)+IF(AND(VLOOKUP($E128,武器奇术!$A:$R,15,FALSE)="武器",VLOOKUP($E128,武器奇术!$A:$R,17,FALSE)="牵丝"),$E$3*(1+$E$15),0))</f>
        <v>0</v>
      </c>
      <c r="BZ128" s="91">
        <f t="shared" si="133"/>
        <v>0</v>
      </c>
      <c r="CA128" s="91">
        <f>IF(VLOOKUP($E128,武器奇术!$A:$R,18,FALSE)="极乐",0,MAX($C$11*IF($G$5="撼天",1.05,1)+IF(AND(VLOOKUP($E128,武器奇术!$A:$R,15,FALSE)="武器",VLOOKUP($E128,武器奇术!$A:$R,17,FALSE)="牵丝"),$E$3*(1+$E$15),0),BY128))</f>
        <v>0</v>
      </c>
      <c r="CB128" s="93">
        <f>IF(($D$11+IF(VLOOKUP($E128,武器奇术!$A:$R,17,FALSE)="牵丝",$D$15,0)-VLOOKUP($F$7,目标属性!$A:$R,6,FALSE))&gt;0,($D$11+IF(VLOOKUP($E128,武器奇术!$A:$R,17,FALSE)="牵丝",$D$15,0)-VLOOKUP($F$7,目标属性!$A:$R,6,FALSE))/200,($D$11+IF(VLOOKUP($E128,武器奇术!$A:$R,17,FALSE)="牵丝",$D$15,0)-VLOOKUP($F$7,目标属性!$A:$R,6,FALSE))/100)</f>
        <v>-0.24</v>
      </c>
      <c r="CC128" s="100">
        <f t="shared" si="91"/>
        <v>0</v>
      </c>
      <c r="CD128" s="91">
        <v>1</v>
      </c>
      <c r="CE128" s="92">
        <f>BY128*IF(VLOOKUP($E128,武器奇术!$A:$R,17,FALSE)="牵丝",VLOOKUP($E128,武器奇术!$A:$R,4,FALSE),VLOOKUP($E128,武器奇术!$A:$R,2,FALSE))*(1+CB128)*(1+CC128)*CD128</f>
        <v>0</v>
      </c>
      <c r="CF128" s="93">
        <f>(1-IF(VLOOKUP($E128,武器奇术!$A:$R,16,FALSE)="陌刀",1,$N128))*(1-$M128)</f>
        <v>0</v>
      </c>
      <c r="CG128" s="92">
        <f>BZ128*IF(VLOOKUP($E128,武器奇术!$A:$R,17,FALSE)="牵丝",VLOOKUP($E128,武器奇术!$A:$R,4,FALSE),VLOOKUP($E128,武器奇术!$A:$R,2,FALSE))*(1+CB128)*(1+CC128)*CD128*(1+$E$16+VLOOKUP($E128,武器奇术!$A:$R,8,FALSE))</f>
        <v>0</v>
      </c>
      <c r="CH128" s="93">
        <f t="shared" si="100"/>
        <v>0.887</v>
      </c>
      <c r="CI128" s="92">
        <f>CA128*IF(VLOOKUP($E128,武器奇术!$A:$R,17,FALSE)="牵丝",VLOOKUP($E128,武器奇术!$A:$R,4,FALSE),VLOOKUP($E128,武器奇术!$A:$R,2,FALSE))*(1+CB128)*(1+CC128)*CD128*(1+$E$17+VLOOKUP($E128,武器奇术!$A:$R,10,FALSE))</f>
        <v>0</v>
      </c>
      <c r="CJ128" s="93">
        <f t="shared" si="101"/>
        <v>0.0986</v>
      </c>
      <c r="CK128" s="92">
        <f>BZ128*IF(VLOOKUP($E128,武器奇术!$A:$R,17,FALSE)="牵丝",VLOOKUP($E128,武器奇术!$A:$R,4,FALSE),VLOOKUP($E128,武器奇术!$A:$R,2,FALSE))*(1+CB128)*(1+CC128)*CD128</f>
        <v>0</v>
      </c>
      <c r="CL128" s="93">
        <f t="shared" si="134"/>
        <v>0.0144</v>
      </c>
      <c r="CM128" s="101">
        <f t="shared" si="135"/>
        <v>0</v>
      </c>
      <c r="CN128" s="99">
        <f>IF(VLOOKUP($E128,武器奇术!$A:$R,18,FALSE)="极乐",0,$B$13*IF($G$5="撼天",1.05,1)+IF(AND(VLOOKUP($E128,武器奇术!$A:$R,15,FALSE)="武器",VLOOKUP($E128,武器奇术!$A:$R,17,FALSE)="破竹"),$E$3*(1+$E$15),0))</f>
        <v>686.71</v>
      </c>
      <c r="CO128" s="91">
        <f t="shared" si="136"/>
        <v>1052.21</v>
      </c>
      <c r="CP128" s="91">
        <f>IF(VLOOKUP($E128,武器奇术!$A:$R,18,FALSE)="极乐",0,MAX($C$13*IF($G$5="撼天",1.05,1)+IF(AND(VLOOKUP($E128,武器奇术!$A:$R,15,FALSE)="武器",VLOOKUP($E128,武器奇术!$A:$R,17,FALSE)="破竹"),$E$3*(1+$E$15),0),CN128))</f>
        <v>1417.71</v>
      </c>
      <c r="CQ128" s="93">
        <f>IF(($D$13+IF(VLOOKUP($E128,武器奇术!$A:$R,17,FALSE)="破竹",$D$15,0)-VLOOKUP($F$7,目标属性!$A:$R,6,FALSE)+IF(VLOOKUP($E128,武器奇术!$A:$V,22,FALSE)=1,4,0)+IF(VLOOKUP($E128,武器奇术!$A:$T,20,FALSE)=1,10,0))&gt;0,($D$13+IF(VLOOKUP($E128,武器奇术!$A:$R,17,FALSE)="破竹",$D$15,0)-VLOOKUP($F$7,目标属性!$A:$R,6,FALSE)+IF(VLOOKUP($E128,武器奇术!$A:$V,22,FALSE)=1,4,0)+IF(VLOOKUP($E128,武器奇术!$A:$T,20,FALSE)=1,10,0))/200,($D$13+IF(VLOOKUP($E128,武器奇术!$A:$R,17,FALSE)="破竹",$D$15,0)-VLOOKUP($F$7,目标属性!$A:$R,6,FALSE)+IF(VLOOKUP($E128,武器奇术!$A:$V,22,FALSE)=1,4,0)+IF(VLOOKUP($E128,武器奇术!$A:$T,20,FALSE)=1,10,0))/100)</f>
        <v>0.078</v>
      </c>
      <c r="CR128" s="120">
        <f>$E$13+IF(期望!$G$5="燕归",6%,0)</f>
        <v>0.208</v>
      </c>
      <c r="CS128" s="91">
        <v>1</v>
      </c>
      <c r="CT128" s="92">
        <f>CN128*IF(VLOOKUP($E128,武器奇术!$A:$R,17,FALSE)="破竹",VLOOKUP($E128,武器奇术!$A:$R,4,FALSE),VLOOKUP($E128,武器奇术!$A:$R,2,FALSE))*(1+CQ128)*(1+CR128)*CS128</f>
        <v>3739.14642622801</v>
      </c>
      <c r="CU128" s="93">
        <f>(1-IF(VLOOKUP($E128,武器奇术!$A:$R,16,FALSE)="陌刀",1,$N128))*(1-$M128)</f>
        <v>0</v>
      </c>
      <c r="CV128" s="92">
        <f>CO128*IF(VLOOKUP($E128,武器奇术!$A:$R,17,FALSE)="破竹",VLOOKUP($E128,武器奇术!$A:$R,4,FALSE),VLOOKUP($E128,武器奇术!$A:$R,2,FALSE))*(1+CQ128)*(1+CR128)*CS128*(1+$E$16+VLOOKUP($E128,武器奇术!$A:$R,8,FALSE))</f>
        <v>13715.9430082167</v>
      </c>
      <c r="CW128" s="93">
        <f t="shared" si="102"/>
        <v>0.887</v>
      </c>
      <c r="CX128" s="92">
        <f>CP128*IF(VLOOKUP($E128,武器奇术!$A:$R,17,FALSE)="破竹",VLOOKUP($E128,武器奇术!$A:$R,4,FALSE),VLOOKUP($E128,武器奇术!$A:$R,2,FALSE))*(1+CQ128)*(1+CR128)*CS128*(1+$E$17+VLOOKUP($E128,武器奇术!$A:$R,10,FALSE))</f>
        <v>10421.2609804756</v>
      </c>
      <c r="CY128" s="93">
        <f t="shared" si="103"/>
        <v>0.0986</v>
      </c>
      <c r="CZ128" s="92">
        <f>CO128*IF(VLOOKUP($E128,武器奇术!$A:$R,17,FALSE)="破竹",VLOOKUP($E128,武器奇术!$A:$R,4,FALSE),VLOOKUP($E128,武器奇术!$A:$R,2,FALSE))*(1+CQ128)*(1+CR128)*CS128</f>
        <v>5729.29950217905</v>
      </c>
      <c r="DA128" s="93">
        <f t="shared" si="137"/>
        <v>0.0144</v>
      </c>
      <c r="DB128" s="101">
        <f t="shared" si="138"/>
        <v>13276.0796937945</v>
      </c>
      <c r="DC128" s="99">
        <f>IF(VLOOKUP($E128,武器奇术!$A:$R,18,FALSE)="极乐",0,$B$15)</f>
        <v>66</v>
      </c>
      <c r="DD128" s="91">
        <f t="shared" si="111"/>
        <v>95.9</v>
      </c>
      <c r="DE128" s="91">
        <f>IF(VLOOKUP($E128,武器奇术!$A:$R,18,FALSE)="极乐",0,$C$15)</f>
        <v>125.8</v>
      </c>
      <c r="DF128" s="93">
        <f>IF((IF(VLOOKUP($E128,武器奇术!$A:$R,17,FALSE)="鸣金",$D$7,0)+IF(VLOOKUP($E128,武器奇术!$A:$R,17,FALSE)="裂石",$D$9,0)+IF(VLOOKUP($E128,武器奇术!$A:$R,17,FALSE)="牵丝",$D$11,0)+IF(VLOOKUP($E128,武器奇术!$A:$R,17,FALSE)="破竹",$D$13,0)+$D$15-VLOOKUP($F$7,目标属性!$A:$R,6,FALSE)+IF(VLOOKUP($E128,武器奇术!$A:$V,22,FALSE)=1,4,0)+IF(VLOOKUP($E128,武器奇术!$A:$T,20,FALSE)=1,10,0))&gt;0,(IF(VLOOKUP($E128,武器奇术!$A:$R,17,FALSE)="鸣金",$D$7,0)+IF(VLOOKUP($E128,武器奇术!$A:$R,17,FALSE)="裂石",$D$9,0)+IF(VLOOKUP($E128,武器奇术!$A:$R,17,FALSE)="牵丝",$D$11,0)+IF(VLOOKUP($E128,武器奇术!$A:$R,17,FALSE)="破竹",$D$13,0)+$D$15-VLOOKUP($F$7,目标属性!$A:$R,6,FALSE)+IF(VLOOKUP($E128,武器奇术!$A:$V,22,FALSE)=1,4,0)+IF(VLOOKUP($E128,武器奇术!$A:$T,20,FALSE)=1,10,0))/200,(IF(VLOOKUP($E128,武器奇术!$A:$R,17,FALSE)="鸣金",$D$7,0)+IF(VLOOKUP($E128,武器奇术!$A:$R,17,FALSE)="裂石",$D$9,0)+IF(VLOOKUP($E128,武器奇术!$A:$R,17,FALSE)="牵丝",$D$11,0)+IF(VLOOKUP($E128,武器奇术!$A:$R,17,FALSE)="破竹",$D$13,0)+$D$15-VLOOKUP($F$7,目标属性!$A:$R,6,FALSE)+IF(VLOOKUP($E128,武器奇术!$A:$V,22,FALSE)=1,4,0)+IF(VLOOKUP($E128,武器奇术!$A:$T,20,FALSE)=1,10,0))/100)</f>
        <v>0.078</v>
      </c>
      <c r="DG128" s="120">
        <f>$E$13+IF(期望!$G$5="燕归",6%,0)</f>
        <v>0.208</v>
      </c>
      <c r="DH128" s="91">
        <v>1</v>
      </c>
      <c r="DI128" s="92">
        <f>DC128*IF(VLOOKUP($E128,武器奇术!$A:$R,17,FALSE)="破竹",VLOOKUP($E128,武器奇术!$A:$R,4,FALSE),VLOOKUP($E128,武器奇术!$A:$R,2,FALSE))*(1+DF128)*(1+DG128)*DH128</f>
        <v>359.37100687488</v>
      </c>
      <c r="DJ128" s="93">
        <f>(1-IF(VLOOKUP($E128,武器奇术!$A:$R,16,FALSE)="陌刀",1,$N128))*(1-$M128)</f>
        <v>0</v>
      </c>
      <c r="DK128" s="92">
        <f>DD128*IF(VLOOKUP($E128,武器奇术!$A:$R,17,FALSE)="破竹",VLOOKUP($E128,武器奇术!$A:$R,4,FALSE),VLOOKUP($E128,武器奇术!$A:$R,2,FALSE))*(1+DF128)*(1+DG128)*DH128*(1+$E$16+VLOOKUP($E128,武器奇术!$A:$R,8,FALSE))</f>
        <v>1250.09164946919</v>
      </c>
      <c r="DL128" s="93">
        <f t="shared" si="104"/>
        <v>0.887</v>
      </c>
      <c r="DM128" s="92">
        <f>DE128*IF(VLOOKUP($E128,武器奇术!$A:$R,17,FALSE)="破竹",VLOOKUP($E128,武器奇术!$A:$R,4,FALSE),VLOOKUP($E128,武器奇术!$A:$R,2,FALSE))*(1+DF128)*(1+DG128)*DH128*(1+$E$17+VLOOKUP($E128,武器奇术!$A:$R,10,FALSE))</f>
        <v>924.726940872135</v>
      </c>
      <c r="DN128" s="93">
        <f t="shared" si="105"/>
        <v>0.0986</v>
      </c>
      <c r="DO128" s="92">
        <f>DD128*IF(VLOOKUP($E128,武器奇术!$A:$R,17,FALSE)="破竹",VLOOKUP($E128,武器奇术!$A:$R,4,FALSE),VLOOKUP($E128,武器奇术!$A:$R,2,FALSE))*(1+DF128)*(1+DG128)*DH128</f>
        <v>522.176963019712</v>
      </c>
      <c r="DP128" s="93">
        <f t="shared" si="106"/>
        <v>0.0144</v>
      </c>
      <c r="DQ128" s="101">
        <f t="shared" si="107"/>
        <v>1207.52871771665</v>
      </c>
    </row>
    <row r="129" spans="1:121">
      <c r="A129" s="33"/>
      <c r="B129" s="130">
        <v>1234</v>
      </c>
      <c r="C129">
        <v>2.4</v>
      </c>
      <c r="D129" s="33"/>
      <c r="E129" s="105" t="s">
        <v>214</v>
      </c>
      <c r="F129" s="106">
        <f>SUM(F124:F127)+F128*3+8</f>
        <v>22</v>
      </c>
      <c r="G129" s="107">
        <f>$E$23</f>
        <v>0.32</v>
      </c>
      <c r="H129" s="131">
        <f>IF(VLOOKUP($E129,武器奇术!$A:$R,18,FALSE)="天工",AE129,(AE129+AT129+BI129+BX129+CM129+DB129+DQ129))*(1+J129)*F129*K129*(1+G129)*(1+$G$21*5%)</f>
        <v>588798.588504399</v>
      </c>
      <c r="I129" s="93">
        <f t="shared" si="117"/>
        <v>0.0755326836663903</v>
      </c>
      <c r="J129" s="93">
        <f>$F$3+VLOOKUP($E129,武器奇术!$A:$R,12,FALSE)+VLOOKUP($E129,武器奇术!$A:$R,14,FALSE)*$G$3+$P129</f>
        <v>1.613</v>
      </c>
      <c r="K129" s="94">
        <f>VLOOKUP($E129,武器奇术!$A:$R,11,FALSE)</f>
        <v>1</v>
      </c>
      <c r="L129" s="109">
        <f>IF(VLOOKUP($E129,武器奇术!$A:$R,15,FALSE)="天工",0%,IF($C$17+VLOOKUP($E129,武器奇术!$A:$R,7,FALSE)&gt;80%,80%,$C$17+VLOOKUP($E129,武器奇术!$A:$R,7,FALSE))+IF($C$19&gt;20%,20%,$C$19))</f>
        <v>0.887</v>
      </c>
      <c r="M129" s="110">
        <f>IF(VLOOKUP($E129,武器奇术!$A:$R,15,FALSE)="天工",0%,IF($C$18+VLOOKUP($E129,武器奇术!$A:$R,9,FALSE)&gt;40%,40%,$C$18+VLOOKUP($E129,武器奇术!$A:$R,9,FALSE))+IF($C$20&gt;10%,10%,$C$20))</f>
        <v>0.0986</v>
      </c>
      <c r="N129" s="111">
        <f>IF(VLOOKUP($E129,武器奇术!$A:$R,15,FALSE)="天工",100%,MIN($C$16,1))</f>
        <v>1</v>
      </c>
      <c r="O129" s="112" t="str">
        <f>VLOOKUP($E129,武器奇术!$A:$R,16,FALSE)</f>
        <v>绳标</v>
      </c>
      <c r="P129" s="113">
        <f t="shared" si="108"/>
        <v>0.17</v>
      </c>
      <c r="Q129" s="99">
        <f>$B$5*(1+VLOOKUP($E129,武器奇术!$A:$R,5,FALSE)+IF($G$5="飞隼",0.1,0)+IF($G$5="撼天",0.05,0))-$F$9*IF(VLOOKUP($E129,武器奇术!$A:$S,19,FALSE)=1,0.9,1)+IF($I$5="√",160,0)</f>
        <v>2848.3</v>
      </c>
      <c r="R129" s="91">
        <f t="shared" si="118"/>
        <v>2848.3</v>
      </c>
      <c r="S129" s="91">
        <f>MAX($C$5,$B$5)*(1+VLOOKUP($E129,武器奇术!$A:$R,5,FALSE)+IF($G$5="飞隼",0.1,0)+IF($G$5="撼天",0.05,0))-$F$9*IF(VLOOKUP($E129,武器奇术!$A:$S,19,FALSE)=1,0.9,1)+IF($I$5="√",320,0)</f>
        <v>2848.3</v>
      </c>
      <c r="T129" s="93">
        <f>IF(($D$5+VLOOKUP($E129,武器奇术!$A:$R,13,FALSE)+IF($I$3="√",10,0)-VLOOKUP($F$7,目标属性!$A:$R,5,FALSE))&gt;0,($D$5+VLOOKUP($E129,武器奇术!$A:$R,13,FALSE)+IF($I$3="√",10,0)-VLOOKUP($F$7,目标属性!$A:$R,5,FALSE))/200,($D$5+VLOOKUP($E129,武器奇术!$A:$R,13,FALSE)+IF($I$3="√",10,0)-VLOOKUP($F$7,目标属性!$A:$R,5,FALSE))/100)</f>
        <v>0.3925</v>
      </c>
      <c r="U129" s="120">
        <f>$E$5+IF(VLOOKUP($E129,武器奇术!$A:$R,18,FALSE)="鼠鼠",0.24,0)+IF(期望!$G$5="燕归",6/100,0)</f>
        <v>0.3</v>
      </c>
      <c r="V129" s="91">
        <v>1</v>
      </c>
      <c r="W129" s="92">
        <f>Q129*VLOOKUP($E129,武器奇术!$A:$R,2,FALSE)*(1+T129)*(1+U129)*V129</f>
        <v>1804.64727625</v>
      </c>
      <c r="X129" s="93">
        <f>(1-IF(VLOOKUP($E129,武器奇术!$A:$R,16,FALSE)="陌刀",1,$N129))*(1-$M129)</f>
        <v>0</v>
      </c>
      <c r="Y129" s="92">
        <f>R129*VLOOKUP($E129,武器奇术!$A:$R,2,FALSE)*(1+T129)*(1+U129)*V129*(1+$E$16+VLOOKUP($E129,武器奇术!$A:$R,8,FALSE))</f>
        <v>4320.3255793425</v>
      </c>
      <c r="Z129" s="93">
        <f t="shared" si="119"/>
        <v>0.887</v>
      </c>
      <c r="AA129" s="92">
        <f>S129*VLOOKUP($E129,武器奇术!$A:$R,2,FALSE)*(1+T129)*(1+U129)*V129*(1+$E$17+VLOOKUP($E129,武器奇术!$A:$R,10,FALSE))</f>
        <v>2436.2738229375</v>
      </c>
      <c r="AB129" s="93">
        <f t="shared" si="120"/>
        <v>0.0986</v>
      </c>
      <c r="AC129" s="92">
        <f>R129*VLOOKUP($E129,武器奇术!$A:$R,2,FALSE)*(1+T129)*(1+U129)*V129</f>
        <v>1804.64727625</v>
      </c>
      <c r="AD129" s="93">
        <f t="shared" si="121"/>
        <v>0.0144</v>
      </c>
      <c r="AE129" s="101">
        <f t="shared" si="122"/>
        <v>4098.33230859643</v>
      </c>
      <c r="AF129" s="102">
        <f>VLOOKUP($E129,武器奇术!$A:$R,3,FALSE)*(1+IF(VLOOKUP($E129,武器奇术!$A:$R,15,FALSE)="武器",$E$15,0))</f>
        <v>0</v>
      </c>
      <c r="AG129" s="92">
        <f t="shared" si="123"/>
        <v>0</v>
      </c>
      <c r="AH129" s="92">
        <f>VLOOKUP($E129,武器奇术!$A:$R,3,FALSE)*(1+IF(VLOOKUP($E129,武器奇术!$A:$R,15,FALSE)="武器",$E$15,0))</f>
        <v>0</v>
      </c>
      <c r="AI129" s="93">
        <f>IF(($D$5+VLOOKUP($E129,武器奇术!$A:$R,13,FALSE)+IF($I$3="√",10,0)-VLOOKUP($F$7,目标属性!$A:$R,5,FALSE))&gt;0,($D$5+VLOOKUP($E129,武器奇术!$A:$R,13,FALSE)+IF($I$3="√",10,0)-VLOOKUP($F$7,目标属性!$A:$R,5,FALSE))/200,($D$5+VLOOKUP($E129,武器奇术!$A:$R,13,FALSE)+IF($I$3="√",10,0)-VLOOKUP($F$7,目标属性!$A:$R,5,FALSE))/100)</f>
        <v>0.3925</v>
      </c>
      <c r="AJ129" s="120">
        <f>$E$5+IF(VLOOKUP($E129,武器奇术!$A:$R,18,FALSE)="鼠鼠",0.24,0)+IF(期望!$G$5="燕归",6/100,0)</f>
        <v>0.3</v>
      </c>
      <c r="AK129" s="91">
        <v>1</v>
      </c>
      <c r="AL129" s="92">
        <f t="shared" si="109"/>
        <v>0</v>
      </c>
      <c r="AM129" s="93">
        <f>(1-IF(VLOOKUP($E129,武器奇术!$A:$R,16,FALSE)="陌刀",1,$N129))*(1-$M129)</f>
        <v>0</v>
      </c>
      <c r="AN129" s="92">
        <f>AG129*(1+AI129)*(1+AJ129)*AK129*(1+$E$16+VLOOKUP($E129,武器奇术!$A:$R,8,FALSE))</f>
        <v>0</v>
      </c>
      <c r="AO129" s="93">
        <f t="shared" si="94"/>
        <v>0.887</v>
      </c>
      <c r="AP129" s="92">
        <f>AH129*(1+AI129)*(1+AJ129)*AK129*(1+$E$17+VLOOKUP($E129,武器奇术!$A:$R,10,FALSE))</f>
        <v>0</v>
      </c>
      <c r="AQ129" s="93">
        <f t="shared" si="95"/>
        <v>0.0986</v>
      </c>
      <c r="AR129" s="92">
        <f t="shared" si="124"/>
        <v>0</v>
      </c>
      <c r="AS129" s="93">
        <f t="shared" si="125"/>
        <v>0.0144</v>
      </c>
      <c r="AT129" s="101">
        <f t="shared" si="126"/>
        <v>0</v>
      </c>
      <c r="AU129" s="99">
        <f>IF(VLOOKUP($E129,武器奇术!$A:$R,18,FALSE)="极乐",0,$B$7*IF($G$5="撼天",1.05,1)+IF(AND(VLOOKUP($E129,武器奇术!$A:$R,15,FALSE)="武器",VLOOKUP($E129,武器奇术!$A:$R,17,FALSE)="鸣金"),$E$3*(1+$E$15),0))</f>
        <v>0</v>
      </c>
      <c r="AV129" s="91">
        <f t="shared" si="127"/>
        <v>0</v>
      </c>
      <c r="AW129" s="91">
        <f>IF(VLOOKUP($E129,武器奇术!$A:$R,18,FALSE)="极乐",0,MAX($C$7*IF($G$5="撼天",1.05,1)+IF(AND(VLOOKUP($E129,武器奇术!$A:$R,15,FALSE)="武器",VLOOKUP($E129,武器奇术!$A:$R,17,FALSE)="鸣金"),$E$3*(1+$E$15),0),AU129))</f>
        <v>0</v>
      </c>
      <c r="AX129" s="93">
        <f>IF(($D$7+IF(VLOOKUP($E129,武器奇术!$A:$R,17,FALSE)="鸣金",$D$15,0)-VLOOKUP($F$7,目标属性!$A:$R,6,FALSE))&gt;0,($D$7+IF(VLOOKUP($E129,武器奇术!$A:$R,17,FALSE)="鸣金",$D$15,0)-VLOOKUP($F$7,目标属性!$A:$R,6,FALSE))/200,($D$7+IF(VLOOKUP($E129,武器奇术!$A:$R,17,FALSE)="鸣金",$D$15,0)-VLOOKUP($F$7,目标属性!$A:$R,6,FALSE))/100)</f>
        <v>-0.24</v>
      </c>
      <c r="AY129" s="100">
        <f t="shared" si="89"/>
        <v>0</v>
      </c>
      <c r="AZ129" s="91">
        <v>1</v>
      </c>
      <c r="BA129" s="92">
        <f>AU129*IF(VLOOKUP($E129,武器奇术!$A:$R,17,FALSE)="鸣金",VLOOKUP($E129,武器奇术!$A:$R,4,FALSE),VLOOKUP($E129,武器奇术!$A:$R,2,FALSE))*(1+AX129)*(1+AY129)*AZ129</f>
        <v>0</v>
      </c>
      <c r="BB129" s="93">
        <f>(1-IF(VLOOKUP($E129,武器奇术!$A:$R,16,FALSE)="陌刀",1,$N129))*(1-$M129)</f>
        <v>0</v>
      </c>
      <c r="BC129" s="92">
        <f>AV129*IF(VLOOKUP($E129,武器奇术!$A:$R,17,FALSE)="鸣金",VLOOKUP($E129,武器奇术!$A:$R,4,FALSE),VLOOKUP($E129,武器奇术!$A:$R,2,FALSE))*(1+AX129)*(1+AY129)*AZ129*(1+$E$16+VLOOKUP($E129,武器奇术!$A:$R,8,FALSE))</f>
        <v>0</v>
      </c>
      <c r="BD129" s="93">
        <f t="shared" si="96"/>
        <v>0.887</v>
      </c>
      <c r="BE129" s="92">
        <f>AW129*IF(VLOOKUP($E129,武器奇术!$A:$R,17,FALSE)="鸣金",VLOOKUP($E129,武器奇术!$A:$R,4,FALSE),VLOOKUP($E129,武器奇术!$A:$R,2,FALSE))*(1+AX129)*(1+AY129)*AZ129*(1+$E$17+VLOOKUP($E129,武器奇术!$A:$R,10,FALSE))</f>
        <v>0</v>
      </c>
      <c r="BF129" s="93">
        <f t="shared" si="97"/>
        <v>0.0986</v>
      </c>
      <c r="BG129" s="92">
        <f>AV129*IF(VLOOKUP($E129,武器奇术!$A:$R,17,FALSE)="鸣金",VLOOKUP($E129,武器奇术!$A:$R,4,FALSE),VLOOKUP($E129,武器奇术!$A:$R,2,FALSE))*(1+AX129)*(1+AY129)*AZ129</f>
        <v>0</v>
      </c>
      <c r="BH129" s="93">
        <f t="shared" si="128"/>
        <v>0.0144</v>
      </c>
      <c r="BI129" s="101">
        <f t="shared" si="129"/>
        <v>0</v>
      </c>
      <c r="BJ129" s="99">
        <f>IF(VLOOKUP($E129,武器奇术!$A:$R,18,FALSE)="极乐",0,$B$9*IF($G$5="撼天",1.05,1)+IF(AND(VLOOKUP($E129,武器奇术!$A:$R,15,FALSE)="武器",VLOOKUP($E129,武器奇术!$A:$R,17,FALSE)="裂石"),$E$3*(1+$E$15),0))</f>
        <v>0</v>
      </c>
      <c r="BK129" s="91">
        <f t="shared" si="130"/>
        <v>0</v>
      </c>
      <c r="BL129" s="91">
        <f>IF(VLOOKUP($E129,武器奇术!$A:$R,18,FALSE)="极乐",0,MAX($C$9*IF($G$5="撼天",1.05,1)+IF(AND(VLOOKUP($E129,武器奇术!$A:$R,15,FALSE)="武器",VLOOKUP($E129,武器奇术!$A:$R,17,FALSE)="裂石"),$E$3*(1+$E$15),0),BJ129))</f>
        <v>0</v>
      </c>
      <c r="BM129" s="93">
        <f>IF(($D$9+IF(VLOOKUP($E129,武器奇术!$A:$R,17,FALSE)="裂石",$D$15,0)-VLOOKUP($F$7,目标属性!$A:$R,6,FALSE))&gt;0,($D$9+IF(VLOOKUP($E129,武器奇术!$A:$R,17,FALSE)="裂石",$D$15,0)-VLOOKUP($F$7,目标属性!$A:$R,6,FALSE))/200,($D$9+IF(VLOOKUP($E129,武器奇术!$A:$R,17,FALSE)="裂石",$D$15,0)-VLOOKUP($F$7,目标属性!$A:$R,6,FALSE))/100)</f>
        <v>-0.24</v>
      </c>
      <c r="BN129" s="100">
        <f t="shared" si="90"/>
        <v>0</v>
      </c>
      <c r="BO129" s="91">
        <v>1</v>
      </c>
      <c r="BP129" s="92">
        <f>BJ129*IF(VLOOKUP($E129,武器奇术!$A:$R,17,FALSE)="裂石",VLOOKUP($E129,武器奇术!$A:$R,4,FALSE),VLOOKUP($E129,武器奇术!$A:$R,2,FALSE))*(1+BM129)*(1+BN129)*BO129</f>
        <v>0</v>
      </c>
      <c r="BQ129" s="93">
        <f>(1-IF(VLOOKUP($E129,武器奇术!$A:$R,16,FALSE)="陌刀",1,$N129))*(1-$M129)</f>
        <v>0</v>
      </c>
      <c r="BR129" s="92">
        <f>BK129*IF(VLOOKUP($E129,武器奇术!$A:$R,17,FALSE)="裂石",VLOOKUP($E129,武器奇术!$A:$R,4,FALSE),VLOOKUP($E129,武器奇术!$A:$R,2,FALSE))*(1+BM129)*(1+BN129)*BO129*(1+$E$16+VLOOKUP($E129,武器奇术!$A:$R,8,FALSE))</f>
        <v>0</v>
      </c>
      <c r="BS129" s="93">
        <f t="shared" si="98"/>
        <v>0.887</v>
      </c>
      <c r="BT129" s="92">
        <f>BL129*IF(VLOOKUP($E129,武器奇术!$A:$R,17,FALSE)="裂石",VLOOKUP($E129,武器奇术!$A:$R,4,FALSE),VLOOKUP($E129,武器奇术!$A:$R,2,FALSE))*(1+BM129)*(1+BN129)*BO129*(1+$E$17+VLOOKUP($E129,武器奇术!$A:$R,10,FALSE))</f>
        <v>0</v>
      </c>
      <c r="BU129" s="93">
        <f t="shared" si="99"/>
        <v>0.0986</v>
      </c>
      <c r="BV129" s="92">
        <f>BK129*IF(VLOOKUP($E129,武器奇术!$A:$R,17,FALSE)="裂石",VLOOKUP($E129,武器奇术!$A:$R,4,FALSE),VLOOKUP($E129,武器奇术!$A:$R,2,FALSE))*(1+BM129)*(1+BN129)*BO129</f>
        <v>0</v>
      </c>
      <c r="BW129" s="93">
        <f t="shared" si="131"/>
        <v>0.0144</v>
      </c>
      <c r="BX129" s="101">
        <f t="shared" si="132"/>
        <v>0</v>
      </c>
      <c r="BY129" s="99">
        <f>IF(VLOOKUP($E129,武器奇术!$A:$R,18,FALSE)="极乐",0,$B$11*IF($G$5="撼天",1.05,1)+IF(AND(VLOOKUP($E129,武器奇术!$A:$R,15,FALSE)="武器",VLOOKUP($E129,武器奇术!$A:$R,17,FALSE)="牵丝"),$E$3*(1+$E$15),0))</f>
        <v>0</v>
      </c>
      <c r="BZ129" s="91">
        <f t="shared" si="133"/>
        <v>0</v>
      </c>
      <c r="CA129" s="91">
        <f>IF(VLOOKUP($E129,武器奇术!$A:$R,18,FALSE)="极乐",0,MAX($C$11*IF($G$5="撼天",1.05,1)+IF(AND(VLOOKUP($E129,武器奇术!$A:$R,15,FALSE)="武器",VLOOKUP($E129,武器奇术!$A:$R,17,FALSE)="牵丝"),$E$3*(1+$E$15),0),BY129))</f>
        <v>0</v>
      </c>
      <c r="CB129" s="93">
        <f>IF(($D$11+IF(VLOOKUP($E129,武器奇术!$A:$R,17,FALSE)="牵丝",$D$15,0)-VLOOKUP($F$7,目标属性!$A:$R,6,FALSE))&gt;0,($D$11+IF(VLOOKUP($E129,武器奇术!$A:$R,17,FALSE)="牵丝",$D$15,0)-VLOOKUP($F$7,目标属性!$A:$R,6,FALSE))/200,($D$11+IF(VLOOKUP($E129,武器奇术!$A:$R,17,FALSE)="牵丝",$D$15,0)-VLOOKUP($F$7,目标属性!$A:$R,6,FALSE))/100)</f>
        <v>-0.24</v>
      </c>
      <c r="CC129" s="100">
        <f t="shared" si="91"/>
        <v>0</v>
      </c>
      <c r="CD129" s="91">
        <v>1</v>
      </c>
      <c r="CE129" s="92">
        <f>BY129*IF(VLOOKUP($E129,武器奇术!$A:$R,17,FALSE)="牵丝",VLOOKUP($E129,武器奇术!$A:$R,4,FALSE),VLOOKUP($E129,武器奇术!$A:$R,2,FALSE))*(1+CB129)*(1+CC129)*CD129</f>
        <v>0</v>
      </c>
      <c r="CF129" s="93">
        <f>(1-IF(VLOOKUP($E129,武器奇术!$A:$R,16,FALSE)="陌刀",1,$N129))*(1-$M129)</f>
        <v>0</v>
      </c>
      <c r="CG129" s="92">
        <f>BZ129*IF(VLOOKUP($E129,武器奇术!$A:$R,17,FALSE)="牵丝",VLOOKUP($E129,武器奇术!$A:$R,4,FALSE),VLOOKUP($E129,武器奇术!$A:$R,2,FALSE))*(1+CB129)*(1+CC129)*CD129*(1+$E$16+VLOOKUP($E129,武器奇术!$A:$R,8,FALSE))</f>
        <v>0</v>
      </c>
      <c r="CH129" s="93">
        <f t="shared" si="100"/>
        <v>0.887</v>
      </c>
      <c r="CI129" s="92">
        <f>CA129*IF(VLOOKUP($E129,武器奇术!$A:$R,17,FALSE)="牵丝",VLOOKUP($E129,武器奇术!$A:$R,4,FALSE),VLOOKUP($E129,武器奇术!$A:$R,2,FALSE))*(1+CB129)*(1+CC129)*CD129*(1+$E$17+VLOOKUP($E129,武器奇术!$A:$R,10,FALSE))</f>
        <v>0</v>
      </c>
      <c r="CJ129" s="93">
        <f t="shared" si="101"/>
        <v>0.0986</v>
      </c>
      <c r="CK129" s="92">
        <f>BZ129*IF(VLOOKUP($E129,武器奇术!$A:$R,17,FALSE)="牵丝",VLOOKUP($E129,武器奇术!$A:$R,4,FALSE),VLOOKUP($E129,武器奇术!$A:$R,2,FALSE))*(1+CB129)*(1+CC129)*CD129</f>
        <v>0</v>
      </c>
      <c r="CL129" s="93">
        <f t="shared" si="134"/>
        <v>0.0144</v>
      </c>
      <c r="CM129" s="101">
        <f t="shared" si="135"/>
        <v>0</v>
      </c>
      <c r="CN129" s="99">
        <f>IF(VLOOKUP($E129,武器奇术!$A:$R,18,FALSE)="极乐",0,$B$13*IF($G$5="撼天",1.05,1)+IF(AND(VLOOKUP($E129,武器奇术!$A:$R,15,FALSE)="武器",VLOOKUP($E129,武器奇术!$A:$R,17,FALSE)="破竹"),$E$3*(1+$E$15),0))</f>
        <v>490.8</v>
      </c>
      <c r="CO129" s="91">
        <f t="shared" si="136"/>
        <v>856.3</v>
      </c>
      <c r="CP129" s="91">
        <f>IF(VLOOKUP($E129,武器奇术!$A:$R,18,FALSE)="极乐",0,MAX($C$13*IF($G$5="撼天",1.05,1)+IF(AND(VLOOKUP($E129,武器奇术!$A:$R,15,FALSE)="武器",VLOOKUP($E129,武器奇术!$A:$R,17,FALSE)="破竹"),$E$3*(1+$E$15),0),CN129))</f>
        <v>1221.8</v>
      </c>
      <c r="CQ129" s="93">
        <f>IF(($D$13+IF(VLOOKUP($E129,武器奇术!$A:$R,17,FALSE)="破竹",$D$15,0)-VLOOKUP($F$7,目标属性!$A:$R,6,FALSE)+IF(VLOOKUP($E129,武器奇术!$A:$V,22,FALSE)=1,4,0)+IF(VLOOKUP($E129,武器奇术!$A:$T,20,FALSE)=1,10,0))&gt;0,($D$13+IF(VLOOKUP($E129,武器奇术!$A:$R,17,FALSE)="破竹",$D$15,0)-VLOOKUP($F$7,目标属性!$A:$R,6,FALSE)+IF(VLOOKUP($E129,武器奇术!$A:$V,22,FALSE)=1,4,0)+IF(VLOOKUP($E129,武器奇术!$A:$T,20,FALSE)=1,10,0))/200,($D$13+IF(VLOOKUP($E129,武器奇术!$A:$R,17,FALSE)="破竹",$D$15,0)-VLOOKUP($F$7,目标属性!$A:$R,6,FALSE)+IF(VLOOKUP($E129,武器奇术!$A:$V,22,FALSE)=1,4,0)+IF(VLOOKUP($E129,武器奇术!$A:$T,20,FALSE)=1,10,0))/100)</f>
        <v>0.028</v>
      </c>
      <c r="CR129" s="120">
        <f>$E$13+IF(期望!$G$5="燕归",6%,0)</f>
        <v>0.208</v>
      </c>
      <c r="CS129" s="91">
        <v>1</v>
      </c>
      <c r="CT129" s="92">
        <f>CN129*IF(VLOOKUP($E129,武器奇术!$A:$R,17,FALSE)="破竹",VLOOKUP($E129,武器奇术!$A:$R,4,FALSE),VLOOKUP($E129,武器奇术!$A:$R,2,FALSE))*(1+CQ129)*(1+CR129)*CS129</f>
        <v>319.98079008</v>
      </c>
      <c r="CU129" s="93">
        <f>(1-IF(VLOOKUP($E129,武器奇术!$A:$R,16,FALSE)="陌刀",1,$N129))*(1-$M129)</f>
        <v>0</v>
      </c>
      <c r="CV129" s="92">
        <f>CO129*IF(VLOOKUP($E129,武器奇术!$A:$R,17,FALSE)="破竹",VLOOKUP($E129,武器奇术!$A:$R,4,FALSE),VLOOKUP($E129,武器奇术!$A:$R,2,FALSE))*(1+CQ129)*(1+CR129)*CS129*(1+$E$16+VLOOKUP($E129,武器奇术!$A:$R,8,FALSE))</f>
        <v>1336.50147515472</v>
      </c>
      <c r="CW129" s="93">
        <f t="shared" si="102"/>
        <v>0.887</v>
      </c>
      <c r="CX129" s="92">
        <f>CP129*IF(VLOOKUP($E129,武器奇术!$A:$R,17,FALSE)="破竹",VLOOKUP($E129,武器奇术!$A:$R,4,FALSE),VLOOKUP($E129,武器奇术!$A:$R,2,FALSE))*(1+CQ129)*(1+CR129)*CS129*(1+$E$17+VLOOKUP($E129,武器奇术!$A:$R,10,FALSE))</f>
        <v>1075.358424168</v>
      </c>
      <c r="CY129" s="93">
        <f t="shared" si="103"/>
        <v>0.0986</v>
      </c>
      <c r="CZ129" s="92">
        <f>CO129*IF(VLOOKUP($E129,武器奇术!$A:$R,17,FALSE)="破竹",VLOOKUP($E129,武器奇术!$A:$R,4,FALSE),VLOOKUP($E129,武器奇术!$A:$R,2,FALSE))*(1+CQ129)*(1+CR129)*CS129</f>
        <v>558.27129288</v>
      </c>
      <c r="DA129" s="93">
        <f t="shared" si="137"/>
        <v>0.0144</v>
      </c>
      <c r="DB129" s="101">
        <f t="shared" si="138"/>
        <v>1299.54625570267</v>
      </c>
      <c r="DC129" s="99">
        <f>IF(VLOOKUP($E129,武器奇术!$A:$R,18,FALSE)="极乐",0,$B$15)</f>
        <v>66</v>
      </c>
      <c r="DD129" s="91">
        <f t="shared" si="111"/>
        <v>95.9</v>
      </c>
      <c r="DE129" s="91">
        <f>IF(VLOOKUP($E129,武器奇术!$A:$R,18,FALSE)="极乐",0,$C$15)</f>
        <v>125.8</v>
      </c>
      <c r="DF129" s="93">
        <f>IF((IF(VLOOKUP($E129,武器奇术!$A:$R,17,FALSE)="鸣金",$D$7,0)+IF(VLOOKUP($E129,武器奇术!$A:$R,17,FALSE)="裂石",$D$9,0)+IF(VLOOKUP($E129,武器奇术!$A:$R,17,FALSE)="牵丝",$D$11,0)+IF(VLOOKUP($E129,武器奇术!$A:$R,17,FALSE)="破竹",$D$13,0)+$D$15-VLOOKUP($F$7,目标属性!$A:$R,6,FALSE)+IF(VLOOKUP($E129,武器奇术!$A:$V,22,FALSE)=1,4,0)+IF(VLOOKUP($E129,武器奇术!$A:$T,20,FALSE)=1,10,0))&gt;0,(IF(VLOOKUP($E129,武器奇术!$A:$R,17,FALSE)="鸣金",$D$7,0)+IF(VLOOKUP($E129,武器奇术!$A:$R,17,FALSE)="裂石",$D$9,0)+IF(VLOOKUP($E129,武器奇术!$A:$R,17,FALSE)="牵丝",$D$11,0)+IF(VLOOKUP($E129,武器奇术!$A:$R,17,FALSE)="破竹",$D$13,0)+$D$15-VLOOKUP($F$7,目标属性!$A:$R,6,FALSE)+IF(VLOOKUP($E129,武器奇术!$A:$V,22,FALSE)=1,4,0)+IF(VLOOKUP($E129,武器奇术!$A:$T,20,FALSE)=1,10,0))/200,(IF(VLOOKUP($E129,武器奇术!$A:$R,17,FALSE)="鸣金",$D$7,0)+IF(VLOOKUP($E129,武器奇术!$A:$R,17,FALSE)="裂石",$D$9,0)+IF(VLOOKUP($E129,武器奇术!$A:$R,17,FALSE)="牵丝",$D$11,0)+IF(VLOOKUP($E129,武器奇术!$A:$R,17,FALSE)="破竹",$D$13,0)+$D$15-VLOOKUP($F$7,目标属性!$A:$R,6,FALSE)+IF(VLOOKUP($E129,武器奇术!$A:$V,22,FALSE)=1,4,0)+IF(VLOOKUP($E129,武器奇术!$A:$T,20,FALSE)=1,10,0))/100)</f>
        <v>0.028</v>
      </c>
      <c r="DG129" s="120">
        <f>$E$13+IF(期望!$G$5="燕归",6%,0)</f>
        <v>0.208</v>
      </c>
      <c r="DH129" s="91">
        <v>1</v>
      </c>
      <c r="DI129" s="92">
        <f>DC129*IF(VLOOKUP($E129,武器奇术!$A:$R,17,FALSE)="破竹",VLOOKUP($E129,武器奇术!$A:$R,4,FALSE),VLOOKUP($E129,武器奇术!$A:$R,2,FALSE))*(1+DF129)*(1+DG129)*DH129</f>
        <v>43.0292016</v>
      </c>
      <c r="DJ129" s="93">
        <f>(1-IF(VLOOKUP($E129,武器奇术!$A:$R,16,FALSE)="陌刀",1,$N129))*(1-$M129)</f>
        <v>0</v>
      </c>
      <c r="DK129" s="92">
        <f>DD129*IF(VLOOKUP($E129,武器奇术!$A:$R,17,FALSE)="破竹",VLOOKUP($E129,武器奇术!$A:$R,4,FALSE),VLOOKUP($E129,武器奇术!$A:$R,2,FALSE))*(1+DF129)*(1+DG129)*DH129*(1+$E$16+VLOOKUP($E129,武器奇术!$A:$R,8,FALSE))</f>
        <v>149.67942481296</v>
      </c>
      <c r="DL129" s="93">
        <f t="shared" si="104"/>
        <v>0.887</v>
      </c>
      <c r="DM129" s="92">
        <f>DE129*IF(VLOOKUP($E129,武器奇术!$A:$R,17,FALSE)="破竹",VLOOKUP($E129,武器奇术!$A:$R,4,FALSE),VLOOKUP($E129,武器奇术!$A:$R,2,FALSE))*(1+DF129)*(1+DG129)*DH129*(1+$E$17+VLOOKUP($E129,武器奇术!$A:$R,10,FALSE))</f>
        <v>110.721959208</v>
      </c>
      <c r="DN129" s="93">
        <f t="shared" si="105"/>
        <v>0.0986</v>
      </c>
      <c r="DO129" s="92">
        <f>DD129*IF(VLOOKUP($E129,武器奇术!$A:$R,17,FALSE)="破竹",VLOOKUP($E129,武器奇术!$A:$R,4,FALSE),VLOOKUP($E129,武器奇术!$A:$R,2,FALSE))*(1+DF129)*(1+DG129)*DH129</f>
        <v>62.52273384</v>
      </c>
      <c r="DP129" s="93">
        <f t="shared" si="106"/>
        <v>0.0144</v>
      </c>
      <c r="DQ129" s="101">
        <f t="shared" si="107"/>
        <v>144.5831623543</v>
      </c>
    </row>
    <row r="130" spans="1:121">
      <c r="A130" s="33"/>
      <c r="B130" s="130">
        <v>5</v>
      </c>
      <c r="C130">
        <v>0.9</v>
      </c>
      <c r="D130" s="33"/>
      <c r="E130" s="105" t="s">
        <v>215</v>
      </c>
      <c r="F130" s="106">
        <v>2</v>
      </c>
      <c r="G130" s="107"/>
      <c r="H130" s="131">
        <f>IF(VLOOKUP($E130,武器奇术!$A:$R,18,FALSE)="天工",AE130,(AE130+AT130+BI130+BX130+CM130+DB130+DQ130))*(1+J130)*F130*K130*(1+G130)*(1+$G$21*5%)</f>
        <v>95416.0456522697</v>
      </c>
      <c r="I130" s="93">
        <f t="shared" si="117"/>
        <v>0.0122402297384191</v>
      </c>
      <c r="J130" s="93">
        <f>$F$3+VLOOKUP($E130,武器奇术!$A:$R,12,FALSE)+VLOOKUP($E130,武器奇术!$A:$R,14,FALSE)*$G$3+$P130</f>
        <v>0.693</v>
      </c>
      <c r="K130" s="94">
        <f>VLOOKUP($E130,武器奇术!$A:$R,11,FALSE)</f>
        <v>1</v>
      </c>
      <c r="L130" s="109">
        <f>IF(VLOOKUP($E130,武器奇术!$A:$R,15,FALSE)="天工",0%,IF($C$17+VLOOKUP($E130,武器奇术!$A:$R,7,FALSE)&gt;80%,80%,$C$17+VLOOKUP($E130,武器奇术!$A:$R,7,FALSE))+IF($C$19&gt;20%,20%,$C$19))</f>
        <v>0.887</v>
      </c>
      <c r="M130" s="110">
        <f>IF(VLOOKUP($E130,武器奇术!$A:$R,15,FALSE)="天工",0%,IF($C$18+VLOOKUP($E130,武器奇术!$A:$R,9,FALSE)&gt;40%,40%,$C$18+VLOOKUP($E130,武器奇术!$A:$R,9,FALSE))+IF($C$20&gt;10%,10%,$C$20))</f>
        <v>0.0986</v>
      </c>
      <c r="N130" s="111">
        <f>IF(VLOOKUP($E130,武器奇术!$A:$R,15,FALSE)="天工",100%,MIN($C$16,1))</f>
        <v>1</v>
      </c>
      <c r="O130" s="112" t="str">
        <f>VLOOKUP($E130,武器奇术!$A:$R,16,FALSE)</f>
        <v>双刀</v>
      </c>
      <c r="P130" s="113">
        <f t="shared" si="108"/>
        <v>0.17</v>
      </c>
      <c r="Q130" s="99">
        <f>$B$5*(1+VLOOKUP($E130,武器奇术!$A:$R,5,FALSE)+IF($G$5="飞隼",0.1,0)+IF($G$5="撼天",0.05,0))-$F$9*IF(VLOOKUP($E130,武器奇术!$A:$S,19,FALSE)=1,0.9,1)+IF($I$5="√",160,0)</f>
        <v>2848.3</v>
      </c>
      <c r="R130" s="91">
        <f t="shared" si="118"/>
        <v>2848.3</v>
      </c>
      <c r="S130" s="91">
        <f>MAX($C$5,$B$5)*(1+VLOOKUP($E130,武器奇术!$A:$R,5,FALSE)+IF($G$5="飞隼",0.1,0)+IF($G$5="撼天",0.05,0))-$F$9*IF(VLOOKUP($E130,武器奇术!$A:$S,19,FALSE)=1,0.9,1)+IF($I$5="√",320,0)</f>
        <v>2848.3</v>
      </c>
      <c r="T130" s="93">
        <f>IF(($D$5+VLOOKUP($E130,武器奇术!$A:$R,13,FALSE)+IF($I$3="√",10,0)-VLOOKUP($F$7,目标属性!$A:$R,5,FALSE))&gt;0,($D$5+VLOOKUP($E130,武器奇术!$A:$R,13,FALSE)+IF($I$3="√",10,0)-VLOOKUP($F$7,目标属性!$A:$R,5,FALSE))/200,($D$5+VLOOKUP($E130,武器奇术!$A:$R,13,FALSE)+IF($I$3="√",10,0)-VLOOKUP($F$7,目标属性!$A:$R,5,FALSE))/100)</f>
        <v>0.3925</v>
      </c>
      <c r="U130" s="100">
        <f>$E$5+IF(VLOOKUP($E130,武器奇术!$A:$R,18,FALSE)="鼠鼠",0.24,0)</f>
        <v>0</v>
      </c>
      <c r="V130" s="91">
        <v>1</v>
      </c>
      <c r="W130" s="92">
        <f>Q130*VLOOKUP($E130,武器奇术!$A:$R,2,FALSE)*(1+T130)*(1+U130)*V130</f>
        <v>5373.4859997</v>
      </c>
      <c r="X130" s="93">
        <f>(1-IF(VLOOKUP($E130,武器奇术!$A:$R,16,FALSE)="陌刀",1,$N130))*(1-$M130)</f>
        <v>0</v>
      </c>
      <c r="Y130" s="92">
        <f>R130*VLOOKUP($E130,武器奇术!$A:$R,2,FALSE)*(1+T130)*(1+U130)*V130*(1+$E$16+VLOOKUP($E130,武器奇术!$A:$R,8,FALSE))</f>
        <v>12864.1254832818</v>
      </c>
      <c r="Z130" s="93">
        <f t="shared" si="119"/>
        <v>0.887</v>
      </c>
      <c r="AA130" s="92">
        <f>S130*VLOOKUP($E130,武器奇术!$A:$R,2,FALSE)*(1+T130)*(1+U130)*V130*(1+$E$17+VLOOKUP($E130,武器奇术!$A:$R,10,FALSE))</f>
        <v>7254.206099595</v>
      </c>
      <c r="AB130" s="93">
        <f t="shared" si="120"/>
        <v>0.0986</v>
      </c>
      <c r="AC130" s="92">
        <f>R130*VLOOKUP($E130,武器奇术!$A:$R,2,FALSE)*(1+T130)*(1+U130)*V130</f>
        <v>5373.4859997</v>
      </c>
      <c r="AD130" s="93">
        <f t="shared" si="121"/>
        <v>0.0144</v>
      </c>
      <c r="AE130" s="101">
        <f t="shared" si="122"/>
        <v>12203.1222234867</v>
      </c>
      <c r="AF130" s="102">
        <f>VLOOKUP($E130,武器奇术!$A:$R,3,FALSE)*(1+IF(VLOOKUP($E130,武器奇术!$A:$R,15,FALSE)="武器",$E$15,0))</f>
        <v>488.8</v>
      </c>
      <c r="AG130" s="92">
        <f t="shared" si="123"/>
        <v>488.8</v>
      </c>
      <c r="AH130" s="92">
        <f>VLOOKUP($E130,武器奇术!$A:$R,3,FALSE)*(1+IF(VLOOKUP($E130,武器奇术!$A:$R,15,FALSE)="武器",$E$15,0))</f>
        <v>488.8</v>
      </c>
      <c r="AI130" s="93">
        <f>IF(($D$5+VLOOKUP($E130,武器奇术!$A:$R,13,FALSE)+IF($I$3="√",10,0)-VLOOKUP($F$7,目标属性!$A:$R,5,FALSE))&gt;0,($D$5+VLOOKUP($E130,武器奇术!$A:$R,13,FALSE)+IF($I$3="√",10,0)-VLOOKUP($F$7,目标属性!$A:$R,5,FALSE))/200,($D$5+VLOOKUP($E130,武器奇术!$A:$R,13,FALSE)+IF($I$3="√",10,0)-VLOOKUP($F$7,目标属性!$A:$R,5,FALSE))/100)</f>
        <v>0.3925</v>
      </c>
      <c r="AJ130" s="100">
        <f>$E$5+IF(VLOOKUP($E130,武器奇术!$A:$R,18,FALSE)="鼠鼠",0.24,0)</f>
        <v>0</v>
      </c>
      <c r="AK130" s="91">
        <v>1</v>
      </c>
      <c r="AL130" s="92">
        <f t="shared" si="109"/>
        <v>680.654</v>
      </c>
      <c r="AM130" s="93">
        <f>(1-IF(VLOOKUP($E130,武器奇术!$A:$R,16,FALSE)="陌刀",1,$N130))*(1-$M130)</f>
        <v>0</v>
      </c>
      <c r="AN130" s="92">
        <f>AG130*(1+AI130)*(1+AJ130)*AK130*(1+$E$16+VLOOKUP($E130,武器奇术!$A:$R,8,FALSE))</f>
        <v>1629.485676</v>
      </c>
      <c r="AO130" s="93">
        <f t="shared" si="94"/>
        <v>0.887</v>
      </c>
      <c r="AP130" s="92">
        <f>AH130*(1+AI130)*(1+AJ130)*AK130*(1+$E$17+VLOOKUP($E130,武器奇术!$A:$R,10,FALSE))</f>
        <v>918.8829</v>
      </c>
      <c r="AQ130" s="93">
        <f t="shared" si="95"/>
        <v>0.0986</v>
      </c>
      <c r="AR130" s="92">
        <f t="shared" si="124"/>
        <v>680.654</v>
      </c>
      <c r="AS130" s="93">
        <f t="shared" si="125"/>
        <v>0.0144</v>
      </c>
      <c r="AT130" s="101">
        <f t="shared" si="126"/>
        <v>1545.757066152</v>
      </c>
      <c r="AU130" s="99">
        <f>IF(VLOOKUP($E130,武器奇术!$A:$R,18,FALSE)="极乐",0,$B$7*IF($G$5="撼天",1.05,1)+IF(AND(VLOOKUP($E130,武器奇术!$A:$R,15,FALSE)="武器",VLOOKUP($E130,武器奇术!$A:$R,17,FALSE)="鸣金"),$E$3*(1+$E$15),0))</f>
        <v>0</v>
      </c>
      <c r="AV130" s="91">
        <f t="shared" si="127"/>
        <v>0</v>
      </c>
      <c r="AW130" s="91">
        <f>IF(VLOOKUP($E130,武器奇术!$A:$R,18,FALSE)="极乐",0,MAX($C$7*IF($G$5="撼天",1.05,1)+IF(AND(VLOOKUP($E130,武器奇术!$A:$R,15,FALSE)="武器",VLOOKUP($E130,武器奇术!$A:$R,17,FALSE)="鸣金"),$E$3*(1+$E$15),0),AU130))</f>
        <v>0</v>
      </c>
      <c r="AX130" s="93">
        <f>IF(($D$7+IF(VLOOKUP($E130,武器奇术!$A:$R,17,FALSE)="鸣金",$D$15,0)-VLOOKUP($F$7,目标属性!$A:$R,6,FALSE))&gt;0,($D$7+IF(VLOOKUP($E130,武器奇术!$A:$R,17,FALSE)="鸣金",$D$15,0)-VLOOKUP($F$7,目标属性!$A:$R,6,FALSE))/200,($D$7+IF(VLOOKUP($E130,武器奇术!$A:$R,17,FALSE)="鸣金",$D$15,0)-VLOOKUP($F$7,目标属性!$A:$R,6,FALSE))/100)</f>
        <v>-0.24</v>
      </c>
      <c r="AY130" s="100">
        <f t="shared" si="89"/>
        <v>0</v>
      </c>
      <c r="AZ130" s="91">
        <v>1</v>
      </c>
      <c r="BA130" s="92">
        <f>AU130*IF(VLOOKUP($E130,武器奇术!$A:$R,17,FALSE)="鸣金",VLOOKUP($E130,武器奇术!$A:$R,4,FALSE),VLOOKUP($E130,武器奇术!$A:$R,2,FALSE))*(1+AX130)*(1+AY130)*AZ130</f>
        <v>0</v>
      </c>
      <c r="BB130" s="93">
        <f>(1-IF(VLOOKUP($E130,武器奇术!$A:$R,16,FALSE)="陌刀",1,$N130))*(1-$M130)</f>
        <v>0</v>
      </c>
      <c r="BC130" s="92">
        <f>AV130*IF(VLOOKUP($E130,武器奇术!$A:$R,17,FALSE)="鸣金",VLOOKUP($E130,武器奇术!$A:$R,4,FALSE),VLOOKUP($E130,武器奇术!$A:$R,2,FALSE))*(1+AX130)*(1+AY130)*AZ130*(1+$E$16+VLOOKUP($E130,武器奇术!$A:$R,8,FALSE))</f>
        <v>0</v>
      </c>
      <c r="BD130" s="93">
        <f t="shared" si="96"/>
        <v>0.887</v>
      </c>
      <c r="BE130" s="92">
        <f>AW130*IF(VLOOKUP($E130,武器奇术!$A:$R,17,FALSE)="鸣金",VLOOKUP($E130,武器奇术!$A:$R,4,FALSE),VLOOKUP($E130,武器奇术!$A:$R,2,FALSE))*(1+AX130)*(1+AY130)*AZ130*(1+$E$17+VLOOKUP($E130,武器奇术!$A:$R,10,FALSE))</f>
        <v>0</v>
      </c>
      <c r="BF130" s="93">
        <f t="shared" si="97"/>
        <v>0.0986</v>
      </c>
      <c r="BG130" s="92">
        <f>AV130*IF(VLOOKUP($E130,武器奇术!$A:$R,17,FALSE)="鸣金",VLOOKUP($E130,武器奇术!$A:$R,4,FALSE),VLOOKUP($E130,武器奇术!$A:$R,2,FALSE))*(1+AX130)*(1+AY130)*AZ130</f>
        <v>0</v>
      </c>
      <c r="BH130" s="93">
        <f t="shared" si="128"/>
        <v>0.0144</v>
      </c>
      <c r="BI130" s="101">
        <f t="shared" si="129"/>
        <v>0</v>
      </c>
      <c r="BJ130" s="99">
        <f>IF(VLOOKUP($E130,武器奇术!$A:$R,18,FALSE)="极乐",0,$B$9*IF($G$5="撼天",1.05,1)+IF(AND(VLOOKUP($E130,武器奇术!$A:$R,15,FALSE)="武器",VLOOKUP($E130,武器奇术!$A:$R,17,FALSE)="裂石"),$E$3*(1+$E$15),0))</f>
        <v>0</v>
      </c>
      <c r="BK130" s="91">
        <f t="shared" si="130"/>
        <v>0</v>
      </c>
      <c r="BL130" s="91">
        <f>IF(VLOOKUP($E130,武器奇术!$A:$R,18,FALSE)="极乐",0,MAX($C$9*IF($G$5="撼天",1.05,1)+IF(AND(VLOOKUP($E130,武器奇术!$A:$R,15,FALSE)="武器",VLOOKUP($E130,武器奇术!$A:$R,17,FALSE)="裂石"),$E$3*(1+$E$15),0),BJ130))</f>
        <v>0</v>
      </c>
      <c r="BM130" s="93">
        <f>IF(($D$9+IF(VLOOKUP($E130,武器奇术!$A:$R,17,FALSE)="裂石",$D$15,0)-VLOOKUP($F$7,目标属性!$A:$R,6,FALSE))&gt;0,($D$9+IF(VLOOKUP($E130,武器奇术!$A:$R,17,FALSE)="裂石",$D$15,0)-VLOOKUP($F$7,目标属性!$A:$R,6,FALSE))/200,($D$9+IF(VLOOKUP($E130,武器奇术!$A:$R,17,FALSE)="裂石",$D$15,0)-VLOOKUP($F$7,目标属性!$A:$R,6,FALSE))/100)</f>
        <v>-0.24</v>
      </c>
      <c r="BN130" s="100">
        <f t="shared" si="90"/>
        <v>0</v>
      </c>
      <c r="BO130" s="91">
        <v>1</v>
      </c>
      <c r="BP130" s="92">
        <f>BJ130*IF(VLOOKUP($E130,武器奇术!$A:$R,17,FALSE)="裂石",VLOOKUP($E130,武器奇术!$A:$R,4,FALSE),VLOOKUP($E130,武器奇术!$A:$R,2,FALSE))*(1+BM130)*(1+BN130)*BO130</f>
        <v>0</v>
      </c>
      <c r="BQ130" s="93">
        <f>(1-IF(VLOOKUP($E130,武器奇术!$A:$R,16,FALSE)="陌刀",1,$N130))*(1-$M130)</f>
        <v>0</v>
      </c>
      <c r="BR130" s="92">
        <f>BK130*IF(VLOOKUP($E130,武器奇术!$A:$R,17,FALSE)="裂石",VLOOKUP($E130,武器奇术!$A:$R,4,FALSE),VLOOKUP($E130,武器奇术!$A:$R,2,FALSE))*(1+BM130)*(1+BN130)*BO130*(1+$E$16+VLOOKUP($E130,武器奇术!$A:$R,8,FALSE))</f>
        <v>0</v>
      </c>
      <c r="BS130" s="93">
        <f t="shared" si="98"/>
        <v>0.887</v>
      </c>
      <c r="BT130" s="92">
        <f>BL130*IF(VLOOKUP($E130,武器奇术!$A:$R,17,FALSE)="裂石",VLOOKUP($E130,武器奇术!$A:$R,4,FALSE),VLOOKUP($E130,武器奇术!$A:$R,2,FALSE))*(1+BM130)*(1+BN130)*BO130*(1+$E$17+VLOOKUP($E130,武器奇术!$A:$R,10,FALSE))</f>
        <v>0</v>
      </c>
      <c r="BU130" s="93">
        <f t="shared" si="99"/>
        <v>0.0986</v>
      </c>
      <c r="BV130" s="92">
        <f>BK130*IF(VLOOKUP($E130,武器奇术!$A:$R,17,FALSE)="裂石",VLOOKUP($E130,武器奇术!$A:$R,4,FALSE),VLOOKUP($E130,武器奇术!$A:$R,2,FALSE))*(1+BM130)*(1+BN130)*BO130</f>
        <v>0</v>
      </c>
      <c r="BW130" s="93">
        <f t="shared" si="131"/>
        <v>0.0144</v>
      </c>
      <c r="BX130" s="101">
        <f t="shared" si="132"/>
        <v>0</v>
      </c>
      <c r="BY130" s="99">
        <f>IF(VLOOKUP($E130,武器奇术!$A:$R,18,FALSE)="极乐",0,$B$11*IF($G$5="撼天",1.05,1)+IF(AND(VLOOKUP($E130,武器奇术!$A:$R,15,FALSE)="武器",VLOOKUP($E130,武器奇术!$A:$R,17,FALSE)="牵丝"),$E$3*(1+$E$15),0))</f>
        <v>0</v>
      </c>
      <c r="BZ130" s="91">
        <f t="shared" si="133"/>
        <v>0</v>
      </c>
      <c r="CA130" s="91">
        <f>IF(VLOOKUP($E130,武器奇术!$A:$R,18,FALSE)="极乐",0,MAX($C$11*IF($G$5="撼天",1.05,1)+IF(AND(VLOOKUP($E130,武器奇术!$A:$R,15,FALSE)="武器",VLOOKUP($E130,武器奇术!$A:$R,17,FALSE)="牵丝"),$E$3*(1+$E$15),0),BY130))</f>
        <v>0</v>
      </c>
      <c r="CB130" s="93">
        <f>IF(($D$11+IF(VLOOKUP($E130,武器奇术!$A:$R,17,FALSE)="牵丝",$D$15,0)-VLOOKUP($F$7,目标属性!$A:$R,6,FALSE))&gt;0,($D$11+IF(VLOOKUP($E130,武器奇术!$A:$R,17,FALSE)="牵丝",$D$15,0)-VLOOKUP($F$7,目标属性!$A:$R,6,FALSE))/200,($D$11+IF(VLOOKUP($E130,武器奇术!$A:$R,17,FALSE)="牵丝",$D$15,0)-VLOOKUP($F$7,目标属性!$A:$R,6,FALSE))/100)</f>
        <v>-0.24</v>
      </c>
      <c r="CC130" s="100">
        <f t="shared" si="91"/>
        <v>0</v>
      </c>
      <c r="CD130" s="91">
        <v>1</v>
      </c>
      <c r="CE130" s="92">
        <f>BY130*IF(VLOOKUP($E130,武器奇术!$A:$R,17,FALSE)="牵丝",VLOOKUP($E130,武器奇术!$A:$R,4,FALSE),VLOOKUP($E130,武器奇术!$A:$R,2,FALSE))*(1+CB130)*(1+CC130)*CD130</f>
        <v>0</v>
      </c>
      <c r="CF130" s="93">
        <f>(1-IF(VLOOKUP($E130,武器奇术!$A:$R,16,FALSE)="陌刀",1,$N130))*(1-$M130)</f>
        <v>0</v>
      </c>
      <c r="CG130" s="92">
        <f>BZ130*IF(VLOOKUP($E130,武器奇术!$A:$R,17,FALSE)="牵丝",VLOOKUP($E130,武器奇术!$A:$R,4,FALSE),VLOOKUP($E130,武器奇术!$A:$R,2,FALSE))*(1+CB130)*(1+CC130)*CD130*(1+$E$16+VLOOKUP($E130,武器奇术!$A:$R,8,FALSE))</f>
        <v>0</v>
      </c>
      <c r="CH130" s="93">
        <f t="shared" si="100"/>
        <v>0.887</v>
      </c>
      <c r="CI130" s="92">
        <f>CA130*IF(VLOOKUP($E130,武器奇术!$A:$R,17,FALSE)="牵丝",VLOOKUP($E130,武器奇术!$A:$R,4,FALSE),VLOOKUP($E130,武器奇术!$A:$R,2,FALSE))*(1+CB130)*(1+CC130)*CD130*(1+$E$17+VLOOKUP($E130,武器奇术!$A:$R,10,FALSE))</f>
        <v>0</v>
      </c>
      <c r="CJ130" s="93">
        <f t="shared" si="101"/>
        <v>0.0986</v>
      </c>
      <c r="CK130" s="92">
        <f>BZ130*IF(VLOOKUP($E130,武器奇术!$A:$R,17,FALSE)="牵丝",VLOOKUP($E130,武器奇术!$A:$R,4,FALSE),VLOOKUP($E130,武器奇术!$A:$R,2,FALSE))*(1+CB130)*(1+CC130)*CD130</f>
        <v>0</v>
      </c>
      <c r="CL130" s="93">
        <f t="shared" si="134"/>
        <v>0.0144</v>
      </c>
      <c r="CM130" s="101">
        <f t="shared" si="135"/>
        <v>0</v>
      </c>
      <c r="CN130" s="99">
        <f>IF(VLOOKUP($E130,武器奇术!$A:$R,18,FALSE)="极乐",0,$B$13*IF($G$5="撼天",1.05,1)+IF(AND(VLOOKUP($E130,武器奇术!$A:$R,15,FALSE)="武器",VLOOKUP($E130,武器奇术!$A:$R,17,FALSE)="破竹"),$E$3*(1+$E$15),0))</f>
        <v>686.71</v>
      </c>
      <c r="CO130" s="91">
        <f t="shared" si="136"/>
        <v>1052.21</v>
      </c>
      <c r="CP130" s="91">
        <f>IF(VLOOKUP($E130,武器奇术!$A:$R,18,FALSE)="极乐",0,MAX($C$13*IF($G$5="撼天",1.05,1)+IF(AND(VLOOKUP($E130,武器奇术!$A:$R,15,FALSE)="武器",VLOOKUP($E130,武器奇术!$A:$R,17,FALSE)="破竹"),$E$3*(1+$E$15),0),CN130))</f>
        <v>1417.71</v>
      </c>
      <c r="CQ130" s="93">
        <f>IF(($D$13+IF(VLOOKUP($E130,武器奇术!$A:$R,17,FALSE)="破竹",$D$15,0)-VLOOKUP($F$7,目标属性!$A:$R,6,FALSE)+IF(VLOOKUP($E130,武器奇术!$A:$V,22,FALSE)=1,4,0)+IF(VLOOKUP($E130,武器奇术!$A:$T,20,FALSE)=1,10,0))&gt;0,($D$13+IF(VLOOKUP($E130,武器奇术!$A:$R,17,FALSE)="破竹",$D$15,0)-VLOOKUP($F$7,目标属性!$A:$R,6,FALSE)+IF(VLOOKUP($E130,武器奇术!$A:$V,22,FALSE)=1,4,0)+IF(VLOOKUP($E130,武器奇术!$A:$T,20,FALSE)=1,10,0))/200,($D$13+IF(VLOOKUP($E130,武器奇术!$A:$R,17,FALSE)="破竹",$D$15,0)-VLOOKUP($F$7,目标属性!$A:$R,6,FALSE)+IF(VLOOKUP($E130,武器奇术!$A:$V,22,FALSE)=1,4,0)+IF(VLOOKUP($E130,武器奇术!$A:$T,20,FALSE)=1,10,0))/100)</f>
        <v>0.028</v>
      </c>
      <c r="CR130" s="100">
        <f t="shared" si="83"/>
        <v>0.148</v>
      </c>
      <c r="CS130" s="91">
        <v>1</v>
      </c>
      <c r="CT130" s="92">
        <f>CN130*IF(VLOOKUP($E130,武器奇术!$A:$R,17,FALSE)="破竹",VLOOKUP($E130,武器奇术!$A:$R,4,FALSE),VLOOKUP($E130,武器奇术!$A:$R,2,FALSE))*(1+CQ130)*(1+CR130)*CS130</f>
        <v>1646.92878977693</v>
      </c>
      <c r="CU130" s="93">
        <f>(1-IF(VLOOKUP($E130,武器奇术!$A:$R,16,FALSE)="陌刀",1,$N130))*(1-$M130)</f>
        <v>0</v>
      </c>
      <c r="CV130" s="92">
        <f>CO130*IF(VLOOKUP($E130,武器奇术!$A:$R,17,FALSE)="破竹",VLOOKUP($E130,武器奇术!$A:$R,4,FALSE),VLOOKUP($E130,武器奇术!$A:$R,2,FALSE))*(1+CQ130)*(1+CR130)*CS130*(1+$E$16+VLOOKUP($E130,武器奇术!$A:$R,8,FALSE))</f>
        <v>6041.26686794642</v>
      </c>
      <c r="CW130" s="93">
        <f t="shared" si="102"/>
        <v>0.887</v>
      </c>
      <c r="CX130" s="92">
        <f>CP130*IF(VLOOKUP($E130,武器奇术!$A:$R,17,FALSE)="破竹",VLOOKUP($E130,武器奇术!$A:$R,4,FALSE),VLOOKUP($E130,武器奇术!$A:$R,2,FALSE))*(1+CQ130)*(1+CR130)*CS130*(1+$E$17+VLOOKUP($E130,武器奇术!$A:$R,10,FALSE))</f>
        <v>4590.10500742493</v>
      </c>
      <c r="CY130" s="93">
        <f t="shared" si="103"/>
        <v>0.0986</v>
      </c>
      <c r="CZ130" s="92">
        <f>CO130*IF(VLOOKUP($E130,武器奇术!$A:$R,17,FALSE)="破竹",VLOOKUP($E130,武器奇术!$A:$R,4,FALSE),VLOOKUP($E130,武器奇术!$A:$R,2,FALSE))*(1+CQ130)*(1+CR130)*CS130</f>
        <v>2523.50328652733</v>
      </c>
      <c r="DA130" s="93">
        <f t="shared" si="137"/>
        <v>0.0144</v>
      </c>
      <c r="DB130" s="101">
        <f t="shared" si="138"/>
        <v>5847.52651292657</v>
      </c>
      <c r="DC130" s="99">
        <f>IF(VLOOKUP($E130,武器奇术!$A:$R,18,FALSE)="极乐",0,$B$15)</f>
        <v>66</v>
      </c>
      <c r="DD130" s="91">
        <f t="shared" si="111"/>
        <v>95.9</v>
      </c>
      <c r="DE130" s="91">
        <f>IF(VLOOKUP($E130,武器奇术!$A:$R,18,FALSE)="极乐",0,$C$15)</f>
        <v>125.8</v>
      </c>
      <c r="DF130" s="93">
        <f>IF((IF(VLOOKUP($E130,武器奇术!$A:$R,17,FALSE)="鸣金",$D$7,0)+IF(VLOOKUP($E130,武器奇术!$A:$R,17,FALSE)="裂石",$D$9,0)+IF(VLOOKUP($E130,武器奇术!$A:$R,17,FALSE)="牵丝",$D$11,0)+IF(VLOOKUP($E130,武器奇术!$A:$R,17,FALSE)="破竹",$D$13,0)+$D$15-VLOOKUP($F$7,目标属性!$A:$R,6,FALSE)+IF(VLOOKUP($E130,武器奇术!$A:$V,22,FALSE)=1,4,0)+IF(VLOOKUP($E130,武器奇术!$A:$T,20,FALSE)=1,10,0))&gt;0,(IF(VLOOKUP($E130,武器奇术!$A:$R,17,FALSE)="鸣金",$D$7,0)+IF(VLOOKUP($E130,武器奇术!$A:$R,17,FALSE)="裂石",$D$9,0)+IF(VLOOKUP($E130,武器奇术!$A:$R,17,FALSE)="牵丝",$D$11,0)+IF(VLOOKUP($E130,武器奇术!$A:$R,17,FALSE)="破竹",$D$13,0)+$D$15-VLOOKUP($F$7,目标属性!$A:$R,6,FALSE)+IF(VLOOKUP($E130,武器奇术!$A:$V,22,FALSE)=1,4,0)+IF(VLOOKUP($E130,武器奇术!$A:$T,20,FALSE)=1,10,0))/200,(IF(VLOOKUP($E130,武器奇术!$A:$R,17,FALSE)="鸣金",$D$7,0)+IF(VLOOKUP($E130,武器奇术!$A:$R,17,FALSE)="裂石",$D$9,0)+IF(VLOOKUP($E130,武器奇术!$A:$R,17,FALSE)="牵丝",$D$11,0)+IF(VLOOKUP($E130,武器奇术!$A:$R,17,FALSE)="破竹",$D$13,0)+$D$15-VLOOKUP($F$7,目标属性!$A:$R,6,FALSE)+IF(VLOOKUP($E130,武器奇术!$A:$V,22,FALSE)=1,4,0)+IF(VLOOKUP($E130,武器奇术!$A:$T,20,FALSE)=1,10,0))/100)</f>
        <v>0.028</v>
      </c>
      <c r="DG130" s="100">
        <f t="shared" ref="DG130:DG142" si="139">$E$13</f>
        <v>0.148</v>
      </c>
      <c r="DH130" s="91">
        <v>1</v>
      </c>
      <c r="DI130" s="92">
        <f>DC130*IF(VLOOKUP($E130,武器奇术!$A:$R,17,FALSE)="破竹",VLOOKUP($E130,武器奇术!$A:$R,4,FALSE),VLOOKUP($E130,武器奇术!$A:$R,2,FALSE))*(1+DF130)*(1+DG130)*DH130</f>
        <v>158.2870500288</v>
      </c>
      <c r="DJ130" s="93">
        <f>(1-IF(VLOOKUP($E130,武器奇术!$A:$R,16,FALSE)="陌刀",1,$N130))*(1-$M130)</f>
        <v>0</v>
      </c>
      <c r="DK130" s="92">
        <f>DD130*IF(VLOOKUP($E130,武器奇术!$A:$R,17,FALSE)="破竹",VLOOKUP($E130,武器奇术!$A:$R,4,FALSE),VLOOKUP($E130,武器奇术!$A:$R,2,FALSE))*(1+DF130)*(1+DG130)*DH130*(1+$E$16+VLOOKUP($E130,武器奇术!$A:$R,8,FALSE))</f>
        <v>550.610137364273</v>
      </c>
      <c r="DL130" s="93">
        <f t="shared" si="104"/>
        <v>0.887</v>
      </c>
      <c r="DM130" s="92">
        <f>DE130*IF(VLOOKUP($E130,武器奇术!$A:$R,17,FALSE)="破竹",VLOOKUP($E130,武器奇术!$A:$R,4,FALSE),VLOOKUP($E130,武器奇术!$A:$R,2,FALSE))*(1+DF130)*(1+DG130)*DH130*(1+$E$17+VLOOKUP($E130,武器奇术!$A:$R,10,FALSE))</f>
        <v>407.301359187744</v>
      </c>
      <c r="DN130" s="93">
        <f t="shared" si="105"/>
        <v>0.0986</v>
      </c>
      <c r="DO130" s="92">
        <f>DD130*IF(VLOOKUP($E130,武器奇术!$A:$R,17,FALSE)="破竹",VLOOKUP($E130,武器奇术!$A:$R,4,FALSE),VLOOKUP($E130,武器奇术!$A:$R,2,FALSE))*(1+DF130)*(1+DG130)*DH130</f>
        <v>229.99588026912</v>
      </c>
      <c r="DP130" s="93">
        <f t="shared" si="106"/>
        <v>0.0144</v>
      </c>
      <c r="DQ130" s="101">
        <f t="shared" si="107"/>
        <v>531.863046533897</v>
      </c>
    </row>
    <row r="131" spans="1:121">
      <c r="B131" t="s">
        <v>216</v>
      </c>
      <c r="E131" s="105" t="s">
        <v>217</v>
      </c>
      <c r="F131" s="123">
        <f>IF($K$3="×",0,(F123+F124*2+F125+F126*8+F127*5+F128*5+F129+F130*6)*0.15/3.5)</f>
        <v>0</v>
      </c>
      <c r="G131" s="107"/>
      <c r="H131" s="131">
        <f>IF(VLOOKUP($E131,武器奇术!$A:$R,18,FALSE)="天工",AE131,(AE131+AT131+BI131+BX131+CM131+DB131+DQ131))*(1+J131)*F131*K131*(1+G131)*(1+$G$21*5%)</f>
        <v>0</v>
      </c>
      <c r="I131" s="93">
        <f t="shared" si="117"/>
        <v>0</v>
      </c>
      <c r="J131" s="93">
        <f>$F$3+VLOOKUP($E131,武器奇术!$A:$R,12,FALSE)+VLOOKUP($E131,武器奇术!$A:$R,14,FALSE)*$G$3+$P131</f>
        <v>0.523</v>
      </c>
      <c r="K131" s="94">
        <f>VLOOKUP($E131,武器奇术!$A:$R,11,FALSE)</f>
        <v>1</v>
      </c>
      <c r="L131" s="109">
        <f>IF(VLOOKUP($E131,武器奇术!$A:$R,15,FALSE)="天工",0%,IF($C$17+VLOOKUP($E131,武器奇术!$A:$R,7,FALSE)&gt;80%,80%,$C$17+VLOOKUP($E131,武器奇术!$A:$R,7,FALSE))+IF($C$19&gt;20%,20%,$C$19))</f>
        <v>0.887</v>
      </c>
      <c r="M131" s="110">
        <f>IF(VLOOKUP($E131,武器奇术!$A:$R,15,FALSE)="天工",0%,IF($C$18+VLOOKUP($E131,武器奇术!$A:$R,9,FALSE)&gt;40%,40%,$C$18+VLOOKUP($E131,武器奇术!$A:$R,9,FALSE))+IF($C$20&gt;10%,10%,$C$20))</f>
        <v>0.0986</v>
      </c>
      <c r="N131" s="111">
        <f>IF(VLOOKUP($E131,武器奇术!$A:$R,15,FALSE)="天工",100%,MIN($C$16,1))</f>
        <v>1</v>
      </c>
      <c r="O131" s="112" t="str">
        <f>VLOOKUP($E131,武器奇术!$A:$R,16,FALSE)</f>
        <v>N/A</v>
      </c>
      <c r="P131" s="113">
        <f t="shared" si="108"/>
        <v>0</v>
      </c>
      <c r="Q131" s="99">
        <f>$B$5*(1+VLOOKUP($E131,武器奇术!$A:$R,5,FALSE)+IF($G$5="飞隼",0.1,0)+IF($G$5="撼天",0.05,0))-$F$9*IF(VLOOKUP($E131,武器奇术!$A:$S,19,FALSE)=1,0.9,1)+IF($I$5="√",160,0)</f>
        <v>2848.3</v>
      </c>
      <c r="R131" s="91">
        <f t="shared" si="118"/>
        <v>2848.3</v>
      </c>
      <c r="S131" s="91">
        <f>MAX($C$5,$B$5)*(1+VLOOKUP($E131,武器奇术!$A:$R,5,FALSE)+IF($G$5="飞隼",0.1,0)+IF($G$5="撼天",0.05,0))-$F$9*IF(VLOOKUP($E131,武器奇术!$A:$S,19,FALSE)=1,0.9,1)+IF($I$5="√",320,0)</f>
        <v>2848.3</v>
      </c>
      <c r="T131" s="93">
        <f>IF(($D$5+VLOOKUP($E131,武器奇术!$A:$R,13,FALSE)+IF($I$3="√",10,0)-VLOOKUP($F$7,目标属性!$A:$R,5,FALSE))&gt;0,($D$5+VLOOKUP($E131,武器奇术!$A:$R,13,FALSE)+IF($I$3="√",10,0)-VLOOKUP($F$7,目标属性!$A:$R,5,FALSE))/200,($D$5+VLOOKUP($E131,武器奇术!$A:$R,13,FALSE)+IF($I$3="√",10,0)-VLOOKUP($F$7,目标属性!$A:$R,5,FALSE))/100)</f>
        <v>0.3925</v>
      </c>
      <c r="U131" s="100">
        <f>$E$5+IF(VLOOKUP($E131,武器奇术!$A:$R,18,FALSE)="鼠鼠",0.24,0)</f>
        <v>0</v>
      </c>
      <c r="V131" s="91">
        <v>1</v>
      </c>
      <c r="W131" s="92">
        <f>Q131*VLOOKUP($E131,武器奇术!$A:$R,2,FALSE)*(1+T131)*(1+U131)*V131</f>
        <v>7932.5155</v>
      </c>
      <c r="X131" s="93">
        <f>(1-IF(VLOOKUP($E131,武器奇术!$A:$R,16,FALSE)="陌刀",1,$N131))*(1-$M131)</f>
        <v>0</v>
      </c>
      <c r="Y131" s="92">
        <f>R131*VLOOKUP($E131,武器奇术!$A:$R,2,FALSE)*(1+T131)*(1+U131)*V131*(1+$E$16+VLOOKUP($E131,武器奇术!$A:$R,8,FALSE))</f>
        <v>18990.442107</v>
      </c>
      <c r="Z131" s="93">
        <f t="shared" si="119"/>
        <v>0.887</v>
      </c>
      <c r="AA131" s="92">
        <f>S131*VLOOKUP($E131,武器奇术!$A:$R,2,FALSE)*(1+T131)*(1+U131)*V131*(1+$E$17+VLOOKUP($E131,武器奇术!$A:$R,10,FALSE))</f>
        <v>10708.895925</v>
      </c>
      <c r="AB131" s="93">
        <f t="shared" si="120"/>
        <v>0.0986</v>
      </c>
      <c r="AC131" s="92">
        <f>R131*VLOOKUP($E131,武器奇术!$A:$R,2,FALSE)*(1+T131)*(1+U131)*V131</f>
        <v>7932.5155</v>
      </c>
      <c r="AD131" s="93">
        <f t="shared" si="121"/>
        <v>0.0144</v>
      </c>
      <c r="AE131" s="101">
        <f t="shared" si="122"/>
        <v>18014.647510314</v>
      </c>
      <c r="AF131" s="102">
        <f>VLOOKUP($E131,武器奇术!$A:$R,3,FALSE)*(1+IF(VLOOKUP($E131,武器奇术!$A:$R,15,FALSE)="武器",$E$15,0))</f>
        <v>0</v>
      </c>
      <c r="AG131" s="92">
        <f t="shared" si="123"/>
        <v>0</v>
      </c>
      <c r="AH131" s="92">
        <f>VLOOKUP($E131,武器奇术!$A:$R,3,FALSE)*(1+IF(VLOOKUP($E131,武器奇术!$A:$R,15,FALSE)="武器",$E$15,0))</f>
        <v>0</v>
      </c>
      <c r="AI131" s="93">
        <f>IF(($D$5+VLOOKUP($E131,武器奇术!$A:$R,13,FALSE)+IF($I$3="√",10,0)-VLOOKUP($F$7,目标属性!$A:$R,5,FALSE))&gt;0,($D$5+VLOOKUP($E131,武器奇术!$A:$R,13,FALSE)+IF($I$3="√",10,0)-VLOOKUP($F$7,目标属性!$A:$R,5,FALSE))/200,($D$5+VLOOKUP($E131,武器奇术!$A:$R,13,FALSE)+IF($I$3="√",10,0)-VLOOKUP($F$7,目标属性!$A:$R,5,FALSE))/100)</f>
        <v>0.3925</v>
      </c>
      <c r="AJ131" s="100">
        <f>$E$5+IF(VLOOKUP($E131,武器奇术!$A:$R,18,FALSE)="鼠鼠",0.24,0)</f>
        <v>0</v>
      </c>
      <c r="AK131" s="91">
        <v>1</v>
      </c>
      <c r="AL131" s="92">
        <f t="shared" si="109"/>
        <v>0</v>
      </c>
      <c r="AM131" s="93">
        <f>(1-IF(VLOOKUP($E131,武器奇术!$A:$R,16,FALSE)="陌刀",1,$N131))*(1-$M131)</f>
        <v>0</v>
      </c>
      <c r="AN131" s="92">
        <f>AG131*(1+AI131)*(1+AJ131)*AK131*(1+$E$16+VLOOKUP($E131,武器奇术!$A:$R,8,FALSE))</f>
        <v>0</v>
      </c>
      <c r="AO131" s="93">
        <f t="shared" si="94"/>
        <v>0.887</v>
      </c>
      <c r="AP131" s="92">
        <f>AH131*(1+AI131)*(1+AJ131)*AK131*(1+$E$17+VLOOKUP($E131,武器奇术!$A:$R,10,FALSE))</f>
        <v>0</v>
      </c>
      <c r="AQ131" s="93">
        <f t="shared" si="95"/>
        <v>0.0986</v>
      </c>
      <c r="AR131" s="92">
        <f t="shared" si="124"/>
        <v>0</v>
      </c>
      <c r="AS131" s="93">
        <f t="shared" si="125"/>
        <v>0.0144</v>
      </c>
      <c r="AT131" s="101">
        <f t="shared" si="126"/>
        <v>0</v>
      </c>
      <c r="AU131" s="99">
        <f>IF(VLOOKUP($E131,武器奇术!$A:$R,18,FALSE)="极乐",0,$B$7*IF($G$5="撼天",1.05,1)+IF(AND(VLOOKUP($E131,武器奇术!$A:$R,15,FALSE)="武器",VLOOKUP($E131,武器奇术!$A:$R,17,FALSE)="鸣金"),$E$3*(1+$E$15),0))</f>
        <v>0</v>
      </c>
      <c r="AV131" s="91">
        <f t="shared" si="127"/>
        <v>0</v>
      </c>
      <c r="AW131" s="91">
        <f>IF(VLOOKUP($E131,武器奇术!$A:$R,18,FALSE)="极乐",0,MAX($C$7*IF($G$5="撼天",1.05,1)+IF(AND(VLOOKUP($E131,武器奇术!$A:$R,15,FALSE)="武器",VLOOKUP($E131,武器奇术!$A:$R,17,FALSE)="鸣金"),$E$3*(1+$E$15),0),AU131))</f>
        <v>0</v>
      </c>
      <c r="AX131" s="93">
        <f>IF(($D$7+IF(VLOOKUP($E131,武器奇术!$A:$R,17,FALSE)="鸣金",$D$15,0)-VLOOKUP($F$7,目标属性!$A:$R,6,FALSE))&gt;0,($D$7+IF(VLOOKUP($E131,武器奇术!$A:$R,17,FALSE)="鸣金",$D$15,0)-VLOOKUP($F$7,目标属性!$A:$R,6,FALSE))/200,($D$7+IF(VLOOKUP($E131,武器奇术!$A:$R,17,FALSE)="鸣金",$D$15,0)-VLOOKUP($F$7,目标属性!$A:$R,6,FALSE))/100)</f>
        <v>-0.24</v>
      </c>
      <c r="AY131" s="100">
        <f t="shared" si="89"/>
        <v>0</v>
      </c>
      <c r="AZ131" s="91">
        <v>1</v>
      </c>
      <c r="BA131" s="92">
        <f>AU131*IF(VLOOKUP($E131,武器奇术!$A:$R,17,FALSE)="鸣金",VLOOKUP($E131,武器奇术!$A:$R,4,FALSE),VLOOKUP($E131,武器奇术!$A:$R,2,FALSE))*(1+AX131)*(1+AY131)*AZ131</f>
        <v>0</v>
      </c>
      <c r="BB131" s="93">
        <f>(1-IF(VLOOKUP($E131,武器奇术!$A:$R,16,FALSE)="陌刀",1,$N131))*(1-$M131)</f>
        <v>0</v>
      </c>
      <c r="BC131" s="92">
        <f>AV131*IF(VLOOKUP($E131,武器奇术!$A:$R,17,FALSE)="鸣金",VLOOKUP($E131,武器奇术!$A:$R,4,FALSE),VLOOKUP($E131,武器奇术!$A:$R,2,FALSE))*(1+AX131)*(1+AY131)*AZ131*(1+$E$16+VLOOKUP($E131,武器奇术!$A:$R,8,FALSE))</f>
        <v>0</v>
      </c>
      <c r="BD131" s="93">
        <f t="shared" si="96"/>
        <v>0.887</v>
      </c>
      <c r="BE131" s="92">
        <f>AW131*IF(VLOOKUP($E131,武器奇术!$A:$R,17,FALSE)="鸣金",VLOOKUP($E131,武器奇术!$A:$R,4,FALSE),VLOOKUP($E131,武器奇术!$A:$R,2,FALSE))*(1+AX131)*(1+AY131)*AZ131*(1+$E$17+VLOOKUP($E131,武器奇术!$A:$R,10,FALSE))</f>
        <v>0</v>
      </c>
      <c r="BF131" s="93">
        <f t="shared" si="97"/>
        <v>0.0986</v>
      </c>
      <c r="BG131" s="92">
        <f>AV131*IF(VLOOKUP($E131,武器奇术!$A:$R,17,FALSE)="鸣金",VLOOKUP($E131,武器奇术!$A:$R,4,FALSE),VLOOKUP($E131,武器奇术!$A:$R,2,FALSE))*(1+AX131)*(1+AY131)*AZ131</f>
        <v>0</v>
      </c>
      <c r="BH131" s="93">
        <f t="shared" si="128"/>
        <v>0.0144</v>
      </c>
      <c r="BI131" s="101">
        <f t="shared" si="129"/>
        <v>0</v>
      </c>
      <c r="BJ131" s="99">
        <f>IF(VLOOKUP($E131,武器奇术!$A:$R,18,FALSE)="极乐",0,$B$9*IF($G$5="撼天",1.05,1)+IF(AND(VLOOKUP($E131,武器奇术!$A:$R,15,FALSE)="武器",VLOOKUP($E131,武器奇术!$A:$R,17,FALSE)="裂石"),$E$3*(1+$E$15),0))</f>
        <v>0</v>
      </c>
      <c r="BK131" s="91">
        <f t="shared" si="130"/>
        <v>0</v>
      </c>
      <c r="BL131" s="91">
        <f>IF(VLOOKUP($E131,武器奇术!$A:$R,18,FALSE)="极乐",0,MAX($C$9*IF($G$5="撼天",1.05,1)+IF(AND(VLOOKUP($E131,武器奇术!$A:$R,15,FALSE)="武器",VLOOKUP($E131,武器奇术!$A:$R,17,FALSE)="裂石"),$E$3*(1+$E$15),0),BJ131))</f>
        <v>0</v>
      </c>
      <c r="BM131" s="93">
        <f>IF(($D$9+IF(VLOOKUP($E131,武器奇术!$A:$R,17,FALSE)="裂石",$D$15,0)-VLOOKUP($F$7,目标属性!$A:$R,6,FALSE))&gt;0,($D$9+IF(VLOOKUP($E131,武器奇术!$A:$R,17,FALSE)="裂石",$D$15,0)-VLOOKUP($F$7,目标属性!$A:$R,6,FALSE))/200,($D$9+IF(VLOOKUP($E131,武器奇术!$A:$R,17,FALSE)="裂石",$D$15,0)-VLOOKUP($F$7,目标属性!$A:$R,6,FALSE))/100)</f>
        <v>-0.24</v>
      </c>
      <c r="BN131" s="100">
        <f t="shared" si="90"/>
        <v>0</v>
      </c>
      <c r="BO131" s="91">
        <v>1</v>
      </c>
      <c r="BP131" s="92">
        <f>BJ131*IF(VLOOKUP($E131,武器奇术!$A:$R,17,FALSE)="裂石",VLOOKUP($E131,武器奇术!$A:$R,4,FALSE),VLOOKUP($E131,武器奇术!$A:$R,2,FALSE))*(1+BM131)*(1+BN131)*BO131</f>
        <v>0</v>
      </c>
      <c r="BQ131" s="93">
        <f>(1-IF(VLOOKUP($E131,武器奇术!$A:$R,16,FALSE)="陌刀",1,$N131))*(1-$M131)</f>
        <v>0</v>
      </c>
      <c r="BR131" s="92">
        <f>BK131*IF(VLOOKUP($E131,武器奇术!$A:$R,17,FALSE)="裂石",VLOOKUP($E131,武器奇术!$A:$R,4,FALSE),VLOOKUP($E131,武器奇术!$A:$R,2,FALSE))*(1+BM131)*(1+BN131)*BO131*(1+$E$16+VLOOKUP($E131,武器奇术!$A:$R,8,FALSE))</f>
        <v>0</v>
      </c>
      <c r="BS131" s="93">
        <f t="shared" si="98"/>
        <v>0.887</v>
      </c>
      <c r="BT131" s="92">
        <f>BL131*IF(VLOOKUP($E131,武器奇术!$A:$R,17,FALSE)="裂石",VLOOKUP($E131,武器奇术!$A:$R,4,FALSE),VLOOKUP($E131,武器奇术!$A:$R,2,FALSE))*(1+BM131)*(1+BN131)*BO131*(1+$E$17+VLOOKUP($E131,武器奇术!$A:$R,10,FALSE))</f>
        <v>0</v>
      </c>
      <c r="BU131" s="93">
        <f t="shared" si="99"/>
        <v>0.0986</v>
      </c>
      <c r="BV131" s="92">
        <f>BK131*IF(VLOOKUP($E131,武器奇术!$A:$R,17,FALSE)="裂石",VLOOKUP($E131,武器奇术!$A:$R,4,FALSE),VLOOKUP($E131,武器奇术!$A:$R,2,FALSE))*(1+BM131)*(1+BN131)*BO131</f>
        <v>0</v>
      </c>
      <c r="BW131" s="93">
        <f t="shared" si="131"/>
        <v>0.0144</v>
      </c>
      <c r="BX131" s="101">
        <f t="shared" si="132"/>
        <v>0</v>
      </c>
      <c r="BY131" s="99">
        <f>IF(VLOOKUP($E131,武器奇术!$A:$R,18,FALSE)="极乐",0,$B$11*IF($G$5="撼天",1.05,1)+IF(AND(VLOOKUP($E131,武器奇术!$A:$R,15,FALSE)="武器",VLOOKUP($E131,武器奇术!$A:$R,17,FALSE)="牵丝"),$E$3*(1+$E$15),0))</f>
        <v>0</v>
      </c>
      <c r="BZ131" s="91">
        <f t="shared" si="133"/>
        <v>0</v>
      </c>
      <c r="CA131" s="91">
        <f>IF(VLOOKUP($E131,武器奇术!$A:$R,18,FALSE)="极乐",0,MAX($C$11*IF($G$5="撼天",1.05,1)+IF(AND(VLOOKUP($E131,武器奇术!$A:$R,15,FALSE)="武器",VLOOKUP($E131,武器奇术!$A:$R,17,FALSE)="牵丝"),$E$3*(1+$E$15),0),BY131))</f>
        <v>0</v>
      </c>
      <c r="CB131" s="93">
        <f>IF(($D$11+IF(VLOOKUP($E131,武器奇术!$A:$R,17,FALSE)="牵丝",$D$15,0)-VLOOKUP($F$7,目标属性!$A:$R,6,FALSE))&gt;0,($D$11+IF(VLOOKUP($E131,武器奇术!$A:$R,17,FALSE)="牵丝",$D$15,0)-VLOOKUP($F$7,目标属性!$A:$R,6,FALSE))/200,($D$11+IF(VLOOKUP($E131,武器奇术!$A:$R,17,FALSE)="牵丝",$D$15,0)-VLOOKUP($F$7,目标属性!$A:$R,6,FALSE))/100)</f>
        <v>-0.24</v>
      </c>
      <c r="CC131" s="100">
        <f t="shared" si="91"/>
        <v>0</v>
      </c>
      <c r="CD131" s="91">
        <v>1</v>
      </c>
      <c r="CE131" s="92">
        <f>BY131*IF(VLOOKUP($E131,武器奇术!$A:$R,17,FALSE)="牵丝",VLOOKUP($E131,武器奇术!$A:$R,4,FALSE),VLOOKUP($E131,武器奇术!$A:$R,2,FALSE))*(1+CB131)*(1+CC131)*CD131</f>
        <v>0</v>
      </c>
      <c r="CF131" s="93">
        <f>(1-IF(VLOOKUP($E131,武器奇术!$A:$R,16,FALSE)="陌刀",1,$N131))*(1-$M131)</f>
        <v>0</v>
      </c>
      <c r="CG131" s="92">
        <f>BZ131*IF(VLOOKUP($E131,武器奇术!$A:$R,17,FALSE)="牵丝",VLOOKUP($E131,武器奇术!$A:$R,4,FALSE),VLOOKUP($E131,武器奇术!$A:$R,2,FALSE))*(1+CB131)*(1+CC131)*CD131*(1+$E$16+VLOOKUP($E131,武器奇术!$A:$R,8,FALSE))</f>
        <v>0</v>
      </c>
      <c r="CH131" s="93">
        <f t="shared" si="100"/>
        <v>0.887</v>
      </c>
      <c r="CI131" s="92">
        <f>CA131*IF(VLOOKUP($E131,武器奇术!$A:$R,17,FALSE)="牵丝",VLOOKUP($E131,武器奇术!$A:$R,4,FALSE),VLOOKUP($E131,武器奇术!$A:$R,2,FALSE))*(1+CB131)*(1+CC131)*CD131*(1+$E$17+VLOOKUP($E131,武器奇术!$A:$R,10,FALSE))</f>
        <v>0</v>
      </c>
      <c r="CJ131" s="93">
        <f t="shared" si="101"/>
        <v>0.0986</v>
      </c>
      <c r="CK131" s="92">
        <f>BZ131*IF(VLOOKUP($E131,武器奇术!$A:$R,17,FALSE)="牵丝",VLOOKUP($E131,武器奇术!$A:$R,4,FALSE),VLOOKUP($E131,武器奇术!$A:$R,2,FALSE))*(1+CB131)*(1+CC131)*CD131</f>
        <v>0</v>
      </c>
      <c r="CL131" s="93">
        <f t="shared" si="134"/>
        <v>0.0144</v>
      </c>
      <c r="CM131" s="101">
        <f t="shared" si="135"/>
        <v>0</v>
      </c>
      <c r="CN131" s="99">
        <f>IF(VLOOKUP($E131,武器奇术!$A:$R,18,FALSE)="极乐",0,$B$13*IF($G$5="撼天",1.05,1)+IF(AND(VLOOKUP($E131,武器奇术!$A:$R,15,FALSE)="武器",VLOOKUP($E131,武器奇术!$A:$R,17,FALSE)="破竹"),$E$3*(1+$E$15),0))</f>
        <v>0</v>
      </c>
      <c r="CO131" s="91">
        <f t="shared" si="136"/>
        <v>0</v>
      </c>
      <c r="CP131" s="91">
        <f>IF(VLOOKUP($E131,武器奇术!$A:$R,18,FALSE)="极乐",0,MAX($C$13*IF($G$5="撼天",1.05,1)+IF(AND(VLOOKUP($E131,武器奇术!$A:$R,15,FALSE)="武器",VLOOKUP($E131,武器奇术!$A:$R,17,FALSE)="破竹"),$E$3*(1+$E$15),0),CN131))</f>
        <v>0</v>
      </c>
      <c r="CQ131" s="93">
        <f>IF(($D$13+IF(VLOOKUP($E131,武器奇术!$A:$R,17,FALSE)="破竹",$D$15,0)-VLOOKUP($F$7,目标属性!$A:$R,6,FALSE)+IF(VLOOKUP($E131,武器奇术!$A:$V,22,FALSE)=1,4,0)+IF(VLOOKUP($E131,武器奇术!$A:$T,20,FALSE)=1,10,0))&gt;0,($D$13+IF(VLOOKUP($E131,武器奇术!$A:$R,17,FALSE)="破竹",$D$15,0)-VLOOKUP($F$7,目标属性!$A:$R,6,FALSE)+IF(VLOOKUP($E131,武器奇术!$A:$V,22,FALSE)=1,4,0)+IF(VLOOKUP($E131,武器奇术!$A:$T,20,FALSE)=1,10,0))/200,($D$13+IF(VLOOKUP($E131,武器奇术!$A:$R,17,FALSE)="破竹",$D$15,0)-VLOOKUP($F$7,目标属性!$A:$R,6,FALSE)+IF(VLOOKUP($E131,武器奇术!$A:$V,22,FALSE)=1,4,0)+IF(VLOOKUP($E131,武器奇术!$A:$T,20,FALSE)=1,10,0))/100)</f>
        <v>0.028</v>
      </c>
      <c r="CR131" s="100">
        <f t="shared" si="83"/>
        <v>0.148</v>
      </c>
      <c r="CS131" s="91">
        <v>1</v>
      </c>
      <c r="CT131" s="92">
        <f>CN131*IF(VLOOKUP($E131,武器奇术!$A:$R,17,FALSE)="破竹",VLOOKUP($E131,武器奇术!$A:$R,4,FALSE),VLOOKUP($E131,武器奇术!$A:$R,2,FALSE))*(1+CQ131)*(1+CR131)*CS131</f>
        <v>0</v>
      </c>
      <c r="CU131" s="93">
        <f>(1-IF(VLOOKUP($E131,武器奇术!$A:$R,16,FALSE)="陌刀",1,$N131))*(1-$M131)</f>
        <v>0</v>
      </c>
      <c r="CV131" s="92">
        <f>CO131*IF(VLOOKUP($E131,武器奇术!$A:$R,17,FALSE)="破竹",VLOOKUP($E131,武器奇术!$A:$R,4,FALSE),VLOOKUP($E131,武器奇术!$A:$R,2,FALSE))*(1+CQ131)*(1+CR131)*CS131*(1+$E$16+VLOOKUP($E131,武器奇术!$A:$R,8,FALSE))</f>
        <v>0</v>
      </c>
      <c r="CW131" s="93">
        <f t="shared" si="102"/>
        <v>0.887</v>
      </c>
      <c r="CX131" s="92">
        <f>CP131*IF(VLOOKUP($E131,武器奇术!$A:$R,17,FALSE)="破竹",VLOOKUP($E131,武器奇术!$A:$R,4,FALSE),VLOOKUP($E131,武器奇术!$A:$R,2,FALSE))*(1+CQ131)*(1+CR131)*CS131*(1+$E$17+VLOOKUP($E131,武器奇术!$A:$R,10,FALSE))</f>
        <v>0</v>
      </c>
      <c r="CY131" s="93">
        <f t="shared" si="103"/>
        <v>0.0986</v>
      </c>
      <c r="CZ131" s="92">
        <f>CO131*IF(VLOOKUP($E131,武器奇术!$A:$R,17,FALSE)="破竹",VLOOKUP($E131,武器奇术!$A:$R,4,FALSE),VLOOKUP($E131,武器奇术!$A:$R,2,FALSE))*(1+CQ131)*(1+CR131)*CS131</f>
        <v>0</v>
      </c>
      <c r="DA131" s="93">
        <f t="shared" si="137"/>
        <v>0.0144</v>
      </c>
      <c r="DB131" s="101">
        <f t="shared" si="138"/>
        <v>0</v>
      </c>
      <c r="DC131" s="99">
        <f>IF(VLOOKUP($E131,武器奇术!$A:$R,18,FALSE)="极乐",0,$B$15)</f>
        <v>0</v>
      </c>
      <c r="DD131" s="91">
        <f t="shared" si="111"/>
        <v>0</v>
      </c>
      <c r="DE131" s="91">
        <f>IF(VLOOKUP($E131,武器奇术!$A:$R,18,FALSE)="极乐",0,$C$15)</f>
        <v>0</v>
      </c>
      <c r="DF131" s="93">
        <f>IF((IF(VLOOKUP($E131,武器奇术!$A:$R,17,FALSE)="鸣金",$D$7,0)+IF(VLOOKUP($E131,武器奇术!$A:$R,17,FALSE)="裂石",$D$9,0)+IF(VLOOKUP($E131,武器奇术!$A:$R,17,FALSE)="牵丝",$D$11,0)+IF(VLOOKUP($E131,武器奇术!$A:$R,17,FALSE)="破竹",$D$13,0)+$D$15-VLOOKUP($F$7,目标属性!$A:$R,6,FALSE)+IF(VLOOKUP($E131,武器奇术!$A:$V,22,FALSE)=1,4,0)+IF(VLOOKUP($E131,武器奇术!$A:$T,20,FALSE)=1,10,0))&gt;0,(IF(VLOOKUP($E131,武器奇术!$A:$R,17,FALSE)="鸣金",$D$7,0)+IF(VLOOKUP($E131,武器奇术!$A:$R,17,FALSE)="裂石",$D$9,0)+IF(VLOOKUP($E131,武器奇术!$A:$R,17,FALSE)="牵丝",$D$11,0)+IF(VLOOKUP($E131,武器奇术!$A:$R,17,FALSE)="破竹",$D$13,0)+$D$15-VLOOKUP($F$7,目标属性!$A:$R,6,FALSE)+IF(VLOOKUP($E131,武器奇术!$A:$V,22,FALSE)=1,4,0)+IF(VLOOKUP($E131,武器奇术!$A:$T,20,FALSE)=1,10,0))/200,(IF(VLOOKUP($E131,武器奇术!$A:$R,17,FALSE)="鸣金",$D$7,0)+IF(VLOOKUP($E131,武器奇术!$A:$R,17,FALSE)="裂石",$D$9,0)+IF(VLOOKUP($E131,武器奇术!$A:$R,17,FALSE)="牵丝",$D$11,0)+IF(VLOOKUP($E131,武器奇术!$A:$R,17,FALSE)="破竹",$D$13,0)+$D$15-VLOOKUP($F$7,目标属性!$A:$R,6,FALSE)+IF(VLOOKUP($E131,武器奇术!$A:$V,22,FALSE)=1,4,0)+IF(VLOOKUP($E131,武器奇术!$A:$T,20,FALSE)=1,10,0))/100)</f>
        <v>0.028</v>
      </c>
      <c r="DG131" s="100">
        <f t="shared" si="139"/>
        <v>0.148</v>
      </c>
      <c r="DH131" s="91">
        <v>1</v>
      </c>
      <c r="DI131" s="92">
        <f>DC131*IF(VLOOKUP($E131,武器奇术!$A:$R,17,FALSE)="破竹",VLOOKUP($E131,武器奇术!$A:$R,4,FALSE),VLOOKUP($E131,武器奇术!$A:$R,2,FALSE))*(1+DF131)*(1+DG131)*DH131</f>
        <v>0</v>
      </c>
      <c r="DJ131" s="93">
        <f>(1-IF(VLOOKUP($E131,武器奇术!$A:$R,16,FALSE)="陌刀",1,$N131))*(1-$M131)</f>
        <v>0</v>
      </c>
      <c r="DK131" s="92">
        <f>DD131*IF(VLOOKUP($E131,武器奇术!$A:$R,17,FALSE)="破竹",VLOOKUP($E131,武器奇术!$A:$R,4,FALSE),VLOOKUP($E131,武器奇术!$A:$R,2,FALSE))*(1+DF131)*(1+DG131)*DH131*(1+$E$16+VLOOKUP($E131,武器奇术!$A:$R,8,FALSE))</f>
        <v>0</v>
      </c>
      <c r="DL131" s="93">
        <f t="shared" si="104"/>
        <v>0.887</v>
      </c>
      <c r="DM131" s="92">
        <f>DE131*IF(VLOOKUP($E131,武器奇术!$A:$R,17,FALSE)="破竹",VLOOKUP($E131,武器奇术!$A:$R,4,FALSE),VLOOKUP($E131,武器奇术!$A:$R,2,FALSE))*(1+DF131)*(1+DG131)*DH131*(1+$E$17+VLOOKUP($E131,武器奇术!$A:$R,10,FALSE))</f>
        <v>0</v>
      </c>
      <c r="DN131" s="93">
        <f t="shared" si="105"/>
        <v>0.0986</v>
      </c>
      <c r="DO131" s="92">
        <f>DD131*IF(VLOOKUP($E131,武器奇术!$A:$R,17,FALSE)="破竹",VLOOKUP($E131,武器奇术!$A:$R,4,FALSE),VLOOKUP($E131,武器奇术!$A:$R,2,FALSE))*(1+DF131)*(1+DG131)*DH131</f>
        <v>0</v>
      </c>
      <c r="DP131" s="93">
        <f t="shared" si="106"/>
        <v>0.0144</v>
      </c>
      <c r="DQ131" s="101">
        <f t="shared" si="107"/>
        <v>0</v>
      </c>
    </row>
    <row r="132" spans="1:121">
      <c r="E132" s="105" t="s">
        <v>218</v>
      </c>
      <c r="F132" s="106">
        <f>IF($E$26&gt;=12,0,1)</f>
        <v>1</v>
      </c>
      <c r="G132" s="107">
        <f t="shared" si="116"/>
        <v>0</v>
      </c>
      <c r="H132" s="131">
        <f>IF(VLOOKUP($E132,武器奇术!$A:$R,18,FALSE)="天工",AE132,(AE132+AT132+BI132+BX132+CM132+DB132+DQ132))*(1+J132)*F132*K132*(1+G132)*(1+$G$21*5%)</f>
        <v>88744.9755541022</v>
      </c>
      <c r="I132" s="93">
        <f t="shared" si="117"/>
        <v>0.0113844467299695</v>
      </c>
      <c r="J132" s="93">
        <f>$F$3+VLOOKUP($E132,武器奇术!$A:$R,12,FALSE)+VLOOKUP($E132,武器奇术!$A:$R,14,FALSE)*$G$3+$P132</f>
        <v>0.813</v>
      </c>
      <c r="K132" s="94">
        <f>VLOOKUP($E132,武器奇术!$A:$R,11,FALSE)</f>
        <v>1</v>
      </c>
      <c r="L132" s="109">
        <f>IF(VLOOKUP($E132,武器奇术!$A:$R,15,FALSE)="天工",0%,IF($C$17+VLOOKUP($E132,武器奇术!$A:$R,7,FALSE)&gt;80%,80%,$C$17+VLOOKUP($E132,武器奇术!$A:$R,7,FALSE))+IF($C$19&gt;20%,20%,$C$19))</f>
        <v>0.8135</v>
      </c>
      <c r="M132" s="110">
        <f>IF(VLOOKUP($E132,武器奇术!$A:$R,15,FALSE)="天工",0%,IF($C$18+VLOOKUP($E132,武器奇术!$A:$R,9,FALSE)&gt;40%,40%,$C$18+VLOOKUP($E132,武器奇术!$A:$R,9,FALSE))+IF($C$20&gt;10%,10%,$C$20))</f>
        <v>0.0986</v>
      </c>
      <c r="N132" s="111">
        <f>IF(VLOOKUP($E132,武器奇术!$A:$R,15,FALSE)="天工",100%,MIN($C$16,1))</f>
        <v>1</v>
      </c>
      <c r="O132" s="112" t="str">
        <f>VLOOKUP($E132,武器奇术!$A:$R,16,FALSE)</f>
        <v>双刀</v>
      </c>
      <c r="P132" s="113">
        <f t="shared" si="108"/>
        <v>0.17</v>
      </c>
      <c r="Q132" s="99">
        <f>$B$5*(1+VLOOKUP($E132,武器奇术!$A:$R,5,FALSE)+IF($G$5="飞隼",0.1,0)+IF($G$5="撼天",0.05,0))-$F$9*IF(VLOOKUP($E132,武器奇术!$A:$S,19,FALSE)=1,0.9,1)+IF($I$5="√",160,0)</f>
        <v>2904.2</v>
      </c>
      <c r="R132" s="91">
        <f t="shared" si="118"/>
        <v>2904.2</v>
      </c>
      <c r="S132" s="91">
        <f>MAX($C$5,$B$5)*(1+VLOOKUP($E132,武器奇术!$A:$R,5,FALSE)+IF($G$5="飞隼",0.1,0)+IF($G$5="撼天",0.05,0))-$F$9*IF(VLOOKUP($E132,武器奇术!$A:$S,19,FALSE)=1,0.9,1)+IF($I$5="√",320,0)</f>
        <v>2904.2</v>
      </c>
      <c r="T132" s="93">
        <f>IF(($D$5+VLOOKUP($E132,武器奇术!$A:$R,13,FALSE)+IF($I$3="√",10,0)-VLOOKUP($F$7,目标属性!$A:$R,5,FALSE))&gt;0,($D$5+VLOOKUP($E132,武器奇术!$A:$R,13,FALSE)+IF($I$3="√",10,0)-VLOOKUP($F$7,目标属性!$A:$R,5,FALSE))/200,($D$5+VLOOKUP($E132,武器奇术!$A:$R,13,FALSE)+IF($I$3="√",10,0)-VLOOKUP($F$7,目标属性!$A:$R,5,FALSE))/100)</f>
        <v>0.3925</v>
      </c>
      <c r="U132" s="120">
        <f>$E$5+IF(VLOOKUP($E132,武器奇术!$A:$R,18,FALSE)="鼠鼠",0.24,0)+IF(期望!$G$5="燕归",6/100,0)</f>
        <v>0.06</v>
      </c>
      <c r="V132" s="91">
        <v>1</v>
      </c>
      <c r="W132" s="92">
        <f>Q132*VLOOKUP($E132,武器奇术!$A:$R,2,FALSE)*(1+T132)*(1+U132)*V132</f>
        <v>11949.8144522042</v>
      </c>
      <c r="X132" s="93">
        <f>(1-IF(VLOOKUP($E132,武器奇术!$A:$R,16,FALSE)="陌刀",1,$N132))*(1-$M132)</f>
        <v>0</v>
      </c>
      <c r="Y132" s="92">
        <f>R132*VLOOKUP($E132,武器奇术!$A:$R,2,FALSE)*(1+T132)*(1+U132)*V132*(1+$E$16+VLOOKUP($E132,武器奇术!$A:$R,8,FALSE))</f>
        <v>22632.9485724748</v>
      </c>
      <c r="Z132" s="93">
        <f t="shared" si="119"/>
        <v>0.8135</v>
      </c>
      <c r="AA132" s="92">
        <f>S132*VLOOKUP($E132,武器奇术!$A:$R,2,FALSE)*(1+T132)*(1+U132)*V132*(1+$E$17+VLOOKUP($E132,武器奇术!$A:$R,10,FALSE))</f>
        <v>16132.2495104757</v>
      </c>
      <c r="AB132" s="93">
        <f t="shared" si="120"/>
        <v>0.0986</v>
      </c>
      <c r="AC132" s="92">
        <f>R132*VLOOKUP($E132,武器奇术!$A:$R,2,FALSE)*(1+T132)*(1+U132)*V132</f>
        <v>11949.8144522042</v>
      </c>
      <c r="AD132" s="93">
        <f t="shared" si="121"/>
        <v>0.0879</v>
      </c>
      <c r="AE132" s="101">
        <f t="shared" si="122"/>
        <v>21052.9321557899</v>
      </c>
      <c r="AF132" s="102">
        <f>VLOOKUP($E132,武器奇术!$A:$R,3,FALSE)*(1+IF(VLOOKUP($E132,武器奇术!$A:$R,15,FALSE)="武器",$E$15,0))</f>
        <v>1003.86</v>
      </c>
      <c r="AG132" s="92">
        <f t="shared" si="123"/>
        <v>1003.86</v>
      </c>
      <c r="AH132" s="92">
        <f>VLOOKUP($E132,武器奇术!$A:$R,3,FALSE)*(1+IF(VLOOKUP($E132,武器奇术!$A:$R,15,FALSE)="武器",$E$15,0))</f>
        <v>1003.86</v>
      </c>
      <c r="AI132" s="93">
        <f>IF(($D$5+VLOOKUP($E132,武器奇术!$A:$R,13,FALSE)+IF($I$3="√",10,0)-VLOOKUP($F$7,目标属性!$A:$R,5,FALSE))&gt;0,($D$5+VLOOKUP($E132,武器奇术!$A:$R,13,FALSE)+IF($I$3="√",10,0)-VLOOKUP($F$7,目标属性!$A:$R,5,FALSE))/200,($D$5+VLOOKUP($E132,武器奇术!$A:$R,13,FALSE)+IF($I$3="√",10,0)-VLOOKUP($F$7,目标属性!$A:$R,5,FALSE))/100)</f>
        <v>0.3925</v>
      </c>
      <c r="AJ132" s="120">
        <f>$E$5+IF(VLOOKUP($E132,武器奇术!$A:$R,18,FALSE)="鼠鼠",0.24,0)+IF(期望!$G$5="燕归",6/100,0)</f>
        <v>0.06</v>
      </c>
      <c r="AK132" s="91">
        <v>1</v>
      </c>
      <c r="AL132" s="92">
        <f t="shared" si="109"/>
        <v>1481.747553</v>
      </c>
      <c r="AM132" s="93">
        <f>(1-IF(VLOOKUP($E132,武器奇术!$A:$R,16,FALSE)="陌刀",1,$N132))*(1-$M132)</f>
        <v>0</v>
      </c>
      <c r="AN132" s="92">
        <f>AG132*(1+AI132)*(1+AJ132)*AK132*(1+$E$16+VLOOKUP($E132,武器奇术!$A:$R,8,FALSE))</f>
        <v>2806.429865382</v>
      </c>
      <c r="AO132" s="93">
        <f t="shared" si="94"/>
        <v>0.8135</v>
      </c>
      <c r="AP132" s="92">
        <f>AH132*(1+AI132)*(1+AJ132)*AK132*(1+$E$17+VLOOKUP($E132,武器奇术!$A:$R,10,FALSE))</f>
        <v>2000.35919655</v>
      </c>
      <c r="AQ132" s="93">
        <f t="shared" si="95"/>
        <v>0.0986</v>
      </c>
      <c r="AR132" s="92">
        <f t="shared" si="124"/>
        <v>1481.747553</v>
      </c>
      <c r="AS132" s="93">
        <f t="shared" si="125"/>
        <v>0.0879</v>
      </c>
      <c r="AT132" s="101">
        <f t="shared" si="126"/>
        <v>2610.51172217679</v>
      </c>
      <c r="AU132" s="99">
        <f>IF(VLOOKUP($E132,武器奇术!$A:$R,18,FALSE)="极乐",0,$B$7*IF($G$5="撼天",1.05,1)+IF(AND(VLOOKUP($E132,武器奇术!$A:$R,15,FALSE)="武器",VLOOKUP($E132,武器奇术!$A:$R,17,FALSE)="鸣金"),$E$3*(1+$E$15),0))</f>
        <v>0</v>
      </c>
      <c r="AV132" s="91">
        <f t="shared" si="127"/>
        <v>0</v>
      </c>
      <c r="AW132" s="91">
        <f>IF(VLOOKUP($E132,武器奇术!$A:$R,18,FALSE)="极乐",0,MAX($C$7*IF($G$5="撼天",1.05,1)+IF(AND(VLOOKUP($E132,武器奇术!$A:$R,15,FALSE)="武器",VLOOKUP($E132,武器奇术!$A:$R,17,FALSE)="鸣金"),$E$3*(1+$E$15),0),AU132))</f>
        <v>0</v>
      </c>
      <c r="AX132" s="93">
        <f>IF(($D$7+IF(VLOOKUP($E132,武器奇术!$A:$R,17,FALSE)="鸣金",$D$15,0)-VLOOKUP($F$7,目标属性!$A:$R,6,FALSE))&gt;0,($D$7+IF(VLOOKUP($E132,武器奇术!$A:$R,17,FALSE)="鸣金",$D$15,0)-VLOOKUP($F$7,目标属性!$A:$R,6,FALSE))/200,($D$7+IF(VLOOKUP($E132,武器奇术!$A:$R,17,FALSE)="鸣金",$D$15,0)-VLOOKUP($F$7,目标属性!$A:$R,6,FALSE))/100)</f>
        <v>-0.24</v>
      </c>
      <c r="AY132" s="100">
        <f t="shared" si="89"/>
        <v>0</v>
      </c>
      <c r="AZ132" s="91">
        <v>1</v>
      </c>
      <c r="BA132" s="92">
        <f>AU132*IF(VLOOKUP($E132,武器奇术!$A:$R,17,FALSE)="鸣金",VLOOKUP($E132,武器奇术!$A:$R,4,FALSE),VLOOKUP($E132,武器奇术!$A:$R,2,FALSE))*(1+AX132)*(1+AY132)*AZ132</f>
        <v>0</v>
      </c>
      <c r="BB132" s="93">
        <f>(1-IF(VLOOKUP($E132,武器奇术!$A:$R,16,FALSE)="陌刀",1,$N132))*(1-$M132)</f>
        <v>0</v>
      </c>
      <c r="BC132" s="92">
        <f>AV132*IF(VLOOKUP($E132,武器奇术!$A:$R,17,FALSE)="鸣金",VLOOKUP($E132,武器奇术!$A:$R,4,FALSE),VLOOKUP($E132,武器奇术!$A:$R,2,FALSE))*(1+AX132)*(1+AY132)*AZ132*(1+$E$16+VLOOKUP($E132,武器奇术!$A:$R,8,FALSE))</f>
        <v>0</v>
      </c>
      <c r="BD132" s="93">
        <f t="shared" si="96"/>
        <v>0.8135</v>
      </c>
      <c r="BE132" s="92">
        <f>AW132*IF(VLOOKUP($E132,武器奇术!$A:$R,17,FALSE)="鸣金",VLOOKUP($E132,武器奇术!$A:$R,4,FALSE),VLOOKUP($E132,武器奇术!$A:$R,2,FALSE))*(1+AX132)*(1+AY132)*AZ132*(1+$E$17+VLOOKUP($E132,武器奇术!$A:$R,10,FALSE))</f>
        <v>0</v>
      </c>
      <c r="BF132" s="93">
        <f t="shared" si="97"/>
        <v>0.0986</v>
      </c>
      <c r="BG132" s="92">
        <f>AV132*IF(VLOOKUP($E132,武器奇术!$A:$R,17,FALSE)="鸣金",VLOOKUP($E132,武器奇术!$A:$R,4,FALSE),VLOOKUP($E132,武器奇术!$A:$R,2,FALSE))*(1+AX132)*(1+AY132)*AZ132</f>
        <v>0</v>
      </c>
      <c r="BH132" s="93">
        <f t="shared" si="128"/>
        <v>0.0879</v>
      </c>
      <c r="BI132" s="101">
        <f t="shared" si="129"/>
        <v>0</v>
      </c>
      <c r="BJ132" s="99">
        <f>IF(VLOOKUP($E132,武器奇术!$A:$R,18,FALSE)="极乐",0,$B$9*IF($G$5="撼天",1.05,1)+IF(AND(VLOOKUP($E132,武器奇术!$A:$R,15,FALSE)="武器",VLOOKUP($E132,武器奇术!$A:$R,17,FALSE)="裂石"),$E$3*(1+$E$15),0))</f>
        <v>0</v>
      </c>
      <c r="BK132" s="91">
        <f t="shared" si="130"/>
        <v>0</v>
      </c>
      <c r="BL132" s="91">
        <f>IF(VLOOKUP($E132,武器奇术!$A:$R,18,FALSE)="极乐",0,MAX($C$9*IF($G$5="撼天",1.05,1)+IF(AND(VLOOKUP($E132,武器奇术!$A:$R,15,FALSE)="武器",VLOOKUP($E132,武器奇术!$A:$R,17,FALSE)="裂石"),$E$3*(1+$E$15),0),BJ132))</f>
        <v>0</v>
      </c>
      <c r="BM132" s="93">
        <f>IF(($D$9+IF(VLOOKUP($E132,武器奇术!$A:$R,17,FALSE)="裂石",$D$15,0)-VLOOKUP($F$7,目标属性!$A:$R,6,FALSE))&gt;0,($D$9+IF(VLOOKUP($E132,武器奇术!$A:$R,17,FALSE)="裂石",$D$15,0)-VLOOKUP($F$7,目标属性!$A:$R,6,FALSE))/200,($D$9+IF(VLOOKUP($E132,武器奇术!$A:$R,17,FALSE)="裂石",$D$15,0)-VLOOKUP($F$7,目标属性!$A:$R,6,FALSE))/100)</f>
        <v>-0.24</v>
      </c>
      <c r="BN132" s="100">
        <f t="shared" si="90"/>
        <v>0</v>
      </c>
      <c r="BO132" s="91">
        <v>1</v>
      </c>
      <c r="BP132" s="92">
        <f>BJ132*IF(VLOOKUP($E132,武器奇术!$A:$R,17,FALSE)="裂石",VLOOKUP($E132,武器奇术!$A:$R,4,FALSE),VLOOKUP($E132,武器奇术!$A:$R,2,FALSE))*(1+BM132)*(1+BN132)*BO132</f>
        <v>0</v>
      </c>
      <c r="BQ132" s="93">
        <f>(1-IF(VLOOKUP($E132,武器奇术!$A:$R,16,FALSE)="陌刀",1,$N132))*(1-$M132)</f>
        <v>0</v>
      </c>
      <c r="BR132" s="92">
        <f>BK132*IF(VLOOKUP($E132,武器奇术!$A:$R,17,FALSE)="裂石",VLOOKUP($E132,武器奇术!$A:$R,4,FALSE),VLOOKUP($E132,武器奇术!$A:$R,2,FALSE))*(1+BM132)*(1+BN132)*BO132*(1+$E$16+VLOOKUP($E132,武器奇术!$A:$R,8,FALSE))</f>
        <v>0</v>
      </c>
      <c r="BS132" s="93">
        <f t="shared" si="98"/>
        <v>0.8135</v>
      </c>
      <c r="BT132" s="92">
        <f>BL132*IF(VLOOKUP($E132,武器奇术!$A:$R,17,FALSE)="裂石",VLOOKUP($E132,武器奇术!$A:$R,4,FALSE),VLOOKUP($E132,武器奇术!$A:$R,2,FALSE))*(1+BM132)*(1+BN132)*BO132*(1+$E$17+VLOOKUP($E132,武器奇术!$A:$R,10,FALSE))</f>
        <v>0</v>
      </c>
      <c r="BU132" s="93">
        <f t="shared" si="99"/>
        <v>0.0986</v>
      </c>
      <c r="BV132" s="92">
        <f>BK132*IF(VLOOKUP($E132,武器奇术!$A:$R,17,FALSE)="裂石",VLOOKUP($E132,武器奇术!$A:$R,4,FALSE),VLOOKUP($E132,武器奇术!$A:$R,2,FALSE))*(1+BM132)*(1+BN132)*BO132</f>
        <v>0</v>
      </c>
      <c r="BW132" s="93">
        <f t="shared" si="131"/>
        <v>0.0879</v>
      </c>
      <c r="BX132" s="101">
        <f t="shared" si="132"/>
        <v>0</v>
      </c>
      <c r="BY132" s="99">
        <f>IF(VLOOKUP($E132,武器奇术!$A:$R,18,FALSE)="极乐",0,$B$11*IF($G$5="撼天",1.05,1)+IF(AND(VLOOKUP($E132,武器奇术!$A:$R,15,FALSE)="武器",VLOOKUP($E132,武器奇术!$A:$R,17,FALSE)="牵丝"),$E$3*(1+$E$15),0))</f>
        <v>0</v>
      </c>
      <c r="BZ132" s="91">
        <f t="shared" si="133"/>
        <v>0</v>
      </c>
      <c r="CA132" s="91">
        <f>IF(VLOOKUP($E132,武器奇术!$A:$R,18,FALSE)="极乐",0,MAX($C$11*IF($G$5="撼天",1.05,1)+IF(AND(VLOOKUP($E132,武器奇术!$A:$R,15,FALSE)="武器",VLOOKUP($E132,武器奇术!$A:$R,17,FALSE)="牵丝"),$E$3*(1+$E$15),0),BY132))</f>
        <v>0</v>
      </c>
      <c r="CB132" s="93">
        <f>IF(($D$11+IF(VLOOKUP($E132,武器奇术!$A:$R,17,FALSE)="牵丝",$D$15,0)-VLOOKUP($F$7,目标属性!$A:$R,6,FALSE))&gt;0,($D$11+IF(VLOOKUP($E132,武器奇术!$A:$R,17,FALSE)="牵丝",$D$15,0)-VLOOKUP($F$7,目标属性!$A:$R,6,FALSE))/200,($D$11+IF(VLOOKUP($E132,武器奇术!$A:$R,17,FALSE)="牵丝",$D$15,0)-VLOOKUP($F$7,目标属性!$A:$R,6,FALSE))/100)</f>
        <v>-0.24</v>
      </c>
      <c r="CC132" s="100">
        <f t="shared" si="91"/>
        <v>0</v>
      </c>
      <c r="CD132" s="91">
        <v>1</v>
      </c>
      <c r="CE132" s="92">
        <f>BY132*IF(VLOOKUP($E132,武器奇术!$A:$R,17,FALSE)="牵丝",VLOOKUP($E132,武器奇术!$A:$R,4,FALSE),VLOOKUP($E132,武器奇术!$A:$R,2,FALSE))*(1+CB132)*(1+CC132)*CD132</f>
        <v>0</v>
      </c>
      <c r="CF132" s="93">
        <f>(1-IF(VLOOKUP($E132,武器奇术!$A:$R,16,FALSE)="陌刀",1,$N132))*(1-$M132)</f>
        <v>0</v>
      </c>
      <c r="CG132" s="92">
        <f>BZ132*IF(VLOOKUP($E132,武器奇术!$A:$R,17,FALSE)="牵丝",VLOOKUP($E132,武器奇术!$A:$R,4,FALSE),VLOOKUP($E132,武器奇术!$A:$R,2,FALSE))*(1+CB132)*(1+CC132)*CD132*(1+$E$16+VLOOKUP($E132,武器奇术!$A:$R,8,FALSE))</f>
        <v>0</v>
      </c>
      <c r="CH132" s="93">
        <f t="shared" si="100"/>
        <v>0.8135</v>
      </c>
      <c r="CI132" s="92">
        <f>CA132*IF(VLOOKUP($E132,武器奇术!$A:$R,17,FALSE)="牵丝",VLOOKUP($E132,武器奇术!$A:$R,4,FALSE),VLOOKUP($E132,武器奇术!$A:$R,2,FALSE))*(1+CB132)*(1+CC132)*CD132*(1+$E$17+VLOOKUP($E132,武器奇术!$A:$R,10,FALSE))</f>
        <v>0</v>
      </c>
      <c r="CJ132" s="93">
        <f t="shared" si="101"/>
        <v>0.0986</v>
      </c>
      <c r="CK132" s="92">
        <f>BZ132*IF(VLOOKUP($E132,武器奇术!$A:$R,17,FALSE)="牵丝",VLOOKUP($E132,武器奇术!$A:$R,4,FALSE),VLOOKUP($E132,武器奇术!$A:$R,2,FALSE))*(1+CB132)*(1+CC132)*CD132</f>
        <v>0</v>
      </c>
      <c r="CL132" s="93">
        <f t="shared" si="134"/>
        <v>0.0879</v>
      </c>
      <c r="CM132" s="101">
        <f t="shared" si="135"/>
        <v>0</v>
      </c>
      <c r="CN132" s="99">
        <f>IF(VLOOKUP($E132,武器奇术!$A:$R,18,FALSE)="极乐",0,$B$13*IF($G$5="撼天",1.05,1)+IF(AND(VLOOKUP($E132,武器奇术!$A:$R,15,FALSE)="武器",VLOOKUP($E132,武器奇术!$A:$R,17,FALSE)="破竹"),$E$3*(1+$E$15),0))</f>
        <v>686.71</v>
      </c>
      <c r="CO132" s="91">
        <f t="shared" si="136"/>
        <v>1052.21</v>
      </c>
      <c r="CP132" s="91">
        <f>IF(VLOOKUP($E132,武器奇术!$A:$R,18,FALSE)="极乐",0,MAX($C$13*IF($G$5="撼天",1.05,1)+IF(AND(VLOOKUP($E132,武器奇术!$A:$R,15,FALSE)="武器",VLOOKUP($E132,武器奇术!$A:$R,17,FALSE)="破竹"),$E$3*(1+$E$15),0),CN132))</f>
        <v>1417.71</v>
      </c>
      <c r="CQ132" s="93">
        <f>IF(($D$13+IF(VLOOKUP($E132,武器奇术!$A:$R,17,FALSE)="破竹",$D$15,0)-VLOOKUP($F$7,目标属性!$A:$R,6,FALSE)+IF(VLOOKUP($E132,武器奇术!$A:$V,22,FALSE)=1,4,0)+IF(VLOOKUP($E132,武器奇术!$A:$T,20,FALSE)=1,10,0))&gt;0,($D$13+IF(VLOOKUP($E132,武器奇术!$A:$R,17,FALSE)="破竹",$D$15,0)-VLOOKUP($F$7,目标属性!$A:$R,6,FALSE)+IF(VLOOKUP($E132,武器奇术!$A:$V,22,FALSE)=1,4,0)+IF(VLOOKUP($E132,武器奇术!$A:$T,20,FALSE)=1,10,0))/200,($D$13+IF(VLOOKUP($E132,武器奇术!$A:$R,17,FALSE)="破竹",$D$15,0)-VLOOKUP($F$7,目标属性!$A:$R,6,FALSE)+IF(VLOOKUP($E132,武器奇术!$A:$V,22,FALSE)=1,4,0)+IF(VLOOKUP($E132,武器奇术!$A:$T,20,FALSE)=1,10,0))/100)</f>
        <v>0.078</v>
      </c>
      <c r="CR132" s="120">
        <f>$E$13+IF(期望!$G$5="燕归",6%,0)</f>
        <v>0.208</v>
      </c>
      <c r="CS132" s="91">
        <v>1</v>
      </c>
      <c r="CT132" s="92">
        <f>CN132*IF(VLOOKUP($E132,武器奇术!$A:$R,17,FALSE)="破竹",VLOOKUP($E132,武器奇术!$A:$R,4,FALSE),VLOOKUP($E132,武器奇术!$A:$R,2,FALSE))*(1+CQ132)*(1+CR132)*CS132</f>
        <v>3739.14642622801</v>
      </c>
      <c r="CU132" s="93">
        <f>(1-IF(VLOOKUP($E132,武器奇术!$A:$R,16,FALSE)="陌刀",1,$N132))*(1-$M132)</f>
        <v>0</v>
      </c>
      <c r="CV132" s="92">
        <f>CO132*IF(VLOOKUP($E132,武器奇术!$A:$R,17,FALSE)="破竹",VLOOKUP($E132,武器奇术!$A:$R,4,FALSE),VLOOKUP($E132,武器奇术!$A:$R,2,FALSE))*(1+CQ132)*(1+CR132)*CS132*(1+$E$16+VLOOKUP($E132,武器奇术!$A:$R,8,FALSE))</f>
        <v>10851.2932571271</v>
      </c>
      <c r="CW132" s="93">
        <f t="shared" si="102"/>
        <v>0.8135</v>
      </c>
      <c r="CX132" s="92">
        <f>CP132*IF(VLOOKUP($E132,武器奇术!$A:$R,17,FALSE)="破竹",VLOOKUP($E132,武器奇术!$A:$R,4,FALSE),VLOOKUP($E132,武器奇术!$A:$R,2,FALSE))*(1+CQ132)*(1+CR132)*CS132*(1+$E$17+VLOOKUP($E132,武器奇术!$A:$R,10,FALSE))</f>
        <v>10421.2609804756</v>
      </c>
      <c r="CY132" s="93">
        <f t="shared" si="103"/>
        <v>0.0986</v>
      </c>
      <c r="CZ132" s="92">
        <f>CO132*IF(VLOOKUP($E132,武器奇术!$A:$R,17,FALSE)="破竹",VLOOKUP($E132,武器奇术!$A:$R,4,FALSE),VLOOKUP($E132,武器奇术!$A:$R,2,FALSE))*(1+CQ132)*(1+CR132)*CS132</f>
        <v>5729.29950217905</v>
      </c>
      <c r="DA132" s="93">
        <f t="shared" si="137"/>
        <v>0.0879</v>
      </c>
      <c r="DB132" s="101">
        <f t="shared" si="138"/>
        <v>10358.6688235894</v>
      </c>
      <c r="DC132" s="99">
        <f>IF(VLOOKUP($E132,武器奇术!$A:$R,18,FALSE)="极乐",0,$B$15)</f>
        <v>66</v>
      </c>
      <c r="DD132" s="91">
        <f t="shared" si="111"/>
        <v>95.9</v>
      </c>
      <c r="DE132" s="91">
        <f>IF(VLOOKUP($E132,武器奇术!$A:$R,18,FALSE)="极乐",0,$C$15)</f>
        <v>125.8</v>
      </c>
      <c r="DF132" s="93">
        <f>IF((IF(VLOOKUP($E132,武器奇术!$A:$R,17,FALSE)="鸣金",$D$7,0)+IF(VLOOKUP($E132,武器奇术!$A:$R,17,FALSE)="裂石",$D$9,0)+IF(VLOOKUP($E132,武器奇术!$A:$R,17,FALSE)="牵丝",$D$11,0)+IF(VLOOKUP($E132,武器奇术!$A:$R,17,FALSE)="破竹",$D$13,0)+$D$15-VLOOKUP($F$7,目标属性!$A:$R,6,FALSE)+IF(VLOOKUP($E132,武器奇术!$A:$V,22,FALSE)=1,4,0)+IF(VLOOKUP($E132,武器奇术!$A:$T,20,FALSE)=1,10,0))&gt;0,(IF(VLOOKUP($E132,武器奇术!$A:$R,17,FALSE)="鸣金",$D$7,0)+IF(VLOOKUP($E132,武器奇术!$A:$R,17,FALSE)="裂石",$D$9,0)+IF(VLOOKUP($E132,武器奇术!$A:$R,17,FALSE)="牵丝",$D$11,0)+IF(VLOOKUP($E132,武器奇术!$A:$R,17,FALSE)="破竹",$D$13,0)+$D$15-VLOOKUP($F$7,目标属性!$A:$R,6,FALSE)+IF(VLOOKUP($E132,武器奇术!$A:$V,22,FALSE)=1,4,0)+IF(VLOOKUP($E132,武器奇术!$A:$T,20,FALSE)=1,10,0))/200,(IF(VLOOKUP($E132,武器奇术!$A:$R,17,FALSE)="鸣金",$D$7,0)+IF(VLOOKUP($E132,武器奇术!$A:$R,17,FALSE)="裂石",$D$9,0)+IF(VLOOKUP($E132,武器奇术!$A:$R,17,FALSE)="牵丝",$D$11,0)+IF(VLOOKUP($E132,武器奇术!$A:$R,17,FALSE)="破竹",$D$13,0)+$D$15-VLOOKUP($F$7,目标属性!$A:$R,6,FALSE)+IF(VLOOKUP($E132,武器奇术!$A:$V,22,FALSE)=1,4,0)+IF(VLOOKUP($E132,武器奇术!$A:$T,20,FALSE)=1,10,0))/100)</f>
        <v>0.078</v>
      </c>
      <c r="DG132" s="120">
        <f>$E$13+IF(期望!$G$5="燕归",6%,0)</f>
        <v>0.208</v>
      </c>
      <c r="DH132" s="91">
        <v>1</v>
      </c>
      <c r="DI132" s="92">
        <f>DC132*IF(VLOOKUP($E132,武器奇术!$A:$R,17,FALSE)="破竹",VLOOKUP($E132,武器奇术!$A:$R,4,FALSE),VLOOKUP($E132,武器奇术!$A:$R,2,FALSE))*(1+DF132)*(1+DG132)*DH132</f>
        <v>359.37100687488</v>
      </c>
      <c r="DJ132" s="93">
        <f>(1-IF(VLOOKUP($E132,武器奇术!$A:$R,16,FALSE)="陌刀",1,$N132))*(1-$M132)</f>
        <v>0</v>
      </c>
      <c r="DK132" s="92">
        <f>DD132*IF(VLOOKUP($E132,武器奇术!$A:$R,17,FALSE)="破竹",VLOOKUP($E132,武器奇术!$A:$R,4,FALSE),VLOOKUP($E132,武器奇术!$A:$R,2,FALSE))*(1+DF132)*(1+DG132)*DH132*(1+$E$16+VLOOKUP($E132,武器奇术!$A:$R,8,FALSE))</f>
        <v>989.003167959335</v>
      </c>
      <c r="DL132" s="93">
        <f t="shared" si="104"/>
        <v>0.8135</v>
      </c>
      <c r="DM132" s="92">
        <f>DE132*IF(VLOOKUP($E132,武器奇术!$A:$R,17,FALSE)="破竹",VLOOKUP($E132,武器奇术!$A:$R,4,FALSE),VLOOKUP($E132,武器奇术!$A:$R,2,FALSE))*(1+DF132)*(1+DG132)*DH132*(1+$E$17+VLOOKUP($E132,武器奇术!$A:$R,10,FALSE))</f>
        <v>924.726940872135</v>
      </c>
      <c r="DN132" s="93">
        <f t="shared" si="105"/>
        <v>0.0986</v>
      </c>
      <c r="DO132" s="92">
        <f>DD132*IF(VLOOKUP($E132,武器奇术!$A:$R,17,FALSE)="破竹",VLOOKUP($E132,武器奇术!$A:$R,4,FALSE),VLOOKUP($E132,武器奇术!$A:$R,2,FALSE))*(1+DF132)*(1+DG132)*DH132</f>
        <v>522.176963019712</v>
      </c>
      <c r="DP132" s="93">
        <f t="shared" si="106"/>
        <v>0.0879</v>
      </c>
      <c r="DQ132" s="101">
        <f t="shared" si="107"/>
        <v>941.631508554344</v>
      </c>
    </row>
    <row r="133" spans="1:121">
      <c r="E133" s="105" t="s">
        <v>219</v>
      </c>
      <c r="F133" s="106">
        <f>F132*3</f>
        <v>3</v>
      </c>
      <c r="G133" s="107">
        <f>$E$23</f>
        <v>0.32</v>
      </c>
      <c r="H133" s="131">
        <f>IF(VLOOKUP($E133,武器奇术!$A:$R,18,FALSE)="天工",AE133,(AE133+AT133+BI133+BX133+CM133+DB133+DQ133))*(1+J133)*F133*K133*(1+G133)*(1+$G$21*5%)</f>
        <v>62399.1046226766</v>
      </c>
      <c r="I133" s="93">
        <f t="shared" si="117"/>
        <v>0.00800472678187376</v>
      </c>
      <c r="J133" s="93">
        <f>$F$3+VLOOKUP($E133,武器奇术!$A:$R,12,FALSE)+VLOOKUP($E133,武器奇术!$A:$R,14,FALSE)*$G$3+$P133</f>
        <v>1.613</v>
      </c>
      <c r="K133" s="94">
        <f>VLOOKUP($E133,武器奇术!$A:$R,11,FALSE)</f>
        <v>1</v>
      </c>
      <c r="L133" s="109">
        <f>IF(VLOOKUP($E133,武器奇术!$A:$R,15,FALSE)="天工",0%,IF($C$17+VLOOKUP($E133,武器奇术!$A:$R,7,FALSE)&gt;80%,80%,$C$17+VLOOKUP($E133,武器奇术!$A:$R,7,FALSE))+IF($C$19&gt;20%,20%,$C$19))</f>
        <v>0.8135</v>
      </c>
      <c r="M133" s="110">
        <f>IF(VLOOKUP($E133,武器奇术!$A:$R,15,FALSE)="天工",0%,IF($C$18+VLOOKUP($E133,武器奇术!$A:$R,9,FALSE)&gt;40%,40%,$C$18+VLOOKUP($E133,武器奇术!$A:$R,9,FALSE))+IF($C$20&gt;10%,10%,$C$20))</f>
        <v>0.0986</v>
      </c>
      <c r="N133" s="111">
        <f>IF(VLOOKUP($E133,武器奇术!$A:$R,15,FALSE)="天工",100%,MIN($C$16,1))</f>
        <v>1</v>
      </c>
      <c r="O133" s="112" t="str">
        <f>VLOOKUP($E133,武器奇术!$A:$R,16,FALSE)</f>
        <v>绳标</v>
      </c>
      <c r="P133" s="113">
        <f t="shared" si="108"/>
        <v>0.17</v>
      </c>
      <c r="Q133" s="99">
        <f>$B$5*(1+VLOOKUP($E133,武器奇术!$A:$R,5,FALSE)+IF($G$5="飞隼",0.1,0)+IF($G$5="撼天",0.05,0))-$F$9*IF(VLOOKUP($E133,武器奇术!$A:$S,19,FALSE)=1,0.9,1)+IF($I$5="√",160,0)</f>
        <v>2848.3</v>
      </c>
      <c r="R133" s="91">
        <f t="shared" si="118"/>
        <v>2848.3</v>
      </c>
      <c r="S133" s="91">
        <f>MAX($C$5,$B$5)*(1+VLOOKUP($E133,武器奇术!$A:$R,5,FALSE)+IF($G$5="飞隼",0.1,0)+IF($G$5="撼天",0.05,0))-$F$9*IF(VLOOKUP($E133,武器奇术!$A:$S,19,FALSE)=1,0.9,1)+IF($I$5="√",320,0)</f>
        <v>2848.3</v>
      </c>
      <c r="T133" s="93">
        <f>IF(($D$5+VLOOKUP($E133,武器奇术!$A:$R,13,FALSE)+IF($I$3="√",10,0)-VLOOKUP($F$7,目标属性!$A:$R,5,FALSE))&gt;0,($D$5+VLOOKUP($E133,武器奇术!$A:$R,13,FALSE)+IF($I$3="√",10,0)-VLOOKUP($F$7,目标属性!$A:$R,5,FALSE))/200,($D$5+VLOOKUP($E133,武器奇术!$A:$R,13,FALSE)+IF($I$3="√",10,0)-VLOOKUP($F$7,目标属性!$A:$R,5,FALSE))/100)</f>
        <v>0.3925</v>
      </c>
      <c r="U133" s="120">
        <f>$E$5+IF(VLOOKUP($E133,武器奇术!$A:$R,18,FALSE)="鼠鼠",0.24,0)+IF(期望!$G$5="燕归",6/100,0)</f>
        <v>0.3</v>
      </c>
      <c r="V133" s="91">
        <v>1</v>
      </c>
      <c r="W133" s="92">
        <f>Q133*VLOOKUP($E133,武器奇术!$A:$R,2,FALSE)*(1+T133)*(1+U133)*V133</f>
        <v>1804.64727625</v>
      </c>
      <c r="X133" s="93">
        <f>(1-IF(VLOOKUP($E133,武器奇术!$A:$R,16,FALSE)="陌刀",1,$N133))*(1-$M133)</f>
        <v>0</v>
      </c>
      <c r="Y133" s="92">
        <f>R133*VLOOKUP($E133,武器奇术!$A:$R,2,FALSE)*(1+T133)*(1+U133)*V133*(1+$E$16+VLOOKUP($E133,武器奇术!$A:$R,8,FALSE))</f>
        <v>3418.0019412175</v>
      </c>
      <c r="Z133" s="93">
        <f t="shared" si="119"/>
        <v>0.8135</v>
      </c>
      <c r="AA133" s="92">
        <f>S133*VLOOKUP($E133,武器奇术!$A:$R,2,FALSE)*(1+T133)*(1+U133)*V133*(1+$E$17+VLOOKUP($E133,武器奇术!$A:$R,10,FALSE))</f>
        <v>2436.2738229375</v>
      </c>
      <c r="AB133" s="93">
        <f t="shared" si="120"/>
        <v>0.0986</v>
      </c>
      <c r="AC133" s="92">
        <f>R133*VLOOKUP($E133,武器奇术!$A:$R,2,FALSE)*(1+T133)*(1+U133)*V133</f>
        <v>1804.64727625</v>
      </c>
      <c r="AD133" s="93">
        <f t="shared" si="121"/>
        <v>0.0879</v>
      </c>
      <c r="AE133" s="101">
        <f t="shared" si="122"/>
        <v>3179.38967370445</v>
      </c>
      <c r="AF133" s="102">
        <f>VLOOKUP($E133,武器奇术!$A:$R,3,FALSE)*(1+IF(VLOOKUP($E133,武器奇术!$A:$R,15,FALSE)="武器",$E$15,0))</f>
        <v>0</v>
      </c>
      <c r="AG133" s="92">
        <f t="shared" si="123"/>
        <v>0</v>
      </c>
      <c r="AH133" s="92">
        <f>VLOOKUP($E133,武器奇术!$A:$R,3,FALSE)*(1+IF(VLOOKUP($E133,武器奇术!$A:$R,15,FALSE)="武器",$E$15,0))</f>
        <v>0</v>
      </c>
      <c r="AI133" s="93">
        <f>IF(($D$5+VLOOKUP($E133,武器奇术!$A:$R,13,FALSE)+IF($I$3="√",10,0)-VLOOKUP($F$7,目标属性!$A:$R,5,FALSE))&gt;0,($D$5+VLOOKUP($E133,武器奇术!$A:$R,13,FALSE)+IF($I$3="√",10,0)-VLOOKUP($F$7,目标属性!$A:$R,5,FALSE))/200,($D$5+VLOOKUP($E133,武器奇术!$A:$R,13,FALSE)+IF($I$3="√",10,0)-VLOOKUP($F$7,目标属性!$A:$R,5,FALSE))/100)</f>
        <v>0.3925</v>
      </c>
      <c r="AJ133" s="120">
        <f>$E$5+IF(VLOOKUP($E133,武器奇术!$A:$R,18,FALSE)="鼠鼠",0.24,0)+IF(期望!$G$5="燕归",6/100,0)</f>
        <v>0.3</v>
      </c>
      <c r="AK133" s="91">
        <v>1</v>
      </c>
      <c r="AL133" s="92">
        <f t="shared" si="109"/>
        <v>0</v>
      </c>
      <c r="AM133" s="93">
        <f>(1-IF(VLOOKUP($E133,武器奇术!$A:$R,16,FALSE)="陌刀",1,$N133))*(1-$M133)</f>
        <v>0</v>
      </c>
      <c r="AN133" s="92">
        <f>AG133*(1+AI133)*(1+AJ133)*AK133*(1+$E$16+VLOOKUP($E133,武器奇术!$A:$R,8,FALSE))</f>
        <v>0</v>
      </c>
      <c r="AO133" s="93">
        <f t="shared" si="94"/>
        <v>0.8135</v>
      </c>
      <c r="AP133" s="92">
        <f>AH133*(1+AI133)*(1+AJ133)*AK133*(1+$E$17+VLOOKUP($E133,武器奇术!$A:$R,10,FALSE))</f>
        <v>0</v>
      </c>
      <c r="AQ133" s="93">
        <f t="shared" si="95"/>
        <v>0.0986</v>
      </c>
      <c r="AR133" s="92">
        <f t="shared" si="124"/>
        <v>0</v>
      </c>
      <c r="AS133" s="93">
        <f t="shared" si="125"/>
        <v>0.0879</v>
      </c>
      <c r="AT133" s="101">
        <f t="shared" si="126"/>
        <v>0</v>
      </c>
      <c r="AU133" s="99">
        <f>IF(VLOOKUP($E133,武器奇术!$A:$R,18,FALSE)="极乐",0,$B$7*IF($G$5="撼天",1.05,1)+IF(AND(VLOOKUP($E133,武器奇术!$A:$R,15,FALSE)="武器",VLOOKUP($E133,武器奇术!$A:$R,17,FALSE)="鸣金"),$E$3*(1+$E$15),0))</f>
        <v>0</v>
      </c>
      <c r="AV133" s="91">
        <f t="shared" si="127"/>
        <v>0</v>
      </c>
      <c r="AW133" s="91">
        <f>IF(VLOOKUP($E133,武器奇术!$A:$R,18,FALSE)="极乐",0,MAX($C$7*IF($G$5="撼天",1.05,1)+IF(AND(VLOOKUP($E133,武器奇术!$A:$R,15,FALSE)="武器",VLOOKUP($E133,武器奇术!$A:$R,17,FALSE)="鸣金"),$E$3*(1+$E$15),0),AU133))</f>
        <v>0</v>
      </c>
      <c r="AX133" s="93">
        <f>IF(($D$7+IF(VLOOKUP($E133,武器奇术!$A:$R,17,FALSE)="鸣金",$D$15,0)-VLOOKUP($F$7,目标属性!$A:$R,6,FALSE))&gt;0,($D$7+IF(VLOOKUP($E133,武器奇术!$A:$R,17,FALSE)="鸣金",$D$15,0)-VLOOKUP($F$7,目标属性!$A:$R,6,FALSE))/200,($D$7+IF(VLOOKUP($E133,武器奇术!$A:$R,17,FALSE)="鸣金",$D$15,0)-VLOOKUP($F$7,目标属性!$A:$R,6,FALSE))/100)</f>
        <v>-0.24</v>
      </c>
      <c r="AY133" s="100">
        <f t="shared" si="89"/>
        <v>0</v>
      </c>
      <c r="AZ133" s="91">
        <v>1</v>
      </c>
      <c r="BA133" s="92">
        <f>AU133*IF(VLOOKUP($E133,武器奇术!$A:$R,17,FALSE)="鸣金",VLOOKUP($E133,武器奇术!$A:$R,4,FALSE),VLOOKUP($E133,武器奇术!$A:$R,2,FALSE))*(1+AX133)*(1+AY133)*AZ133</f>
        <v>0</v>
      </c>
      <c r="BB133" s="93">
        <f>(1-IF(VLOOKUP($E133,武器奇术!$A:$R,16,FALSE)="陌刀",1,$N133))*(1-$M133)</f>
        <v>0</v>
      </c>
      <c r="BC133" s="92">
        <f>AV133*IF(VLOOKUP($E133,武器奇术!$A:$R,17,FALSE)="鸣金",VLOOKUP($E133,武器奇术!$A:$R,4,FALSE),VLOOKUP($E133,武器奇术!$A:$R,2,FALSE))*(1+AX133)*(1+AY133)*AZ133*(1+$E$16+VLOOKUP($E133,武器奇术!$A:$R,8,FALSE))</f>
        <v>0</v>
      </c>
      <c r="BD133" s="93">
        <f t="shared" si="96"/>
        <v>0.8135</v>
      </c>
      <c r="BE133" s="92">
        <f>AW133*IF(VLOOKUP($E133,武器奇术!$A:$R,17,FALSE)="鸣金",VLOOKUP($E133,武器奇术!$A:$R,4,FALSE),VLOOKUP($E133,武器奇术!$A:$R,2,FALSE))*(1+AX133)*(1+AY133)*AZ133*(1+$E$17+VLOOKUP($E133,武器奇术!$A:$R,10,FALSE))</f>
        <v>0</v>
      </c>
      <c r="BF133" s="93">
        <f t="shared" si="97"/>
        <v>0.0986</v>
      </c>
      <c r="BG133" s="92">
        <f>AV133*IF(VLOOKUP($E133,武器奇术!$A:$R,17,FALSE)="鸣金",VLOOKUP($E133,武器奇术!$A:$R,4,FALSE),VLOOKUP($E133,武器奇术!$A:$R,2,FALSE))*(1+AX133)*(1+AY133)*AZ133</f>
        <v>0</v>
      </c>
      <c r="BH133" s="93">
        <f t="shared" si="128"/>
        <v>0.0879</v>
      </c>
      <c r="BI133" s="101">
        <f t="shared" si="129"/>
        <v>0</v>
      </c>
      <c r="BJ133" s="99">
        <f>IF(VLOOKUP($E133,武器奇术!$A:$R,18,FALSE)="极乐",0,$B$9*IF($G$5="撼天",1.05,1)+IF(AND(VLOOKUP($E133,武器奇术!$A:$R,15,FALSE)="武器",VLOOKUP($E133,武器奇术!$A:$R,17,FALSE)="裂石"),$E$3*(1+$E$15),0))</f>
        <v>0</v>
      </c>
      <c r="BK133" s="91">
        <f t="shared" si="130"/>
        <v>0</v>
      </c>
      <c r="BL133" s="91">
        <f>IF(VLOOKUP($E133,武器奇术!$A:$R,18,FALSE)="极乐",0,MAX($C$9*IF($G$5="撼天",1.05,1)+IF(AND(VLOOKUP($E133,武器奇术!$A:$R,15,FALSE)="武器",VLOOKUP($E133,武器奇术!$A:$R,17,FALSE)="裂石"),$E$3*(1+$E$15),0),BJ133))</f>
        <v>0</v>
      </c>
      <c r="BM133" s="93">
        <f>IF(($D$9+IF(VLOOKUP($E133,武器奇术!$A:$R,17,FALSE)="裂石",$D$15,0)-VLOOKUP($F$7,目标属性!$A:$R,6,FALSE))&gt;0,($D$9+IF(VLOOKUP($E133,武器奇术!$A:$R,17,FALSE)="裂石",$D$15,0)-VLOOKUP($F$7,目标属性!$A:$R,6,FALSE))/200,($D$9+IF(VLOOKUP($E133,武器奇术!$A:$R,17,FALSE)="裂石",$D$15,0)-VLOOKUP($F$7,目标属性!$A:$R,6,FALSE))/100)</f>
        <v>-0.24</v>
      </c>
      <c r="BN133" s="100">
        <f t="shared" si="90"/>
        <v>0</v>
      </c>
      <c r="BO133" s="91">
        <v>1</v>
      </c>
      <c r="BP133" s="92">
        <f>BJ133*IF(VLOOKUP($E133,武器奇术!$A:$R,17,FALSE)="裂石",VLOOKUP($E133,武器奇术!$A:$R,4,FALSE),VLOOKUP($E133,武器奇术!$A:$R,2,FALSE))*(1+BM133)*(1+BN133)*BO133</f>
        <v>0</v>
      </c>
      <c r="BQ133" s="93">
        <f>(1-IF(VLOOKUP($E133,武器奇术!$A:$R,16,FALSE)="陌刀",1,$N133))*(1-$M133)</f>
        <v>0</v>
      </c>
      <c r="BR133" s="92">
        <f>BK133*IF(VLOOKUP($E133,武器奇术!$A:$R,17,FALSE)="裂石",VLOOKUP($E133,武器奇术!$A:$R,4,FALSE),VLOOKUP($E133,武器奇术!$A:$R,2,FALSE))*(1+BM133)*(1+BN133)*BO133*(1+$E$16+VLOOKUP($E133,武器奇术!$A:$R,8,FALSE))</f>
        <v>0</v>
      </c>
      <c r="BS133" s="93">
        <f t="shared" si="98"/>
        <v>0.8135</v>
      </c>
      <c r="BT133" s="92">
        <f>BL133*IF(VLOOKUP($E133,武器奇术!$A:$R,17,FALSE)="裂石",VLOOKUP($E133,武器奇术!$A:$R,4,FALSE),VLOOKUP($E133,武器奇术!$A:$R,2,FALSE))*(1+BM133)*(1+BN133)*BO133*(1+$E$17+VLOOKUP($E133,武器奇术!$A:$R,10,FALSE))</f>
        <v>0</v>
      </c>
      <c r="BU133" s="93">
        <f t="shared" si="99"/>
        <v>0.0986</v>
      </c>
      <c r="BV133" s="92">
        <f>BK133*IF(VLOOKUP($E133,武器奇术!$A:$R,17,FALSE)="裂石",VLOOKUP($E133,武器奇术!$A:$R,4,FALSE),VLOOKUP($E133,武器奇术!$A:$R,2,FALSE))*(1+BM133)*(1+BN133)*BO133</f>
        <v>0</v>
      </c>
      <c r="BW133" s="93">
        <f t="shared" si="131"/>
        <v>0.0879</v>
      </c>
      <c r="BX133" s="101">
        <f t="shared" si="132"/>
        <v>0</v>
      </c>
      <c r="BY133" s="99">
        <f>IF(VLOOKUP($E133,武器奇术!$A:$R,18,FALSE)="极乐",0,$B$11*IF($G$5="撼天",1.05,1)+IF(AND(VLOOKUP($E133,武器奇术!$A:$R,15,FALSE)="武器",VLOOKUP($E133,武器奇术!$A:$R,17,FALSE)="牵丝"),$E$3*(1+$E$15),0))</f>
        <v>0</v>
      </c>
      <c r="BZ133" s="91">
        <f t="shared" si="133"/>
        <v>0</v>
      </c>
      <c r="CA133" s="91">
        <f>IF(VLOOKUP($E133,武器奇术!$A:$R,18,FALSE)="极乐",0,MAX($C$11*IF($G$5="撼天",1.05,1)+IF(AND(VLOOKUP($E133,武器奇术!$A:$R,15,FALSE)="武器",VLOOKUP($E133,武器奇术!$A:$R,17,FALSE)="牵丝"),$E$3*(1+$E$15),0),BY133))</f>
        <v>0</v>
      </c>
      <c r="CB133" s="93">
        <f>IF(($D$11+IF(VLOOKUP($E133,武器奇术!$A:$R,17,FALSE)="牵丝",$D$15,0)-VLOOKUP($F$7,目标属性!$A:$R,6,FALSE))&gt;0,($D$11+IF(VLOOKUP($E133,武器奇术!$A:$R,17,FALSE)="牵丝",$D$15,0)-VLOOKUP($F$7,目标属性!$A:$R,6,FALSE))/200,($D$11+IF(VLOOKUP($E133,武器奇术!$A:$R,17,FALSE)="牵丝",$D$15,0)-VLOOKUP($F$7,目标属性!$A:$R,6,FALSE))/100)</f>
        <v>-0.24</v>
      </c>
      <c r="CC133" s="100">
        <f t="shared" si="91"/>
        <v>0</v>
      </c>
      <c r="CD133" s="91">
        <v>1</v>
      </c>
      <c r="CE133" s="92">
        <f>BY133*IF(VLOOKUP($E133,武器奇术!$A:$R,17,FALSE)="牵丝",VLOOKUP($E133,武器奇术!$A:$R,4,FALSE),VLOOKUP($E133,武器奇术!$A:$R,2,FALSE))*(1+CB133)*(1+CC133)*CD133</f>
        <v>0</v>
      </c>
      <c r="CF133" s="93">
        <f>(1-IF(VLOOKUP($E133,武器奇术!$A:$R,16,FALSE)="陌刀",1,$N133))*(1-$M133)</f>
        <v>0</v>
      </c>
      <c r="CG133" s="92">
        <f>BZ133*IF(VLOOKUP($E133,武器奇术!$A:$R,17,FALSE)="牵丝",VLOOKUP($E133,武器奇术!$A:$R,4,FALSE),VLOOKUP($E133,武器奇术!$A:$R,2,FALSE))*(1+CB133)*(1+CC133)*CD133*(1+$E$16+VLOOKUP($E133,武器奇术!$A:$R,8,FALSE))</f>
        <v>0</v>
      </c>
      <c r="CH133" s="93">
        <f t="shared" si="100"/>
        <v>0.8135</v>
      </c>
      <c r="CI133" s="92">
        <f>CA133*IF(VLOOKUP($E133,武器奇术!$A:$R,17,FALSE)="牵丝",VLOOKUP($E133,武器奇术!$A:$R,4,FALSE),VLOOKUP($E133,武器奇术!$A:$R,2,FALSE))*(1+CB133)*(1+CC133)*CD133*(1+$E$17+VLOOKUP($E133,武器奇术!$A:$R,10,FALSE))</f>
        <v>0</v>
      </c>
      <c r="CJ133" s="93">
        <f t="shared" si="101"/>
        <v>0.0986</v>
      </c>
      <c r="CK133" s="92">
        <f>BZ133*IF(VLOOKUP($E133,武器奇术!$A:$R,17,FALSE)="牵丝",VLOOKUP($E133,武器奇术!$A:$R,4,FALSE),VLOOKUP($E133,武器奇术!$A:$R,2,FALSE))*(1+CB133)*(1+CC133)*CD133</f>
        <v>0</v>
      </c>
      <c r="CL133" s="93">
        <f t="shared" si="134"/>
        <v>0.0879</v>
      </c>
      <c r="CM133" s="101">
        <f t="shared" si="135"/>
        <v>0</v>
      </c>
      <c r="CN133" s="99">
        <f>IF(VLOOKUP($E133,武器奇术!$A:$R,18,FALSE)="极乐",0,$B$13*IF($G$5="撼天",1.05,1)+IF(AND(VLOOKUP($E133,武器奇术!$A:$R,15,FALSE)="武器",VLOOKUP($E133,武器奇术!$A:$R,17,FALSE)="破竹"),$E$3*(1+$E$15),0))</f>
        <v>490.8</v>
      </c>
      <c r="CO133" s="91">
        <f t="shared" si="136"/>
        <v>856.3</v>
      </c>
      <c r="CP133" s="91">
        <f>IF(VLOOKUP($E133,武器奇术!$A:$R,18,FALSE)="极乐",0,MAX($C$13*IF($G$5="撼天",1.05,1)+IF(AND(VLOOKUP($E133,武器奇术!$A:$R,15,FALSE)="武器",VLOOKUP($E133,武器奇术!$A:$R,17,FALSE)="破竹"),$E$3*(1+$E$15),0),CN133))</f>
        <v>1221.8</v>
      </c>
      <c r="CQ133" s="93">
        <f>IF(($D$13+IF(VLOOKUP($E133,武器奇术!$A:$R,17,FALSE)="破竹",$D$15,0)-VLOOKUP($F$7,目标属性!$A:$R,6,FALSE)+IF(VLOOKUP($E133,武器奇术!$A:$V,22,FALSE)=1,4,0)+IF(VLOOKUP($E133,武器奇术!$A:$T,20,FALSE)=1,10,0))&gt;0,($D$13+IF(VLOOKUP($E133,武器奇术!$A:$R,17,FALSE)="破竹",$D$15,0)-VLOOKUP($F$7,目标属性!$A:$R,6,FALSE)+IF(VLOOKUP($E133,武器奇术!$A:$V,22,FALSE)=1,4,0)+IF(VLOOKUP($E133,武器奇术!$A:$T,20,FALSE)=1,10,0))/200,($D$13+IF(VLOOKUP($E133,武器奇术!$A:$R,17,FALSE)="破竹",$D$15,0)-VLOOKUP($F$7,目标属性!$A:$R,6,FALSE)+IF(VLOOKUP($E133,武器奇术!$A:$V,22,FALSE)=1,4,0)+IF(VLOOKUP($E133,武器奇术!$A:$T,20,FALSE)=1,10,0))/100)</f>
        <v>0.028</v>
      </c>
      <c r="CR133" s="120">
        <f>$E$13+IF(期望!$G$5="燕归",6%,0)</f>
        <v>0.208</v>
      </c>
      <c r="CS133" s="91">
        <v>1</v>
      </c>
      <c r="CT133" s="92">
        <f>CN133*IF(VLOOKUP($E133,武器奇术!$A:$R,17,FALSE)="破竹",VLOOKUP($E133,武器奇术!$A:$R,4,FALSE),VLOOKUP($E133,武器奇术!$A:$R,2,FALSE))*(1+CQ133)*(1+CR133)*CS133</f>
        <v>319.98079008</v>
      </c>
      <c r="CU133" s="93">
        <f>(1-IF(VLOOKUP($E133,武器奇术!$A:$R,16,FALSE)="陌刀",1,$N133))*(1-$M133)</f>
        <v>0</v>
      </c>
      <c r="CV133" s="92">
        <f>CO133*IF(VLOOKUP($E133,武器奇术!$A:$R,17,FALSE)="破竹",VLOOKUP($E133,武器奇术!$A:$R,4,FALSE),VLOOKUP($E133,武器奇术!$A:$R,2,FALSE))*(1+CQ133)*(1+CR133)*CS133*(1+$E$16+VLOOKUP($E133,武器奇术!$A:$R,8,FALSE))</f>
        <v>1057.36582871472</v>
      </c>
      <c r="CW133" s="93">
        <f t="shared" si="102"/>
        <v>0.8135</v>
      </c>
      <c r="CX133" s="92">
        <f>CP133*IF(VLOOKUP($E133,武器奇术!$A:$R,17,FALSE)="破竹",VLOOKUP($E133,武器奇术!$A:$R,4,FALSE),VLOOKUP($E133,武器奇术!$A:$R,2,FALSE))*(1+CQ133)*(1+CR133)*CS133*(1+$E$17+VLOOKUP($E133,武器奇术!$A:$R,10,FALSE))</f>
        <v>1075.358424168</v>
      </c>
      <c r="CY133" s="93">
        <f t="shared" si="103"/>
        <v>0.0986</v>
      </c>
      <c r="CZ133" s="92">
        <f>CO133*IF(VLOOKUP($E133,武器奇术!$A:$R,17,FALSE)="破竹",VLOOKUP($E133,武器奇术!$A:$R,4,FALSE),VLOOKUP($E133,武器奇术!$A:$R,2,FALSE))*(1+CQ133)*(1+CR133)*CS133</f>
        <v>558.27129288</v>
      </c>
      <c r="DA133" s="93">
        <f t="shared" si="137"/>
        <v>0.0879</v>
      </c>
      <c r="DB133" s="101">
        <f t="shared" si="138"/>
        <v>1015.26948892654</v>
      </c>
      <c r="DC133" s="99">
        <f>IF(VLOOKUP($E133,武器奇术!$A:$R,18,FALSE)="极乐",0,$B$15)</f>
        <v>66</v>
      </c>
      <c r="DD133" s="91">
        <f t="shared" si="111"/>
        <v>95.9</v>
      </c>
      <c r="DE133" s="91">
        <f>IF(VLOOKUP($E133,武器奇术!$A:$R,18,FALSE)="极乐",0,$C$15)</f>
        <v>125.8</v>
      </c>
      <c r="DF133" s="93">
        <f>IF((IF(VLOOKUP($E133,武器奇术!$A:$R,17,FALSE)="鸣金",$D$7,0)+IF(VLOOKUP($E133,武器奇术!$A:$R,17,FALSE)="裂石",$D$9,0)+IF(VLOOKUP($E133,武器奇术!$A:$R,17,FALSE)="牵丝",$D$11,0)+IF(VLOOKUP($E133,武器奇术!$A:$R,17,FALSE)="破竹",$D$13,0)+$D$15-VLOOKUP($F$7,目标属性!$A:$R,6,FALSE)+IF(VLOOKUP($E133,武器奇术!$A:$V,22,FALSE)=1,4,0)+IF(VLOOKUP($E133,武器奇术!$A:$T,20,FALSE)=1,10,0))&gt;0,(IF(VLOOKUP($E133,武器奇术!$A:$R,17,FALSE)="鸣金",$D$7,0)+IF(VLOOKUP($E133,武器奇术!$A:$R,17,FALSE)="裂石",$D$9,0)+IF(VLOOKUP($E133,武器奇术!$A:$R,17,FALSE)="牵丝",$D$11,0)+IF(VLOOKUP($E133,武器奇术!$A:$R,17,FALSE)="破竹",$D$13,0)+$D$15-VLOOKUP($F$7,目标属性!$A:$R,6,FALSE)+IF(VLOOKUP($E133,武器奇术!$A:$V,22,FALSE)=1,4,0)+IF(VLOOKUP($E133,武器奇术!$A:$T,20,FALSE)=1,10,0))/200,(IF(VLOOKUP($E133,武器奇术!$A:$R,17,FALSE)="鸣金",$D$7,0)+IF(VLOOKUP($E133,武器奇术!$A:$R,17,FALSE)="裂石",$D$9,0)+IF(VLOOKUP($E133,武器奇术!$A:$R,17,FALSE)="牵丝",$D$11,0)+IF(VLOOKUP($E133,武器奇术!$A:$R,17,FALSE)="破竹",$D$13,0)+$D$15-VLOOKUP($F$7,目标属性!$A:$R,6,FALSE)+IF(VLOOKUP($E133,武器奇术!$A:$V,22,FALSE)=1,4,0)+IF(VLOOKUP($E133,武器奇术!$A:$T,20,FALSE)=1,10,0))/100)</f>
        <v>0.028</v>
      </c>
      <c r="DG133" s="120">
        <f>$E$13+IF(期望!$G$5="燕归",6%,0)</f>
        <v>0.208</v>
      </c>
      <c r="DH133" s="91">
        <v>1</v>
      </c>
      <c r="DI133" s="92">
        <f>DC133*IF(VLOOKUP($E133,武器奇术!$A:$R,17,FALSE)="破竹",VLOOKUP($E133,武器奇术!$A:$R,4,FALSE),VLOOKUP($E133,武器奇术!$A:$R,2,FALSE))*(1+DF133)*(1+DG133)*DH133</f>
        <v>43.0292016</v>
      </c>
      <c r="DJ133" s="93">
        <f>(1-IF(VLOOKUP($E133,武器奇术!$A:$R,16,FALSE)="陌刀",1,$N133))*(1-$M133)</f>
        <v>0</v>
      </c>
      <c r="DK133" s="92">
        <f>DD133*IF(VLOOKUP($E133,武器奇术!$A:$R,17,FALSE)="破竹",VLOOKUP($E133,武器奇术!$A:$R,4,FALSE),VLOOKUP($E133,武器奇术!$A:$R,2,FALSE))*(1+DF133)*(1+DG133)*DH133*(1+$E$16+VLOOKUP($E133,武器奇术!$A:$R,8,FALSE))</f>
        <v>118.41805789296</v>
      </c>
      <c r="DL133" s="93">
        <f t="shared" si="104"/>
        <v>0.8135</v>
      </c>
      <c r="DM133" s="92">
        <f>DE133*IF(VLOOKUP($E133,武器奇术!$A:$R,17,FALSE)="破竹",VLOOKUP($E133,武器奇术!$A:$R,4,FALSE),VLOOKUP($E133,武器奇术!$A:$R,2,FALSE))*(1+DF133)*(1+DG133)*DH133*(1+$E$17+VLOOKUP($E133,武器奇术!$A:$R,10,FALSE))</f>
        <v>110.721959208</v>
      </c>
      <c r="DN133" s="93">
        <f t="shared" si="105"/>
        <v>0.0986</v>
      </c>
      <c r="DO133" s="92">
        <f>DD133*IF(VLOOKUP($E133,武器奇术!$A:$R,17,FALSE)="破竹",VLOOKUP($E133,武器奇术!$A:$R,4,FALSE),VLOOKUP($E133,武器奇术!$A:$R,2,FALSE))*(1+DF133)*(1+DG133)*DH133</f>
        <v>62.52273384</v>
      </c>
      <c r="DP133" s="93">
        <f t="shared" si="106"/>
        <v>0.0879</v>
      </c>
      <c r="DQ133" s="101">
        <f t="shared" si="107"/>
        <v>112.746023578368</v>
      </c>
    </row>
    <row r="134" spans="1:121">
      <c r="E134" s="105" t="s">
        <v>128</v>
      </c>
      <c r="F134" s="106">
        <v>1</v>
      </c>
      <c r="G134" s="107"/>
      <c r="H134" s="127">
        <f>(H109+H114+H121+H129+H133)*0.3</f>
        <v>320519.386548015</v>
      </c>
      <c r="I134" s="93">
        <f t="shared" si="117"/>
        <v>0.0411170982841033</v>
      </c>
      <c r="J134" s="93">
        <f>$F$3+VLOOKUP($E134,武器奇术!$A:$R,12,FALSE)+VLOOKUP($E134,武器奇术!$A:$R,14,FALSE)*$G$3+$P134</f>
        <v>0</v>
      </c>
      <c r="K134" s="94">
        <f>VLOOKUP($E134,武器奇术!$A:$R,11,FALSE)</f>
        <v>1</v>
      </c>
      <c r="L134" s="109">
        <f>IF(VLOOKUP($E134,武器奇术!$A:$R,15,FALSE)="天工",0%,IF($C$17+VLOOKUP($E134,武器奇术!$A:$R,7,FALSE)&gt;80%,80%,$C$17+VLOOKUP($E134,武器奇术!$A:$R,7,FALSE))+IF($C$19&gt;20%,20%,$C$19))</f>
        <v>0.8135</v>
      </c>
      <c r="M134" s="110">
        <f>IF(VLOOKUP($E134,武器奇术!$A:$R,15,FALSE)="天工",0%,IF($C$18+VLOOKUP($E134,武器奇术!$A:$R,9,FALSE)&gt;40%,40%,$C$18+VLOOKUP($E134,武器奇术!$A:$R,9,FALSE))+IF($C$20&gt;10%,10%,$C$20))</f>
        <v>0.0986</v>
      </c>
      <c r="N134" s="111">
        <f>IF(VLOOKUP($E134,武器奇术!$A:$R,15,FALSE)="天工",100%,MIN($C$16,1))</f>
        <v>1</v>
      </c>
      <c r="O134" s="112" t="str">
        <f>VLOOKUP($E134,武器奇术!$A:$R,16,FALSE)</f>
        <v>N/A</v>
      </c>
      <c r="P134" s="113">
        <f t="shared" si="108"/>
        <v>0</v>
      </c>
      <c r="Q134" s="99">
        <f>$B$5*(1+VLOOKUP($E134,武器奇术!$A:$R,5,FALSE)+IF($G$5="飞隼",0.1,0)+IF($G$5="撼天",0.05,0))-$F$9*IF(VLOOKUP($E134,武器奇术!$A:$S,19,FALSE)=1,0.9,1)+IF($I$5="√",160,0)</f>
        <v>2848.3</v>
      </c>
      <c r="R134" s="91">
        <f t="shared" si="118"/>
        <v>2848.3</v>
      </c>
      <c r="S134" s="91">
        <f>MAX($C$5,$B$5)*(1+VLOOKUP($E134,武器奇术!$A:$R,5,FALSE)+IF($G$5="飞隼",0.1,0)+IF($G$5="撼天",0.05,0))-$F$9*IF(VLOOKUP($E134,武器奇术!$A:$S,19,FALSE)=1,0.9,1)+IF($I$5="√",320,0)</f>
        <v>2848.3</v>
      </c>
      <c r="T134" s="93">
        <f>IF(($D$5+VLOOKUP($E134,武器奇术!$A:$R,13,FALSE)+IF($I$3="√",10,0)-VLOOKUP($F$7,目标属性!$A:$R,5,FALSE))&gt;0,($D$5+VLOOKUP($E134,武器奇术!$A:$R,13,FALSE)+IF($I$3="√",10,0)-VLOOKUP($F$7,目标属性!$A:$R,5,FALSE))/200,($D$5+VLOOKUP($E134,武器奇术!$A:$R,13,FALSE)+IF($I$3="√",10,0)-VLOOKUP($F$7,目标属性!$A:$R,5,FALSE))/100)</f>
        <v>0.2675</v>
      </c>
      <c r="U134" s="100">
        <f>$E$5+IF(VLOOKUP($E134,武器奇术!$A:$R,18,FALSE)="鼠鼠",0.24,0)</f>
        <v>0</v>
      </c>
      <c r="V134" s="91">
        <v>1</v>
      </c>
      <c r="W134" s="92">
        <f>Q134*VLOOKUP($E134,武器奇术!$A:$R,2,FALSE)*(1+T134)*(1+U134)*V134</f>
        <v>0</v>
      </c>
      <c r="X134" s="93">
        <f>(1-IF(VLOOKUP($E134,武器奇术!$A:$R,16,FALSE)="陌刀",1,$N134))*(1-$M134)</f>
        <v>0</v>
      </c>
      <c r="Y134" s="92">
        <f>R134*VLOOKUP($E134,武器奇术!$A:$R,2,FALSE)*(1+T134)*(1+U134)*V134*(1+$E$16+VLOOKUP($E134,武器奇术!$A:$R,8,FALSE))</f>
        <v>0</v>
      </c>
      <c r="Z134" s="93">
        <f t="shared" si="119"/>
        <v>0.8135</v>
      </c>
      <c r="AA134" s="92">
        <f>S134*VLOOKUP($E134,武器奇术!$A:$R,2,FALSE)*(1+T134)*(1+U134)*V134*(1+$E$17+VLOOKUP($E134,武器奇术!$A:$R,10,FALSE))</f>
        <v>0</v>
      </c>
      <c r="AB134" s="93">
        <f t="shared" si="120"/>
        <v>0.0986</v>
      </c>
      <c r="AC134" s="92">
        <f>R134*VLOOKUP($E134,武器奇术!$A:$R,2,FALSE)*(1+T134)*(1+U134)*V134</f>
        <v>0</v>
      </c>
      <c r="AD134" s="93">
        <f t="shared" si="121"/>
        <v>0.0879</v>
      </c>
      <c r="AE134" s="101">
        <f t="shared" si="122"/>
        <v>0</v>
      </c>
      <c r="AF134" s="102">
        <f>VLOOKUP($E134,武器奇术!$A:$R,3,FALSE)*(1+IF(VLOOKUP($E134,武器奇术!$A:$R,15,FALSE)="武器",$E$15,0))</f>
        <v>0</v>
      </c>
      <c r="AG134" s="92">
        <f t="shared" si="123"/>
        <v>0</v>
      </c>
      <c r="AH134" s="92">
        <f>VLOOKUP($E134,武器奇术!$A:$R,3,FALSE)*(1+IF(VLOOKUP($E134,武器奇术!$A:$R,15,FALSE)="武器",$E$15,0))</f>
        <v>0</v>
      </c>
      <c r="AI134" s="93">
        <f>IF(($D$5+VLOOKUP($E134,武器奇术!$A:$R,13,FALSE)+IF($I$3="√",10,0)-VLOOKUP($F$7,目标属性!$A:$R,5,FALSE))&gt;0,($D$5+VLOOKUP($E134,武器奇术!$A:$R,13,FALSE)+IF($I$3="√",10,0)-VLOOKUP($F$7,目标属性!$A:$R,5,FALSE))/200,($D$5+VLOOKUP($E134,武器奇术!$A:$R,13,FALSE)+IF($I$3="√",10,0)-VLOOKUP($F$7,目标属性!$A:$R,5,FALSE))/100)</f>
        <v>0.2675</v>
      </c>
      <c r="AJ134" s="100">
        <f>$E$5+IF(VLOOKUP($E134,武器奇术!$A:$R,18,FALSE)="鼠鼠",0.24,0)</f>
        <v>0</v>
      </c>
      <c r="AK134" s="91">
        <v>1</v>
      </c>
      <c r="AL134" s="92">
        <f t="shared" si="109"/>
        <v>0</v>
      </c>
      <c r="AM134" s="93">
        <f>(1-IF(VLOOKUP($E134,武器奇术!$A:$R,16,FALSE)="陌刀",1,$N134))*(1-$M134)</f>
        <v>0</v>
      </c>
      <c r="AN134" s="92">
        <f>AG134*(1+AI134)*(1+AJ134)*AK134*(1+$E$16+VLOOKUP($E134,武器奇术!$A:$R,8,FALSE))</f>
        <v>0</v>
      </c>
      <c r="AO134" s="93">
        <f t="shared" si="94"/>
        <v>0.8135</v>
      </c>
      <c r="AP134" s="92">
        <f>AH134*(1+AI134)*(1+AJ134)*AK134*(1+$E$17+VLOOKUP($E134,武器奇术!$A:$R,10,FALSE))</f>
        <v>0</v>
      </c>
      <c r="AQ134" s="93">
        <f t="shared" si="95"/>
        <v>0.0986</v>
      </c>
      <c r="AR134" s="92">
        <f t="shared" si="124"/>
        <v>0</v>
      </c>
      <c r="AS134" s="93">
        <f t="shared" si="125"/>
        <v>0.0879</v>
      </c>
      <c r="AT134" s="101">
        <f t="shared" si="126"/>
        <v>0</v>
      </c>
      <c r="AU134" s="99">
        <f>IF(VLOOKUP($E134,武器奇术!$A:$R,18,FALSE)="极乐",0,$B$7*IF($G$5="撼天",1.05,1)+IF(AND(VLOOKUP($E134,武器奇术!$A:$R,15,FALSE)="武器",VLOOKUP($E134,武器奇术!$A:$R,17,FALSE)="鸣金"),$E$3*(1+$E$15),0))</f>
        <v>0</v>
      </c>
      <c r="AV134" s="91">
        <f t="shared" si="127"/>
        <v>0</v>
      </c>
      <c r="AW134" s="91">
        <f>IF(VLOOKUP($E134,武器奇术!$A:$R,18,FALSE)="极乐",0,MAX($C$7*IF($G$5="撼天",1.05,1)+IF(AND(VLOOKUP($E134,武器奇术!$A:$R,15,FALSE)="武器",VLOOKUP($E134,武器奇术!$A:$R,17,FALSE)="鸣金"),$E$3*(1+$E$15),0),AU134))</f>
        <v>0</v>
      </c>
      <c r="AX134" s="93">
        <f>IF(($D$7+IF(VLOOKUP($E134,武器奇术!$A:$R,17,FALSE)="鸣金",$D$15,0)-VLOOKUP($F$7,目标属性!$A:$R,6,FALSE))&gt;0,($D$7+IF(VLOOKUP($E134,武器奇术!$A:$R,17,FALSE)="鸣金",$D$15,0)-VLOOKUP($F$7,目标属性!$A:$R,6,FALSE))/200,($D$7+IF(VLOOKUP($E134,武器奇术!$A:$R,17,FALSE)="鸣金",$D$15,0)-VLOOKUP($F$7,目标属性!$A:$R,6,FALSE))/100)</f>
        <v>-0.24</v>
      </c>
      <c r="AY134" s="100">
        <f t="shared" si="89"/>
        <v>0</v>
      </c>
      <c r="AZ134" s="91">
        <v>1</v>
      </c>
      <c r="BA134" s="92">
        <f>AU134*IF(VLOOKUP($E134,武器奇术!$A:$R,17,FALSE)="鸣金",VLOOKUP($E134,武器奇术!$A:$R,4,FALSE),VLOOKUP($E134,武器奇术!$A:$R,2,FALSE))*(1+AX134)*(1+AY134)*AZ134</f>
        <v>0</v>
      </c>
      <c r="BB134" s="93">
        <f>(1-IF(VLOOKUP($E134,武器奇术!$A:$R,16,FALSE)="陌刀",1,$N134))*(1-$M134)</f>
        <v>0</v>
      </c>
      <c r="BC134" s="92">
        <f>AV134*IF(VLOOKUP($E134,武器奇术!$A:$R,17,FALSE)="鸣金",VLOOKUP($E134,武器奇术!$A:$R,4,FALSE),VLOOKUP($E134,武器奇术!$A:$R,2,FALSE))*(1+AX134)*(1+AY134)*AZ134*(1+$E$16+VLOOKUP($E134,武器奇术!$A:$R,8,FALSE))</f>
        <v>0</v>
      </c>
      <c r="BD134" s="93">
        <f t="shared" si="96"/>
        <v>0.8135</v>
      </c>
      <c r="BE134" s="92">
        <f>AW134*IF(VLOOKUP($E134,武器奇术!$A:$R,17,FALSE)="鸣金",VLOOKUP($E134,武器奇术!$A:$R,4,FALSE),VLOOKUP($E134,武器奇术!$A:$R,2,FALSE))*(1+AX134)*(1+AY134)*AZ134*(1+$E$17+VLOOKUP($E134,武器奇术!$A:$R,10,FALSE))</f>
        <v>0</v>
      </c>
      <c r="BF134" s="93">
        <f t="shared" si="97"/>
        <v>0.0986</v>
      </c>
      <c r="BG134" s="92">
        <f>AV134*IF(VLOOKUP($E134,武器奇术!$A:$R,17,FALSE)="鸣金",VLOOKUP($E134,武器奇术!$A:$R,4,FALSE),VLOOKUP($E134,武器奇术!$A:$R,2,FALSE))*(1+AX134)*(1+AY134)*AZ134</f>
        <v>0</v>
      </c>
      <c r="BH134" s="93">
        <f t="shared" si="128"/>
        <v>0.0879</v>
      </c>
      <c r="BI134" s="101">
        <f t="shared" si="129"/>
        <v>0</v>
      </c>
      <c r="BJ134" s="99">
        <f>IF(VLOOKUP($E134,武器奇术!$A:$R,18,FALSE)="极乐",0,$B$9*IF($G$5="撼天",1.05,1)+IF(AND(VLOOKUP($E134,武器奇术!$A:$R,15,FALSE)="武器",VLOOKUP($E134,武器奇术!$A:$R,17,FALSE)="裂石"),$E$3*(1+$E$15),0))</f>
        <v>0</v>
      </c>
      <c r="BK134" s="91">
        <f t="shared" si="130"/>
        <v>0</v>
      </c>
      <c r="BL134" s="91">
        <f>IF(VLOOKUP($E134,武器奇术!$A:$R,18,FALSE)="极乐",0,MAX($C$9*IF($G$5="撼天",1.05,1)+IF(AND(VLOOKUP($E134,武器奇术!$A:$R,15,FALSE)="武器",VLOOKUP($E134,武器奇术!$A:$R,17,FALSE)="裂石"),$E$3*(1+$E$15),0),BJ134))</f>
        <v>0</v>
      </c>
      <c r="BM134" s="93">
        <f>IF(($D$9+IF(VLOOKUP($E134,武器奇术!$A:$R,17,FALSE)="裂石",$D$15,0)-VLOOKUP($F$7,目标属性!$A:$R,6,FALSE))&gt;0,($D$9+IF(VLOOKUP($E134,武器奇术!$A:$R,17,FALSE)="裂石",$D$15,0)-VLOOKUP($F$7,目标属性!$A:$R,6,FALSE))/200,($D$9+IF(VLOOKUP($E134,武器奇术!$A:$R,17,FALSE)="裂石",$D$15,0)-VLOOKUP($F$7,目标属性!$A:$R,6,FALSE))/100)</f>
        <v>-0.24</v>
      </c>
      <c r="BN134" s="100">
        <f t="shared" si="90"/>
        <v>0</v>
      </c>
      <c r="BO134" s="91">
        <v>1</v>
      </c>
      <c r="BP134" s="92">
        <f>BJ134*IF(VLOOKUP($E134,武器奇术!$A:$R,17,FALSE)="裂石",VLOOKUP($E134,武器奇术!$A:$R,4,FALSE),VLOOKUP($E134,武器奇术!$A:$R,2,FALSE))*(1+BM134)*(1+BN134)*BO134</f>
        <v>0</v>
      </c>
      <c r="BQ134" s="93">
        <f>(1-IF(VLOOKUP($E134,武器奇术!$A:$R,16,FALSE)="陌刀",1,$N134))*(1-$M134)</f>
        <v>0</v>
      </c>
      <c r="BR134" s="92">
        <f>BK134*IF(VLOOKUP($E134,武器奇术!$A:$R,17,FALSE)="裂石",VLOOKUP($E134,武器奇术!$A:$R,4,FALSE),VLOOKUP($E134,武器奇术!$A:$R,2,FALSE))*(1+BM134)*(1+BN134)*BO134*(1+$E$16+VLOOKUP($E134,武器奇术!$A:$R,8,FALSE))</f>
        <v>0</v>
      </c>
      <c r="BS134" s="93">
        <f t="shared" si="98"/>
        <v>0.8135</v>
      </c>
      <c r="BT134" s="92">
        <f>BL134*IF(VLOOKUP($E134,武器奇术!$A:$R,17,FALSE)="裂石",VLOOKUP($E134,武器奇术!$A:$R,4,FALSE),VLOOKUP($E134,武器奇术!$A:$R,2,FALSE))*(1+BM134)*(1+BN134)*BO134*(1+$E$17+VLOOKUP($E134,武器奇术!$A:$R,10,FALSE))</f>
        <v>0</v>
      </c>
      <c r="BU134" s="93">
        <f t="shared" si="99"/>
        <v>0.0986</v>
      </c>
      <c r="BV134" s="92">
        <f>BK134*IF(VLOOKUP($E134,武器奇术!$A:$R,17,FALSE)="裂石",VLOOKUP($E134,武器奇术!$A:$R,4,FALSE),VLOOKUP($E134,武器奇术!$A:$R,2,FALSE))*(1+BM134)*(1+BN134)*BO134</f>
        <v>0</v>
      </c>
      <c r="BW134" s="93">
        <f t="shared" si="131"/>
        <v>0.0879</v>
      </c>
      <c r="BX134" s="101">
        <f t="shared" si="132"/>
        <v>0</v>
      </c>
      <c r="BY134" s="99">
        <f>IF(VLOOKUP($E134,武器奇术!$A:$R,18,FALSE)="极乐",0,$B$11*IF($G$5="撼天",1.05,1)+IF(AND(VLOOKUP($E134,武器奇术!$A:$R,15,FALSE)="武器",VLOOKUP($E134,武器奇术!$A:$R,17,FALSE)="牵丝"),$E$3*(1+$E$15),0))</f>
        <v>0</v>
      </c>
      <c r="BZ134" s="91">
        <f t="shared" si="133"/>
        <v>0</v>
      </c>
      <c r="CA134" s="91">
        <f>IF(VLOOKUP($E134,武器奇术!$A:$R,18,FALSE)="极乐",0,MAX($C$11*IF($G$5="撼天",1.05,1)+IF(AND(VLOOKUP($E134,武器奇术!$A:$R,15,FALSE)="武器",VLOOKUP($E134,武器奇术!$A:$R,17,FALSE)="牵丝"),$E$3*(1+$E$15),0),BY134))</f>
        <v>0</v>
      </c>
      <c r="CB134" s="93">
        <f>IF(($D$11+IF(VLOOKUP($E134,武器奇术!$A:$R,17,FALSE)="牵丝",$D$15,0)-VLOOKUP($F$7,目标属性!$A:$R,6,FALSE))&gt;0,($D$11+IF(VLOOKUP($E134,武器奇术!$A:$R,17,FALSE)="牵丝",$D$15,0)-VLOOKUP($F$7,目标属性!$A:$R,6,FALSE))/200,($D$11+IF(VLOOKUP($E134,武器奇术!$A:$R,17,FALSE)="牵丝",$D$15,0)-VLOOKUP($F$7,目标属性!$A:$R,6,FALSE))/100)</f>
        <v>-0.24</v>
      </c>
      <c r="CC134" s="100">
        <f t="shared" si="91"/>
        <v>0</v>
      </c>
      <c r="CD134" s="91">
        <v>1</v>
      </c>
      <c r="CE134" s="92">
        <f>BY134*IF(VLOOKUP($E134,武器奇术!$A:$R,17,FALSE)="牵丝",VLOOKUP($E134,武器奇术!$A:$R,4,FALSE),VLOOKUP($E134,武器奇术!$A:$R,2,FALSE))*(1+CB134)*(1+CC134)*CD134</f>
        <v>0</v>
      </c>
      <c r="CF134" s="93">
        <f>(1-IF(VLOOKUP($E134,武器奇术!$A:$R,16,FALSE)="陌刀",1,$N134))*(1-$M134)</f>
        <v>0</v>
      </c>
      <c r="CG134" s="92">
        <f>BZ134*IF(VLOOKUP($E134,武器奇术!$A:$R,17,FALSE)="牵丝",VLOOKUP($E134,武器奇术!$A:$R,4,FALSE),VLOOKUP($E134,武器奇术!$A:$R,2,FALSE))*(1+CB134)*(1+CC134)*CD134*(1+$E$16+VLOOKUP($E134,武器奇术!$A:$R,8,FALSE))</f>
        <v>0</v>
      </c>
      <c r="CH134" s="93">
        <f t="shared" si="100"/>
        <v>0.8135</v>
      </c>
      <c r="CI134" s="92">
        <f>CA134*IF(VLOOKUP($E134,武器奇术!$A:$R,17,FALSE)="牵丝",VLOOKUP($E134,武器奇术!$A:$R,4,FALSE),VLOOKUP($E134,武器奇术!$A:$R,2,FALSE))*(1+CB134)*(1+CC134)*CD134*(1+$E$17+VLOOKUP($E134,武器奇术!$A:$R,10,FALSE))</f>
        <v>0</v>
      </c>
      <c r="CJ134" s="93">
        <f t="shared" si="101"/>
        <v>0.0986</v>
      </c>
      <c r="CK134" s="92">
        <f>BZ134*IF(VLOOKUP($E134,武器奇术!$A:$R,17,FALSE)="牵丝",VLOOKUP($E134,武器奇术!$A:$R,4,FALSE),VLOOKUP($E134,武器奇术!$A:$R,2,FALSE))*(1+CB134)*(1+CC134)*CD134</f>
        <v>0</v>
      </c>
      <c r="CL134" s="93">
        <f t="shared" si="134"/>
        <v>0.0879</v>
      </c>
      <c r="CM134" s="101">
        <f t="shared" si="135"/>
        <v>0</v>
      </c>
      <c r="CN134" s="99">
        <f>IF(VLOOKUP($E134,武器奇术!$A:$R,18,FALSE)="极乐",0,$B$13*IF($G$5="撼天",1.05,1)+IF(AND(VLOOKUP($E134,武器奇术!$A:$R,15,FALSE)="武器",VLOOKUP($E134,武器奇术!$A:$R,17,FALSE)="破竹"),$E$3*(1+$E$15),0))</f>
        <v>490.8</v>
      </c>
      <c r="CO134" s="91">
        <f t="shared" si="136"/>
        <v>856.3</v>
      </c>
      <c r="CP134" s="91">
        <f>IF(VLOOKUP($E134,武器奇术!$A:$R,18,FALSE)="极乐",0,MAX($C$13*IF($G$5="撼天",1.05,1)+IF(AND(VLOOKUP($E134,武器奇术!$A:$R,15,FALSE)="武器",VLOOKUP($E134,武器奇术!$A:$R,17,FALSE)="破竹"),$E$3*(1+$E$15),0),CN134))</f>
        <v>1221.8</v>
      </c>
      <c r="CQ134" s="93">
        <f>IF(($D$13+IF(VLOOKUP($E134,武器奇术!$A:$R,17,FALSE)="破竹",$D$15,0)-VLOOKUP($F$7,目标属性!$A:$R,6,FALSE)+IF(VLOOKUP($E134,武器奇术!$A:$V,22,FALSE)=1,4,0)+IF(VLOOKUP($E134,武器奇术!$A:$T,20,FALSE)=1,10,0))&gt;0,($D$13+IF(VLOOKUP($E134,武器奇术!$A:$R,17,FALSE)="破竹",$D$15,0)-VLOOKUP($F$7,目标属性!$A:$R,6,FALSE)+IF(VLOOKUP($E134,武器奇术!$A:$V,22,FALSE)=1,4,0)+IF(VLOOKUP($E134,武器奇术!$A:$T,20,FALSE)=1,10,0))/200,($D$13+IF(VLOOKUP($E134,武器奇术!$A:$R,17,FALSE)="破竹",$D$15,0)-VLOOKUP($F$7,目标属性!$A:$R,6,FALSE)+IF(VLOOKUP($E134,武器奇术!$A:$V,22,FALSE)=1,4,0)+IF(VLOOKUP($E134,武器奇术!$A:$T,20,FALSE)=1,10,0))/100)</f>
        <v>0.028</v>
      </c>
      <c r="CR134" s="100">
        <f t="shared" ref="CR133:CR142" si="140">$E$13</f>
        <v>0.148</v>
      </c>
      <c r="CS134" s="91">
        <v>1</v>
      </c>
      <c r="CT134" s="92">
        <f>CN134*IF(VLOOKUP($E134,武器奇术!$A:$R,17,FALSE)="破竹",VLOOKUP($E134,武器奇术!$A:$R,4,FALSE),VLOOKUP($E134,武器奇术!$A:$R,2,FALSE))*(1+CQ134)*(1+CR134)*CS134</f>
        <v>0</v>
      </c>
      <c r="CU134" s="93">
        <f>(1-IF(VLOOKUP($E134,武器奇术!$A:$R,16,FALSE)="陌刀",1,$N134))*(1-$M134)</f>
        <v>0</v>
      </c>
      <c r="CV134" s="92">
        <f>CO134*IF(VLOOKUP($E134,武器奇术!$A:$R,17,FALSE)="破竹",VLOOKUP($E134,武器奇术!$A:$R,4,FALSE),VLOOKUP($E134,武器奇术!$A:$R,2,FALSE))*(1+CQ134)*(1+CR134)*CS134*(1+$E$16+VLOOKUP($E134,武器奇术!$A:$R,8,FALSE))</f>
        <v>0</v>
      </c>
      <c r="CW134" s="93">
        <f t="shared" si="102"/>
        <v>0.8135</v>
      </c>
      <c r="CX134" s="92">
        <f>CP134*IF(VLOOKUP($E134,武器奇术!$A:$R,17,FALSE)="破竹",VLOOKUP($E134,武器奇术!$A:$R,4,FALSE),VLOOKUP($E134,武器奇术!$A:$R,2,FALSE))*(1+CQ134)*(1+CR134)*CS134*(1+$E$17+VLOOKUP($E134,武器奇术!$A:$R,10,FALSE))</f>
        <v>0</v>
      </c>
      <c r="CY134" s="93">
        <f t="shared" si="103"/>
        <v>0.0986</v>
      </c>
      <c r="CZ134" s="92">
        <f>CO134*IF(VLOOKUP($E134,武器奇术!$A:$R,17,FALSE)="破竹",VLOOKUP($E134,武器奇术!$A:$R,4,FALSE),VLOOKUP($E134,武器奇术!$A:$R,2,FALSE))*(1+CQ134)*(1+CR134)*CS134</f>
        <v>0</v>
      </c>
      <c r="DA134" s="93">
        <f t="shared" si="137"/>
        <v>0.0879</v>
      </c>
      <c r="DB134" s="101">
        <f t="shared" si="138"/>
        <v>0</v>
      </c>
      <c r="DC134" s="99">
        <f>IF(VLOOKUP($E134,武器奇术!$A:$R,18,FALSE)="极乐",0,$B$15)</f>
        <v>66</v>
      </c>
      <c r="DD134" s="91">
        <f t="shared" si="111"/>
        <v>95.9</v>
      </c>
      <c r="DE134" s="91">
        <f>IF(VLOOKUP($E134,武器奇术!$A:$R,18,FALSE)="极乐",0,$C$15)</f>
        <v>125.8</v>
      </c>
      <c r="DF134" s="93">
        <f>IF((IF(VLOOKUP($E134,武器奇术!$A:$R,17,FALSE)="鸣金",$D$7,0)+IF(VLOOKUP($E134,武器奇术!$A:$R,17,FALSE)="裂石",$D$9,0)+IF(VLOOKUP($E134,武器奇术!$A:$R,17,FALSE)="牵丝",$D$11,0)+IF(VLOOKUP($E134,武器奇术!$A:$R,17,FALSE)="破竹",$D$13,0)+$D$15-VLOOKUP($F$7,目标属性!$A:$R,6,FALSE)+IF(VLOOKUP($E134,武器奇术!$A:$V,22,FALSE)=1,4,0)+IF(VLOOKUP($E134,武器奇术!$A:$T,20,FALSE)=1,10,0))&gt;0,(IF(VLOOKUP($E134,武器奇术!$A:$R,17,FALSE)="鸣金",$D$7,0)+IF(VLOOKUP($E134,武器奇术!$A:$R,17,FALSE)="裂石",$D$9,0)+IF(VLOOKUP($E134,武器奇术!$A:$R,17,FALSE)="牵丝",$D$11,0)+IF(VLOOKUP($E134,武器奇术!$A:$R,17,FALSE)="破竹",$D$13,0)+$D$15-VLOOKUP($F$7,目标属性!$A:$R,6,FALSE)+IF(VLOOKUP($E134,武器奇术!$A:$V,22,FALSE)=1,4,0)+IF(VLOOKUP($E134,武器奇术!$A:$T,20,FALSE)=1,10,0))/200,(IF(VLOOKUP($E134,武器奇术!$A:$R,17,FALSE)="鸣金",$D$7,0)+IF(VLOOKUP($E134,武器奇术!$A:$R,17,FALSE)="裂石",$D$9,0)+IF(VLOOKUP($E134,武器奇术!$A:$R,17,FALSE)="牵丝",$D$11,0)+IF(VLOOKUP($E134,武器奇术!$A:$R,17,FALSE)="破竹",$D$13,0)+$D$15-VLOOKUP($F$7,目标属性!$A:$R,6,FALSE)+IF(VLOOKUP($E134,武器奇术!$A:$V,22,FALSE)=1,4,0)+IF(VLOOKUP($E134,武器奇术!$A:$T,20,FALSE)=1,10,0))/100)</f>
        <v>-0.24</v>
      </c>
      <c r="DG134" s="100">
        <f t="shared" si="139"/>
        <v>0.148</v>
      </c>
      <c r="DH134" s="91">
        <v>1</v>
      </c>
      <c r="DI134" s="92">
        <f>DC134*IF(VLOOKUP($E134,武器奇术!$A:$R,17,FALSE)="破竹",VLOOKUP($E134,武器奇术!$A:$R,4,FALSE),VLOOKUP($E134,武器奇术!$A:$R,2,FALSE))*(1+DF134)*(1+DG134)*DH134</f>
        <v>0</v>
      </c>
      <c r="DJ134" s="93">
        <f>(1-IF(VLOOKUP($E134,武器奇术!$A:$R,16,FALSE)="陌刀",1,$N134))*(1-$M134)</f>
        <v>0</v>
      </c>
      <c r="DK134" s="92">
        <f>DD134*IF(VLOOKUP($E134,武器奇术!$A:$R,17,FALSE)="破竹",VLOOKUP($E134,武器奇术!$A:$R,4,FALSE),VLOOKUP($E134,武器奇术!$A:$R,2,FALSE))*(1+DF134)*(1+DG134)*DH134*(1+$E$16+VLOOKUP($E134,武器奇术!$A:$R,8,FALSE))</f>
        <v>0</v>
      </c>
      <c r="DL134" s="93">
        <f t="shared" si="104"/>
        <v>0.8135</v>
      </c>
      <c r="DM134" s="92">
        <f>DE134*IF(VLOOKUP($E134,武器奇术!$A:$R,17,FALSE)="破竹",VLOOKUP($E134,武器奇术!$A:$R,4,FALSE),VLOOKUP($E134,武器奇术!$A:$R,2,FALSE))*(1+DF134)*(1+DG134)*DH134*(1+$E$17+VLOOKUP($E134,武器奇术!$A:$R,10,FALSE))</f>
        <v>0</v>
      </c>
      <c r="DN134" s="93">
        <f t="shared" si="105"/>
        <v>0.0986</v>
      </c>
      <c r="DO134" s="92">
        <f>DD134*IF(VLOOKUP($E134,武器奇术!$A:$R,17,FALSE)="破竹",VLOOKUP($E134,武器奇术!$A:$R,4,FALSE),VLOOKUP($E134,武器奇术!$A:$R,2,FALSE))*(1+DF134)*(1+DG134)*DH134</f>
        <v>0</v>
      </c>
      <c r="DP134" s="93">
        <f t="shared" si="106"/>
        <v>0.0879</v>
      </c>
      <c r="DQ134" s="101">
        <f t="shared" si="107"/>
        <v>0</v>
      </c>
    </row>
    <row r="135" spans="1:121">
      <c r="E135" s="105" t="s">
        <v>220</v>
      </c>
      <c r="F135" s="106">
        <f>IF($I$3="√",1,0)</f>
        <v>1</v>
      </c>
      <c r="G135" s="107"/>
      <c r="H135" s="92">
        <f>IF(VLOOKUP($E135,武器奇术!$A:$R,18,FALSE)="天工",AE135,(AE135+AT135+BI135+BX135+CM135+DB135+DQ135))*(1+J135)*F135*K135*(1+G135)</f>
        <v>10437.6533512475</v>
      </c>
      <c r="I135" s="93">
        <f t="shared" si="117"/>
        <v>0.00133897054814921</v>
      </c>
      <c r="J135" s="93">
        <f>$F$3+VLOOKUP($E135,武器奇术!$A:$R,12,FALSE)+VLOOKUP($E135,武器奇术!$A:$R,14,FALSE)*$G$3+$P135</f>
        <v>0.403</v>
      </c>
      <c r="K135" s="94">
        <f>VLOOKUP($E135,武器奇术!$A:$R,11,FALSE)</f>
        <v>1</v>
      </c>
      <c r="L135" s="109">
        <f>IF(VLOOKUP($E135,武器奇术!$A:$R,15,FALSE)="天工",0%,IF($C$17+VLOOKUP($E135,武器奇术!$A:$R,7,FALSE)&gt;80%,80%,$C$17+VLOOKUP($E135,武器奇术!$A:$R,7,FALSE))+IF($C$19&gt;20%,20%,$C$19))</f>
        <v>0.8135</v>
      </c>
      <c r="M135" s="110">
        <f>IF(VLOOKUP($E135,武器奇术!$A:$R,15,FALSE)="天工",0%,IF($C$18+VLOOKUP($E135,武器奇术!$A:$R,9,FALSE)&gt;40%,40%,$C$18+VLOOKUP($E135,武器奇术!$A:$R,9,FALSE))+IF($C$20&gt;10%,10%,$C$20))</f>
        <v>0.0986</v>
      </c>
      <c r="N135" s="111">
        <f>IF(VLOOKUP($E135,武器奇术!$A:$R,15,FALSE)="天工",100%,MIN($C$16,1))</f>
        <v>1</v>
      </c>
      <c r="O135" s="112" t="str">
        <f>VLOOKUP($E135,武器奇术!$A:$R,16,FALSE)</f>
        <v>N/A</v>
      </c>
      <c r="P135" s="113">
        <f t="shared" si="108"/>
        <v>0</v>
      </c>
      <c r="Q135" s="99">
        <f>$B$5*(1+VLOOKUP($E135,武器奇术!$A:$R,5,FALSE)+IF($G$5="飞隼",0.1,0)+IF($G$5="撼天",0.05,0))-$F$9*IF(VLOOKUP($E135,武器奇术!$A:$S,19,FALSE)=1,0.9,1)+IF($I$5="√",160,0)</f>
        <v>2848.3</v>
      </c>
      <c r="R135" s="91">
        <f t="shared" si="118"/>
        <v>2848.3</v>
      </c>
      <c r="S135" s="91">
        <f>MAX($C$5,$B$5)*(1+VLOOKUP($E135,武器奇术!$A:$R,5,FALSE)+IF($G$5="飞隼",0.1,0)+IF($G$5="撼天",0.05,0))-$F$9*IF(VLOOKUP($E135,武器奇术!$A:$S,19,FALSE)=1,0.9,1)+IF($I$5="√",320,0)</f>
        <v>2848.3</v>
      </c>
      <c r="T135" s="93">
        <f>IF(($D$5+VLOOKUP($E135,武器奇术!$A:$R,13,FALSE)+IF($I$3="√",10,0)-VLOOKUP($F$7,目标属性!$A:$R,5,FALSE))&gt;0,($D$5+VLOOKUP($E135,武器奇术!$A:$R,13,FALSE)+IF($I$3="√",10,0)-VLOOKUP($F$7,目标属性!$A:$R,5,FALSE))/200,($D$5+VLOOKUP($E135,武器奇术!$A:$R,13,FALSE)+IF($I$3="√",10,0)-VLOOKUP($F$7,目标属性!$A:$R,5,FALSE))/100)</f>
        <v>0.2675</v>
      </c>
      <c r="U135" s="100">
        <f>$E$5+IF(VLOOKUP($E135,武器奇术!$A:$R,18,FALSE)="鼠鼠",0.24,0)</f>
        <v>0</v>
      </c>
      <c r="V135" s="91">
        <v>1</v>
      </c>
      <c r="W135" s="92">
        <f>Q135*VLOOKUP($E135,武器奇术!$A:$R,2,FALSE)*(1+T135)*(1+U135)*V135</f>
        <v>3610.22025</v>
      </c>
      <c r="X135" s="93">
        <f>(1-IF(VLOOKUP($E135,武器奇术!$A:$R,16,FALSE)="陌刀",1,$N135))*(1-$M135)</f>
        <v>0</v>
      </c>
      <c r="Y135" s="92">
        <f>R135*VLOOKUP($E135,武器奇术!$A:$R,2,FALSE)*(1+T135)*(1+U135)*V135*(1+$E$16+VLOOKUP($E135,武器奇术!$A:$R,8,FALSE))</f>
        <v>5935.202091</v>
      </c>
      <c r="Z135" s="93">
        <f t="shared" si="119"/>
        <v>0.8135</v>
      </c>
      <c r="AA135" s="92">
        <f>S135*VLOOKUP($E135,武器奇术!$A:$R,2,FALSE)*(1+T135)*(1+U135)*V135*(1+$E$17+VLOOKUP($E135,武器奇术!$A:$R,10,FALSE))</f>
        <v>4873.7973375</v>
      </c>
      <c r="AB135" s="93">
        <f t="shared" si="120"/>
        <v>0.0986</v>
      </c>
      <c r="AC135" s="92">
        <f>R135*VLOOKUP($E135,武器奇术!$A:$R,2,FALSE)*(1+T135)*(1+U135)*V135</f>
        <v>3610.22025</v>
      </c>
      <c r="AD135" s="93">
        <f t="shared" si="121"/>
        <v>0.0879</v>
      </c>
      <c r="AE135" s="101">
        <f t="shared" si="122"/>
        <v>5626.181678481</v>
      </c>
      <c r="AF135" s="102">
        <f>VLOOKUP($E135,武器奇术!$A:$R,3,FALSE)*(1+IF(VLOOKUP($E135,武器奇术!$A:$R,15,FALSE)="武器",$E$15,0))</f>
        <v>0</v>
      </c>
      <c r="AG135" s="92">
        <f t="shared" si="123"/>
        <v>0</v>
      </c>
      <c r="AH135" s="92">
        <f>VLOOKUP($E135,武器奇术!$A:$R,3,FALSE)*(1+IF(VLOOKUP($E135,武器奇术!$A:$R,15,FALSE)="武器",$E$15,0))</f>
        <v>0</v>
      </c>
      <c r="AI135" s="93">
        <f>IF(($D$5+VLOOKUP($E135,武器奇术!$A:$R,13,FALSE)+IF($I$3="√",10,0)-VLOOKUP($F$7,目标属性!$A:$R,5,FALSE))&gt;0,($D$5+VLOOKUP($E135,武器奇术!$A:$R,13,FALSE)+IF($I$3="√",10,0)-VLOOKUP($F$7,目标属性!$A:$R,5,FALSE))/200,($D$5+VLOOKUP($E135,武器奇术!$A:$R,13,FALSE)+IF($I$3="√",10,0)-VLOOKUP($F$7,目标属性!$A:$R,5,FALSE))/100)</f>
        <v>0.2675</v>
      </c>
      <c r="AJ135" s="100">
        <f>$E$5+IF(VLOOKUP($E135,武器奇术!$A:$R,18,FALSE)="鼠鼠",0.24,0)</f>
        <v>0</v>
      </c>
      <c r="AK135" s="91">
        <v>1</v>
      </c>
      <c r="AL135" s="92">
        <f t="shared" si="109"/>
        <v>0</v>
      </c>
      <c r="AM135" s="93">
        <f>(1-IF(VLOOKUP($E135,武器奇术!$A:$R,16,FALSE)="陌刀",1,$N135))*(1-$M135)</f>
        <v>0</v>
      </c>
      <c r="AN135" s="92">
        <f>AG135*(1+AI135)*(1+AJ135)*AK135*(1+$E$16+VLOOKUP($E135,武器奇术!$A:$R,8,FALSE))</f>
        <v>0</v>
      </c>
      <c r="AO135" s="93">
        <f t="shared" si="94"/>
        <v>0.8135</v>
      </c>
      <c r="AP135" s="92">
        <f>AH135*(1+AI135)*(1+AJ135)*AK135*(1+$E$17+VLOOKUP($E135,武器奇术!$A:$R,10,FALSE))</f>
        <v>0</v>
      </c>
      <c r="AQ135" s="93">
        <f t="shared" si="95"/>
        <v>0.0986</v>
      </c>
      <c r="AR135" s="92">
        <f t="shared" si="124"/>
        <v>0</v>
      </c>
      <c r="AS135" s="93">
        <f t="shared" si="125"/>
        <v>0.0879</v>
      </c>
      <c r="AT135" s="101">
        <f t="shared" si="126"/>
        <v>0</v>
      </c>
      <c r="AU135" s="99">
        <f>IF(VLOOKUP($E135,武器奇术!$A:$R,18,FALSE)="极乐",0,$B$7*IF($G$5="撼天",1.05,1)+IF(AND(VLOOKUP($E135,武器奇术!$A:$R,15,FALSE)="武器",VLOOKUP($E135,武器奇术!$A:$R,17,FALSE)="鸣金"),$E$3*(1+$E$15),0))</f>
        <v>0</v>
      </c>
      <c r="AV135" s="91">
        <f t="shared" si="127"/>
        <v>0</v>
      </c>
      <c r="AW135" s="91">
        <f>IF(VLOOKUP($E135,武器奇术!$A:$R,18,FALSE)="极乐",0,MAX($C$7*IF($G$5="撼天",1.05,1)+IF(AND(VLOOKUP($E135,武器奇术!$A:$R,15,FALSE)="武器",VLOOKUP($E135,武器奇术!$A:$R,17,FALSE)="鸣金"),$E$3*(1+$E$15),0),AU135))</f>
        <v>0</v>
      </c>
      <c r="AX135" s="93">
        <f>IF(($D$7+IF(VLOOKUP($E135,武器奇术!$A:$R,17,FALSE)="鸣金",$D$15,0)-VLOOKUP($F$7,目标属性!$A:$R,6,FALSE))&gt;0,($D$7+IF(VLOOKUP($E135,武器奇术!$A:$R,17,FALSE)="鸣金",$D$15,0)-VLOOKUP($F$7,目标属性!$A:$R,6,FALSE))/200,($D$7+IF(VLOOKUP($E135,武器奇术!$A:$R,17,FALSE)="鸣金",$D$15,0)-VLOOKUP($F$7,目标属性!$A:$R,6,FALSE))/100)</f>
        <v>-0.24</v>
      </c>
      <c r="AY135" s="100">
        <f t="shared" si="89"/>
        <v>0</v>
      </c>
      <c r="AZ135" s="91">
        <v>1</v>
      </c>
      <c r="BA135" s="92">
        <f>AU135*IF(VLOOKUP($E135,武器奇术!$A:$R,17,FALSE)="鸣金",VLOOKUP($E135,武器奇术!$A:$R,4,FALSE),VLOOKUP($E135,武器奇术!$A:$R,2,FALSE))*(1+AX135)*(1+AY135)*AZ135</f>
        <v>0</v>
      </c>
      <c r="BB135" s="93">
        <f>(1-IF(VLOOKUP($E135,武器奇术!$A:$R,16,FALSE)="陌刀",1,$N135))*(1-$M135)</f>
        <v>0</v>
      </c>
      <c r="BC135" s="92">
        <f>AV135*IF(VLOOKUP($E135,武器奇术!$A:$R,17,FALSE)="鸣金",VLOOKUP($E135,武器奇术!$A:$R,4,FALSE),VLOOKUP($E135,武器奇术!$A:$R,2,FALSE))*(1+AX135)*(1+AY135)*AZ135*(1+$E$16+VLOOKUP($E135,武器奇术!$A:$R,8,FALSE))</f>
        <v>0</v>
      </c>
      <c r="BD135" s="93">
        <f t="shared" si="96"/>
        <v>0.8135</v>
      </c>
      <c r="BE135" s="92">
        <f>AW135*IF(VLOOKUP($E135,武器奇术!$A:$R,17,FALSE)="鸣金",VLOOKUP($E135,武器奇术!$A:$R,4,FALSE),VLOOKUP($E135,武器奇术!$A:$R,2,FALSE))*(1+AX135)*(1+AY135)*AZ135*(1+$E$17+VLOOKUP($E135,武器奇术!$A:$R,10,FALSE))</f>
        <v>0</v>
      </c>
      <c r="BF135" s="93">
        <f t="shared" si="97"/>
        <v>0.0986</v>
      </c>
      <c r="BG135" s="92">
        <f>AV135*IF(VLOOKUP($E135,武器奇术!$A:$R,17,FALSE)="鸣金",VLOOKUP($E135,武器奇术!$A:$R,4,FALSE),VLOOKUP($E135,武器奇术!$A:$R,2,FALSE))*(1+AX135)*(1+AY135)*AZ135</f>
        <v>0</v>
      </c>
      <c r="BH135" s="93">
        <f t="shared" si="128"/>
        <v>0.0879</v>
      </c>
      <c r="BI135" s="101">
        <f t="shared" si="129"/>
        <v>0</v>
      </c>
      <c r="BJ135" s="99">
        <f>IF(VLOOKUP($E135,武器奇术!$A:$R,18,FALSE)="极乐",0,$B$9*IF($G$5="撼天",1.05,1)+IF(AND(VLOOKUP($E135,武器奇术!$A:$R,15,FALSE)="武器",VLOOKUP($E135,武器奇术!$A:$R,17,FALSE)="裂石"),$E$3*(1+$E$15),0))</f>
        <v>0</v>
      </c>
      <c r="BK135" s="91">
        <f t="shared" si="130"/>
        <v>0</v>
      </c>
      <c r="BL135" s="91">
        <f>IF(VLOOKUP($E135,武器奇术!$A:$R,18,FALSE)="极乐",0,MAX($C$9*IF($G$5="撼天",1.05,1)+IF(AND(VLOOKUP($E135,武器奇术!$A:$R,15,FALSE)="武器",VLOOKUP($E135,武器奇术!$A:$R,17,FALSE)="裂石"),$E$3*(1+$E$15),0),BJ135))</f>
        <v>0</v>
      </c>
      <c r="BM135" s="93">
        <f>IF(($D$9+IF(VLOOKUP($E135,武器奇术!$A:$R,17,FALSE)="裂石",$D$15,0)-VLOOKUP($F$7,目标属性!$A:$R,6,FALSE))&gt;0,($D$9+IF(VLOOKUP($E135,武器奇术!$A:$R,17,FALSE)="裂石",$D$15,0)-VLOOKUP($F$7,目标属性!$A:$R,6,FALSE))/200,($D$9+IF(VLOOKUP($E135,武器奇术!$A:$R,17,FALSE)="裂石",$D$15,0)-VLOOKUP($F$7,目标属性!$A:$R,6,FALSE))/100)</f>
        <v>-0.24</v>
      </c>
      <c r="BN135" s="100">
        <f t="shared" si="90"/>
        <v>0</v>
      </c>
      <c r="BO135" s="91">
        <v>1</v>
      </c>
      <c r="BP135" s="92">
        <f>BJ135*IF(VLOOKUP($E135,武器奇术!$A:$R,17,FALSE)="裂石",VLOOKUP($E135,武器奇术!$A:$R,4,FALSE),VLOOKUP($E135,武器奇术!$A:$R,2,FALSE))*(1+BM135)*(1+BN135)*BO135</f>
        <v>0</v>
      </c>
      <c r="BQ135" s="93">
        <f>(1-IF(VLOOKUP($E135,武器奇术!$A:$R,16,FALSE)="陌刀",1,$N135))*(1-$M135)</f>
        <v>0</v>
      </c>
      <c r="BR135" s="92">
        <f>BK135*IF(VLOOKUP($E135,武器奇术!$A:$R,17,FALSE)="裂石",VLOOKUP($E135,武器奇术!$A:$R,4,FALSE),VLOOKUP($E135,武器奇术!$A:$R,2,FALSE))*(1+BM135)*(1+BN135)*BO135*(1+$E$16+VLOOKUP($E135,武器奇术!$A:$R,8,FALSE))</f>
        <v>0</v>
      </c>
      <c r="BS135" s="93">
        <f t="shared" si="98"/>
        <v>0.8135</v>
      </c>
      <c r="BT135" s="92">
        <f>BL135*IF(VLOOKUP($E135,武器奇术!$A:$R,17,FALSE)="裂石",VLOOKUP($E135,武器奇术!$A:$R,4,FALSE),VLOOKUP($E135,武器奇术!$A:$R,2,FALSE))*(1+BM135)*(1+BN135)*BO135*(1+$E$17+VLOOKUP($E135,武器奇术!$A:$R,10,FALSE))</f>
        <v>0</v>
      </c>
      <c r="BU135" s="93">
        <f t="shared" si="99"/>
        <v>0.0986</v>
      </c>
      <c r="BV135" s="92">
        <f>BK135*IF(VLOOKUP($E135,武器奇术!$A:$R,17,FALSE)="裂石",VLOOKUP($E135,武器奇术!$A:$R,4,FALSE),VLOOKUP($E135,武器奇术!$A:$R,2,FALSE))*(1+BM135)*(1+BN135)*BO135</f>
        <v>0</v>
      </c>
      <c r="BW135" s="93">
        <f t="shared" si="131"/>
        <v>0.0879</v>
      </c>
      <c r="BX135" s="101">
        <f t="shared" si="132"/>
        <v>0</v>
      </c>
      <c r="BY135" s="99">
        <f>IF(VLOOKUP($E135,武器奇术!$A:$R,18,FALSE)="极乐",0,$B$11*IF($G$5="撼天",1.05,1)+IF(AND(VLOOKUP($E135,武器奇术!$A:$R,15,FALSE)="武器",VLOOKUP($E135,武器奇术!$A:$R,17,FALSE)="牵丝"),$E$3*(1+$E$15),0))</f>
        <v>0</v>
      </c>
      <c r="BZ135" s="91">
        <f t="shared" si="133"/>
        <v>0</v>
      </c>
      <c r="CA135" s="91">
        <f>IF(VLOOKUP($E135,武器奇术!$A:$R,18,FALSE)="极乐",0,MAX($C$11*IF($G$5="撼天",1.05,1)+IF(AND(VLOOKUP($E135,武器奇术!$A:$R,15,FALSE)="武器",VLOOKUP($E135,武器奇术!$A:$R,17,FALSE)="牵丝"),$E$3*(1+$E$15),0),BY135))</f>
        <v>0</v>
      </c>
      <c r="CB135" s="93">
        <f>IF(($D$11+IF(VLOOKUP($E135,武器奇术!$A:$R,17,FALSE)="牵丝",$D$15,0)-VLOOKUP($F$7,目标属性!$A:$R,6,FALSE))&gt;0,($D$11+IF(VLOOKUP($E135,武器奇术!$A:$R,17,FALSE)="牵丝",$D$15,0)-VLOOKUP($F$7,目标属性!$A:$R,6,FALSE))/200,($D$11+IF(VLOOKUP($E135,武器奇术!$A:$R,17,FALSE)="牵丝",$D$15,0)-VLOOKUP($F$7,目标属性!$A:$R,6,FALSE))/100)</f>
        <v>-0.24</v>
      </c>
      <c r="CC135" s="100">
        <f t="shared" si="91"/>
        <v>0</v>
      </c>
      <c r="CD135" s="91">
        <v>1</v>
      </c>
      <c r="CE135" s="92">
        <f>BY135*IF(VLOOKUP($E135,武器奇术!$A:$R,17,FALSE)="牵丝",VLOOKUP($E135,武器奇术!$A:$R,4,FALSE),VLOOKUP($E135,武器奇术!$A:$R,2,FALSE))*(1+CB135)*(1+CC135)*CD135</f>
        <v>0</v>
      </c>
      <c r="CF135" s="93">
        <f>(1-IF(VLOOKUP($E135,武器奇术!$A:$R,16,FALSE)="陌刀",1,$N135))*(1-$M135)</f>
        <v>0</v>
      </c>
      <c r="CG135" s="92">
        <f>BZ135*IF(VLOOKUP($E135,武器奇术!$A:$R,17,FALSE)="牵丝",VLOOKUP($E135,武器奇术!$A:$R,4,FALSE),VLOOKUP($E135,武器奇术!$A:$R,2,FALSE))*(1+CB135)*(1+CC135)*CD135*(1+$E$16+VLOOKUP($E135,武器奇术!$A:$R,8,FALSE))</f>
        <v>0</v>
      </c>
      <c r="CH135" s="93">
        <f t="shared" si="100"/>
        <v>0.8135</v>
      </c>
      <c r="CI135" s="92">
        <f>CA135*IF(VLOOKUP($E135,武器奇术!$A:$R,17,FALSE)="牵丝",VLOOKUP($E135,武器奇术!$A:$R,4,FALSE),VLOOKUP($E135,武器奇术!$A:$R,2,FALSE))*(1+CB135)*(1+CC135)*CD135*(1+$E$17+VLOOKUP($E135,武器奇术!$A:$R,10,FALSE))</f>
        <v>0</v>
      </c>
      <c r="CJ135" s="93">
        <f t="shared" si="101"/>
        <v>0.0986</v>
      </c>
      <c r="CK135" s="92">
        <f>BZ135*IF(VLOOKUP($E135,武器奇术!$A:$R,17,FALSE)="牵丝",VLOOKUP($E135,武器奇术!$A:$R,4,FALSE),VLOOKUP($E135,武器奇术!$A:$R,2,FALSE))*(1+CB135)*(1+CC135)*CD135</f>
        <v>0</v>
      </c>
      <c r="CL135" s="93">
        <f t="shared" si="134"/>
        <v>0.0879</v>
      </c>
      <c r="CM135" s="101">
        <f t="shared" si="135"/>
        <v>0</v>
      </c>
      <c r="CN135" s="99">
        <f>IF(VLOOKUP($E135,武器奇术!$A:$R,18,FALSE)="极乐",0,$B$13*IF($G$5="撼天",1.05,1)+IF(AND(VLOOKUP($E135,武器奇术!$A:$R,15,FALSE)="武器",VLOOKUP($E135,武器奇术!$A:$R,17,FALSE)="破竹"),$E$3*(1+$E$15),0))</f>
        <v>490.8</v>
      </c>
      <c r="CO135" s="91">
        <f t="shared" si="136"/>
        <v>856.3</v>
      </c>
      <c r="CP135" s="91">
        <f>IF(VLOOKUP($E135,武器奇术!$A:$R,18,FALSE)="极乐",0,MAX($C$13*IF($G$5="撼天",1.05,1)+IF(AND(VLOOKUP($E135,武器奇术!$A:$R,15,FALSE)="武器",VLOOKUP($E135,武器奇术!$A:$R,17,FALSE)="破竹"),$E$3*(1+$E$15),0),CN135))</f>
        <v>1221.8</v>
      </c>
      <c r="CQ135" s="93">
        <f>IF(($D$13+IF(VLOOKUP($E135,武器奇术!$A:$R,17,FALSE)="破竹",$D$15,0)-VLOOKUP($F$7,目标属性!$A:$R,6,FALSE)+IF(VLOOKUP($E135,武器奇术!$A:$V,22,FALSE)=1,4,0)+IF(VLOOKUP($E135,武器奇术!$A:$T,20,FALSE)=1,10,0))&gt;0,($D$13+IF(VLOOKUP($E135,武器奇术!$A:$R,17,FALSE)="破竹",$D$15,0)-VLOOKUP($F$7,目标属性!$A:$R,6,FALSE)+IF(VLOOKUP($E135,武器奇术!$A:$V,22,FALSE)=1,4,0)+IF(VLOOKUP($E135,武器奇术!$A:$T,20,FALSE)=1,10,0))/200,($D$13+IF(VLOOKUP($E135,武器奇术!$A:$R,17,FALSE)="破竹",$D$15,0)-VLOOKUP($F$7,目标属性!$A:$R,6,FALSE)+IF(VLOOKUP($E135,武器奇术!$A:$V,22,FALSE)=1,4,0)+IF(VLOOKUP($E135,武器奇术!$A:$T,20,FALSE)=1,10,0))/100)</f>
        <v>0.028</v>
      </c>
      <c r="CR135" s="100">
        <f t="shared" si="140"/>
        <v>0.148</v>
      </c>
      <c r="CS135" s="91">
        <v>1</v>
      </c>
      <c r="CT135" s="92">
        <f>CN135*IF(VLOOKUP($E135,武器奇术!$A:$R,17,FALSE)="破竹",VLOOKUP($E135,武器奇术!$A:$R,4,FALSE),VLOOKUP($E135,武器奇术!$A:$R,2,FALSE))*(1+CQ135)*(1+CR135)*CS135</f>
        <v>579.2146752</v>
      </c>
      <c r="CU135" s="93">
        <f>(1-IF(VLOOKUP($E135,武器奇术!$A:$R,16,FALSE)="陌刀",1,$N135))*(1-$M135)</f>
        <v>0</v>
      </c>
      <c r="CV135" s="92">
        <f>CO135*IF(VLOOKUP($E135,武器奇术!$A:$R,17,FALSE)="破竹",VLOOKUP($E135,武器奇术!$A:$R,4,FALSE),VLOOKUP($E135,武器奇术!$A:$R,2,FALSE))*(1+CQ135)*(1+CR135)*CS135*(1+$E$16+VLOOKUP($E135,武器奇术!$A:$R,8,FALSE))</f>
        <v>1661.3562130368</v>
      </c>
      <c r="CW135" s="93">
        <f t="shared" si="102"/>
        <v>0.8135</v>
      </c>
      <c r="CX135" s="92">
        <f>CP135*IF(VLOOKUP($E135,武器奇术!$A:$R,17,FALSE)="破竹",VLOOKUP($E135,武器奇术!$A:$R,4,FALSE),VLOOKUP($E135,武器奇术!$A:$R,2,FALSE))*(1+CQ135)*(1+CR135)*CS135*(1+$E$17+VLOOKUP($E135,武器奇术!$A:$R,10,FALSE))</f>
        <v>1946.56491792</v>
      </c>
      <c r="CY135" s="93">
        <f t="shared" si="103"/>
        <v>0.0986</v>
      </c>
      <c r="CZ135" s="92">
        <f>CO135*IF(VLOOKUP($E135,武器奇术!$A:$R,17,FALSE)="破竹",VLOOKUP($E135,武器奇术!$A:$R,4,FALSE),VLOOKUP($E135,武器奇术!$A:$R,2,FALSE))*(1+CQ135)*(1+CR135)*CS135</f>
        <v>1010.5573072</v>
      </c>
      <c r="DA135" s="93">
        <f t="shared" si="137"/>
        <v>0.0879</v>
      </c>
      <c r="DB135" s="101">
        <f t="shared" si="138"/>
        <v>1632.27256751523</v>
      </c>
      <c r="DC135" s="99">
        <f>IF(VLOOKUP($E135,武器奇术!$A:$R,18,FALSE)="极乐",0,$B$15)</f>
        <v>66</v>
      </c>
      <c r="DD135" s="91">
        <f t="shared" si="111"/>
        <v>95.9</v>
      </c>
      <c r="DE135" s="91">
        <f>IF(VLOOKUP($E135,武器奇术!$A:$R,18,FALSE)="极乐",0,$C$15)</f>
        <v>125.8</v>
      </c>
      <c r="DF135" s="93">
        <f>IF((IF(VLOOKUP($E135,武器奇术!$A:$R,17,FALSE)="鸣金",$D$7,0)+IF(VLOOKUP($E135,武器奇术!$A:$R,17,FALSE)="裂石",$D$9,0)+IF(VLOOKUP($E135,武器奇术!$A:$R,17,FALSE)="牵丝",$D$11,0)+IF(VLOOKUP($E135,武器奇术!$A:$R,17,FALSE)="破竹",$D$13,0)+$D$15-VLOOKUP($F$7,目标属性!$A:$R,6,FALSE)+IF(VLOOKUP($E135,武器奇术!$A:$V,22,FALSE)=1,4,0)+IF(VLOOKUP($E135,武器奇术!$A:$T,20,FALSE)=1,10,0))&gt;0,(IF(VLOOKUP($E135,武器奇术!$A:$R,17,FALSE)="鸣金",$D$7,0)+IF(VLOOKUP($E135,武器奇术!$A:$R,17,FALSE)="裂石",$D$9,0)+IF(VLOOKUP($E135,武器奇术!$A:$R,17,FALSE)="牵丝",$D$11,0)+IF(VLOOKUP($E135,武器奇术!$A:$R,17,FALSE)="破竹",$D$13,0)+$D$15-VLOOKUP($F$7,目标属性!$A:$R,6,FALSE)+IF(VLOOKUP($E135,武器奇术!$A:$V,22,FALSE)=1,4,0)+IF(VLOOKUP($E135,武器奇术!$A:$T,20,FALSE)=1,10,0))/200,(IF(VLOOKUP($E135,武器奇术!$A:$R,17,FALSE)="鸣金",$D$7,0)+IF(VLOOKUP($E135,武器奇术!$A:$R,17,FALSE)="裂石",$D$9,0)+IF(VLOOKUP($E135,武器奇术!$A:$R,17,FALSE)="牵丝",$D$11,0)+IF(VLOOKUP($E135,武器奇术!$A:$R,17,FALSE)="破竹",$D$13,0)+$D$15-VLOOKUP($F$7,目标属性!$A:$R,6,FALSE)+IF(VLOOKUP($E135,武器奇术!$A:$V,22,FALSE)=1,4,0)+IF(VLOOKUP($E135,武器奇术!$A:$T,20,FALSE)=1,10,0))/100)</f>
        <v>0.028</v>
      </c>
      <c r="DG135" s="100">
        <f t="shared" si="139"/>
        <v>0.148</v>
      </c>
      <c r="DH135" s="91">
        <v>1</v>
      </c>
      <c r="DI135" s="92">
        <f>DC135*IF(VLOOKUP($E135,武器奇术!$A:$R,17,FALSE)="破竹",VLOOKUP($E135,武器奇术!$A:$R,4,FALSE),VLOOKUP($E135,武器奇术!$A:$R,2,FALSE))*(1+DF135)*(1+DG135)*DH135</f>
        <v>77.889504</v>
      </c>
      <c r="DJ135" s="93">
        <f>(1-IF(VLOOKUP($E135,武器奇术!$A:$R,16,FALSE)="陌刀",1,$N135))*(1-$M135)</f>
        <v>0</v>
      </c>
      <c r="DK135" s="92">
        <f>DD135*IF(VLOOKUP($E135,武器奇术!$A:$R,17,FALSE)="破竹",VLOOKUP($E135,武器奇术!$A:$R,4,FALSE),VLOOKUP($E135,武器奇术!$A:$R,2,FALSE))*(1+DF135)*(1+DG135)*DH135*(1+$E$16+VLOOKUP($E135,武器奇术!$A:$R,8,FALSE))</f>
        <v>186.0610309824</v>
      </c>
      <c r="DL135" s="93">
        <f t="shared" si="104"/>
        <v>0.8135</v>
      </c>
      <c r="DM135" s="92">
        <f>DE135*IF(VLOOKUP($E135,武器奇术!$A:$R,17,FALSE)="破竹",VLOOKUP($E135,武器奇术!$A:$R,4,FALSE),VLOOKUP($E135,武器奇术!$A:$R,2,FALSE))*(1+DF135)*(1+DG135)*DH135*(1+$E$17+VLOOKUP($E135,武器奇术!$A:$R,10,FALSE))</f>
        <v>200.42385552</v>
      </c>
      <c r="DN135" s="93">
        <f t="shared" si="105"/>
        <v>0.0986</v>
      </c>
      <c r="DO135" s="92">
        <f>DD135*IF(VLOOKUP($E135,武器奇术!$A:$R,17,FALSE)="破竹",VLOOKUP($E135,武器奇术!$A:$R,4,FALSE),VLOOKUP($E135,武器奇术!$A:$R,2,FALSE))*(1+DF135)*(1+DG135)*DH135</f>
        <v>113.1758096</v>
      </c>
      <c r="DP135" s="93">
        <f t="shared" si="106"/>
        <v>0.0879</v>
      </c>
      <c r="DQ135" s="101">
        <f t="shared" si="107"/>
        <v>181.070594522294</v>
      </c>
    </row>
    <row r="136" spans="1:121">
      <c r="E136" s="105" t="s">
        <v>221</v>
      </c>
      <c r="F136" s="106">
        <f t="shared" ref="F136:F142" si="141">IF($I$3="√",1,0)</f>
        <v>1</v>
      </c>
      <c r="G136" s="107"/>
      <c r="H136" s="92">
        <f>IF(VLOOKUP($E136,武器奇术!$A:$R,18,FALSE)="天工",AE136,(AE136+AT136+BI136+BX136+CM136+DB136+DQ136))*(1+J136)*F136*K136*(1+G136)</f>
        <v>13326.4809100169</v>
      </c>
      <c r="I136" s="93">
        <f t="shared" si="117"/>
        <v>0.0017095572010784</v>
      </c>
      <c r="J136" s="93">
        <f>$F$3+VLOOKUP($E136,武器奇术!$A:$R,12,FALSE)+VLOOKUP($E136,武器奇术!$A:$R,14,FALSE)*$G$3+$P136</f>
        <v>0.423</v>
      </c>
      <c r="K136" s="94">
        <f>VLOOKUP($E136,武器奇术!$A:$R,11,FALSE)</f>
        <v>1</v>
      </c>
      <c r="L136" s="109">
        <f>IF(VLOOKUP($E136,武器奇术!$A:$R,15,FALSE)="天工",0%,IF($C$17+VLOOKUP($E136,武器奇术!$A:$R,7,FALSE)&gt;80%,80%,$C$17+VLOOKUP($E136,武器奇术!$A:$R,7,FALSE))+IF($C$19&gt;20%,20%,$C$19))</f>
        <v>0.8135</v>
      </c>
      <c r="M136" s="110">
        <f>IF(VLOOKUP($E136,武器奇术!$A:$R,15,FALSE)="天工",0%,IF($C$18+VLOOKUP($E136,武器奇术!$A:$R,9,FALSE)&gt;40%,40%,$C$18+VLOOKUP($E136,武器奇术!$A:$R,9,FALSE))+IF($C$20&gt;10%,10%,$C$20))</f>
        <v>0.0986</v>
      </c>
      <c r="N136" s="111">
        <f>IF(VLOOKUP($E136,武器奇术!$A:$R,15,FALSE)="天工",100%,MIN($C$16,1))</f>
        <v>1</v>
      </c>
      <c r="O136" s="112" t="str">
        <f>VLOOKUP($E136,武器奇术!$A:$R,16,FALSE)</f>
        <v>N/A</v>
      </c>
      <c r="P136" s="113">
        <f t="shared" si="108"/>
        <v>0</v>
      </c>
      <c r="Q136" s="99">
        <f>$B$5*(1+VLOOKUP($E136,武器奇术!$A:$R,5,FALSE)+IF($G$5="飞隼",0.1,0)+IF($G$5="撼天",0.05,0))-$F$9*IF(VLOOKUP($E136,武器奇术!$A:$S,19,FALSE)=1,0.9,1)+IF($I$5="√",160,0)</f>
        <v>2848.3</v>
      </c>
      <c r="R136" s="91">
        <f t="shared" si="118"/>
        <v>2848.3</v>
      </c>
      <c r="S136" s="91">
        <f>MAX($C$5,$B$5)*(1+VLOOKUP($E136,武器奇术!$A:$R,5,FALSE)+IF($G$5="飞隼",0.1,0)+IF($G$5="撼天",0.05,0))-$F$9*IF(VLOOKUP($E136,武器奇术!$A:$S,19,FALSE)=1,0.9,1)+IF($I$5="√",320,0)</f>
        <v>2848.3</v>
      </c>
      <c r="T136" s="93">
        <f>IF(($D$5+VLOOKUP($E136,武器奇术!$A:$R,13,FALSE)+IF($I$3="√",10,0)-VLOOKUP($F$7,目标属性!$A:$R,5,FALSE))&gt;0,($D$5+VLOOKUP($E136,武器奇术!$A:$R,13,FALSE)+IF($I$3="√",10,0)-VLOOKUP($F$7,目标属性!$A:$R,5,FALSE))/200,($D$5+VLOOKUP($E136,武器奇术!$A:$R,13,FALSE)+IF($I$3="√",10,0)-VLOOKUP($F$7,目标属性!$A:$R,5,FALSE))/100)</f>
        <v>0.2675</v>
      </c>
      <c r="U136" s="100">
        <f>$E$5+IF(VLOOKUP($E136,武器奇术!$A:$R,18,FALSE)="鼠鼠",0.24,0)</f>
        <v>0</v>
      </c>
      <c r="V136" s="91">
        <v>1</v>
      </c>
      <c r="W136" s="92">
        <f>Q136*VLOOKUP($E136,武器奇术!$A:$R,2,FALSE)*(1+T136)*(1+U136)*V136</f>
        <v>3610.22025</v>
      </c>
      <c r="X136" s="93">
        <f>(1-IF(VLOOKUP($E136,武器奇术!$A:$R,16,FALSE)="陌刀",1,$N136))*(1-$M136)</f>
        <v>0</v>
      </c>
      <c r="Y136" s="92">
        <f>R136*VLOOKUP($E136,武器奇术!$A:$R,2,FALSE)*(1+T136)*(1+U136)*V136*(1+$E$16+VLOOKUP($E136,武器奇术!$A:$R,8,FALSE))</f>
        <v>7740.312216</v>
      </c>
      <c r="Z136" s="93">
        <f t="shared" si="119"/>
        <v>0.8135</v>
      </c>
      <c r="AA136" s="92">
        <f>S136*VLOOKUP($E136,武器奇术!$A:$R,2,FALSE)*(1+T136)*(1+U136)*V136*(1+$E$17+VLOOKUP($E136,武器奇术!$A:$R,10,FALSE))</f>
        <v>4873.7973375</v>
      </c>
      <c r="AB136" s="93">
        <f t="shared" si="120"/>
        <v>0.0986</v>
      </c>
      <c r="AC136" s="92">
        <f>R136*VLOOKUP($E136,武器奇术!$A:$R,2,FALSE)*(1+T136)*(1+U136)*V136</f>
        <v>3610.22025</v>
      </c>
      <c r="AD136" s="93">
        <f t="shared" si="121"/>
        <v>0.0879</v>
      </c>
      <c r="AE136" s="101">
        <f t="shared" si="122"/>
        <v>7094.6387651685</v>
      </c>
      <c r="AF136" s="102">
        <f>VLOOKUP($E136,武器奇术!$A:$R,3,FALSE)*(1+IF(VLOOKUP($E136,武器奇术!$A:$R,15,FALSE)="武器",$E$15,0))</f>
        <v>0</v>
      </c>
      <c r="AG136" s="92">
        <f t="shared" si="123"/>
        <v>0</v>
      </c>
      <c r="AH136" s="92">
        <f>VLOOKUP($E136,武器奇术!$A:$R,3,FALSE)*(1+IF(VLOOKUP($E136,武器奇术!$A:$R,15,FALSE)="武器",$E$15,0))</f>
        <v>0</v>
      </c>
      <c r="AI136" s="93">
        <f>IF(($D$5+VLOOKUP($E136,武器奇术!$A:$R,13,FALSE)+IF($I$3="√",10,0)-VLOOKUP($F$7,目标属性!$A:$R,5,FALSE))&gt;0,($D$5+VLOOKUP($E136,武器奇术!$A:$R,13,FALSE)+IF($I$3="√",10,0)-VLOOKUP($F$7,目标属性!$A:$R,5,FALSE))/200,($D$5+VLOOKUP($E136,武器奇术!$A:$R,13,FALSE)+IF($I$3="√",10,0)-VLOOKUP($F$7,目标属性!$A:$R,5,FALSE))/100)</f>
        <v>0.2675</v>
      </c>
      <c r="AJ136" s="100">
        <f>$E$5+IF(VLOOKUP($E136,武器奇术!$A:$R,18,FALSE)="鼠鼠",0.24,0)</f>
        <v>0</v>
      </c>
      <c r="AK136" s="91">
        <v>1</v>
      </c>
      <c r="AL136" s="92">
        <f t="shared" si="109"/>
        <v>0</v>
      </c>
      <c r="AM136" s="93">
        <f>(1-IF(VLOOKUP($E136,武器奇术!$A:$R,16,FALSE)="陌刀",1,$N136))*(1-$M136)</f>
        <v>0</v>
      </c>
      <c r="AN136" s="92">
        <f>AG136*(1+AI136)*(1+AJ136)*AK136*(1+$E$16+VLOOKUP($E136,武器奇术!$A:$R,8,FALSE))</f>
        <v>0</v>
      </c>
      <c r="AO136" s="93">
        <f t="shared" si="94"/>
        <v>0.8135</v>
      </c>
      <c r="AP136" s="92">
        <f>AH136*(1+AI136)*(1+AJ136)*AK136*(1+$E$17+VLOOKUP($E136,武器奇术!$A:$R,10,FALSE))</f>
        <v>0</v>
      </c>
      <c r="AQ136" s="93">
        <f t="shared" si="95"/>
        <v>0.0986</v>
      </c>
      <c r="AR136" s="92">
        <f t="shared" si="124"/>
        <v>0</v>
      </c>
      <c r="AS136" s="93">
        <f t="shared" si="125"/>
        <v>0.0879</v>
      </c>
      <c r="AT136" s="101">
        <f t="shared" si="126"/>
        <v>0</v>
      </c>
      <c r="AU136" s="99">
        <f>IF(VLOOKUP($E136,武器奇术!$A:$R,18,FALSE)="极乐",0,$B$7*IF($G$5="撼天",1.05,1)+IF(AND(VLOOKUP($E136,武器奇术!$A:$R,15,FALSE)="武器",VLOOKUP($E136,武器奇术!$A:$R,17,FALSE)="鸣金"),$E$3*(1+$E$15),0))</f>
        <v>0</v>
      </c>
      <c r="AV136" s="91">
        <f t="shared" si="127"/>
        <v>0</v>
      </c>
      <c r="AW136" s="91">
        <f>IF(VLOOKUP($E136,武器奇术!$A:$R,18,FALSE)="极乐",0,MAX($C$7*IF($G$5="撼天",1.05,1)+IF(AND(VLOOKUP($E136,武器奇术!$A:$R,15,FALSE)="武器",VLOOKUP($E136,武器奇术!$A:$R,17,FALSE)="鸣金"),$E$3*(1+$E$15),0),AU136))</f>
        <v>0</v>
      </c>
      <c r="AX136" s="93">
        <f>IF(($D$7+IF(VLOOKUP($E136,武器奇术!$A:$R,17,FALSE)="鸣金",$D$15,0)-VLOOKUP($F$7,目标属性!$A:$R,6,FALSE))&gt;0,($D$7+IF(VLOOKUP($E136,武器奇术!$A:$R,17,FALSE)="鸣金",$D$15,0)-VLOOKUP($F$7,目标属性!$A:$R,6,FALSE))/200,($D$7+IF(VLOOKUP($E136,武器奇术!$A:$R,17,FALSE)="鸣金",$D$15,0)-VLOOKUP($F$7,目标属性!$A:$R,6,FALSE))/100)</f>
        <v>-0.24</v>
      </c>
      <c r="AY136" s="100">
        <f t="shared" si="89"/>
        <v>0</v>
      </c>
      <c r="AZ136" s="91">
        <v>1</v>
      </c>
      <c r="BA136" s="92">
        <f>AU136*IF(VLOOKUP($E136,武器奇术!$A:$R,17,FALSE)="鸣金",VLOOKUP($E136,武器奇术!$A:$R,4,FALSE),VLOOKUP($E136,武器奇术!$A:$R,2,FALSE))*(1+AX136)*(1+AY136)*AZ136</f>
        <v>0</v>
      </c>
      <c r="BB136" s="93">
        <f>(1-IF(VLOOKUP($E136,武器奇术!$A:$R,16,FALSE)="陌刀",1,$N136))*(1-$M136)</f>
        <v>0</v>
      </c>
      <c r="BC136" s="92">
        <f>AV136*IF(VLOOKUP($E136,武器奇术!$A:$R,17,FALSE)="鸣金",VLOOKUP($E136,武器奇术!$A:$R,4,FALSE),VLOOKUP($E136,武器奇术!$A:$R,2,FALSE))*(1+AX136)*(1+AY136)*AZ136*(1+$E$16+VLOOKUP($E136,武器奇术!$A:$R,8,FALSE))</f>
        <v>0</v>
      </c>
      <c r="BD136" s="93">
        <f t="shared" si="96"/>
        <v>0.8135</v>
      </c>
      <c r="BE136" s="92">
        <f>AW136*IF(VLOOKUP($E136,武器奇术!$A:$R,17,FALSE)="鸣金",VLOOKUP($E136,武器奇术!$A:$R,4,FALSE),VLOOKUP($E136,武器奇术!$A:$R,2,FALSE))*(1+AX136)*(1+AY136)*AZ136*(1+$E$17+VLOOKUP($E136,武器奇术!$A:$R,10,FALSE))</f>
        <v>0</v>
      </c>
      <c r="BF136" s="93">
        <f t="shared" si="97"/>
        <v>0.0986</v>
      </c>
      <c r="BG136" s="92">
        <f>AV136*IF(VLOOKUP($E136,武器奇术!$A:$R,17,FALSE)="鸣金",VLOOKUP($E136,武器奇术!$A:$R,4,FALSE),VLOOKUP($E136,武器奇术!$A:$R,2,FALSE))*(1+AX136)*(1+AY136)*AZ136</f>
        <v>0</v>
      </c>
      <c r="BH136" s="93">
        <f t="shared" si="128"/>
        <v>0.0879</v>
      </c>
      <c r="BI136" s="101">
        <f t="shared" si="129"/>
        <v>0</v>
      </c>
      <c r="BJ136" s="99">
        <f>IF(VLOOKUP($E136,武器奇术!$A:$R,18,FALSE)="极乐",0,$B$9*IF($G$5="撼天",1.05,1)+IF(AND(VLOOKUP($E136,武器奇术!$A:$R,15,FALSE)="武器",VLOOKUP($E136,武器奇术!$A:$R,17,FALSE)="裂石"),$E$3*(1+$E$15),0))</f>
        <v>0</v>
      </c>
      <c r="BK136" s="91">
        <f t="shared" si="130"/>
        <v>0</v>
      </c>
      <c r="BL136" s="91">
        <f>IF(VLOOKUP($E136,武器奇术!$A:$R,18,FALSE)="极乐",0,MAX($C$9*IF($G$5="撼天",1.05,1)+IF(AND(VLOOKUP($E136,武器奇术!$A:$R,15,FALSE)="武器",VLOOKUP($E136,武器奇术!$A:$R,17,FALSE)="裂石"),$E$3*(1+$E$15),0),BJ136))</f>
        <v>0</v>
      </c>
      <c r="BM136" s="93">
        <f>IF(($D$9+IF(VLOOKUP($E136,武器奇术!$A:$R,17,FALSE)="裂石",$D$15,0)-VLOOKUP($F$7,目标属性!$A:$R,6,FALSE))&gt;0,($D$9+IF(VLOOKUP($E136,武器奇术!$A:$R,17,FALSE)="裂石",$D$15,0)-VLOOKUP($F$7,目标属性!$A:$R,6,FALSE))/200,($D$9+IF(VLOOKUP($E136,武器奇术!$A:$R,17,FALSE)="裂石",$D$15,0)-VLOOKUP($F$7,目标属性!$A:$R,6,FALSE))/100)</f>
        <v>-0.24</v>
      </c>
      <c r="BN136" s="100">
        <f t="shared" si="90"/>
        <v>0</v>
      </c>
      <c r="BO136" s="91">
        <v>1</v>
      </c>
      <c r="BP136" s="92">
        <f>BJ136*IF(VLOOKUP($E136,武器奇术!$A:$R,17,FALSE)="裂石",VLOOKUP($E136,武器奇术!$A:$R,4,FALSE),VLOOKUP($E136,武器奇术!$A:$R,2,FALSE))*(1+BM136)*(1+BN136)*BO136</f>
        <v>0</v>
      </c>
      <c r="BQ136" s="93">
        <f>(1-IF(VLOOKUP($E136,武器奇术!$A:$R,16,FALSE)="陌刀",1,$N136))*(1-$M136)</f>
        <v>0</v>
      </c>
      <c r="BR136" s="92">
        <f>BK136*IF(VLOOKUP($E136,武器奇术!$A:$R,17,FALSE)="裂石",VLOOKUP($E136,武器奇术!$A:$R,4,FALSE),VLOOKUP($E136,武器奇术!$A:$R,2,FALSE))*(1+BM136)*(1+BN136)*BO136*(1+$E$16+VLOOKUP($E136,武器奇术!$A:$R,8,FALSE))</f>
        <v>0</v>
      </c>
      <c r="BS136" s="93">
        <f t="shared" si="98"/>
        <v>0.8135</v>
      </c>
      <c r="BT136" s="92">
        <f>BL136*IF(VLOOKUP($E136,武器奇术!$A:$R,17,FALSE)="裂石",VLOOKUP($E136,武器奇术!$A:$R,4,FALSE),VLOOKUP($E136,武器奇术!$A:$R,2,FALSE))*(1+BM136)*(1+BN136)*BO136*(1+$E$17+VLOOKUP($E136,武器奇术!$A:$R,10,FALSE))</f>
        <v>0</v>
      </c>
      <c r="BU136" s="93">
        <f t="shared" si="99"/>
        <v>0.0986</v>
      </c>
      <c r="BV136" s="92">
        <f>BK136*IF(VLOOKUP($E136,武器奇术!$A:$R,17,FALSE)="裂石",VLOOKUP($E136,武器奇术!$A:$R,4,FALSE),VLOOKUP($E136,武器奇术!$A:$R,2,FALSE))*(1+BM136)*(1+BN136)*BO136</f>
        <v>0</v>
      </c>
      <c r="BW136" s="93">
        <f t="shared" si="131"/>
        <v>0.0879</v>
      </c>
      <c r="BX136" s="101">
        <f t="shared" si="132"/>
        <v>0</v>
      </c>
      <c r="BY136" s="99">
        <f>IF(VLOOKUP($E136,武器奇术!$A:$R,18,FALSE)="极乐",0,$B$11*IF($G$5="撼天",1.05,1)+IF(AND(VLOOKUP($E136,武器奇术!$A:$R,15,FALSE)="武器",VLOOKUP($E136,武器奇术!$A:$R,17,FALSE)="牵丝"),$E$3*(1+$E$15),0))</f>
        <v>0</v>
      </c>
      <c r="BZ136" s="91">
        <f t="shared" si="133"/>
        <v>0</v>
      </c>
      <c r="CA136" s="91">
        <f>IF(VLOOKUP($E136,武器奇术!$A:$R,18,FALSE)="极乐",0,MAX($C$11*IF($G$5="撼天",1.05,1)+IF(AND(VLOOKUP($E136,武器奇术!$A:$R,15,FALSE)="武器",VLOOKUP($E136,武器奇术!$A:$R,17,FALSE)="牵丝"),$E$3*(1+$E$15),0),BY136))</f>
        <v>0</v>
      </c>
      <c r="CB136" s="93">
        <f>IF(($D$11+IF(VLOOKUP($E136,武器奇术!$A:$R,17,FALSE)="牵丝",$D$15,0)-VLOOKUP($F$7,目标属性!$A:$R,6,FALSE))&gt;0,($D$11+IF(VLOOKUP($E136,武器奇术!$A:$R,17,FALSE)="牵丝",$D$15,0)-VLOOKUP($F$7,目标属性!$A:$R,6,FALSE))/200,($D$11+IF(VLOOKUP($E136,武器奇术!$A:$R,17,FALSE)="牵丝",$D$15,0)-VLOOKUP($F$7,目标属性!$A:$R,6,FALSE))/100)</f>
        <v>-0.24</v>
      </c>
      <c r="CC136" s="100">
        <f t="shared" si="91"/>
        <v>0</v>
      </c>
      <c r="CD136" s="91">
        <v>1</v>
      </c>
      <c r="CE136" s="92">
        <f>BY136*IF(VLOOKUP($E136,武器奇术!$A:$R,17,FALSE)="牵丝",VLOOKUP($E136,武器奇术!$A:$R,4,FALSE),VLOOKUP($E136,武器奇术!$A:$R,2,FALSE))*(1+CB136)*(1+CC136)*CD136</f>
        <v>0</v>
      </c>
      <c r="CF136" s="93">
        <f>(1-IF(VLOOKUP($E136,武器奇术!$A:$R,16,FALSE)="陌刀",1,$N136))*(1-$M136)</f>
        <v>0</v>
      </c>
      <c r="CG136" s="92">
        <f>BZ136*IF(VLOOKUP($E136,武器奇术!$A:$R,17,FALSE)="牵丝",VLOOKUP($E136,武器奇术!$A:$R,4,FALSE),VLOOKUP($E136,武器奇术!$A:$R,2,FALSE))*(1+CB136)*(1+CC136)*CD136*(1+$E$16+VLOOKUP($E136,武器奇术!$A:$R,8,FALSE))</f>
        <v>0</v>
      </c>
      <c r="CH136" s="93">
        <f t="shared" si="100"/>
        <v>0.8135</v>
      </c>
      <c r="CI136" s="92">
        <f>CA136*IF(VLOOKUP($E136,武器奇术!$A:$R,17,FALSE)="牵丝",VLOOKUP($E136,武器奇术!$A:$R,4,FALSE),VLOOKUP($E136,武器奇术!$A:$R,2,FALSE))*(1+CB136)*(1+CC136)*CD136*(1+$E$17+VLOOKUP($E136,武器奇术!$A:$R,10,FALSE))</f>
        <v>0</v>
      </c>
      <c r="CJ136" s="93">
        <f t="shared" si="101"/>
        <v>0.0986</v>
      </c>
      <c r="CK136" s="92">
        <f>BZ136*IF(VLOOKUP($E136,武器奇术!$A:$R,17,FALSE)="牵丝",VLOOKUP($E136,武器奇术!$A:$R,4,FALSE),VLOOKUP($E136,武器奇术!$A:$R,2,FALSE))*(1+CB136)*(1+CC136)*CD136</f>
        <v>0</v>
      </c>
      <c r="CL136" s="93">
        <f t="shared" si="134"/>
        <v>0.0879</v>
      </c>
      <c r="CM136" s="101">
        <f t="shared" si="135"/>
        <v>0</v>
      </c>
      <c r="CN136" s="99">
        <f>IF(VLOOKUP($E136,武器奇术!$A:$R,18,FALSE)="极乐",0,$B$13*IF($G$5="撼天",1.05,1)+IF(AND(VLOOKUP($E136,武器奇术!$A:$R,15,FALSE)="武器",VLOOKUP($E136,武器奇术!$A:$R,17,FALSE)="破竹"),$E$3*(1+$E$15),0))</f>
        <v>490.8</v>
      </c>
      <c r="CO136" s="91">
        <f t="shared" si="136"/>
        <v>856.3</v>
      </c>
      <c r="CP136" s="91">
        <f>IF(VLOOKUP($E136,武器奇术!$A:$R,18,FALSE)="极乐",0,MAX($C$13*IF($G$5="撼天",1.05,1)+IF(AND(VLOOKUP($E136,武器奇术!$A:$R,15,FALSE)="武器",VLOOKUP($E136,武器奇术!$A:$R,17,FALSE)="破竹"),$E$3*(1+$E$15),0),CN136))</f>
        <v>1221.8</v>
      </c>
      <c r="CQ136" s="93">
        <f>IF(($D$13+IF(VLOOKUP($E136,武器奇术!$A:$R,17,FALSE)="破竹",$D$15,0)-VLOOKUP($F$7,目标属性!$A:$R,6,FALSE)+IF(VLOOKUP($E136,武器奇术!$A:$V,22,FALSE)=1,4,0)+IF(VLOOKUP($E136,武器奇术!$A:$T,20,FALSE)=1,10,0))&gt;0,($D$13+IF(VLOOKUP($E136,武器奇术!$A:$R,17,FALSE)="破竹",$D$15,0)-VLOOKUP($F$7,目标属性!$A:$R,6,FALSE)+IF(VLOOKUP($E136,武器奇术!$A:$V,22,FALSE)=1,4,0)+IF(VLOOKUP($E136,武器奇术!$A:$T,20,FALSE)=1,10,0))/200,($D$13+IF(VLOOKUP($E136,武器奇术!$A:$R,17,FALSE)="破竹",$D$15,0)-VLOOKUP($F$7,目标属性!$A:$R,6,FALSE)+IF(VLOOKUP($E136,武器奇术!$A:$V,22,FALSE)=1,4,0)+IF(VLOOKUP($E136,武器奇术!$A:$T,20,FALSE)=1,10,0))/100)</f>
        <v>0.028</v>
      </c>
      <c r="CR136" s="100">
        <f t="shared" si="140"/>
        <v>0.148</v>
      </c>
      <c r="CS136" s="91">
        <v>1</v>
      </c>
      <c r="CT136" s="92">
        <f>CN136*IF(VLOOKUP($E136,武器奇术!$A:$R,17,FALSE)="破竹",VLOOKUP($E136,武器奇术!$A:$R,4,FALSE),VLOOKUP($E136,武器奇术!$A:$R,2,FALSE))*(1+CQ136)*(1+CR136)*CS136</f>
        <v>579.2146752</v>
      </c>
      <c r="CU136" s="93">
        <f>(1-IF(VLOOKUP($E136,武器奇术!$A:$R,16,FALSE)="陌刀",1,$N136))*(1-$M136)</f>
        <v>0</v>
      </c>
      <c r="CV136" s="92">
        <f>CO136*IF(VLOOKUP($E136,武器奇术!$A:$R,17,FALSE)="破竹",VLOOKUP($E136,武器奇术!$A:$R,4,FALSE),VLOOKUP($E136,武器奇术!$A:$R,2,FALSE))*(1+CQ136)*(1+CR136)*CS136*(1+$E$16+VLOOKUP($E136,武器奇术!$A:$R,8,FALSE))</f>
        <v>2166.6348666368</v>
      </c>
      <c r="CW136" s="93">
        <f t="shared" si="102"/>
        <v>0.8135</v>
      </c>
      <c r="CX136" s="92">
        <f>CP136*IF(VLOOKUP($E136,武器奇术!$A:$R,17,FALSE)="破竹",VLOOKUP($E136,武器奇术!$A:$R,4,FALSE),VLOOKUP($E136,武器奇术!$A:$R,2,FALSE))*(1+CQ136)*(1+CR136)*CS136*(1+$E$17+VLOOKUP($E136,武器奇术!$A:$R,10,FALSE))</f>
        <v>1946.56491792</v>
      </c>
      <c r="CY136" s="93">
        <f t="shared" si="103"/>
        <v>0.0986</v>
      </c>
      <c r="CZ136" s="92">
        <f>CO136*IF(VLOOKUP($E136,武器奇术!$A:$R,17,FALSE)="破竹",VLOOKUP($E136,武器奇术!$A:$R,4,FALSE),VLOOKUP($E136,武器奇术!$A:$R,2,FALSE))*(1+CQ136)*(1+CR136)*CS136</f>
        <v>1010.5573072</v>
      </c>
      <c r="DA136" s="93">
        <f t="shared" si="137"/>
        <v>0.0879</v>
      </c>
      <c r="DB136" s="101">
        <f t="shared" si="138"/>
        <v>2043.31675221883</v>
      </c>
      <c r="DC136" s="99">
        <f>IF(VLOOKUP($E136,武器奇术!$A:$R,18,FALSE)="极乐",0,$B$15)</f>
        <v>66</v>
      </c>
      <c r="DD136" s="91">
        <f t="shared" si="111"/>
        <v>95.9</v>
      </c>
      <c r="DE136" s="91">
        <f>IF(VLOOKUP($E136,武器奇术!$A:$R,18,FALSE)="极乐",0,$C$15)</f>
        <v>125.8</v>
      </c>
      <c r="DF136" s="93">
        <f>IF((IF(VLOOKUP($E136,武器奇术!$A:$R,17,FALSE)="鸣金",$D$7,0)+IF(VLOOKUP($E136,武器奇术!$A:$R,17,FALSE)="裂石",$D$9,0)+IF(VLOOKUP($E136,武器奇术!$A:$R,17,FALSE)="牵丝",$D$11,0)+IF(VLOOKUP($E136,武器奇术!$A:$R,17,FALSE)="破竹",$D$13,0)+$D$15-VLOOKUP($F$7,目标属性!$A:$R,6,FALSE)+IF(VLOOKUP($E136,武器奇术!$A:$V,22,FALSE)=1,4,0)+IF(VLOOKUP($E136,武器奇术!$A:$T,20,FALSE)=1,10,0))&gt;0,(IF(VLOOKUP($E136,武器奇术!$A:$R,17,FALSE)="鸣金",$D$7,0)+IF(VLOOKUP($E136,武器奇术!$A:$R,17,FALSE)="裂石",$D$9,0)+IF(VLOOKUP($E136,武器奇术!$A:$R,17,FALSE)="牵丝",$D$11,0)+IF(VLOOKUP($E136,武器奇术!$A:$R,17,FALSE)="破竹",$D$13,0)+$D$15-VLOOKUP($F$7,目标属性!$A:$R,6,FALSE)+IF(VLOOKUP($E136,武器奇术!$A:$V,22,FALSE)=1,4,0)+IF(VLOOKUP($E136,武器奇术!$A:$T,20,FALSE)=1,10,0))/200,(IF(VLOOKUP($E136,武器奇术!$A:$R,17,FALSE)="鸣金",$D$7,0)+IF(VLOOKUP($E136,武器奇术!$A:$R,17,FALSE)="裂石",$D$9,0)+IF(VLOOKUP($E136,武器奇术!$A:$R,17,FALSE)="牵丝",$D$11,0)+IF(VLOOKUP($E136,武器奇术!$A:$R,17,FALSE)="破竹",$D$13,0)+$D$15-VLOOKUP($F$7,目标属性!$A:$R,6,FALSE)+IF(VLOOKUP($E136,武器奇术!$A:$V,22,FALSE)=1,4,0)+IF(VLOOKUP($E136,武器奇术!$A:$T,20,FALSE)=1,10,0))/100)</f>
        <v>0.028</v>
      </c>
      <c r="DG136" s="100">
        <f t="shared" si="139"/>
        <v>0.148</v>
      </c>
      <c r="DH136" s="91">
        <v>1</v>
      </c>
      <c r="DI136" s="92">
        <f>DC136*IF(VLOOKUP($E136,武器奇术!$A:$R,17,FALSE)="破竹",VLOOKUP($E136,武器奇术!$A:$R,4,FALSE),VLOOKUP($E136,武器奇术!$A:$R,2,FALSE))*(1+DF136)*(1+DG136)*DH136</f>
        <v>77.889504</v>
      </c>
      <c r="DJ136" s="93">
        <f>(1-IF(VLOOKUP($E136,武器奇术!$A:$R,16,FALSE)="陌刀",1,$N136))*(1-$M136)</f>
        <v>0</v>
      </c>
      <c r="DK136" s="92">
        <f>DD136*IF(VLOOKUP($E136,武器奇术!$A:$R,17,FALSE)="破竹",VLOOKUP($E136,武器奇术!$A:$R,4,FALSE),VLOOKUP($E136,武器奇术!$A:$R,2,FALSE))*(1+DF136)*(1+DG136)*DH136*(1+$E$16+VLOOKUP($E136,武器奇术!$A:$R,8,FALSE))</f>
        <v>242.6489357824</v>
      </c>
      <c r="DL136" s="93">
        <f t="shared" si="104"/>
        <v>0.8135</v>
      </c>
      <c r="DM136" s="92">
        <f>DE136*IF(VLOOKUP($E136,武器奇术!$A:$R,17,FALSE)="破竹",VLOOKUP($E136,武器奇术!$A:$R,4,FALSE),VLOOKUP($E136,武器奇术!$A:$R,2,FALSE))*(1+DF136)*(1+DG136)*DH136*(1+$E$17+VLOOKUP($E136,武器奇术!$A:$R,10,FALSE))</f>
        <v>200.42385552</v>
      </c>
      <c r="DN136" s="93">
        <f t="shared" si="105"/>
        <v>0.0986</v>
      </c>
      <c r="DO136" s="92">
        <f>DD136*IF(VLOOKUP($E136,武器奇术!$A:$R,17,FALSE)="破竹",VLOOKUP($E136,武器奇术!$A:$R,4,FALSE),VLOOKUP($E136,武器奇术!$A:$R,2,FALSE))*(1+DF136)*(1+DG136)*DH136</f>
        <v>113.1758096</v>
      </c>
      <c r="DP136" s="93">
        <f t="shared" si="106"/>
        <v>0.0879</v>
      </c>
      <c r="DQ136" s="101">
        <f t="shared" si="107"/>
        <v>227.104855077094</v>
      </c>
    </row>
    <row r="137" spans="1:121">
      <c r="E137" s="105" t="s">
        <v>222</v>
      </c>
      <c r="F137" s="106">
        <f t="shared" si="141"/>
        <v>1</v>
      </c>
      <c r="G137" s="107"/>
      <c r="H137" s="92">
        <f>IF(VLOOKUP($E137,武器奇术!$A:$R,18,FALSE)="天工",AE137,(AE137+AT137+BI137+BX137+CM137+DB137+DQ137))*(1+J137)*F137*K137*(1+G137)</f>
        <v>14925.8494513782</v>
      </c>
      <c r="I137" s="93">
        <f t="shared" si="117"/>
        <v>0.00191472854567601</v>
      </c>
      <c r="J137" s="93">
        <f>$F$3+VLOOKUP($E137,武器奇术!$A:$R,12,FALSE)+VLOOKUP($E137,武器奇术!$A:$R,14,FALSE)*$G$3+$P137</f>
        <v>0.653</v>
      </c>
      <c r="K137" s="94">
        <f>VLOOKUP($E137,武器奇术!$A:$R,11,FALSE)</f>
        <v>1</v>
      </c>
      <c r="L137" s="109">
        <f>IF(VLOOKUP($E137,武器奇术!$A:$R,15,FALSE)="天工",0%,IF($C$17+VLOOKUP($E137,武器奇术!$A:$R,7,FALSE)&gt;80%,80%,$C$17+VLOOKUP($E137,武器奇术!$A:$R,7,FALSE))+IF($C$19&gt;20%,20%,$C$19))</f>
        <v>0.8135</v>
      </c>
      <c r="M137" s="110">
        <f>IF(VLOOKUP($E137,武器奇术!$A:$R,15,FALSE)="天工",0%,IF($C$18+VLOOKUP($E137,武器奇术!$A:$R,9,FALSE)&gt;40%,40%,$C$18+VLOOKUP($E137,武器奇术!$A:$R,9,FALSE))+IF($C$20&gt;10%,10%,$C$20))</f>
        <v>0.0986</v>
      </c>
      <c r="N137" s="111">
        <f>IF(VLOOKUP($E137,武器奇术!$A:$R,15,FALSE)="天工",100%,MIN($C$16,1))</f>
        <v>1</v>
      </c>
      <c r="O137" s="112" t="str">
        <f>VLOOKUP($E137,武器奇术!$A:$R,16,FALSE)</f>
        <v>N/A</v>
      </c>
      <c r="P137" s="113">
        <f t="shared" si="108"/>
        <v>0</v>
      </c>
      <c r="Q137" s="99">
        <f>$B$5*(1+VLOOKUP($E137,武器奇术!$A:$R,5,FALSE)+IF($G$5="飞隼",0.1,0)+IF($G$5="撼天",0.05,0))-$F$9*IF(VLOOKUP($E137,武器奇术!$A:$S,19,FALSE)=1,0.9,1)+IF($I$5="√",160,0)</f>
        <v>2848.3</v>
      </c>
      <c r="R137" s="91">
        <f t="shared" si="118"/>
        <v>2848.3</v>
      </c>
      <c r="S137" s="91">
        <f>MAX($C$5,$B$5)*(1+VLOOKUP($E137,武器奇术!$A:$R,5,FALSE)+IF($G$5="飞隼",0.1,0)+IF($G$5="撼天",0.05,0))-$F$9*IF(VLOOKUP($E137,武器奇术!$A:$S,19,FALSE)=1,0.9,1)+IF($I$5="√",320,0)</f>
        <v>2848.3</v>
      </c>
      <c r="T137" s="93">
        <f>IF(($D$5+VLOOKUP($E137,武器奇术!$A:$R,13,FALSE)+IF($I$3="√",10,0)-VLOOKUP($F$7,目标属性!$A:$R,5,FALSE))&gt;0,($D$5+VLOOKUP($E137,武器奇术!$A:$R,13,FALSE)+IF($I$3="√",10,0)-VLOOKUP($F$7,目标属性!$A:$R,5,FALSE))/200,($D$5+VLOOKUP($E137,武器奇术!$A:$R,13,FALSE)+IF($I$3="√",10,0)-VLOOKUP($F$7,目标属性!$A:$R,5,FALSE))/100)</f>
        <v>0.3925</v>
      </c>
      <c r="U137" s="100">
        <f>$E$5+IF(VLOOKUP($E137,武器奇术!$A:$R,18,FALSE)="鼠鼠",0.24,0)</f>
        <v>0</v>
      </c>
      <c r="V137" s="91">
        <v>1</v>
      </c>
      <c r="W137" s="92">
        <f>Q137*VLOOKUP($E137,武器奇术!$A:$R,2,FALSE)*(1+T137)*(1+U137)*V137</f>
        <v>3966.25775</v>
      </c>
      <c r="X137" s="93">
        <f>(1-IF(VLOOKUP($E137,武器奇术!$A:$R,16,FALSE)="陌刀",1,$N137))*(1-$M137)</f>
        <v>0</v>
      </c>
      <c r="Y137" s="92">
        <f>R137*VLOOKUP($E137,武器奇术!$A:$R,2,FALSE)*(1+T137)*(1+U137)*V137*(1+$E$16+VLOOKUP($E137,武器奇术!$A:$R,8,FALSE))</f>
        <v>7512.0921785</v>
      </c>
      <c r="Z137" s="93">
        <f t="shared" si="119"/>
        <v>0.8135</v>
      </c>
      <c r="AA137" s="92">
        <f>S137*VLOOKUP($E137,武器奇术!$A:$R,2,FALSE)*(1+T137)*(1+U137)*V137*(1+$E$17+VLOOKUP($E137,武器奇术!$A:$R,10,FALSE))</f>
        <v>5354.4479625</v>
      </c>
      <c r="AB137" s="93">
        <f t="shared" si="120"/>
        <v>0.0986</v>
      </c>
      <c r="AC137" s="92">
        <f>R137*VLOOKUP($E137,武器奇术!$A:$R,2,FALSE)*(1+T137)*(1+U137)*V137</f>
        <v>3966.25775</v>
      </c>
      <c r="AD137" s="93">
        <f t="shared" si="121"/>
        <v>0.0879</v>
      </c>
      <c r="AE137" s="101">
        <f t="shared" si="122"/>
        <v>6987.66961253725</v>
      </c>
      <c r="AF137" s="102">
        <f>VLOOKUP($E137,武器奇术!$A:$R,3,FALSE)*(1+IF(VLOOKUP($E137,武器奇术!$A:$R,15,FALSE)="武器",$E$15,0))</f>
        <v>0</v>
      </c>
      <c r="AG137" s="92">
        <f t="shared" si="123"/>
        <v>0</v>
      </c>
      <c r="AH137" s="92">
        <f>VLOOKUP($E137,武器奇术!$A:$R,3,FALSE)*(1+IF(VLOOKUP($E137,武器奇术!$A:$R,15,FALSE)="武器",$E$15,0))</f>
        <v>0</v>
      </c>
      <c r="AI137" s="93">
        <f>IF(($D$5+VLOOKUP($E137,武器奇术!$A:$R,13,FALSE)+IF($I$3="√",10,0)-VLOOKUP($F$7,目标属性!$A:$R,5,FALSE))&gt;0,($D$5+VLOOKUP($E137,武器奇术!$A:$R,13,FALSE)+IF($I$3="√",10,0)-VLOOKUP($F$7,目标属性!$A:$R,5,FALSE))/200,($D$5+VLOOKUP($E137,武器奇术!$A:$R,13,FALSE)+IF($I$3="√",10,0)-VLOOKUP($F$7,目标属性!$A:$R,5,FALSE))/100)</f>
        <v>0.3925</v>
      </c>
      <c r="AJ137" s="100">
        <f>$E$5+IF(VLOOKUP($E137,武器奇术!$A:$R,18,FALSE)="鼠鼠",0.24,0)</f>
        <v>0</v>
      </c>
      <c r="AK137" s="91">
        <v>1</v>
      </c>
      <c r="AL137" s="92">
        <f t="shared" si="109"/>
        <v>0</v>
      </c>
      <c r="AM137" s="93">
        <f>(1-IF(VLOOKUP($E137,武器奇术!$A:$R,16,FALSE)="陌刀",1,$N137))*(1-$M137)</f>
        <v>0</v>
      </c>
      <c r="AN137" s="92">
        <f>AG137*(1+AI137)*(1+AJ137)*AK137*(1+$E$16+VLOOKUP($E137,武器奇术!$A:$R,8,FALSE))</f>
        <v>0</v>
      </c>
      <c r="AO137" s="93">
        <f t="shared" si="94"/>
        <v>0.8135</v>
      </c>
      <c r="AP137" s="92">
        <f>AH137*(1+AI137)*(1+AJ137)*AK137*(1+$E$17+VLOOKUP($E137,武器奇术!$A:$R,10,FALSE))</f>
        <v>0</v>
      </c>
      <c r="AQ137" s="93">
        <f t="shared" si="95"/>
        <v>0.0986</v>
      </c>
      <c r="AR137" s="92">
        <f t="shared" si="124"/>
        <v>0</v>
      </c>
      <c r="AS137" s="93">
        <f t="shared" si="125"/>
        <v>0.0879</v>
      </c>
      <c r="AT137" s="101">
        <f t="shared" si="126"/>
        <v>0</v>
      </c>
      <c r="AU137" s="99">
        <f>IF(VLOOKUP($E137,武器奇术!$A:$R,18,FALSE)="极乐",0,$B$7*IF($G$5="撼天",1.05,1)+IF(AND(VLOOKUP($E137,武器奇术!$A:$R,15,FALSE)="武器",VLOOKUP($E137,武器奇术!$A:$R,17,FALSE)="鸣金"),$E$3*(1+$E$15),0))</f>
        <v>0</v>
      </c>
      <c r="AV137" s="91">
        <f t="shared" si="127"/>
        <v>0</v>
      </c>
      <c r="AW137" s="91">
        <f>IF(VLOOKUP($E137,武器奇术!$A:$R,18,FALSE)="极乐",0,MAX($C$7*IF($G$5="撼天",1.05,1)+IF(AND(VLOOKUP($E137,武器奇术!$A:$R,15,FALSE)="武器",VLOOKUP($E137,武器奇术!$A:$R,17,FALSE)="鸣金"),$E$3*(1+$E$15),0),AU137))</f>
        <v>0</v>
      </c>
      <c r="AX137" s="93">
        <f>IF(($D$7+IF(VLOOKUP($E137,武器奇术!$A:$R,17,FALSE)="鸣金",$D$15,0)-VLOOKUP($F$7,目标属性!$A:$R,6,FALSE))&gt;0,($D$7+IF(VLOOKUP($E137,武器奇术!$A:$R,17,FALSE)="鸣金",$D$15,0)-VLOOKUP($F$7,目标属性!$A:$R,6,FALSE))/200,($D$7+IF(VLOOKUP($E137,武器奇术!$A:$R,17,FALSE)="鸣金",$D$15,0)-VLOOKUP($F$7,目标属性!$A:$R,6,FALSE))/100)</f>
        <v>-0.24</v>
      </c>
      <c r="AY137" s="100">
        <f t="shared" si="89"/>
        <v>0</v>
      </c>
      <c r="AZ137" s="91">
        <v>1</v>
      </c>
      <c r="BA137" s="92">
        <f>AU137*IF(VLOOKUP($E137,武器奇术!$A:$R,17,FALSE)="鸣金",VLOOKUP($E137,武器奇术!$A:$R,4,FALSE),VLOOKUP($E137,武器奇术!$A:$R,2,FALSE))*(1+AX137)*(1+AY137)*AZ137</f>
        <v>0</v>
      </c>
      <c r="BB137" s="93">
        <f>(1-IF(VLOOKUP($E137,武器奇术!$A:$R,16,FALSE)="陌刀",1,$N137))*(1-$M137)</f>
        <v>0</v>
      </c>
      <c r="BC137" s="92">
        <f>AV137*IF(VLOOKUP($E137,武器奇术!$A:$R,17,FALSE)="鸣金",VLOOKUP($E137,武器奇术!$A:$R,4,FALSE),VLOOKUP($E137,武器奇术!$A:$R,2,FALSE))*(1+AX137)*(1+AY137)*AZ137*(1+$E$16+VLOOKUP($E137,武器奇术!$A:$R,8,FALSE))</f>
        <v>0</v>
      </c>
      <c r="BD137" s="93">
        <f t="shared" si="96"/>
        <v>0.8135</v>
      </c>
      <c r="BE137" s="92">
        <f>AW137*IF(VLOOKUP($E137,武器奇术!$A:$R,17,FALSE)="鸣金",VLOOKUP($E137,武器奇术!$A:$R,4,FALSE),VLOOKUP($E137,武器奇术!$A:$R,2,FALSE))*(1+AX137)*(1+AY137)*AZ137*(1+$E$17+VLOOKUP($E137,武器奇术!$A:$R,10,FALSE))</f>
        <v>0</v>
      </c>
      <c r="BF137" s="93">
        <f t="shared" si="97"/>
        <v>0.0986</v>
      </c>
      <c r="BG137" s="92">
        <f>AV137*IF(VLOOKUP($E137,武器奇术!$A:$R,17,FALSE)="鸣金",VLOOKUP($E137,武器奇术!$A:$R,4,FALSE),VLOOKUP($E137,武器奇术!$A:$R,2,FALSE))*(1+AX137)*(1+AY137)*AZ137</f>
        <v>0</v>
      </c>
      <c r="BH137" s="93">
        <f t="shared" si="128"/>
        <v>0.0879</v>
      </c>
      <c r="BI137" s="101">
        <f t="shared" si="129"/>
        <v>0</v>
      </c>
      <c r="BJ137" s="99">
        <f>IF(VLOOKUP($E137,武器奇术!$A:$R,18,FALSE)="极乐",0,$B$9*IF($G$5="撼天",1.05,1)+IF(AND(VLOOKUP($E137,武器奇术!$A:$R,15,FALSE)="武器",VLOOKUP($E137,武器奇术!$A:$R,17,FALSE)="裂石"),$E$3*(1+$E$15),0))</f>
        <v>0</v>
      </c>
      <c r="BK137" s="91">
        <f t="shared" si="130"/>
        <v>0</v>
      </c>
      <c r="BL137" s="91">
        <f>IF(VLOOKUP($E137,武器奇术!$A:$R,18,FALSE)="极乐",0,MAX($C$9*IF($G$5="撼天",1.05,1)+IF(AND(VLOOKUP($E137,武器奇术!$A:$R,15,FALSE)="武器",VLOOKUP($E137,武器奇术!$A:$R,17,FALSE)="裂石"),$E$3*(1+$E$15),0),BJ137))</f>
        <v>0</v>
      </c>
      <c r="BM137" s="93">
        <f>IF(($D$9+IF(VLOOKUP($E137,武器奇术!$A:$R,17,FALSE)="裂石",$D$15,0)-VLOOKUP($F$7,目标属性!$A:$R,6,FALSE))&gt;0,($D$9+IF(VLOOKUP($E137,武器奇术!$A:$R,17,FALSE)="裂石",$D$15,0)-VLOOKUP($F$7,目标属性!$A:$R,6,FALSE))/200,($D$9+IF(VLOOKUP($E137,武器奇术!$A:$R,17,FALSE)="裂石",$D$15,0)-VLOOKUP($F$7,目标属性!$A:$R,6,FALSE))/100)</f>
        <v>-0.24</v>
      </c>
      <c r="BN137" s="100">
        <f t="shared" si="90"/>
        <v>0</v>
      </c>
      <c r="BO137" s="91">
        <v>1</v>
      </c>
      <c r="BP137" s="92">
        <f>BJ137*IF(VLOOKUP($E137,武器奇术!$A:$R,17,FALSE)="裂石",VLOOKUP($E137,武器奇术!$A:$R,4,FALSE),VLOOKUP($E137,武器奇术!$A:$R,2,FALSE))*(1+BM137)*(1+BN137)*BO137</f>
        <v>0</v>
      </c>
      <c r="BQ137" s="93">
        <f>(1-IF(VLOOKUP($E137,武器奇术!$A:$R,16,FALSE)="陌刀",1,$N137))*(1-$M137)</f>
        <v>0</v>
      </c>
      <c r="BR137" s="92">
        <f>BK137*IF(VLOOKUP($E137,武器奇术!$A:$R,17,FALSE)="裂石",VLOOKUP($E137,武器奇术!$A:$R,4,FALSE),VLOOKUP($E137,武器奇术!$A:$R,2,FALSE))*(1+BM137)*(1+BN137)*BO137*(1+$E$16+VLOOKUP($E137,武器奇术!$A:$R,8,FALSE))</f>
        <v>0</v>
      </c>
      <c r="BS137" s="93">
        <f t="shared" si="98"/>
        <v>0.8135</v>
      </c>
      <c r="BT137" s="92">
        <f>BL137*IF(VLOOKUP($E137,武器奇术!$A:$R,17,FALSE)="裂石",VLOOKUP($E137,武器奇术!$A:$R,4,FALSE),VLOOKUP($E137,武器奇术!$A:$R,2,FALSE))*(1+BM137)*(1+BN137)*BO137*(1+$E$17+VLOOKUP($E137,武器奇术!$A:$R,10,FALSE))</f>
        <v>0</v>
      </c>
      <c r="BU137" s="93">
        <f t="shared" si="99"/>
        <v>0.0986</v>
      </c>
      <c r="BV137" s="92">
        <f>BK137*IF(VLOOKUP($E137,武器奇术!$A:$R,17,FALSE)="裂石",VLOOKUP($E137,武器奇术!$A:$R,4,FALSE),VLOOKUP($E137,武器奇术!$A:$R,2,FALSE))*(1+BM137)*(1+BN137)*BO137</f>
        <v>0</v>
      </c>
      <c r="BW137" s="93">
        <f t="shared" si="131"/>
        <v>0.0879</v>
      </c>
      <c r="BX137" s="101">
        <f t="shared" si="132"/>
        <v>0</v>
      </c>
      <c r="BY137" s="99">
        <f>IF(VLOOKUP($E137,武器奇术!$A:$R,18,FALSE)="极乐",0,$B$11*IF($G$5="撼天",1.05,1)+IF(AND(VLOOKUP($E137,武器奇术!$A:$R,15,FALSE)="武器",VLOOKUP($E137,武器奇术!$A:$R,17,FALSE)="牵丝"),$E$3*(1+$E$15),0))</f>
        <v>0</v>
      </c>
      <c r="BZ137" s="91">
        <f t="shared" si="133"/>
        <v>0</v>
      </c>
      <c r="CA137" s="91">
        <f>IF(VLOOKUP($E137,武器奇术!$A:$R,18,FALSE)="极乐",0,MAX($C$11*IF($G$5="撼天",1.05,1)+IF(AND(VLOOKUP($E137,武器奇术!$A:$R,15,FALSE)="武器",VLOOKUP($E137,武器奇术!$A:$R,17,FALSE)="牵丝"),$E$3*(1+$E$15),0),BY137))</f>
        <v>0</v>
      </c>
      <c r="CB137" s="93">
        <f>IF(($D$11+IF(VLOOKUP($E137,武器奇术!$A:$R,17,FALSE)="牵丝",$D$15,0)-VLOOKUP($F$7,目标属性!$A:$R,6,FALSE))&gt;0,($D$11+IF(VLOOKUP($E137,武器奇术!$A:$R,17,FALSE)="牵丝",$D$15,0)-VLOOKUP($F$7,目标属性!$A:$R,6,FALSE))/200,($D$11+IF(VLOOKUP($E137,武器奇术!$A:$R,17,FALSE)="牵丝",$D$15,0)-VLOOKUP($F$7,目标属性!$A:$R,6,FALSE))/100)</f>
        <v>-0.24</v>
      </c>
      <c r="CC137" s="100">
        <f t="shared" si="91"/>
        <v>0</v>
      </c>
      <c r="CD137" s="91">
        <v>1</v>
      </c>
      <c r="CE137" s="92">
        <f>BY137*IF(VLOOKUP($E137,武器奇术!$A:$R,17,FALSE)="牵丝",VLOOKUP($E137,武器奇术!$A:$R,4,FALSE),VLOOKUP($E137,武器奇术!$A:$R,2,FALSE))*(1+CB137)*(1+CC137)*CD137</f>
        <v>0</v>
      </c>
      <c r="CF137" s="93">
        <f>(1-IF(VLOOKUP($E137,武器奇术!$A:$R,16,FALSE)="陌刀",1,$N137))*(1-$M137)</f>
        <v>0</v>
      </c>
      <c r="CG137" s="92">
        <f>BZ137*IF(VLOOKUP($E137,武器奇术!$A:$R,17,FALSE)="牵丝",VLOOKUP($E137,武器奇术!$A:$R,4,FALSE),VLOOKUP($E137,武器奇术!$A:$R,2,FALSE))*(1+CB137)*(1+CC137)*CD137*(1+$E$16+VLOOKUP($E137,武器奇术!$A:$R,8,FALSE))</f>
        <v>0</v>
      </c>
      <c r="CH137" s="93">
        <f t="shared" si="100"/>
        <v>0.8135</v>
      </c>
      <c r="CI137" s="92">
        <f>CA137*IF(VLOOKUP($E137,武器奇术!$A:$R,17,FALSE)="牵丝",VLOOKUP($E137,武器奇术!$A:$R,4,FALSE),VLOOKUP($E137,武器奇术!$A:$R,2,FALSE))*(1+CB137)*(1+CC137)*CD137*(1+$E$17+VLOOKUP($E137,武器奇术!$A:$R,10,FALSE))</f>
        <v>0</v>
      </c>
      <c r="CJ137" s="93">
        <f t="shared" si="101"/>
        <v>0.0986</v>
      </c>
      <c r="CK137" s="92">
        <f>BZ137*IF(VLOOKUP($E137,武器奇术!$A:$R,17,FALSE)="牵丝",VLOOKUP($E137,武器奇术!$A:$R,4,FALSE),VLOOKUP($E137,武器奇术!$A:$R,2,FALSE))*(1+CB137)*(1+CC137)*CD137</f>
        <v>0</v>
      </c>
      <c r="CL137" s="93">
        <f t="shared" si="134"/>
        <v>0.0879</v>
      </c>
      <c r="CM137" s="101">
        <f t="shared" si="135"/>
        <v>0</v>
      </c>
      <c r="CN137" s="99">
        <f>IF(VLOOKUP($E137,武器奇术!$A:$R,18,FALSE)="极乐",0,$B$13*IF($G$5="撼天",1.05,1)+IF(AND(VLOOKUP($E137,武器奇术!$A:$R,15,FALSE)="武器",VLOOKUP($E137,武器奇术!$A:$R,17,FALSE)="破竹"),$E$3*(1+$E$15),0))</f>
        <v>490.8</v>
      </c>
      <c r="CO137" s="91">
        <f t="shared" si="136"/>
        <v>856.3</v>
      </c>
      <c r="CP137" s="91">
        <f>IF(VLOOKUP($E137,武器奇术!$A:$R,18,FALSE)="极乐",0,MAX($C$13*IF($G$5="撼天",1.05,1)+IF(AND(VLOOKUP($E137,武器奇术!$A:$R,15,FALSE)="武器",VLOOKUP($E137,武器奇术!$A:$R,17,FALSE)="破竹"),$E$3*(1+$E$15),0),CN137))</f>
        <v>1221.8</v>
      </c>
      <c r="CQ137" s="93">
        <f>IF(($D$13+IF(VLOOKUP($E137,武器奇术!$A:$R,17,FALSE)="破竹",$D$15,0)-VLOOKUP($F$7,目标属性!$A:$R,6,FALSE)+IF(VLOOKUP($E137,武器奇术!$A:$V,22,FALSE)=1,4,0)+IF(VLOOKUP($E137,武器奇术!$A:$T,20,FALSE)=1,10,0))&gt;0,($D$13+IF(VLOOKUP($E137,武器奇术!$A:$R,17,FALSE)="破竹",$D$15,0)-VLOOKUP($F$7,目标属性!$A:$R,6,FALSE)+IF(VLOOKUP($E137,武器奇术!$A:$V,22,FALSE)=1,4,0)+IF(VLOOKUP($E137,武器奇术!$A:$T,20,FALSE)=1,10,0))/200,($D$13+IF(VLOOKUP($E137,武器奇术!$A:$R,17,FALSE)="破竹",$D$15,0)-VLOOKUP($F$7,目标属性!$A:$R,6,FALSE)+IF(VLOOKUP($E137,武器奇术!$A:$V,22,FALSE)=1,4,0)+IF(VLOOKUP($E137,武器奇术!$A:$T,20,FALSE)=1,10,0))/100)</f>
        <v>0.028</v>
      </c>
      <c r="CR137" s="100">
        <f t="shared" si="140"/>
        <v>0.148</v>
      </c>
      <c r="CS137" s="91">
        <v>1</v>
      </c>
      <c r="CT137" s="92">
        <f>CN137*IF(VLOOKUP($E137,武器奇术!$A:$R,17,FALSE)="破竹",VLOOKUP($E137,武器奇术!$A:$R,4,FALSE),VLOOKUP($E137,武器奇术!$A:$R,2,FALSE))*(1+CQ137)*(1+CR137)*CS137</f>
        <v>579.2146752</v>
      </c>
      <c r="CU137" s="93">
        <f>(1-IF(VLOOKUP($E137,武器奇术!$A:$R,16,FALSE)="陌刀",1,$N137))*(1-$M137)</f>
        <v>0</v>
      </c>
      <c r="CV137" s="92">
        <f>CO137*IF(VLOOKUP($E137,武器奇术!$A:$R,17,FALSE)="破竹",VLOOKUP($E137,武器奇术!$A:$R,4,FALSE),VLOOKUP($E137,武器奇术!$A:$R,2,FALSE))*(1+CQ137)*(1+CR137)*CS137*(1+$E$16+VLOOKUP($E137,武器奇术!$A:$R,8,FALSE))</f>
        <v>1913.9955398368</v>
      </c>
      <c r="CW137" s="93">
        <f t="shared" si="102"/>
        <v>0.8135</v>
      </c>
      <c r="CX137" s="92">
        <f>CP137*IF(VLOOKUP($E137,武器奇术!$A:$R,17,FALSE)="破竹",VLOOKUP($E137,武器奇术!$A:$R,4,FALSE),VLOOKUP($E137,武器奇术!$A:$R,2,FALSE))*(1+CQ137)*(1+CR137)*CS137*(1+$E$17+VLOOKUP($E137,武器奇术!$A:$R,10,FALSE))</f>
        <v>1946.56491792</v>
      </c>
      <c r="CY137" s="93">
        <f t="shared" si="103"/>
        <v>0.0986</v>
      </c>
      <c r="CZ137" s="92">
        <f>CO137*IF(VLOOKUP($E137,武器奇术!$A:$R,17,FALSE)="破竹",VLOOKUP($E137,武器奇术!$A:$R,4,FALSE),VLOOKUP($E137,武器奇术!$A:$R,2,FALSE))*(1+CQ137)*(1+CR137)*CS137</f>
        <v>1010.5573072</v>
      </c>
      <c r="DA137" s="93">
        <f t="shared" si="137"/>
        <v>0.0879</v>
      </c>
      <c r="DB137" s="101">
        <f t="shared" si="138"/>
        <v>1837.79465986703</v>
      </c>
      <c r="DC137" s="99">
        <f>IF(VLOOKUP($E137,武器奇术!$A:$R,18,FALSE)="极乐",0,$B$15)</f>
        <v>66</v>
      </c>
      <c r="DD137" s="91">
        <f t="shared" si="111"/>
        <v>95.9</v>
      </c>
      <c r="DE137" s="91">
        <f>IF(VLOOKUP($E137,武器奇术!$A:$R,18,FALSE)="极乐",0,$C$15)</f>
        <v>125.8</v>
      </c>
      <c r="DF137" s="93">
        <f>IF((IF(VLOOKUP($E137,武器奇术!$A:$R,17,FALSE)="鸣金",$D$7,0)+IF(VLOOKUP($E137,武器奇术!$A:$R,17,FALSE)="裂石",$D$9,0)+IF(VLOOKUP($E137,武器奇术!$A:$R,17,FALSE)="牵丝",$D$11,0)+IF(VLOOKUP($E137,武器奇术!$A:$R,17,FALSE)="破竹",$D$13,0)+$D$15-VLOOKUP($F$7,目标属性!$A:$R,6,FALSE)+IF(VLOOKUP($E137,武器奇术!$A:$V,22,FALSE)=1,4,0)+IF(VLOOKUP($E137,武器奇术!$A:$T,20,FALSE)=1,10,0))&gt;0,(IF(VLOOKUP($E137,武器奇术!$A:$R,17,FALSE)="鸣金",$D$7,0)+IF(VLOOKUP($E137,武器奇术!$A:$R,17,FALSE)="裂石",$D$9,0)+IF(VLOOKUP($E137,武器奇术!$A:$R,17,FALSE)="牵丝",$D$11,0)+IF(VLOOKUP($E137,武器奇术!$A:$R,17,FALSE)="破竹",$D$13,0)+$D$15-VLOOKUP($F$7,目标属性!$A:$R,6,FALSE)+IF(VLOOKUP($E137,武器奇术!$A:$V,22,FALSE)=1,4,0)+IF(VLOOKUP($E137,武器奇术!$A:$T,20,FALSE)=1,10,0))/200,(IF(VLOOKUP($E137,武器奇术!$A:$R,17,FALSE)="鸣金",$D$7,0)+IF(VLOOKUP($E137,武器奇术!$A:$R,17,FALSE)="裂石",$D$9,0)+IF(VLOOKUP($E137,武器奇术!$A:$R,17,FALSE)="牵丝",$D$11,0)+IF(VLOOKUP($E137,武器奇术!$A:$R,17,FALSE)="破竹",$D$13,0)+$D$15-VLOOKUP($F$7,目标属性!$A:$R,6,FALSE)+IF(VLOOKUP($E137,武器奇术!$A:$V,22,FALSE)=1,4,0)+IF(VLOOKUP($E137,武器奇术!$A:$T,20,FALSE)=1,10,0))/100)</f>
        <v>0.028</v>
      </c>
      <c r="DG137" s="100">
        <f t="shared" si="139"/>
        <v>0.148</v>
      </c>
      <c r="DH137" s="91">
        <v>1</v>
      </c>
      <c r="DI137" s="92">
        <f>DC137*IF(VLOOKUP($E137,武器奇术!$A:$R,17,FALSE)="破竹",VLOOKUP($E137,武器奇术!$A:$R,4,FALSE),VLOOKUP($E137,武器奇术!$A:$R,2,FALSE))*(1+DF137)*(1+DG137)*DH137</f>
        <v>77.889504</v>
      </c>
      <c r="DJ137" s="93">
        <f>(1-IF(VLOOKUP($E137,武器奇术!$A:$R,16,FALSE)="陌刀",1,$N137))*(1-$M137)</f>
        <v>0</v>
      </c>
      <c r="DK137" s="92">
        <f>DD137*IF(VLOOKUP($E137,武器奇术!$A:$R,17,FALSE)="破竹",VLOOKUP($E137,武器奇术!$A:$R,4,FALSE),VLOOKUP($E137,武器奇术!$A:$R,2,FALSE))*(1+DF137)*(1+DG137)*DH137*(1+$E$16+VLOOKUP($E137,武器奇术!$A:$R,8,FALSE))</f>
        <v>214.3549833824</v>
      </c>
      <c r="DL137" s="93">
        <f t="shared" si="104"/>
        <v>0.8135</v>
      </c>
      <c r="DM137" s="92">
        <f>DE137*IF(VLOOKUP($E137,武器奇术!$A:$R,17,FALSE)="破竹",VLOOKUP($E137,武器奇术!$A:$R,4,FALSE),VLOOKUP($E137,武器奇术!$A:$R,2,FALSE))*(1+DF137)*(1+DG137)*DH137*(1+$E$17+VLOOKUP($E137,武器奇术!$A:$R,10,FALSE))</f>
        <v>200.42385552</v>
      </c>
      <c r="DN137" s="93">
        <f t="shared" si="105"/>
        <v>0.0986</v>
      </c>
      <c r="DO137" s="92">
        <f>DD137*IF(VLOOKUP($E137,武器奇术!$A:$R,17,FALSE)="破竹",VLOOKUP($E137,武器奇术!$A:$R,4,FALSE),VLOOKUP($E137,武器奇术!$A:$R,2,FALSE))*(1+DF137)*(1+DG137)*DH137</f>
        <v>113.1758096</v>
      </c>
      <c r="DP137" s="93">
        <f t="shared" si="106"/>
        <v>0.0879</v>
      </c>
      <c r="DQ137" s="101">
        <f t="shared" si="107"/>
        <v>204.087724799694</v>
      </c>
    </row>
    <row r="138" spans="1:121">
      <c r="E138" s="105" t="s">
        <v>223</v>
      </c>
      <c r="F138" s="106">
        <f t="shared" si="141"/>
        <v>1</v>
      </c>
      <c r="G138" s="107"/>
      <c r="H138" s="92">
        <f>IF(VLOOKUP($E138,武器奇术!$A:$R,18,FALSE)="天工",AE138,(AE138+AT138+BI138+BX138+CM138+DB138+DQ138))*(1+J138)*F138*K138*(1+G138)</f>
        <v>12668.4614520772</v>
      </c>
      <c r="I138" s="93">
        <f t="shared" si="117"/>
        <v>0.00162514467609403</v>
      </c>
      <c r="J138" s="93">
        <f>$F$3+VLOOKUP($E138,武器奇术!$A:$R,12,FALSE)+VLOOKUP($E138,武器奇术!$A:$R,14,FALSE)*$G$3+$P138</f>
        <v>0.403</v>
      </c>
      <c r="K138" s="94">
        <f>VLOOKUP($E138,武器奇术!$A:$R,11,FALSE)</f>
        <v>1</v>
      </c>
      <c r="L138" s="109">
        <f>IF(VLOOKUP($E138,武器奇术!$A:$R,15,FALSE)="天工",0%,IF($C$17+VLOOKUP($E138,武器奇术!$A:$R,7,FALSE)&gt;80%,80%,$C$17+VLOOKUP($E138,武器奇术!$A:$R,7,FALSE))+IF($C$19&gt;20%,20%,$C$19))</f>
        <v>0.8135</v>
      </c>
      <c r="M138" s="110">
        <f>IF(VLOOKUP($E138,武器奇术!$A:$R,15,FALSE)="天工",0%,IF($C$18+VLOOKUP($E138,武器奇术!$A:$R,9,FALSE)&gt;40%,40%,$C$18+VLOOKUP($E138,武器奇术!$A:$R,9,FALSE))+IF($C$20&gt;10%,10%,$C$20))</f>
        <v>0.0986</v>
      </c>
      <c r="N138" s="111">
        <f>IF(VLOOKUP($E138,武器奇术!$A:$R,15,FALSE)="天工",100%,MIN($C$16,1))</f>
        <v>1</v>
      </c>
      <c r="O138" s="112" t="str">
        <f>VLOOKUP($E138,武器奇术!$A:$R,16,FALSE)</f>
        <v>N/A</v>
      </c>
      <c r="P138" s="113">
        <f t="shared" si="108"/>
        <v>0</v>
      </c>
      <c r="Q138" s="99">
        <f>$B$5*(1+VLOOKUP($E138,武器奇术!$A:$R,5,FALSE)+IF($G$5="飞隼",0.1,0)+IF($G$5="撼天",0.05,0))-$F$9*IF(VLOOKUP($E138,武器奇术!$A:$S,19,FALSE)=1,0.9,1)+IF($I$5="√",160,0)</f>
        <v>2848.3</v>
      </c>
      <c r="R138" s="91">
        <f t="shared" si="118"/>
        <v>2848.3</v>
      </c>
      <c r="S138" s="91">
        <f>MAX($C$5,$B$5)*(1+VLOOKUP($E138,武器奇术!$A:$R,5,FALSE)+IF($G$5="飞隼",0.1,0)+IF($G$5="撼天",0.05,0))-$F$9*IF(VLOOKUP($E138,武器奇术!$A:$S,19,FALSE)=1,0.9,1)+IF($I$5="√",320,0)</f>
        <v>2848.3</v>
      </c>
      <c r="T138" s="93">
        <f>IF(($D$5+VLOOKUP($E138,武器奇术!$A:$R,13,FALSE)+IF($I$3="√",10,0)-VLOOKUP($F$7,目标属性!$A:$R,5,FALSE))&gt;0,($D$5+VLOOKUP($E138,武器奇术!$A:$R,13,FALSE)+IF($I$3="√",10,0)-VLOOKUP($F$7,目标属性!$A:$R,5,FALSE))/200,($D$5+VLOOKUP($E138,武器奇术!$A:$R,13,FALSE)+IF($I$3="√",10,0)-VLOOKUP($F$7,目标属性!$A:$R,5,FALSE))/100)</f>
        <v>0.3925</v>
      </c>
      <c r="U138" s="100">
        <f>$E$5+IF(VLOOKUP($E138,武器奇术!$A:$R,18,FALSE)="鼠鼠",0.24,0)</f>
        <v>0</v>
      </c>
      <c r="V138" s="91">
        <v>1</v>
      </c>
      <c r="W138" s="92">
        <f>Q138*VLOOKUP($E138,武器奇术!$A:$R,2,FALSE)*(1+T138)*(1+U138)*V138</f>
        <v>3966.25775</v>
      </c>
      <c r="X138" s="93">
        <f>(1-IF(VLOOKUP($E138,武器奇术!$A:$R,16,FALSE)="陌刀",1,$N138))*(1-$M138)</f>
        <v>0</v>
      </c>
      <c r="Y138" s="92">
        <f>R138*VLOOKUP($E138,武器奇术!$A:$R,2,FALSE)*(1+T138)*(1+U138)*V138*(1+$E$16+VLOOKUP($E138,武器奇术!$A:$R,8,FALSE))</f>
        <v>7512.0921785</v>
      </c>
      <c r="Z138" s="93">
        <f t="shared" si="119"/>
        <v>0.8135</v>
      </c>
      <c r="AA138" s="92">
        <f>S138*VLOOKUP($E138,武器奇术!$A:$R,2,FALSE)*(1+T138)*(1+U138)*V138*(1+$E$17+VLOOKUP($E138,武器奇术!$A:$R,10,FALSE))</f>
        <v>5354.4479625</v>
      </c>
      <c r="AB138" s="93">
        <f t="shared" si="120"/>
        <v>0.0986</v>
      </c>
      <c r="AC138" s="92">
        <f>R138*VLOOKUP($E138,武器奇术!$A:$R,2,FALSE)*(1+T138)*(1+U138)*V138</f>
        <v>3966.25775</v>
      </c>
      <c r="AD138" s="93">
        <f t="shared" si="121"/>
        <v>0.0879</v>
      </c>
      <c r="AE138" s="101">
        <f t="shared" si="122"/>
        <v>6987.66961253725</v>
      </c>
      <c r="AF138" s="102">
        <f>VLOOKUP($E138,武器奇术!$A:$R,3,FALSE)*(1+IF(VLOOKUP($E138,武器奇术!$A:$R,15,FALSE)="武器",$E$15,0))</f>
        <v>0</v>
      </c>
      <c r="AG138" s="92">
        <f t="shared" si="123"/>
        <v>0</v>
      </c>
      <c r="AH138" s="92">
        <f>VLOOKUP($E138,武器奇术!$A:$R,3,FALSE)*(1+IF(VLOOKUP($E138,武器奇术!$A:$R,15,FALSE)="武器",$E$15,0))</f>
        <v>0</v>
      </c>
      <c r="AI138" s="93">
        <f>IF(($D$5+VLOOKUP($E138,武器奇术!$A:$R,13,FALSE)+IF($I$3="√",10,0)-VLOOKUP($F$7,目标属性!$A:$R,5,FALSE))&gt;0,($D$5+VLOOKUP($E138,武器奇术!$A:$R,13,FALSE)+IF($I$3="√",10,0)-VLOOKUP($F$7,目标属性!$A:$R,5,FALSE))/200,($D$5+VLOOKUP($E138,武器奇术!$A:$R,13,FALSE)+IF($I$3="√",10,0)-VLOOKUP($F$7,目标属性!$A:$R,5,FALSE))/100)</f>
        <v>0.3925</v>
      </c>
      <c r="AJ138" s="100">
        <f>$E$5+IF(VLOOKUP($E138,武器奇术!$A:$R,18,FALSE)="鼠鼠",0.24,0)</f>
        <v>0</v>
      </c>
      <c r="AK138" s="91">
        <v>1</v>
      </c>
      <c r="AL138" s="92">
        <f t="shared" si="109"/>
        <v>0</v>
      </c>
      <c r="AM138" s="93">
        <f>(1-IF(VLOOKUP($E138,武器奇术!$A:$R,16,FALSE)="陌刀",1,$N138))*(1-$M138)</f>
        <v>0</v>
      </c>
      <c r="AN138" s="92">
        <f>AG138*(1+AI138)*(1+AJ138)*AK138*(1+$E$16+VLOOKUP($E138,武器奇术!$A:$R,8,FALSE))</f>
        <v>0</v>
      </c>
      <c r="AO138" s="93">
        <f t="shared" si="94"/>
        <v>0.8135</v>
      </c>
      <c r="AP138" s="92">
        <f>AH138*(1+AI138)*(1+AJ138)*AK138*(1+$E$17+VLOOKUP($E138,武器奇术!$A:$R,10,FALSE))</f>
        <v>0</v>
      </c>
      <c r="AQ138" s="93">
        <f t="shared" si="95"/>
        <v>0.0986</v>
      </c>
      <c r="AR138" s="92">
        <f t="shared" si="124"/>
        <v>0</v>
      </c>
      <c r="AS138" s="93">
        <f t="shared" si="125"/>
        <v>0.0879</v>
      </c>
      <c r="AT138" s="101">
        <f t="shared" si="126"/>
        <v>0</v>
      </c>
      <c r="AU138" s="99">
        <f>IF(VLOOKUP($E138,武器奇术!$A:$R,18,FALSE)="极乐",0,$B$7*IF($G$5="撼天",1.05,1)+IF(AND(VLOOKUP($E138,武器奇术!$A:$R,15,FALSE)="武器",VLOOKUP($E138,武器奇术!$A:$R,17,FALSE)="鸣金"),$E$3*(1+$E$15),0))</f>
        <v>0</v>
      </c>
      <c r="AV138" s="91">
        <f t="shared" si="127"/>
        <v>0</v>
      </c>
      <c r="AW138" s="91">
        <f>IF(VLOOKUP($E138,武器奇术!$A:$R,18,FALSE)="极乐",0,MAX($C$7*IF($G$5="撼天",1.05,1)+IF(AND(VLOOKUP($E138,武器奇术!$A:$R,15,FALSE)="武器",VLOOKUP($E138,武器奇术!$A:$R,17,FALSE)="鸣金"),$E$3*(1+$E$15),0),AU138))</f>
        <v>0</v>
      </c>
      <c r="AX138" s="93">
        <f>IF(($D$7+IF(VLOOKUP($E138,武器奇术!$A:$R,17,FALSE)="鸣金",$D$15,0)-VLOOKUP($F$7,目标属性!$A:$R,6,FALSE))&gt;0,($D$7+IF(VLOOKUP($E138,武器奇术!$A:$R,17,FALSE)="鸣金",$D$15,0)-VLOOKUP($F$7,目标属性!$A:$R,6,FALSE))/200,($D$7+IF(VLOOKUP($E138,武器奇术!$A:$R,17,FALSE)="鸣金",$D$15,0)-VLOOKUP($F$7,目标属性!$A:$R,6,FALSE))/100)</f>
        <v>-0.24</v>
      </c>
      <c r="AY138" s="100">
        <f t="shared" si="89"/>
        <v>0</v>
      </c>
      <c r="AZ138" s="91">
        <v>1</v>
      </c>
      <c r="BA138" s="92">
        <f>AU138*IF(VLOOKUP($E138,武器奇术!$A:$R,17,FALSE)="鸣金",VLOOKUP($E138,武器奇术!$A:$R,4,FALSE),VLOOKUP($E138,武器奇术!$A:$R,2,FALSE))*(1+AX138)*(1+AY138)*AZ138</f>
        <v>0</v>
      </c>
      <c r="BB138" s="93">
        <f>(1-IF(VLOOKUP($E138,武器奇术!$A:$R,16,FALSE)="陌刀",1,$N138))*(1-$M138)</f>
        <v>0</v>
      </c>
      <c r="BC138" s="92">
        <f>AV138*IF(VLOOKUP($E138,武器奇术!$A:$R,17,FALSE)="鸣金",VLOOKUP($E138,武器奇术!$A:$R,4,FALSE),VLOOKUP($E138,武器奇术!$A:$R,2,FALSE))*(1+AX138)*(1+AY138)*AZ138*(1+$E$16+VLOOKUP($E138,武器奇术!$A:$R,8,FALSE))</f>
        <v>0</v>
      </c>
      <c r="BD138" s="93">
        <f t="shared" si="96"/>
        <v>0.8135</v>
      </c>
      <c r="BE138" s="92">
        <f>AW138*IF(VLOOKUP($E138,武器奇术!$A:$R,17,FALSE)="鸣金",VLOOKUP($E138,武器奇术!$A:$R,4,FALSE),VLOOKUP($E138,武器奇术!$A:$R,2,FALSE))*(1+AX138)*(1+AY138)*AZ138*(1+$E$17+VLOOKUP($E138,武器奇术!$A:$R,10,FALSE))</f>
        <v>0</v>
      </c>
      <c r="BF138" s="93">
        <f t="shared" si="97"/>
        <v>0.0986</v>
      </c>
      <c r="BG138" s="92">
        <f>AV138*IF(VLOOKUP($E138,武器奇术!$A:$R,17,FALSE)="鸣金",VLOOKUP($E138,武器奇术!$A:$R,4,FALSE),VLOOKUP($E138,武器奇术!$A:$R,2,FALSE))*(1+AX138)*(1+AY138)*AZ138</f>
        <v>0</v>
      </c>
      <c r="BH138" s="93">
        <f t="shared" si="128"/>
        <v>0.0879</v>
      </c>
      <c r="BI138" s="101">
        <f t="shared" si="129"/>
        <v>0</v>
      </c>
      <c r="BJ138" s="99">
        <f>IF(VLOOKUP($E138,武器奇术!$A:$R,18,FALSE)="极乐",0,$B$9*IF($G$5="撼天",1.05,1)+IF(AND(VLOOKUP($E138,武器奇术!$A:$R,15,FALSE)="武器",VLOOKUP($E138,武器奇术!$A:$R,17,FALSE)="裂石"),$E$3*(1+$E$15),0))</f>
        <v>0</v>
      </c>
      <c r="BK138" s="91">
        <f t="shared" si="130"/>
        <v>0</v>
      </c>
      <c r="BL138" s="91">
        <f>IF(VLOOKUP($E138,武器奇术!$A:$R,18,FALSE)="极乐",0,MAX($C$9*IF($G$5="撼天",1.05,1)+IF(AND(VLOOKUP($E138,武器奇术!$A:$R,15,FALSE)="武器",VLOOKUP($E138,武器奇术!$A:$R,17,FALSE)="裂石"),$E$3*(1+$E$15),0),BJ138))</f>
        <v>0</v>
      </c>
      <c r="BM138" s="93">
        <f>IF(($D$9+IF(VLOOKUP($E138,武器奇术!$A:$R,17,FALSE)="裂石",$D$15,0)-VLOOKUP($F$7,目标属性!$A:$R,6,FALSE))&gt;0,($D$9+IF(VLOOKUP($E138,武器奇术!$A:$R,17,FALSE)="裂石",$D$15,0)-VLOOKUP($F$7,目标属性!$A:$R,6,FALSE))/200,($D$9+IF(VLOOKUP($E138,武器奇术!$A:$R,17,FALSE)="裂石",$D$15,0)-VLOOKUP($F$7,目标属性!$A:$R,6,FALSE))/100)</f>
        <v>-0.24</v>
      </c>
      <c r="BN138" s="100">
        <f t="shared" si="90"/>
        <v>0</v>
      </c>
      <c r="BO138" s="91">
        <v>1</v>
      </c>
      <c r="BP138" s="92">
        <f>BJ138*IF(VLOOKUP($E138,武器奇术!$A:$R,17,FALSE)="裂石",VLOOKUP($E138,武器奇术!$A:$R,4,FALSE),VLOOKUP($E138,武器奇术!$A:$R,2,FALSE))*(1+BM138)*(1+BN138)*BO138</f>
        <v>0</v>
      </c>
      <c r="BQ138" s="93">
        <f>(1-IF(VLOOKUP($E138,武器奇术!$A:$R,16,FALSE)="陌刀",1,$N138))*(1-$M138)</f>
        <v>0</v>
      </c>
      <c r="BR138" s="92">
        <f>BK138*IF(VLOOKUP($E138,武器奇术!$A:$R,17,FALSE)="裂石",VLOOKUP($E138,武器奇术!$A:$R,4,FALSE),VLOOKUP($E138,武器奇术!$A:$R,2,FALSE))*(1+BM138)*(1+BN138)*BO138*(1+$E$16+VLOOKUP($E138,武器奇术!$A:$R,8,FALSE))</f>
        <v>0</v>
      </c>
      <c r="BS138" s="93">
        <f t="shared" si="98"/>
        <v>0.8135</v>
      </c>
      <c r="BT138" s="92">
        <f>BL138*IF(VLOOKUP($E138,武器奇术!$A:$R,17,FALSE)="裂石",VLOOKUP($E138,武器奇术!$A:$R,4,FALSE),VLOOKUP($E138,武器奇术!$A:$R,2,FALSE))*(1+BM138)*(1+BN138)*BO138*(1+$E$17+VLOOKUP($E138,武器奇术!$A:$R,10,FALSE))</f>
        <v>0</v>
      </c>
      <c r="BU138" s="93">
        <f t="shared" si="99"/>
        <v>0.0986</v>
      </c>
      <c r="BV138" s="92">
        <f>BK138*IF(VLOOKUP($E138,武器奇术!$A:$R,17,FALSE)="裂石",VLOOKUP($E138,武器奇术!$A:$R,4,FALSE),VLOOKUP($E138,武器奇术!$A:$R,2,FALSE))*(1+BM138)*(1+BN138)*BO138</f>
        <v>0</v>
      </c>
      <c r="BW138" s="93">
        <f t="shared" si="131"/>
        <v>0.0879</v>
      </c>
      <c r="BX138" s="101">
        <f t="shared" si="132"/>
        <v>0</v>
      </c>
      <c r="BY138" s="99">
        <f>IF(VLOOKUP($E138,武器奇术!$A:$R,18,FALSE)="极乐",0,$B$11*IF($G$5="撼天",1.05,1)+IF(AND(VLOOKUP($E138,武器奇术!$A:$R,15,FALSE)="武器",VLOOKUP($E138,武器奇术!$A:$R,17,FALSE)="牵丝"),$E$3*(1+$E$15),0))</f>
        <v>0</v>
      </c>
      <c r="BZ138" s="91">
        <f t="shared" si="133"/>
        <v>0</v>
      </c>
      <c r="CA138" s="91">
        <f>IF(VLOOKUP($E138,武器奇术!$A:$R,18,FALSE)="极乐",0,MAX($C$11*IF($G$5="撼天",1.05,1)+IF(AND(VLOOKUP($E138,武器奇术!$A:$R,15,FALSE)="武器",VLOOKUP($E138,武器奇术!$A:$R,17,FALSE)="牵丝"),$E$3*(1+$E$15),0),BY138))</f>
        <v>0</v>
      </c>
      <c r="CB138" s="93">
        <f>IF(($D$11+IF(VLOOKUP($E138,武器奇术!$A:$R,17,FALSE)="牵丝",$D$15,0)-VLOOKUP($F$7,目标属性!$A:$R,6,FALSE))&gt;0,($D$11+IF(VLOOKUP($E138,武器奇术!$A:$R,17,FALSE)="牵丝",$D$15,0)-VLOOKUP($F$7,目标属性!$A:$R,6,FALSE))/200,($D$11+IF(VLOOKUP($E138,武器奇术!$A:$R,17,FALSE)="牵丝",$D$15,0)-VLOOKUP($F$7,目标属性!$A:$R,6,FALSE))/100)</f>
        <v>-0.24</v>
      </c>
      <c r="CC138" s="100">
        <f t="shared" si="91"/>
        <v>0</v>
      </c>
      <c r="CD138" s="91">
        <v>1</v>
      </c>
      <c r="CE138" s="92">
        <f>BY138*IF(VLOOKUP($E138,武器奇术!$A:$R,17,FALSE)="牵丝",VLOOKUP($E138,武器奇术!$A:$R,4,FALSE),VLOOKUP($E138,武器奇术!$A:$R,2,FALSE))*(1+CB138)*(1+CC138)*CD138</f>
        <v>0</v>
      </c>
      <c r="CF138" s="93">
        <f>(1-IF(VLOOKUP($E138,武器奇术!$A:$R,16,FALSE)="陌刀",1,$N138))*(1-$M138)</f>
        <v>0</v>
      </c>
      <c r="CG138" s="92">
        <f>BZ138*IF(VLOOKUP($E138,武器奇术!$A:$R,17,FALSE)="牵丝",VLOOKUP($E138,武器奇术!$A:$R,4,FALSE),VLOOKUP($E138,武器奇术!$A:$R,2,FALSE))*(1+CB138)*(1+CC138)*CD138*(1+$E$16+VLOOKUP($E138,武器奇术!$A:$R,8,FALSE))</f>
        <v>0</v>
      </c>
      <c r="CH138" s="93">
        <f t="shared" si="100"/>
        <v>0.8135</v>
      </c>
      <c r="CI138" s="92">
        <f>CA138*IF(VLOOKUP($E138,武器奇术!$A:$R,17,FALSE)="牵丝",VLOOKUP($E138,武器奇术!$A:$R,4,FALSE),VLOOKUP($E138,武器奇术!$A:$R,2,FALSE))*(1+CB138)*(1+CC138)*CD138*(1+$E$17+VLOOKUP($E138,武器奇术!$A:$R,10,FALSE))</f>
        <v>0</v>
      </c>
      <c r="CJ138" s="93">
        <f t="shared" si="101"/>
        <v>0.0986</v>
      </c>
      <c r="CK138" s="92">
        <f>BZ138*IF(VLOOKUP($E138,武器奇术!$A:$R,17,FALSE)="牵丝",VLOOKUP($E138,武器奇术!$A:$R,4,FALSE),VLOOKUP($E138,武器奇术!$A:$R,2,FALSE))*(1+CB138)*(1+CC138)*CD138</f>
        <v>0</v>
      </c>
      <c r="CL138" s="93">
        <f t="shared" si="134"/>
        <v>0.0879</v>
      </c>
      <c r="CM138" s="101">
        <f t="shared" si="135"/>
        <v>0</v>
      </c>
      <c r="CN138" s="99">
        <f>IF(VLOOKUP($E138,武器奇术!$A:$R,18,FALSE)="极乐",0,$B$13*IF($G$5="撼天",1.05,1)+IF(AND(VLOOKUP($E138,武器奇术!$A:$R,15,FALSE)="武器",VLOOKUP($E138,武器奇术!$A:$R,17,FALSE)="破竹"),$E$3*(1+$E$15),0))</f>
        <v>490.8</v>
      </c>
      <c r="CO138" s="91">
        <f t="shared" si="136"/>
        <v>856.3</v>
      </c>
      <c r="CP138" s="91">
        <f>IF(VLOOKUP($E138,武器奇术!$A:$R,18,FALSE)="极乐",0,MAX($C$13*IF($G$5="撼天",1.05,1)+IF(AND(VLOOKUP($E138,武器奇术!$A:$R,15,FALSE)="武器",VLOOKUP($E138,武器奇术!$A:$R,17,FALSE)="破竹"),$E$3*(1+$E$15),0),CN138))</f>
        <v>1221.8</v>
      </c>
      <c r="CQ138" s="93">
        <f>IF(($D$13+IF(VLOOKUP($E138,武器奇术!$A:$R,17,FALSE)="破竹",$D$15,0)-VLOOKUP($F$7,目标属性!$A:$R,6,FALSE)+IF(VLOOKUP($E138,武器奇术!$A:$V,22,FALSE)=1,4,0)+IF(VLOOKUP($E138,武器奇术!$A:$T,20,FALSE)=1,10,0))&gt;0,($D$13+IF(VLOOKUP($E138,武器奇术!$A:$R,17,FALSE)="破竹",$D$15,0)-VLOOKUP($F$7,目标属性!$A:$R,6,FALSE)+IF(VLOOKUP($E138,武器奇术!$A:$V,22,FALSE)=1,4,0)+IF(VLOOKUP($E138,武器奇术!$A:$T,20,FALSE)=1,10,0))/200,($D$13+IF(VLOOKUP($E138,武器奇术!$A:$R,17,FALSE)="破竹",$D$15,0)-VLOOKUP($F$7,目标属性!$A:$R,6,FALSE)+IF(VLOOKUP($E138,武器奇术!$A:$V,22,FALSE)=1,4,0)+IF(VLOOKUP($E138,武器奇术!$A:$T,20,FALSE)=1,10,0))/100)</f>
        <v>0.028</v>
      </c>
      <c r="CR138" s="100">
        <f t="shared" si="140"/>
        <v>0.148</v>
      </c>
      <c r="CS138" s="91">
        <v>1</v>
      </c>
      <c r="CT138" s="92">
        <f>CN138*IF(VLOOKUP($E138,武器奇术!$A:$R,17,FALSE)="破竹",VLOOKUP($E138,武器奇术!$A:$R,4,FALSE),VLOOKUP($E138,武器奇术!$A:$R,2,FALSE))*(1+CQ138)*(1+CR138)*CS138</f>
        <v>579.2146752</v>
      </c>
      <c r="CU138" s="93">
        <f>(1-IF(VLOOKUP($E138,武器奇术!$A:$R,16,FALSE)="陌刀",1,$N138))*(1-$M138)</f>
        <v>0</v>
      </c>
      <c r="CV138" s="92">
        <f>CO138*IF(VLOOKUP($E138,武器奇术!$A:$R,17,FALSE)="破竹",VLOOKUP($E138,武器奇术!$A:$R,4,FALSE),VLOOKUP($E138,武器奇术!$A:$R,2,FALSE))*(1+CQ138)*(1+CR138)*CS138*(1+$E$16+VLOOKUP($E138,武器奇术!$A:$R,8,FALSE))</f>
        <v>1913.9955398368</v>
      </c>
      <c r="CW138" s="93">
        <f t="shared" si="102"/>
        <v>0.8135</v>
      </c>
      <c r="CX138" s="92">
        <f>CP138*IF(VLOOKUP($E138,武器奇术!$A:$R,17,FALSE)="破竹",VLOOKUP($E138,武器奇术!$A:$R,4,FALSE),VLOOKUP($E138,武器奇术!$A:$R,2,FALSE))*(1+CQ138)*(1+CR138)*CS138*(1+$E$17+VLOOKUP($E138,武器奇术!$A:$R,10,FALSE))</f>
        <v>1946.56491792</v>
      </c>
      <c r="CY138" s="93">
        <f t="shared" si="103"/>
        <v>0.0986</v>
      </c>
      <c r="CZ138" s="92">
        <f>CO138*IF(VLOOKUP($E138,武器奇术!$A:$R,17,FALSE)="破竹",VLOOKUP($E138,武器奇术!$A:$R,4,FALSE),VLOOKUP($E138,武器奇术!$A:$R,2,FALSE))*(1+CQ138)*(1+CR138)*CS138</f>
        <v>1010.5573072</v>
      </c>
      <c r="DA138" s="93">
        <f t="shared" si="137"/>
        <v>0.0879</v>
      </c>
      <c r="DB138" s="101">
        <f t="shared" si="138"/>
        <v>1837.79465986703</v>
      </c>
      <c r="DC138" s="99">
        <f>IF(VLOOKUP($E138,武器奇术!$A:$R,18,FALSE)="极乐",0,$B$15)</f>
        <v>66</v>
      </c>
      <c r="DD138" s="91">
        <f t="shared" si="111"/>
        <v>95.9</v>
      </c>
      <c r="DE138" s="91">
        <f>IF(VLOOKUP($E138,武器奇术!$A:$R,18,FALSE)="极乐",0,$C$15)</f>
        <v>125.8</v>
      </c>
      <c r="DF138" s="93">
        <f>IF((IF(VLOOKUP($E138,武器奇术!$A:$R,17,FALSE)="鸣金",$D$7,0)+IF(VLOOKUP($E138,武器奇术!$A:$R,17,FALSE)="裂石",$D$9,0)+IF(VLOOKUP($E138,武器奇术!$A:$R,17,FALSE)="牵丝",$D$11,0)+IF(VLOOKUP($E138,武器奇术!$A:$R,17,FALSE)="破竹",$D$13,0)+$D$15-VLOOKUP($F$7,目标属性!$A:$R,6,FALSE)+IF(VLOOKUP($E138,武器奇术!$A:$V,22,FALSE)=1,4,0)+IF(VLOOKUP($E138,武器奇术!$A:$T,20,FALSE)=1,10,0))&gt;0,(IF(VLOOKUP($E138,武器奇术!$A:$R,17,FALSE)="鸣金",$D$7,0)+IF(VLOOKUP($E138,武器奇术!$A:$R,17,FALSE)="裂石",$D$9,0)+IF(VLOOKUP($E138,武器奇术!$A:$R,17,FALSE)="牵丝",$D$11,0)+IF(VLOOKUP($E138,武器奇术!$A:$R,17,FALSE)="破竹",$D$13,0)+$D$15-VLOOKUP($F$7,目标属性!$A:$R,6,FALSE)+IF(VLOOKUP($E138,武器奇术!$A:$V,22,FALSE)=1,4,0)+IF(VLOOKUP($E138,武器奇术!$A:$T,20,FALSE)=1,10,0))/200,(IF(VLOOKUP($E138,武器奇术!$A:$R,17,FALSE)="鸣金",$D$7,0)+IF(VLOOKUP($E138,武器奇术!$A:$R,17,FALSE)="裂石",$D$9,0)+IF(VLOOKUP($E138,武器奇术!$A:$R,17,FALSE)="牵丝",$D$11,0)+IF(VLOOKUP($E138,武器奇术!$A:$R,17,FALSE)="破竹",$D$13,0)+$D$15-VLOOKUP($F$7,目标属性!$A:$R,6,FALSE)+IF(VLOOKUP($E138,武器奇术!$A:$V,22,FALSE)=1,4,0)+IF(VLOOKUP($E138,武器奇术!$A:$T,20,FALSE)=1,10,0))/100)</f>
        <v>0.028</v>
      </c>
      <c r="DG138" s="100">
        <f t="shared" si="139"/>
        <v>0.148</v>
      </c>
      <c r="DH138" s="91">
        <v>1</v>
      </c>
      <c r="DI138" s="92">
        <f>DC138*IF(VLOOKUP($E138,武器奇术!$A:$R,17,FALSE)="破竹",VLOOKUP($E138,武器奇术!$A:$R,4,FALSE),VLOOKUP($E138,武器奇术!$A:$R,2,FALSE))*(1+DF138)*(1+DG138)*DH138</f>
        <v>77.889504</v>
      </c>
      <c r="DJ138" s="93">
        <f>(1-IF(VLOOKUP($E138,武器奇术!$A:$R,16,FALSE)="陌刀",1,$N138))*(1-$M138)</f>
        <v>0</v>
      </c>
      <c r="DK138" s="92">
        <f>DD138*IF(VLOOKUP($E138,武器奇术!$A:$R,17,FALSE)="破竹",VLOOKUP($E138,武器奇术!$A:$R,4,FALSE),VLOOKUP($E138,武器奇术!$A:$R,2,FALSE))*(1+DF138)*(1+DG138)*DH138*(1+$E$16+VLOOKUP($E138,武器奇术!$A:$R,8,FALSE))</f>
        <v>214.3549833824</v>
      </c>
      <c r="DL138" s="93">
        <f t="shared" si="104"/>
        <v>0.8135</v>
      </c>
      <c r="DM138" s="92">
        <f>DE138*IF(VLOOKUP($E138,武器奇术!$A:$R,17,FALSE)="破竹",VLOOKUP($E138,武器奇术!$A:$R,4,FALSE),VLOOKUP($E138,武器奇术!$A:$R,2,FALSE))*(1+DF138)*(1+DG138)*DH138*(1+$E$17+VLOOKUP($E138,武器奇术!$A:$R,10,FALSE))</f>
        <v>200.42385552</v>
      </c>
      <c r="DN138" s="93">
        <f t="shared" si="105"/>
        <v>0.0986</v>
      </c>
      <c r="DO138" s="92">
        <f>DD138*IF(VLOOKUP($E138,武器奇术!$A:$R,17,FALSE)="破竹",VLOOKUP($E138,武器奇术!$A:$R,4,FALSE),VLOOKUP($E138,武器奇术!$A:$R,2,FALSE))*(1+DF138)*(1+DG138)*DH138</f>
        <v>113.1758096</v>
      </c>
      <c r="DP138" s="93">
        <f t="shared" si="106"/>
        <v>0.0879</v>
      </c>
      <c r="DQ138" s="101">
        <f t="shared" si="107"/>
        <v>204.087724799694</v>
      </c>
    </row>
    <row r="139" spans="1:121">
      <c r="E139" s="105" t="s">
        <v>224</v>
      </c>
      <c r="F139" s="106">
        <f t="shared" si="141"/>
        <v>1</v>
      </c>
      <c r="G139" s="107"/>
      <c r="H139" s="92">
        <f>IF(VLOOKUP($E139,武器奇术!$A:$R,18,FALSE)="天工",AE139,(AE139+AT139+BI139+BX139+CM139+DB139+DQ139))*(1+J139)*F139*K139*(1+G139)</f>
        <v>11553.5820773253</v>
      </c>
      <c r="I139" s="93">
        <f t="shared" si="117"/>
        <v>0.00148212491894207</v>
      </c>
      <c r="J139" s="93">
        <f>$F$3+VLOOKUP($E139,武器奇术!$A:$R,12,FALSE)+VLOOKUP($E139,武器奇术!$A:$R,14,FALSE)*$G$3+$P139</f>
        <v>0.553</v>
      </c>
      <c r="K139" s="94">
        <f>VLOOKUP($E139,武器奇术!$A:$R,11,FALSE)</f>
        <v>1</v>
      </c>
      <c r="L139" s="109">
        <f>IF(VLOOKUP($E139,武器奇术!$A:$R,15,FALSE)="天工",0%,IF($C$17+VLOOKUP($E139,武器奇术!$A:$R,7,FALSE)&gt;80%,80%,$C$17+VLOOKUP($E139,武器奇术!$A:$R,7,FALSE))+IF($C$19&gt;20%,20%,$C$19))</f>
        <v>0.8135</v>
      </c>
      <c r="M139" s="110">
        <f>IF(VLOOKUP($E139,武器奇术!$A:$R,15,FALSE)="天工",0%,IF($C$18+VLOOKUP($E139,武器奇术!$A:$R,9,FALSE)&gt;40%,40%,$C$18+VLOOKUP($E139,武器奇术!$A:$R,9,FALSE))+IF($C$20&gt;10%,10%,$C$20))</f>
        <v>0.0986</v>
      </c>
      <c r="N139" s="111">
        <f>IF(VLOOKUP($E139,武器奇术!$A:$R,15,FALSE)="天工",100%,MIN($C$16,1))</f>
        <v>1</v>
      </c>
      <c r="O139" s="112" t="str">
        <f>VLOOKUP($E139,武器奇术!$A:$R,16,FALSE)</f>
        <v>N/A</v>
      </c>
      <c r="P139" s="113">
        <f t="shared" si="108"/>
        <v>0</v>
      </c>
      <c r="Q139" s="99">
        <f>$B$5*(1+VLOOKUP($E139,武器奇术!$A:$R,5,FALSE)+IF($G$5="飞隼",0.1,0)+IF($G$5="撼天",0.05,0))-$F$9*IF(VLOOKUP($E139,武器奇术!$A:$S,19,FALSE)=1,0.9,1)+IF($I$5="√",160,0)</f>
        <v>2848.3</v>
      </c>
      <c r="R139" s="91">
        <f t="shared" si="118"/>
        <v>2848.3</v>
      </c>
      <c r="S139" s="91">
        <f>MAX($C$5,$B$5)*(1+VLOOKUP($E139,武器奇术!$A:$R,5,FALSE)+IF($G$5="飞隼",0.1,0)+IF($G$5="撼天",0.05,0))-$F$9*IF(VLOOKUP($E139,武器奇术!$A:$S,19,FALSE)=1,0.9,1)+IF($I$5="√",320,0)</f>
        <v>2848.3</v>
      </c>
      <c r="T139" s="93">
        <f>IF(($D$5+VLOOKUP($E139,武器奇术!$A:$R,13,FALSE)+IF($I$3="√",10,0)-VLOOKUP($F$7,目标属性!$A:$R,5,FALSE))&gt;0,($D$5+VLOOKUP($E139,武器奇术!$A:$R,13,FALSE)+IF($I$3="√",10,0)-VLOOKUP($F$7,目标属性!$A:$R,5,FALSE))/200,($D$5+VLOOKUP($E139,武器奇术!$A:$R,13,FALSE)+IF($I$3="√",10,0)-VLOOKUP($F$7,目标属性!$A:$R,5,FALSE))/100)</f>
        <v>0.2675</v>
      </c>
      <c r="U139" s="100">
        <f>$E$5+IF(VLOOKUP($E139,武器奇术!$A:$R,18,FALSE)="鼠鼠",0.24,0)</f>
        <v>0</v>
      </c>
      <c r="V139" s="91">
        <v>1</v>
      </c>
      <c r="W139" s="92">
        <f>Q139*VLOOKUP($E139,武器奇术!$A:$R,2,FALSE)*(1+T139)*(1+U139)*V139</f>
        <v>3610.22025</v>
      </c>
      <c r="X139" s="93">
        <f>(1-IF(VLOOKUP($E139,武器奇术!$A:$R,16,FALSE)="陌刀",1,$N139))*(1-$M139)</f>
        <v>0</v>
      </c>
      <c r="Y139" s="92">
        <f>R139*VLOOKUP($E139,武器奇术!$A:$R,2,FALSE)*(1+T139)*(1+U139)*V139*(1+$E$16+VLOOKUP($E139,武器奇术!$A:$R,8,FALSE))</f>
        <v>5935.202091</v>
      </c>
      <c r="Z139" s="93">
        <f t="shared" si="119"/>
        <v>0.8135</v>
      </c>
      <c r="AA139" s="92">
        <f>S139*VLOOKUP($E139,武器奇术!$A:$R,2,FALSE)*(1+T139)*(1+U139)*V139*(1+$E$17+VLOOKUP($E139,武器奇术!$A:$R,10,FALSE))</f>
        <v>4873.7973375</v>
      </c>
      <c r="AB139" s="93">
        <f t="shared" si="120"/>
        <v>0.0986</v>
      </c>
      <c r="AC139" s="92">
        <f>R139*VLOOKUP($E139,武器奇术!$A:$R,2,FALSE)*(1+T139)*(1+U139)*V139</f>
        <v>3610.22025</v>
      </c>
      <c r="AD139" s="93">
        <f t="shared" si="121"/>
        <v>0.0879</v>
      </c>
      <c r="AE139" s="101">
        <f t="shared" si="122"/>
        <v>5626.181678481</v>
      </c>
      <c r="AF139" s="102">
        <f>VLOOKUP($E139,武器奇术!$A:$R,3,FALSE)*(1+IF(VLOOKUP($E139,武器奇术!$A:$R,15,FALSE)="武器",$E$15,0))</f>
        <v>0</v>
      </c>
      <c r="AG139" s="92">
        <f t="shared" si="123"/>
        <v>0</v>
      </c>
      <c r="AH139" s="92">
        <f>VLOOKUP($E139,武器奇术!$A:$R,3,FALSE)*(1+IF(VLOOKUP($E139,武器奇术!$A:$R,15,FALSE)="武器",$E$15,0))</f>
        <v>0</v>
      </c>
      <c r="AI139" s="93">
        <f>IF(($D$5+VLOOKUP($E139,武器奇术!$A:$R,13,FALSE)+IF($I$3="√",10,0)-VLOOKUP($F$7,目标属性!$A:$R,5,FALSE))&gt;0,($D$5+VLOOKUP($E139,武器奇术!$A:$R,13,FALSE)+IF($I$3="√",10,0)-VLOOKUP($F$7,目标属性!$A:$R,5,FALSE))/200,($D$5+VLOOKUP($E139,武器奇术!$A:$R,13,FALSE)+IF($I$3="√",10,0)-VLOOKUP($F$7,目标属性!$A:$R,5,FALSE))/100)</f>
        <v>0.2675</v>
      </c>
      <c r="AJ139" s="100">
        <f>$E$5+IF(VLOOKUP($E139,武器奇术!$A:$R,18,FALSE)="鼠鼠",0.24,0)</f>
        <v>0</v>
      </c>
      <c r="AK139" s="91">
        <v>1</v>
      </c>
      <c r="AL139" s="92">
        <f t="shared" si="109"/>
        <v>0</v>
      </c>
      <c r="AM139" s="93">
        <f>(1-IF(VLOOKUP($E139,武器奇术!$A:$R,16,FALSE)="陌刀",1,$N139))*(1-$M139)</f>
        <v>0</v>
      </c>
      <c r="AN139" s="92">
        <f>AG139*(1+AI139)*(1+AJ139)*AK139*(1+$E$16+VLOOKUP($E139,武器奇术!$A:$R,8,FALSE))</f>
        <v>0</v>
      </c>
      <c r="AO139" s="93">
        <f t="shared" si="94"/>
        <v>0.8135</v>
      </c>
      <c r="AP139" s="92">
        <f>AH139*(1+AI139)*(1+AJ139)*AK139*(1+$E$17+VLOOKUP($E139,武器奇术!$A:$R,10,FALSE))</f>
        <v>0</v>
      </c>
      <c r="AQ139" s="93">
        <f t="shared" si="95"/>
        <v>0.0986</v>
      </c>
      <c r="AR139" s="92">
        <f t="shared" si="124"/>
        <v>0</v>
      </c>
      <c r="AS139" s="93">
        <f t="shared" si="125"/>
        <v>0.0879</v>
      </c>
      <c r="AT139" s="101">
        <f t="shared" si="126"/>
        <v>0</v>
      </c>
      <c r="AU139" s="99">
        <f>IF(VLOOKUP($E139,武器奇术!$A:$R,18,FALSE)="极乐",0,$B$7*IF($G$5="撼天",1.05,1)+IF(AND(VLOOKUP($E139,武器奇术!$A:$R,15,FALSE)="武器",VLOOKUP($E139,武器奇术!$A:$R,17,FALSE)="鸣金"),$E$3*(1+$E$15),0))</f>
        <v>0</v>
      </c>
      <c r="AV139" s="91">
        <f t="shared" si="127"/>
        <v>0</v>
      </c>
      <c r="AW139" s="91">
        <f>IF(VLOOKUP($E139,武器奇术!$A:$R,18,FALSE)="极乐",0,MAX($C$7*IF($G$5="撼天",1.05,1)+IF(AND(VLOOKUP($E139,武器奇术!$A:$R,15,FALSE)="武器",VLOOKUP($E139,武器奇术!$A:$R,17,FALSE)="鸣金"),$E$3*(1+$E$15),0),AU139))</f>
        <v>0</v>
      </c>
      <c r="AX139" s="93">
        <f>IF(($D$7+IF(VLOOKUP($E139,武器奇术!$A:$R,17,FALSE)="鸣金",$D$15,0)-VLOOKUP($F$7,目标属性!$A:$R,6,FALSE))&gt;0,($D$7+IF(VLOOKUP($E139,武器奇术!$A:$R,17,FALSE)="鸣金",$D$15,0)-VLOOKUP($F$7,目标属性!$A:$R,6,FALSE))/200,($D$7+IF(VLOOKUP($E139,武器奇术!$A:$R,17,FALSE)="鸣金",$D$15,0)-VLOOKUP($F$7,目标属性!$A:$R,6,FALSE))/100)</f>
        <v>-0.24</v>
      </c>
      <c r="AY139" s="100">
        <f t="shared" si="89"/>
        <v>0</v>
      </c>
      <c r="AZ139" s="91">
        <v>1</v>
      </c>
      <c r="BA139" s="92">
        <f>AU139*IF(VLOOKUP($E139,武器奇术!$A:$R,17,FALSE)="鸣金",VLOOKUP($E139,武器奇术!$A:$R,4,FALSE),VLOOKUP($E139,武器奇术!$A:$R,2,FALSE))*(1+AX139)*(1+AY139)*AZ139</f>
        <v>0</v>
      </c>
      <c r="BB139" s="93">
        <f>(1-IF(VLOOKUP($E139,武器奇术!$A:$R,16,FALSE)="陌刀",1,$N139))*(1-$M139)</f>
        <v>0</v>
      </c>
      <c r="BC139" s="92">
        <f>AV139*IF(VLOOKUP($E139,武器奇术!$A:$R,17,FALSE)="鸣金",VLOOKUP($E139,武器奇术!$A:$R,4,FALSE),VLOOKUP($E139,武器奇术!$A:$R,2,FALSE))*(1+AX139)*(1+AY139)*AZ139*(1+$E$16+VLOOKUP($E139,武器奇术!$A:$R,8,FALSE))</f>
        <v>0</v>
      </c>
      <c r="BD139" s="93">
        <f t="shared" si="96"/>
        <v>0.8135</v>
      </c>
      <c r="BE139" s="92">
        <f>AW139*IF(VLOOKUP($E139,武器奇术!$A:$R,17,FALSE)="鸣金",VLOOKUP($E139,武器奇术!$A:$R,4,FALSE),VLOOKUP($E139,武器奇术!$A:$R,2,FALSE))*(1+AX139)*(1+AY139)*AZ139*(1+$E$17+VLOOKUP($E139,武器奇术!$A:$R,10,FALSE))</f>
        <v>0</v>
      </c>
      <c r="BF139" s="93">
        <f t="shared" si="97"/>
        <v>0.0986</v>
      </c>
      <c r="BG139" s="92">
        <f>AV139*IF(VLOOKUP($E139,武器奇术!$A:$R,17,FALSE)="鸣金",VLOOKUP($E139,武器奇术!$A:$R,4,FALSE),VLOOKUP($E139,武器奇术!$A:$R,2,FALSE))*(1+AX139)*(1+AY139)*AZ139</f>
        <v>0</v>
      </c>
      <c r="BH139" s="93">
        <f t="shared" si="128"/>
        <v>0.0879</v>
      </c>
      <c r="BI139" s="101">
        <f t="shared" si="129"/>
        <v>0</v>
      </c>
      <c r="BJ139" s="99">
        <f>IF(VLOOKUP($E139,武器奇术!$A:$R,18,FALSE)="极乐",0,$B$9*IF($G$5="撼天",1.05,1)+IF(AND(VLOOKUP($E139,武器奇术!$A:$R,15,FALSE)="武器",VLOOKUP($E139,武器奇术!$A:$R,17,FALSE)="裂石"),$E$3*(1+$E$15),0))</f>
        <v>0</v>
      </c>
      <c r="BK139" s="91">
        <f t="shared" si="130"/>
        <v>0</v>
      </c>
      <c r="BL139" s="91">
        <f>IF(VLOOKUP($E139,武器奇术!$A:$R,18,FALSE)="极乐",0,MAX($C$9*IF($G$5="撼天",1.05,1)+IF(AND(VLOOKUP($E139,武器奇术!$A:$R,15,FALSE)="武器",VLOOKUP($E139,武器奇术!$A:$R,17,FALSE)="裂石"),$E$3*(1+$E$15),0),BJ139))</f>
        <v>0</v>
      </c>
      <c r="BM139" s="93">
        <f>IF(($D$9+IF(VLOOKUP($E139,武器奇术!$A:$R,17,FALSE)="裂石",$D$15,0)-VLOOKUP($F$7,目标属性!$A:$R,6,FALSE))&gt;0,($D$9+IF(VLOOKUP($E139,武器奇术!$A:$R,17,FALSE)="裂石",$D$15,0)-VLOOKUP($F$7,目标属性!$A:$R,6,FALSE))/200,($D$9+IF(VLOOKUP($E139,武器奇术!$A:$R,17,FALSE)="裂石",$D$15,0)-VLOOKUP($F$7,目标属性!$A:$R,6,FALSE))/100)</f>
        <v>-0.24</v>
      </c>
      <c r="BN139" s="100">
        <f t="shared" si="90"/>
        <v>0</v>
      </c>
      <c r="BO139" s="91">
        <v>1</v>
      </c>
      <c r="BP139" s="92">
        <f>BJ139*IF(VLOOKUP($E139,武器奇术!$A:$R,17,FALSE)="裂石",VLOOKUP($E139,武器奇术!$A:$R,4,FALSE),VLOOKUP($E139,武器奇术!$A:$R,2,FALSE))*(1+BM139)*(1+BN139)*BO139</f>
        <v>0</v>
      </c>
      <c r="BQ139" s="93">
        <f>(1-IF(VLOOKUP($E139,武器奇术!$A:$R,16,FALSE)="陌刀",1,$N139))*(1-$M139)</f>
        <v>0</v>
      </c>
      <c r="BR139" s="92">
        <f>BK139*IF(VLOOKUP($E139,武器奇术!$A:$R,17,FALSE)="裂石",VLOOKUP($E139,武器奇术!$A:$R,4,FALSE),VLOOKUP($E139,武器奇术!$A:$R,2,FALSE))*(1+BM139)*(1+BN139)*BO139*(1+$E$16+VLOOKUP($E139,武器奇术!$A:$R,8,FALSE))</f>
        <v>0</v>
      </c>
      <c r="BS139" s="93">
        <f t="shared" si="98"/>
        <v>0.8135</v>
      </c>
      <c r="BT139" s="92">
        <f>BL139*IF(VLOOKUP($E139,武器奇术!$A:$R,17,FALSE)="裂石",VLOOKUP($E139,武器奇术!$A:$R,4,FALSE),VLOOKUP($E139,武器奇术!$A:$R,2,FALSE))*(1+BM139)*(1+BN139)*BO139*(1+$E$17+VLOOKUP($E139,武器奇术!$A:$R,10,FALSE))</f>
        <v>0</v>
      </c>
      <c r="BU139" s="93">
        <f t="shared" si="99"/>
        <v>0.0986</v>
      </c>
      <c r="BV139" s="92">
        <f>BK139*IF(VLOOKUP($E139,武器奇术!$A:$R,17,FALSE)="裂石",VLOOKUP($E139,武器奇术!$A:$R,4,FALSE),VLOOKUP($E139,武器奇术!$A:$R,2,FALSE))*(1+BM139)*(1+BN139)*BO139</f>
        <v>0</v>
      </c>
      <c r="BW139" s="93">
        <f t="shared" si="131"/>
        <v>0.0879</v>
      </c>
      <c r="BX139" s="101">
        <f t="shared" si="132"/>
        <v>0</v>
      </c>
      <c r="BY139" s="99">
        <f>IF(VLOOKUP($E139,武器奇术!$A:$R,18,FALSE)="极乐",0,$B$11*IF($G$5="撼天",1.05,1)+IF(AND(VLOOKUP($E139,武器奇术!$A:$R,15,FALSE)="武器",VLOOKUP($E139,武器奇术!$A:$R,17,FALSE)="牵丝"),$E$3*(1+$E$15),0))</f>
        <v>0</v>
      </c>
      <c r="BZ139" s="91">
        <f t="shared" si="133"/>
        <v>0</v>
      </c>
      <c r="CA139" s="91">
        <f>IF(VLOOKUP($E139,武器奇术!$A:$R,18,FALSE)="极乐",0,MAX($C$11*IF($G$5="撼天",1.05,1)+IF(AND(VLOOKUP($E139,武器奇术!$A:$R,15,FALSE)="武器",VLOOKUP($E139,武器奇术!$A:$R,17,FALSE)="牵丝"),$E$3*(1+$E$15),0),BY139))</f>
        <v>0</v>
      </c>
      <c r="CB139" s="93">
        <f>IF(($D$11+IF(VLOOKUP($E139,武器奇术!$A:$R,17,FALSE)="牵丝",$D$15,0)-VLOOKUP($F$7,目标属性!$A:$R,6,FALSE))&gt;0,($D$11+IF(VLOOKUP($E139,武器奇术!$A:$R,17,FALSE)="牵丝",$D$15,0)-VLOOKUP($F$7,目标属性!$A:$R,6,FALSE))/200,($D$11+IF(VLOOKUP($E139,武器奇术!$A:$R,17,FALSE)="牵丝",$D$15,0)-VLOOKUP($F$7,目标属性!$A:$R,6,FALSE))/100)</f>
        <v>-0.24</v>
      </c>
      <c r="CC139" s="100">
        <f t="shared" si="91"/>
        <v>0</v>
      </c>
      <c r="CD139" s="91">
        <v>1</v>
      </c>
      <c r="CE139" s="92">
        <f>BY139*IF(VLOOKUP($E139,武器奇术!$A:$R,17,FALSE)="牵丝",VLOOKUP($E139,武器奇术!$A:$R,4,FALSE),VLOOKUP($E139,武器奇术!$A:$R,2,FALSE))*(1+CB139)*(1+CC139)*CD139</f>
        <v>0</v>
      </c>
      <c r="CF139" s="93">
        <f>(1-IF(VLOOKUP($E139,武器奇术!$A:$R,16,FALSE)="陌刀",1,$N139))*(1-$M139)</f>
        <v>0</v>
      </c>
      <c r="CG139" s="92">
        <f>BZ139*IF(VLOOKUP($E139,武器奇术!$A:$R,17,FALSE)="牵丝",VLOOKUP($E139,武器奇术!$A:$R,4,FALSE),VLOOKUP($E139,武器奇术!$A:$R,2,FALSE))*(1+CB139)*(1+CC139)*CD139*(1+$E$16+VLOOKUP($E139,武器奇术!$A:$R,8,FALSE))</f>
        <v>0</v>
      </c>
      <c r="CH139" s="93">
        <f t="shared" si="100"/>
        <v>0.8135</v>
      </c>
      <c r="CI139" s="92">
        <f>CA139*IF(VLOOKUP($E139,武器奇术!$A:$R,17,FALSE)="牵丝",VLOOKUP($E139,武器奇术!$A:$R,4,FALSE),VLOOKUP($E139,武器奇术!$A:$R,2,FALSE))*(1+CB139)*(1+CC139)*CD139*(1+$E$17+VLOOKUP($E139,武器奇术!$A:$R,10,FALSE))</f>
        <v>0</v>
      </c>
      <c r="CJ139" s="93">
        <f t="shared" si="101"/>
        <v>0.0986</v>
      </c>
      <c r="CK139" s="92">
        <f>BZ139*IF(VLOOKUP($E139,武器奇术!$A:$R,17,FALSE)="牵丝",VLOOKUP($E139,武器奇术!$A:$R,4,FALSE),VLOOKUP($E139,武器奇术!$A:$R,2,FALSE))*(1+CB139)*(1+CC139)*CD139</f>
        <v>0</v>
      </c>
      <c r="CL139" s="93">
        <f t="shared" si="134"/>
        <v>0.0879</v>
      </c>
      <c r="CM139" s="101">
        <f t="shared" si="135"/>
        <v>0</v>
      </c>
      <c r="CN139" s="99">
        <f>IF(VLOOKUP($E139,武器奇术!$A:$R,18,FALSE)="极乐",0,$B$13*IF($G$5="撼天",1.05,1)+IF(AND(VLOOKUP($E139,武器奇术!$A:$R,15,FALSE)="武器",VLOOKUP($E139,武器奇术!$A:$R,17,FALSE)="破竹"),$E$3*(1+$E$15),0))</f>
        <v>490.8</v>
      </c>
      <c r="CO139" s="91">
        <f t="shared" si="136"/>
        <v>856.3</v>
      </c>
      <c r="CP139" s="91">
        <f>IF(VLOOKUP($E139,武器奇术!$A:$R,18,FALSE)="极乐",0,MAX($C$13*IF($G$5="撼天",1.05,1)+IF(AND(VLOOKUP($E139,武器奇术!$A:$R,15,FALSE)="武器",VLOOKUP($E139,武器奇术!$A:$R,17,FALSE)="破竹"),$E$3*(1+$E$15),0),CN139))</f>
        <v>1221.8</v>
      </c>
      <c r="CQ139" s="93">
        <f>IF(($D$13+IF(VLOOKUP($E139,武器奇术!$A:$R,17,FALSE)="破竹",$D$15,0)-VLOOKUP($F$7,目标属性!$A:$R,6,FALSE)+IF(VLOOKUP($E139,武器奇术!$A:$V,22,FALSE)=1,4,0)+IF(VLOOKUP($E139,武器奇术!$A:$T,20,FALSE)=1,10,0))&gt;0,($D$13+IF(VLOOKUP($E139,武器奇术!$A:$R,17,FALSE)="破竹",$D$15,0)-VLOOKUP($F$7,目标属性!$A:$R,6,FALSE)+IF(VLOOKUP($E139,武器奇术!$A:$V,22,FALSE)=1,4,0)+IF(VLOOKUP($E139,武器奇术!$A:$T,20,FALSE)=1,10,0))/200,($D$13+IF(VLOOKUP($E139,武器奇术!$A:$R,17,FALSE)="破竹",$D$15,0)-VLOOKUP($F$7,目标属性!$A:$R,6,FALSE)+IF(VLOOKUP($E139,武器奇术!$A:$V,22,FALSE)=1,4,0)+IF(VLOOKUP($E139,武器奇术!$A:$T,20,FALSE)=1,10,0))/100)</f>
        <v>0.028</v>
      </c>
      <c r="CR139" s="100">
        <f t="shared" si="140"/>
        <v>0.148</v>
      </c>
      <c r="CS139" s="91">
        <v>1</v>
      </c>
      <c r="CT139" s="92">
        <f>CN139*IF(VLOOKUP($E139,武器奇术!$A:$R,17,FALSE)="破竹",VLOOKUP($E139,武器奇术!$A:$R,4,FALSE),VLOOKUP($E139,武器奇术!$A:$R,2,FALSE))*(1+CQ139)*(1+CR139)*CS139</f>
        <v>579.2146752</v>
      </c>
      <c r="CU139" s="93">
        <f>(1-IF(VLOOKUP($E139,武器奇术!$A:$R,16,FALSE)="陌刀",1,$N139))*(1-$M139)</f>
        <v>0</v>
      </c>
      <c r="CV139" s="92">
        <f>CO139*IF(VLOOKUP($E139,武器奇术!$A:$R,17,FALSE)="破竹",VLOOKUP($E139,武器奇术!$A:$R,4,FALSE),VLOOKUP($E139,武器奇术!$A:$R,2,FALSE))*(1+CQ139)*(1+CR139)*CS139*(1+$E$16+VLOOKUP($E139,武器奇术!$A:$R,8,FALSE))</f>
        <v>1661.3562130368</v>
      </c>
      <c r="CW139" s="93">
        <f t="shared" si="102"/>
        <v>0.8135</v>
      </c>
      <c r="CX139" s="92">
        <f>CP139*IF(VLOOKUP($E139,武器奇术!$A:$R,17,FALSE)="破竹",VLOOKUP($E139,武器奇术!$A:$R,4,FALSE),VLOOKUP($E139,武器奇术!$A:$R,2,FALSE))*(1+CQ139)*(1+CR139)*CS139*(1+$E$17+VLOOKUP($E139,武器奇术!$A:$R,10,FALSE))</f>
        <v>1946.56491792</v>
      </c>
      <c r="CY139" s="93">
        <f t="shared" si="103"/>
        <v>0.0986</v>
      </c>
      <c r="CZ139" s="92">
        <f>CO139*IF(VLOOKUP($E139,武器奇术!$A:$R,17,FALSE)="破竹",VLOOKUP($E139,武器奇术!$A:$R,4,FALSE),VLOOKUP($E139,武器奇术!$A:$R,2,FALSE))*(1+CQ139)*(1+CR139)*CS139</f>
        <v>1010.5573072</v>
      </c>
      <c r="DA139" s="93">
        <f t="shared" si="137"/>
        <v>0.0879</v>
      </c>
      <c r="DB139" s="101">
        <f t="shared" si="138"/>
        <v>1632.27256751523</v>
      </c>
      <c r="DC139" s="99">
        <f>IF(VLOOKUP($E139,武器奇术!$A:$R,18,FALSE)="极乐",0,$B$15)</f>
        <v>66</v>
      </c>
      <c r="DD139" s="91">
        <f t="shared" si="111"/>
        <v>95.9</v>
      </c>
      <c r="DE139" s="91">
        <f>IF(VLOOKUP($E139,武器奇术!$A:$R,18,FALSE)="极乐",0,$C$15)</f>
        <v>125.8</v>
      </c>
      <c r="DF139" s="93">
        <f>IF((IF(VLOOKUP($E139,武器奇术!$A:$R,17,FALSE)="鸣金",$D$7,0)+IF(VLOOKUP($E139,武器奇术!$A:$R,17,FALSE)="裂石",$D$9,0)+IF(VLOOKUP($E139,武器奇术!$A:$R,17,FALSE)="牵丝",$D$11,0)+IF(VLOOKUP($E139,武器奇术!$A:$R,17,FALSE)="破竹",$D$13,0)+$D$15-VLOOKUP($F$7,目标属性!$A:$R,6,FALSE)+IF(VLOOKUP($E139,武器奇术!$A:$V,22,FALSE)=1,4,0)+IF(VLOOKUP($E139,武器奇术!$A:$T,20,FALSE)=1,10,0))&gt;0,(IF(VLOOKUP($E139,武器奇术!$A:$R,17,FALSE)="鸣金",$D$7,0)+IF(VLOOKUP($E139,武器奇术!$A:$R,17,FALSE)="裂石",$D$9,0)+IF(VLOOKUP($E139,武器奇术!$A:$R,17,FALSE)="牵丝",$D$11,0)+IF(VLOOKUP($E139,武器奇术!$A:$R,17,FALSE)="破竹",$D$13,0)+$D$15-VLOOKUP($F$7,目标属性!$A:$R,6,FALSE)+IF(VLOOKUP($E139,武器奇术!$A:$V,22,FALSE)=1,4,0)+IF(VLOOKUP($E139,武器奇术!$A:$T,20,FALSE)=1,10,0))/200,(IF(VLOOKUP($E139,武器奇术!$A:$R,17,FALSE)="鸣金",$D$7,0)+IF(VLOOKUP($E139,武器奇术!$A:$R,17,FALSE)="裂石",$D$9,0)+IF(VLOOKUP($E139,武器奇术!$A:$R,17,FALSE)="牵丝",$D$11,0)+IF(VLOOKUP($E139,武器奇术!$A:$R,17,FALSE)="破竹",$D$13,0)+$D$15-VLOOKUP($F$7,目标属性!$A:$R,6,FALSE)+IF(VLOOKUP($E139,武器奇术!$A:$V,22,FALSE)=1,4,0)+IF(VLOOKUP($E139,武器奇术!$A:$T,20,FALSE)=1,10,0))/100)</f>
        <v>0.028</v>
      </c>
      <c r="DG139" s="100">
        <f t="shared" si="139"/>
        <v>0.148</v>
      </c>
      <c r="DH139" s="91">
        <v>1</v>
      </c>
      <c r="DI139" s="92">
        <f>DC139*IF(VLOOKUP($E139,武器奇术!$A:$R,17,FALSE)="破竹",VLOOKUP($E139,武器奇术!$A:$R,4,FALSE),VLOOKUP($E139,武器奇术!$A:$R,2,FALSE))*(1+DF139)*(1+DG139)*DH139</f>
        <v>77.889504</v>
      </c>
      <c r="DJ139" s="93">
        <f>(1-IF(VLOOKUP($E139,武器奇术!$A:$R,16,FALSE)="陌刀",1,$N139))*(1-$M139)</f>
        <v>0</v>
      </c>
      <c r="DK139" s="92">
        <f>DD139*IF(VLOOKUP($E139,武器奇术!$A:$R,17,FALSE)="破竹",VLOOKUP($E139,武器奇术!$A:$R,4,FALSE),VLOOKUP($E139,武器奇术!$A:$R,2,FALSE))*(1+DF139)*(1+DG139)*DH139*(1+$E$16+VLOOKUP($E139,武器奇术!$A:$R,8,FALSE))</f>
        <v>186.0610309824</v>
      </c>
      <c r="DL139" s="93">
        <f t="shared" si="104"/>
        <v>0.8135</v>
      </c>
      <c r="DM139" s="92">
        <f>DE139*IF(VLOOKUP($E139,武器奇术!$A:$R,17,FALSE)="破竹",VLOOKUP($E139,武器奇术!$A:$R,4,FALSE),VLOOKUP($E139,武器奇术!$A:$R,2,FALSE))*(1+DF139)*(1+DG139)*DH139*(1+$E$17+VLOOKUP($E139,武器奇术!$A:$R,10,FALSE))</f>
        <v>200.42385552</v>
      </c>
      <c r="DN139" s="93">
        <f t="shared" si="105"/>
        <v>0.0986</v>
      </c>
      <c r="DO139" s="92">
        <f>DD139*IF(VLOOKUP($E139,武器奇术!$A:$R,17,FALSE)="破竹",VLOOKUP($E139,武器奇术!$A:$R,4,FALSE),VLOOKUP($E139,武器奇术!$A:$R,2,FALSE))*(1+DF139)*(1+DG139)*DH139</f>
        <v>113.1758096</v>
      </c>
      <c r="DP139" s="93">
        <f t="shared" si="106"/>
        <v>0.0879</v>
      </c>
      <c r="DQ139" s="101">
        <f t="shared" si="107"/>
        <v>181.070594522294</v>
      </c>
    </row>
    <row r="140" spans="1:121">
      <c r="E140" s="105" t="s">
        <v>225</v>
      </c>
      <c r="F140" s="106">
        <f t="shared" si="141"/>
        <v>1</v>
      </c>
      <c r="G140" s="107"/>
      <c r="H140" s="92">
        <f>IF(VLOOKUP($E140,武器奇术!$A:$R,18,FALSE)="天工",AE140,(AE140+AT140+BI140+BX140+CM140+DB140+DQ140))*(1+J140)*F140*K140*(1+G140)</f>
        <v>13139.1797025676</v>
      </c>
      <c r="I140" s="93">
        <f t="shared" si="117"/>
        <v>0.00168552969298173</v>
      </c>
      <c r="J140" s="93">
        <f>$F$3+VLOOKUP($E140,武器奇术!$A:$R,12,FALSE)+VLOOKUP($E140,武器奇术!$A:$R,14,FALSE)*$G$3+$P140</f>
        <v>0.403</v>
      </c>
      <c r="K140" s="94">
        <f>VLOOKUP($E140,武器奇术!$A:$R,11,FALSE)</f>
        <v>1</v>
      </c>
      <c r="L140" s="109">
        <f>IF(VLOOKUP($E140,武器奇术!$A:$R,15,FALSE)="天工",0%,IF($C$17+VLOOKUP($E140,武器奇术!$A:$R,7,FALSE)&gt;80%,80%,$C$17+VLOOKUP($E140,武器奇术!$A:$R,7,FALSE))+IF($C$19&gt;20%,20%,$C$19))</f>
        <v>0.8135</v>
      </c>
      <c r="M140" s="110">
        <f>IF(VLOOKUP($E140,武器奇术!$A:$R,15,FALSE)="天工",0%,IF($C$18+VLOOKUP($E140,武器奇术!$A:$R,9,FALSE)&gt;40%,40%,$C$18+VLOOKUP($E140,武器奇术!$A:$R,9,FALSE))+IF($C$20&gt;10%,10%,$C$20))</f>
        <v>0.0986</v>
      </c>
      <c r="N140" s="111">
        <f>IF(VLOOKUP($E140,武器奇术!$A:$R,15,FALSE)="天工",100%,MIN($C$16,1))</f>
        <v>1</v>
      </c>
      <c r="O140" s="112" t="str">
        <f>VLOOKUP($E140,武器奇术!$A:$R,16,FALSE)</f>
        <v>N/A</v>
      </c>
      <c r="P140" s="113">
        <f t="shared" si="108"/>
        <v>0</v>
      </c>
      <c r="Q140" s="99">
        <f>$B$5*(1+VLOOKUP($E140,武器奇术!$A:$R,5,FALSE)+IF($G$5="飞隼",0.1,0)+IF($G$5="撼天",0.05,0))-$F$9*IF(VLOOKUP($E140,武器奇术!$A:$S,19,FALSE)=1,0.9,1)+IF($I$5="√",160,0)</f>
        <v>2848.3</v>
      </c>
      <c r="R140" s="91">
        <f t="shared" si="118"/>
        <v>2848.3</v>
      </c>
      <c r="S140" s="91">
        <f>MAX($C$5,$B$5)*(1+VLOOKUP($E140,武器奇术!$A:$R,5,FALSE)+IF($G$5="飞隼",0.1,0)+IF($G$5="撼天",0.05,0))-$F$9*IF(VLOOKUP($E140,武器奇术!$A:$S,19,FALSE)=1,0.9,1)+IF($I$5="√",320,0)</f>
        <v>2848.3</v>
      </c>
      <c r="T140" s="93">
        <f>IF(($D$5+VLOOKUP($E140,武器奇术!$A:$R,13,FALSE)+IF($I$3="√",10,0)-VLOOKUP($F$7,目标属性!$A:$R,5,FALSE))&gt;0,($D$5+VLOOKUP($E140,武器奇术!$A:$R,13,FALSE)+IF($I$3="√",10,0)-VLOOKUP($F$7,目标属性!$A:$R,5,FALSE))/200,($D$5+VLOOKUP($E140,武器奇术!$A:$R,13,FALSE)+IF($I$3="√",10,0)-VLOOKUP($F$7,目标属性!$A:$R,5,FALSE))/100)</f>
        <v>0.2675</v>
      </c>
      <c r="U140" s="100">
        <f>$E$5+IF(VLOOKUP($E140,武器奇术!$A:$R,18,FALSE)="鼠鼠",0.24,0)</f>
        <v>0</v>
      </c>
      <c r="V140" s="91">
        <v>1</v>
      </c>
      <c r="W140" s="92">
        <f>Q140*VLOOKUP($E140,武器奇术!$A:$R,2,FALSE)*(1+T140)*(1+U140)*V140</f>
        <v>3610.22025</v>
      </c>
      <c r="X140" s="93">
        <f>(1-IF(VLOOKUP($E140,武器奇术!$A:$R,16,FALSE)="陌刀",1,$N140))*(1-$M140)</f>
        <v>0</v>
      </c>
      <c r="Y140" s="92">
        <f>R140*VLOOKUP($E140,武器奇术!$A:$R,2,FALSE)*(1+T140)*(1+U140)*V140*(1+$E$16+VLOOKUP($E140,武器奇术!$A:$R,8,FALSE))</f>
        <v>7740.312216</v>
      </c>
      <c r="Z140" s="93">
        <f t="shared" si="119"/>
        <v>0.8135</v>
      </c>
      <c r="AA140" s="92">
        <f>S140*VLOOKUP($E140,武器奇术!$A:$R,2,FALSE)*(1+T140)*(1+U140)*V140*(1+$E$17+VLOOKUP($E140,武器奇术!$A:$R,10,FALSE))</f>
        <v>4873.7973375</v>
      </c>
      <c r="AB140" s="93">
        <f t="shared" si="120"/>
        <v>0.0986</v>
      </c>
      <c r="AC140" s="92">
        <f>R140*VLOOKUP($E140,武器奇术!$A:$R,2,FALSE)*(1+T140)*(1+U140)*V140</f>
        <v>3610.22025</v>
      </c>
      <c r="AD140" s="93">
        <f t="shared" si="121"/>
        <v>0.0879</v>
      </c>
      <c r="AE140" s="101">
        <f t="shared" si="122"/>
        <v>7094.6387651685</v>
      </c>
      <c r="AF140" s="102">
        <f>VLOOKUP($E140,武器奇术!$A:$R,3,FALSE)*(1+IF(VLOOKUP($E140,武器奇术!$A:$R,15,FALSE)="武器",$E$15,0))</f>
        <v>0</v>
      </c>
      <c r="AG140" s="92">
        <f t="shared" si="123"/>
        <v>0</v>
      </c>
      <c r="AH140" s="92">
        <f>VLOOKUP($E140,武器奇术!$A:$R,3,FALSE)*(1+IF(VLOOKUP($E140,武器奇术!$A:$R,15,FALSE)="武器",$E$15,0))</f>
        <v>0</v>
      </c>
      <c r="AI140" s="93">
        <f>IF(($D$5+VLOOKUP($E140,武器奇术!$A:$R,13,FALSE)+IF($I$3="√",10,0)-VLOOKUP($F$7,目标属性!$A:$R,5,FALSE))&gt;0,($D$5+VLOOKUP($E140,武器奇术!$A:$R,13,FALSE)+IF($I$3="√",10,0)-VLOOKUP($F$7,目标属性!$A:$R,5,FALSE))/200,($D$5+VLOOKUP($E140,武器奇术!$A:$R,13,FALSE)+IF($I$3="√",10,0)-VLOOKUP($F$7,目标属性!$A:$R,5,FALSE))/100)</f>
        <v>0.2675</v>
      </c>
      <c r="AJ140" s="100">
        <f>$E$5+IF(VLOOKUP($E140,武器奇术!$A:$R,18,FALSE)="鼠鼠",0.24,0)</f>
        <v>0</v>
      </c>
      <c r="AK140" s="91">
        <v>1</v>
      </c>
      <c r="AL140" s="92">
        <f t="shared" si="109"/>
        <v>0</v>
      </c>
      <c r="AM140" s="93">
        <f>(1-IF(VLOOKUP($E140,武器奇术!$A:$R,16,FALSE)="陌刀",1,$N140))*(1-$M140)</f>
        <v>0</v>
      </c>
      <c r="AN140" s="92">
        <f>AG140*(1+AI140)*(1+AJ140)*AK140*(1+$E$16+VLOOKUP($E140,武器奇术!$A:$R,8,FALSE))</f>
        <v>0</v>
      </c>
      <c r="AO140" s="93">
        <f t="shared" si="94"/>
        <v>0.8135</v>
      </c>
      <c r="AP140" s="92">
        <f>AH140*(1+AI140)*(1+AJ140)*AK140*(1+$E$17+VLOOKUP($E140,武器奇术!$A:$R,10,FALSE))</f>
        <v>0</v>
      </c>
      <c r="AQ140" s="93">
        <f t="shared" si="95"/>
        <v>0.0986</v>
      </c>
      <c r="AR140" s="92">
        <f t="shared" si="124"/>
        <v>0</v>
      </c>
      <c r="AS140" s="93">
        <f t="shared" si="125"/>
        <v>0.0879</v>
      </c>
      <c r="AT140" s="101">
        <f t="shared" si="126"/>
        <v>0</v>
      </c>
      <c r="AU140" s="99">
        <f>IF(VLOOKUP($E140,武器奇术!$A:$R,18,FALSE)="极乐",0,$B$7*IF($G$5="撼天",1.05,1)+IF(AND(VLOOKUP($E140,武器奇术!$A:$R,15,FALSE)="武器",VLOOKUP($E140,武器奇术!$A:$R,17,FALSE)="鸣金"),$E$3*(1+$E$15),0))</f>
        <v>0</v>
      </c>
      <c r="AV140" s="91">
        <f t="shared" si="127"/>
        <v>0</v>
      </c>
      <c r="AW140" s="91">
        <f>IF(VLOOKUP($E140,武器奇术!$A:$R,18,FALSE)="极乐",0,MAX($C$7*IF($G$5="撼天",1.05,1)+IF(AND(VLOOKUP($E140,武器奇术!$A:$R,15,FALSE)="武器",VLOOKUP($E140,武器奇术!$A:$R,17,FALSE)="鸣金"),$E$3*(1+$E$15),0),AU140))</f>
        <v>0</v>
      </c>
      <c r="AX140" s="93">
        <f>IF(($D$7+IF(VLOOKUP($E140,武器奇术!$A:$R,17,FALSE)="鸣金",$D$15,0)-VLOOKUP($F$7,目标属性!$A:$R,6,FALSE))&gt;0,($D$7+IF(VLOOKUP($E140,武器奇术!$A:$R,17,FALSE)="鸣金",$D$15,0)-VLOOKUP($F$7,目标属性!$A:$R,6,FALSE))/200,($D$7+IF(VLOOKUP($E140,武器奇术!$A:$R,17,FALSE)="鸣金",$D$15,0)-VLOOKUP($F$7,目标属性!$A:$R,6,FALSE))/100)</f>
        <v>-0.24</v>
      </c>
      <c r="AY140" s="100">
        <f t="shared" si="89"/>
        <v>0</v>
      </c>
      <c r="AZ140" s="91">
        <v>1</v>
      </c>
      <c r="BA140" s="92">
        <f>AU140*IF(VLOOKUP($E140,武器奇术!$A:$R,17,FALSE)="鸣金",VLOOKUP($E140,武器奇术!$A:$R,4,FALSE),VLOOKUP($E140,武器奇术!$A:$R,2,FALSE))*(1+AX140)*(1+AY140)*AZ140</f>
        <v>0</v>
      </c>
      <c r="BB140" s="93">
        <f>(1-IF(VLOOKUP($E140,武器奇术!$A:$R,16,FALSE)="陌刀",1,$N140))*(1-$M140)</f>
        <v>0</v>
      </c>
      <c r="BC140" s="92">
        <f>AV140*IF(VLOOKUP($E140,武器奇术!$A:$R,17,FALSE)="鸣金",VLOOKUP($E140,武器奇术!$A:$R,4,FALSE),VLOOKUP($E140,武器奇术!$A:$R,2,FALSE))*(1+AX140)*(1+AY140)*AZ140*(1+$E$16+VLOOKUP($E140,武器奇术!$A:$R,8,FALSE))</f>
        <v>0</v>
      </c>
      <c r="BD140" s="93">
        <f t="shared" si="96"/>
        <v>0.8135</v>
      </c>
      <c r="BE140" s="92">
        <f>AW140*IF(VLOOKUP($E140,武器奇术!$A:$R,17,FALSE)="鸣金",VLOOKUP($E140,武器奇术!$A:$R,4,FALSE),VLOOKUP($E140,武器奇术!$A:$R,2,FALSE))*(1+AX140)*(1+AY140)*AZ140*(1+$E$17+VLOOKUP($E140,武器奇术!$A:$R,10,FALSE))</f>
        <v>0</v>
      </c>
      <c r="BF140" s="93">
        <f t="shared" si="97"/>
        <v>0.0986</v>
      </c>
      <c r="BG140" s="92">
        <f>AV140*IF(VLOOKUP($E140,武器奇术!$A:$R,17,FALSE)="鸣金",VLOOKUP($E140,武器奇术!$A:$R,4,FALSE),VLOOKUP($E140,武器奇术!$A:$R,2,FALSE))*(1+AX140)*(1+AY140)*AZ140</f>
        <v>0</v>
      </c>
      <c r="BH140" s="93">
        <f t="shared" si="128"/>
        <v>0.0879</v>
      </c>
      <c r="BI140" s="101">
        <f t="shared" si="129"/>
        <v>0</v>
      </c>
      <c r="BJ140" s="99">
        <f>IF(VLOOKUP($E140,武器奇术!$A:$R,18,FALSE)="极乐",0,$B$9*IF($G$5="撼天",1.05,1)+IF(AND(VLOOKUP($E140,武器奇术!$A:$R,15,FALSE)="武器",VLOOKUP($E140,武器奇术!$A:$R,17,FALSE)="裂石"),$E$3*(1+$E$15),0))</f>
        <v>0</v>
      </c>
      <c r="BK140" s="91">
        <f t="shared" si="130"/>
        <v>0</v>
      </c>
      <c r="BL140" s="91">
        <f>IF(VLOOKUP($E140,武器奇术!$A:$R,18,FALSE)="极乐",0,MAX($C$9*IF($G$5="撼天",1.05,1)+IF(AND(VLOOKUP($E140,武器奇术!$A:$R,15,FALSE)="武器",VLOOKUP($E140,武器奇术!$A:$R,17,FALSE)="裂石"),$E$3*(1+$E$15),0),BJ140))</f>
        <v>0</v>
      </c>
      <c r="BM140" s="93">
        <f>IF(($D$9+IF(VLOOKUP($E140,武器奇术!$A:$R,17,FALSE)="裂石",$D$15,0)-VLOOKUP($F$7,目标属性!$A:$R,6,FALSE))&gt;0,($D$9+IF(VLOOKUP($E140,武器奇术!$A:$R,17,FALSE)="裂石",$D$15,0)-VLOOKUP($F$7,目标属性!$A:$R,6,FALSE))/200,($D$9+IF(VLOOKUP($E140,武器奇术!$A:$R,17,FALSE)="裂石",$D$15,0)-VLOOKUP($F$7,目标属性!$A:$R,6,FALSE))/100)</f>
        <v>-0.24</v>
      </c>
      <c r="BN140" s="100">
        <f t="shared" si="90"/>
        <v>0</v>
      </c>
      <c r="BO140" s="91">
        <v>1</v>
      </c>
      <c r="BP140" s="92">
        <f>BJ140*IF(VLOOKUP($E140,武器奇术!$A:$R,17,FALSE)="裂石",VLOOKUP($E140,武器奇术!$A:$R,4,FALSE),VLOOKUP($E140,武器奇术!$A:$R,2,FALSE))*(1+BM140)*(1+BN140)*BO140</f>
        <v>0</v>
      </c>
      <c r="BQ140" s="93">
        <f>(1-IF(VLOOKUP($E140,武器奇术!$A:$R,16,FALSE)="陌刀",1,$N140))*(1-$M140)</f>
        <v>0</v>
      </c>
      <c r="BR140" s="92">
        <f>BK140*IF(VLOOKUP($E140,武器奇术!$A:$R,17,FALSE)="裂石",VLOOKUP($E140,武器奇术!$A:$R,4,FALSE),VLOOKUP($E140,武器奇术!$A:$R,2,FALSE))*(1+BM140)*(1+BN140)*BO140*(1+$E$16+VLOOKUP($E140,武器奇术!$A:$R,8,FALSE))</f>
        <v>0</v>
      </c>
      <c r="BS140" s="93">
        <f t="shared" si="98"/>
        <v>0.8135</v>
      </c>
      <c r="BT140" s="92">
        <f>BL140*IF(VLOOKUP($E140,武器奇术!$A:$R,17,FALSE)="裂石",VLOOKUP($E140,武器奇术!$A:$R,4,FALSE),VLOOKUP($E140,武器奇术!$A:$R,2,FALSE))*(1+BM140)*(1+BN140)*BO140*(1+$E$17+VLOOKUP($E140,武器奇术!$A:$R,10,FALSE))</f>
        <v>0</v>
      </c>
      <c r="BU140" s="93">
        <f t="shared" si="99"/>
        <v>0.0986</v>
      </c>
      <c r="BV140" s="92">
        <f>BK140*IF(VLOOKUP($E140,武器奇术!$A:$R,17,FALSE)="裂石",VLOOKUP($E140,武器奇术!$A:$R,4,FALSE),VLOOKUP($E140,武器奇术!$A:$R,2,FALSE))*(1+BM140)*(1+BN140)*BO140</f>
        <v>0</v>
      </c>
      <c r="BW140" s="93">
        <f t="shared" si="131"/>
        <v>0.0879</v>
      </c>
      <c r="BX140" s="101">
        <f t="shared" si="132"/>
        <v>0</v>
      </c>
      <c r="BY140" s="99">
        <f>IF(VLOOKUP($E140,武器奇术!$A:$R,18,FALSE)="极乐",0,$B$11*IF($G$5="撼天",1.05,1)+IF(AND(VLOOKUP($E140,武器奇术!$A:$R,15,FALSE)="武器",VLOOKUP($E140,武器奇术!$A:$R,17,FALSE)="牵丝"),$E$3*(1+$E$15),0))</f>
        <v>0</v>
      </c>
      <c r="BZ140" s="91">
        <f t="shared" si="133"/>
        <v>0</v>
      </c>
      <c r="CA140" s="91">
        <f>IF(VLOOKUP($E140,武器奇术!$A:$R,18,FALSE)="极乐",0,MAX($C$11*IF($G$5="撼天",1.05,1)+IF(AND(VLOOKUP($E140,武器奇术!$A:$R,15,FALSE)="武器",VLOOKUP($E140,武器奇术!$A:$R,17,FALSE)="牵丝"),$E$3*(1+$E$15),0),BY140))</f>
        <v>0</v>
      </c>
      <c r="CB140" s="93">
        <f>IF(($D$11+IF(VLOOKUP($E140,武器奇术!$A:$R,17,FALSE)="牵丝",$D$15,0)-VLOOKUP($F$7,目标属性!$A:$R,6,FALSE))&gt;0,($D$11+IF(VLOOKUP($E140,武器奇术!$A:$R,17,FALSE)="牵丝",$D$15,0)-VLOOKUP($F$7,目标属性!$A:$R,6,FALSE))/200,($D$11+IF(VLOOKUP($E140,武器奇术!$A:$R,17,FALSE)="牵丝",$D$15,0)-VLOOKUP($F$7,目标属性!$A:$R,6,FALSE))/100)</f>
        <v>-0.24</v>
      </c>
      <c r="CC140" s="100">
        <f t="shared" si="91"/>
        <v>0</v>
      </c>
      <c r="CD140" s="91">
        <v>1</v>
      </c>
      <c r="CE140" s="92">
        <f>BY140*IF(VLOOKUP($E140,武器奇术!$A:$R,17,FALSE)="牵丝",VLOOKUP($E140,武器奇术!$A:$R,4,FALSE),VLOOKUP($E140,武器奇术!$A:$R,2,FALSE))*(1+CB140)*(1+CC140)*CD140</f>
        <v>0</v>
      </c>
      <c r="CF140" s="93">
        <f>(1-IF(VLOOKUP($E140,武器奇术!$A:$R,16,FALSE)="陌刀",1,$N140))*(1-$M140)</f>
        <v>0</v>
      </c>
      <c r="CG140" s="92">
        <f>BZ140*IF(VLOOKUP($E140,武器奇术!$A:$R,17,FALSE)="牵丝",VLOOKUP($E140,武器奇术!$A:$R,4,FALSE),VLOOKUP($E140,武器奇术!$A:$R,2,FALSE))*(1+CB140)*(1+CC140)*CD140*(1+$E$16+VLOOKUP($E140,武器奇术!$A:$R,8,FALSE))</f>
        <v>0</v>
      </c>
      <c r="CH140" s="93">
        <f t="shared" si="100"/>
        <v>0.8135</v>
      </c>
      <c r="CI140" s="92">
        <f>CA140*IF(VLOOKUP($E140,武器奇术!$A:$R,17,FALSE)="牵丝",VLOOKUP($E140,武器奇术!$A:$R,4,FALSE),VLOOKUP($E140,武器奇术!$A:$R,2,FALSE))*(1+CB140)*(1+CC140)*CD140*(1+$E$17+VLOOKUP($E140,武器奇术!$A:$R,10,FALSE))</f>
        <v>0</v>
      </c>
      <c r="CJ140" s="93">
        <f t="shared" si="101"/>
        <v>0.0986</v>
      </c>
      <c r="CK140" s="92">
        <f>BZ140*IF(VLOOKUP($E140,武器奇术!$A:$R,17,FALSE)="牵丝",VLOOKUP($E140,武器奇术!$A:$R,4,FALSE),VLOOKUP($E140,武器奇术!$A:$R,2,FALSE))*(1+CB140)*(1+CC140)*CD140</f>
        <v>0</v>
      </c>
      <c r="CL140" s="93">
        <f t="shared" si="134"/>
        <v>0.0879</v>
      </c>
      <c r="CM140" s="101">
        <f t="shared" si="135"/>
        <v>0</v>
      </c>
      <c r="CN140" s="99">
        <f>IF(VLOOKUP($E140,武器奇术!$A:$R,18,FALSE)="极乐",0,$B$13*IF($G$5="撼天",1.05,1)+IF(AND(VLOOKUP($E140,武器奇术!$A:$R,15,FALSE)="武器",VLOOKUP($E140,武器奇术!$A:$R,17,FALSE)="破竹"),$E$3*(1+$E$15),0))</f>
        <v>490.8</v>
      </c>
      <c r="CO140" s="91">
        <f t="shared" si="136"/>
        <v>856.3</v>
      </c>
      <c r="CP140" s="91">
        <f>IF(VLOOKUP($E140,武器奇术!$A:$R,18,FALSE)="极乐",0,MAX($C$13*IF($G$5="撼天",1.05,1)+IF(AND(VLOOKUP($E140,武器奇术!$A:$R,15,FALSE)="武器",VLOOKUP($E140,武器奇术!$A:$R,17,FALSE)="破竹"),$E$3*(1+$E$15),0),CN140))</f>
        <v>1221.8</v>
      </c>
      <c r="CQ140" s="93">
        <f>IF(($D$13+IF(VLOOKUP($E140,武器奇术!$A:$R,17,FALSE)="破竹",$D$15,0)-VLOOKUP($F$7,目标属性!$A:$R,6,FALSE)+IF(VLOOKUP($E140,武器奇术!$A:$V,22,FALSE)=1,4,0)+IF(VLOOKUP($E140,武器奇术!$A:$T,20,FALSE)=1,10,0))&gt;0,($D$13+IF(VLOOKUP($E140,武器奇术!$A:$R,17,FALSE)="破竹",$D$15,0)-VLOOKUP($F$7,目标属性!$A:$R,6,FALSE)+IF(VLOOKUP($E140,武器奇术!$A:$V,22,FALSE)=1,4,0)+IF(VLOOKUP($E140,武器奇术!$A:$T,20,FALSE)=1,10,0))/200,($D$13+IF(VLOOKUP($E140,武器奇术!$A:$R,17,FALSE)="破竹",$D$15,0)-VLOOKUP($F$7,目标属性!$A:$R,6,FALSE)+IF(VLOOKUP($E140,武器奇术!$A:$V,22,FALSE)=1,4,0)+IF(VLOOKUP($E140,武器奇术!$A:$T,20,FALSE)=1,10,0))/100)</f>
        <v>0.028</v>
      </c>
      <c r="CR140" s="100">
        <f t="shared" si="140"/>
        <v>0.148</v>
      </c>
      <c r="CS140" s="91">
        <v>1</v>
      </c>
      <c r="CT140" s="92">
        <f>CN140*IF(VLOOKUP($E140,武器奇术!$A:$R,17,FALSE)="破竹",VLOOKUP($E140,武器奇术!$A:$R,4,FALSE),VLOOKUP($E140,武器奇术!$A:$R,2,FALSE))*(1+CQ140)*(1+CR140)*CS140</f>
        <v>579.2146752</v>
      </c>
      <c r="CU140" s="93">
        <f>(1-IF(VLOOKUP($E140,武器奇术!$A:$R,16,FALSE)="陌刀",1,$N140))*(1-$M140)</f>
        <v>0</v>
      </c>
      <c r="CV140" s="92">
        <f>CO140*IF(VLOOKUP($E140,武器奇术!$A:$R,17,FALSE)="破竹",VLOOKUP($E140,武器奇术!$A:$R,4,FALSE),VLOOKUP($E140,武器奇术!$A:$R,2,FALSE))*(1+CQ140)*(1+CR140)*CS140*(1+$E$16+VLOOKUP($E140,武器奇术!$A:$R,8,FALSE))</f>
        <v>2166.6348666368</v>
      </c>
      <c r="CW140" s="93">
        <f t="shared" si="102"/>
        <v>0.8135</v>
      </c>
      <c r="CX140" s="92">
        <f>CP140*IF(VLOOKUP($E140,武器奇术!$A:$R,17,FALSE)="破竹",VLOOKUP($E140,武器奇术!$A:$R,4,FALSE),VLOOKUP($E140,武器奇术!$A:$R,2,FALSE))*(1+CQ140)*(1+CR140)*CS140*(1+$E$17+VLOOKUP($E140,武器奇术!$A:$R,10,FALSE))</f>
        <v>1946.56491792</v>
      </c>
      <c r="CY140" s="93">
        <f t="shared" si="103"/>
        <v>0.0986</v>
      </c>
      <c r="CZ140" s="92">
        <f>CO140*IF(VLOOKUP($E140,武器奇术!$A:$R,17,FALSE)="破竹",VLOOKUP($E140,武器奇术!$A:$R,4,FALSE),VLOOKUP($E140,武器奇术!$A:$R,2,FALSE))*(1+CQ140)*(1+CR140)*CS140</f>
        <v>1010.5573072</v>
      </c>
      <c r="DA140" s="93">
        <f t="shared" si="137"/>
        <v>0.0879</v>
      </c>
      <c r="DB140" s="101">
        <f t="shared" si="138"/>
        <v>2043.31675221883</v>
      </c>
      <c r="DC140" s="99">
        <f>IF(VLOOKUP($E140,武器奇术!$A:$R,18,FALSE)="极乐",0,$B$15)</f>
        <v>66</v>
      </c>
      <c r="DD140" s="91">
        <f t="shared" si="111"/>
        <v>95.9</v>
      </c>
      <c r="DE140" s="91">
        <f>IF(VLOOKUP($E140,武器奇术!$A:$R,18,FALSE)="极乐",0,$C$15)</f>
        <v>125.8</v>
      </c>
      <c r="DF140" s="93">
        <f>IF((IF(VLOOKUP($E140,武器奇术!$A:$R,17,FALSE)="鸣金",$D$7,0)+IF(VLOOKUP($E140,武器奇术!$A:$R,17,FALSE)="裂石",$D$9,0)+IF(VLOOKUP($E140,武器奇术!$A:$R,17,FALSE)="牵丝",$D$11,0)+IF(VLOOKUP($E140,武器奇术!$A:$R,17,FALSE)="破竹",$D$13,0)+$D$15-VLOOKUP($F$7,目标属性!$A:$R,6,FALSE)+IF(VLOOKUP($E140,武器奇术!$A:$V,22,FALSE)=1,4,0)+IF(VLOOKUP($E140,武器奇术!$A:$T,20,FALSE)=1,10,0))&gt;0,(IF(VLOOKUP($E140,武器奇术!$A:$R,17,FALSE)="鸣金",$D$7,0)+IF(VLOOKUP($E140,武器奇术!$A:$R,17,FALSE)="裂石",$D$9,0)+IF(VLOOKUP($E140,武器奇术!$A:$R,17,FALSE)="牵丝",$D$11,0)+IF(VLOOKUP($E140,武器奇术!$A:$R,17,FALSE)="破竹",$D$13,0)+$D$15-VLOOKUP($F$7,目标属性!$A:$R,6,FALSE)+IF(VLOOKUP($E140,武器奇术!$A:$V,22,FALSE)=1,4,0)+IF(VLOOKUP($E140,武器奇术!$A:$T,20,FALSE)=1,10,0))/200,(IF(VLOOKUP($E140,武器奇术!$A:$R,17,FALSE)="鸣金",$D$7,0)+IF(VLOOKUP($E140,武器奇术!$A:$R,17,FALSE)="裂石",$D$9,0)+IF(VLOOKUP($E140,武器奇术!$A:$R,17,FALSE)="牵丝",$D$11,0)+IF(VLOOKUP($E140,武器奇术!$A:$R,17,FALSE)="破竹",$D$13,0)+$D$15-VLOOKUP($F$7,目标属性!$A:$R,6,FALSE)+IF(VLOOKUP($E140,武器奇术!$A:$V,22,FALSE)=1,4,0)+IF(VLOOKUP($E140,武器奇术!$A:$T,20,FALSE)=1,10,0))/100)</f>
        <v>0.028</v>
      </c>
      <c r="DG140" s="100">
        <f t="shared" si="139"/>
        <v>0.148</v>
      </c>
      <c r="DH140" s="91">
        <v>1</v>
      </c>
      <c r="DI140" s="92">
        <f>DC140*IF(VLOOKUP($E140,武器奇术!$A:$R,17,FALSE)="破竹",VLOOKUP($E140,武器奇术!$A:$R,4,FALSE),VLOOKUP($E140,武器奇术!$A:$R,2,FALSE))*(1+DF140)*(1+DG140)*DH140</f>
        <v>77.889504</v>
      </c>
      <c r="DJ140" s="93">
        <f>(1-IF(VLOOKUP($E140,武器奇术!$A:$R,16,FALSE)="陌刀",1,$N140))*(1-$M140)</f>
        <v>0</v>
      </c>
      <c r="DK140" s="92">
        <f>DD140*IF(VLOOKUP($E140,武器奇术!$A:$R,17,FALSE)="破竹",VLOOKUP($E140,武器奇术!$A:$R,4,FALSE),VLOOKUP($E140,武器奇术!$A:$R,2,FALSE))*(1+DF140)*(1+DG140)*DH140*(1+$E$16+VLOOKUP($E140,武器奇术!$A:$R,8,FALSE))</f>
        <v>242.6489357824</v>
      </c>
      <c r="DL140" s="93">
        <f t="shared" si="104"/>
        <v>0.8135</v>
      </c>
      <c r="DM140" s="92">
        <f>DE140*IF(VLOOKUP($E140,武器奇术!$A:$R,17,FALSE)="破竹",VLOOKUP($E140,武器奇术!$A:$R,4,FALSE),VLOOKUP($E140,武器奇术!$A:$R,2,FALSE))*(1+DF140)*(1+DG140)*DH140*(1+$E$17+VLOOKUP($E140,武器奇术!$A:$R,10,FALSE))</f>
        <v>200.42385552</v>
      </c>
      <c r="DN140" s="93">
        <f t="shared" si="105"/>
        <v>0.0986</v>
      </c>
      <c r="DO140" s="92">
        <f>DD140*IF(VLOOKUP($E140,武器奇术!$A:$R,17,FALSE)="破竹",VLOOKUP($E140,武器奇术!$A:$R,4,FALSE),VLOOKUP($E140,武器奇术!$A:$R,2,FALSE))*(1+DF140)*(1+DG140)*DH140</f>
        <v>113.1758096</v>
      </c>
      <c r="DP140" s="93">
        <f t="shared" si="106"/>
        <v>0.0879</v>
      </c>
      <c r="DQ140" s="101">
        <f t="shared" si="107"/>
        <v>227.104855077094</v>
      </c>
    </row>
    <row r="141" spans="1:121">
      <c r="E141" s="105" t="s">
        <v>220</v>
      </c>
      <c r="F141" s="106">
        <f t="shared" si="141"/>
        <v>1</v>
      </c>
      <c r="G141" s="107"/>
      <c r="H141" s="92">
        <f>IF(VLOOKUP($E141,武器奇术!$A:$R,18,FALSE)="天工",AE141,(AE141+AT141+BI141+BX141+CM141+DB141+DQ141))*(1+J141)*F141*K141*(1+G141)</f>
        <v>10437.6533512475</v>
      </c>
      <c r="I141" s="93">
        <f t="shared" si="117"/>
        <v>0.00133897054814921</v>
      </c>
      <c r="J141" s="93">
        <f>$F$3+VLOOKUP($E141,武器奇术!$A:$R,12,FALSE)+VLOOKUP($E141,武器奇术!$A:$R,14,FALSE)*$G$3+$P141</f>
        <v>0.403</v>
      </c>
      <c r="K141" s="94">
        <f>VLOOKUP($E141,武器奇术!$A:$R,11,FALSE)</f>
        <v>1</v>
      </c>
      <c r="L141" s="109">
        <f>IF(VLOOKUP($E141,武器奇术!$A:$R,15,FALSE)="天工",0%,IF($C$17+VLOOKUP($E141,武器奇术!$A:$R,7,FALSE)&gt;80%,80%,$C$17+VLOOKUP($E141,武器奇术!$A:$R,7,FALSE))+IF($C$19&gt;20%,20%,$C$19))</f>
        <v>0.8135</v>
      </c>
      <c r="M141" s="110">
        <f>IF(VLOOKUP($E141,武器奇术!$A:$R,15,FALSE)="天工",0%,IF($C$18+VLOOKUP($E141,武器奇术!$A:$R,9,FALSE)&gt;40%,40%,$C$18+VLOOKUP($E141,武器奇术!$A:$R,9,FALSE))+IF($C$20&gt;10%,10%,$C$20))</f>
        <v>0.0986</v>
      </c>
      <c r="N141" s="111">
        <f>IF(VLOOKUP($E141,武器奇术!$A:$R,15,FALSE)="天工",100%,MIN($C$16,1))</f>
        <v>1</v>
      </c>
      <c r="O141" s="112" t="str">
        <f>VLOOKUP($E141,武器奇术!$A:$R,16,FALSE)</f>
        <v>N/A</v>
      </c>
      <c r="P141" s="113">
        <f t="shared" si="108"/>
        <v>0</v>
      </c>
      <c r="Q141" s="99">
        <f>$B$5*(1+VLOOKUP($E141,武器奇术!$A:$R,5,FALSE)+IF($G$5="飞隼",0.1,0)+IF($G$5="撼天",0.05,0))-$F$9*IF(VLOOKUP($E141,武器奇术!$A:$S,19,FALSE)=1,0.9,1)+IF($I$5="√",160,0)</f>
        <v>2848.3</v>
      </c>
      <c r="R141" s="91">
        <f t="shared" si="118"/>
        <v>2848.3</v>
      </c>
      <c r="S141" s="91">
        <f>MAX($C$5,$B$5)*(1+VLOOKUP($E141,武器奇术!$A:$R,5,FALSE)+IF($G$5="飞隼",0.1,0)+IF($G$5="撼天",0.05,0))-$F$9*IF(VLOOKUP($E141,武器奇术!$A:$S,19,FALSE)=1,0.9,1)+IF($I$5="√",320,0)</f>
        <v>2848.3</v>
      </c>
      <c r="T141" s="93">
        <f>IF(($D$5+VLOOKUP($E141,武器奇术!$A:$R,13,FALSE)+IF($I$3="√",10,0)-VLOOKUP($F$7,目标属性!$A:$R,5,FALSE))&gt;0,($D$5+VLOOKUP($E141,武器奇术!$A:$R,13,FALSE)+IF($I$3="√",10,0)-VLOOKUP($F$7,目标属性!$A:$R,5,FALSE))/200,($D$5+VLOOKUP($E141,武器奇术!$A:$R,13,FALSE)+IF($I$3="√",10,0)-VLOOKUP($F$7,目标属性!$A:$R,5,FALSE))/100)</f>
        <v>0.2675</v>
      </c>
      <c r="U141" s="100">
        <f>$E$5+IF(VLOOKUP($E141,武器奇术!$A:$R,18,FALSE)="鼠鼠",0.24,0)</f>
        <v>0</v>
      </c>
      <c r="V141" s="91">
        <v>1</v>
      </c>
      <c r="W141" s="92">
        <f>Q141*VLOOKUP($E141,武器奇术!$A:$R,2,FALSE)*(1+T141)*(1+U141)*V141</f>
        <v>3610.22025</v>
      </c>
      <c r="X141" s="93">
        <f>(1-IF(VLOOKUP($E141,武器奇术!$A:$R,16,FALSE)="陌刀",1,$N141))*(1-$M141)</f>
        <v>0</v>
      </c>
      <c r="Y141" s="92">
        <f>R141*VLOOKUP($E141,武器奇术!$A:$R,2,FALSE)*(1+T141)*(1+U141)*V141*(1+$E$16+VLOOKUP($E141,武器奇术!$A:$R,8,FALSE))</f>
        <v>5935.202091</v>
      </c>
      <c r="Z141" s="93">
        <f t="shared" si="119"/>
        <v>0.8135</v>
      </c>
      <c r="AA141" s="92">
        <f>S141*VLOOKUP($E141,武器奇术!$A:$R,2,FALSE)*(1+T141)*(1+U141)*V141*(1+$E$17+VLOOKUP($E141,武器奇术!$A:$R,10,FALSE))</f>
        <v>4873.7973375</v>
      </c>
      <c r="AB141" s="93">
        <f t="shared" si="120"/>
        <v>0.0986</v>
      </c>
      <c r="AC141" s="92">
        <f>R141*VLOOKUP($E141,武器奇术!$A:$R,2,FALSE)*(1+T141)*(1+U141)*V141</f>
        <v>3610.22025</v>
      </c>
      <c r="AD141" s="93">
        <f t="shared" si="121"/>
        <v>0.0879</v>
      </c>
      <c r="AE141" s="101">
        <f t="shared" si="122"/>
        <v>5626.181678481</v>
      </c>
      <c r="AF141" s="102">
        <f>VLOOKUP($E141,武器奇术!$A:$R,3,FALSE)*(1+IF(VLOOKUP($E141,武器奇术!$A:$R,15,FALSE)="武器",$E$15,0))</f>
        <v>0</v>
      </c>
      <c r="AG141" s="92">
        <f t="shared" si="123"/>
        <v>0</v>
      </c>
      <c r="AH141" s="92">
        <f>VLOOKUP($E141,武器奇术!$A:$R,3,FALSE)*(1+IF(VLOOKUP($E141,武器奇术!$A:$R,15,FALSE)="武器",$E$15,0))</f>
        <v>0</v>
      </c>
      <c r="AI141" s="93">
        <f>IF(($D$5+VLOOKUP($E141,武器奇术!$A:$R,13,FALSE)+IF($I$3="√",10,0)-VLOOKUP($F$7,目标属性!$A:$R,5,FALSE))&gt;0,($D$5+VLOOKUP($E141,武器奇术!$A:$R,13,FALSE)+IF($I$3="√",10,0)-VLOOKUP($F$7,目标属性!$A:$R,5,FALSE))/200,($D$5+VLOOKUP($E141,武器奇术!$A:$R,13,FALSE)+IF($I$3="√",10,0)-VLOOKUP($F$7,目标属性!$A:$R,5,FALSE))/100)</f>
        <v>0.2675</v>
      </c>
      <c r="AJ141" s="100">
        <f>$E$5+IF(VLOOKUP($E141,武器奇术!$A:$R,18,FALSE)="鼠鼠",0.24,0)</f>
        <v>0</v>
      </c>
      <c r="AK141" s="91">
        <v>1</v>
      </c>
      <c r="AL141" s="92">
        <f t="shared" si="109"/>
        <v>0</v>
      </c>
      <c r="AM141" s="93">
        <f>(1-IF(VLOOKUP($E141,武器奇术!$A:$R,16,FALSE)="陌刀",1,$N141))*(1-$M141)</f>
        <v>0</v>
      </c>
      <c r="AN141" s="92">
        <f>AG141*(1+AI141)*(1+AJ141)*AK141*(1+$E$16+VLOOKUP($E141,武器奇术!$A:$R,8,FALSE))</f>
        <v>0</v>
      </c>
      <c r="AO141" s="93">
        <f t="shared" si="94"/>
        <v>0.8135</v>
      </c>
      <c r="AP141" s="92">
        <f>AH141*(1+AI141)*(1+AJ141)*AK141*(1+$E$17+VLOOKUP($E141,武器奇术!$A:$R,10,FALSE))</f>
        <v>0</v>
      </c>
      <c r="AQ141" s="93">
        <f t="shared" si="95"/>
        <v>0.0986</v>
      </c>
      <c r="AR141" s="92">
        <f t="shared" si="124"/>
        <v>0</v>
      </c>
      <c r="AS141" s="93">
        <f t="shared" si="125"/>
        <v>0.0879</v>
      </c>
      <c r="AT141" s="101">
        <f t="shared" si="126"/>
        <v>0</v>
      </c>
      <c r="AU141" s="99">
        <f>IF(VLOOKUP($E141,武器奇术!$A:$R,18,FALSE)="极乐",0,$B$7*IF($G$5="撼天",1.05,1)+IF(AND(VLOOKUP($E141,武器奇术!$A:$R,15,FALSE)="武器",VLOOKUP($E141,武器奇术!$A:$R,17,FALSE)="鸣金"),$E$3*(1+$E$15),0))</f>
        <v>0</v>
      </c>
      <c r="AV141" s="91">
        <f t="shared" si="127"/>
        <v>0</v>
      </c>
      <c r="AW141" s="91">
        <f>IF(VLOOKUP($E141,武器奇术!$A:$R,18,FALSE)="极乐",0,MAX($C$7*IF($G$5="撼天",1.05,1)+IF(AND(VLOOKUP($E141,武器奇术!$A:$R,15,FALSE)="武器",VLOOKUP($E141,武器奇术!$A:$R,17,FALSE)="鸣金"),$E$3*(1+$E$15),0),AU141))</f>
        <v>0</v>
      </c>
      <c r="AX141" s="93">
        <f>IF(($D$7+IF(VLOOKUP($E141,武器奇术!$A:$R,17,FALSE)="鸣金",$D$15,0)-VLOOKUP($F$7,目标属性!$A:$R,6,FALSE))&gt;0,($D$7+IF(VLOOKUP($E141,武器奇术!$A:$R,17,FALSE)="鸣金",$D$15,0)-VLOOKUP($F$7,目标属性!$A:$R,6,FALSE))/200,($D$7+IF(VLOOKUP($E141,武器奇术!$A:$R,17,FALSE)="鸣金",$D$15,0)-VLOOKUP($F$7,目标属性!$A:$R,6,FALSE))/100)</f>
        <v>-0.24</v>
      </c>
      <c r="AY141" s="100">
        <f t="shared" si="89"/>
        <v>0</v>
      </c>
      <c r="AZ141" s="91">
        <v>1</v>
      </c>
      <c r="BA141" s="92">
        <f>AU141*IF(VLOOKUP($E141,武器奇术!$A:$R,17,FALSE)="鸣金",VLOOKUP($E141,武器奇术!$A:$R,4,FALSE),VLOOKUP($E141,武器奇术!$A:$R,2,FALSE))*(1+AX141)*(1+AY141)*AZ141</f>
        <v>0</v>
      </c>
      <c r="BB141" s="93">
        <f>(1-IF(VLOOKUP($E141,武器奇术!$A:$R,16,FALSE)="陌刀",1,$N141))*(1-$M141)</f>
        <v>0</v>
      </c>
      <c r="BC141" s="92">
        <f>AV141*IF(VLOOKUP($E141,武器奇术!$A:$R,17,FALSE)="鸣金",VLOOKUP($E141,武器奇术!$A:$R,4,FALSE),VLOOKUP($E141,武器奇术!$A:$R,2,FALSE))*(1+AX141)*(1+AY141)*AZ141*(1+$E$16+VLOOKUP($E141,武器奇术!$A:$R,8,FALSE))</f>
        <v>0</v>
      </c>
      <c r="BD141" s="93">
        <f t="shared" si="96"/>
        <v>0.8135</v>
      </c>
      <c r="BE141" s="92">
        <f>AW141*IF(VLOOKUP($E141,武器奇术!$A:$R,17,FALSE)="鸣金",VLOOKUP($E141,武器奇术!$A:$R,4,FALSE),VLOOKUP($E141,武器奇术!$A:$R,2,FALSE))*(1+AX141)*(1+AY141)*AZ141*(1+$E$17+VLOOKUP($E141,武器奇术!$A:$R,10,FALSE))</f>
        <v>0</v>
      </c>
      <c r="BF141" s="93">
        <f t="shared" si="97"/>
        <v>0.0986</v>
      </c>
      <c r="BG141" s="92">
        <f>AV141*IF(VLOOKUP($E141,武器奇术!$A:$R,17,FALSE)="鸣金",VLOOKUP($E141,武器奇术!$A:$R,4,FALSE),VLOOKUP($E141,武器奇术!$A:$R,2,FALSE))*(1+AX141)*(1+AY141)*AZ141</f>
        <v>0</v>
      </c>
      <c r="BH141" s="93">
        <f t="shared" si="128"/>
        <v>0.0879</v>
      </c>
      <c r="BI141" s="101">
        <f t="shared" si="129"/>
        <v>0</v>
      </c>
      <c r="BJ141" s="99">
        <f>IF(VLOOKUP($E141,武器奇术!$A:$R,18,FALSE)="极乐",0,$B$9*IF($G$5="撼天",1.05,1)+IF(AND(VLOOKUP($E141,武器奇术!$A:$R,15,FALSE)="武器",VLOOKUP($E141,武器奇术!$A:$R,17,FALSE)="裂石"),$E$3*(1+$E$15),0))</f>
        <v>0</v>
      </c>
      <c r="BK141" s="91">
        <f t="shared" si="130"/>
        <v>0</v>
      </c>
      <c r="BL141" s="91">
        <f>IF(VLOOKUP($E141,武器奇术!$A:$R,18,FALSE)="极乐",0,MAX($C$9*IF($G$5="撼天",1.05,1)+IF(AND(VLOOKUP($E141,武器奇术!$A:$R,15,FALSE)="武器",VLOOKUP($E141,武器奇术!$A:$R,17,FALSE)="裂石"),$E$3*(1+$E$15),0),BJ141))</f>
        <v>0</v>
      </c>
      <c r="BM141" s="93">
        <f>IF(($D$9+IF(VLOOKUP($E141,武器奇术!$A:$R,17,FALSE)="裂石",$D$15,0)-VLOOKUP($F$7,目标属性!$A:$R,6,FALSE))&gt;0,($D$9+IF(VLOOKUP($E141,武器奇术!$A:$R,17,FALSE)="裂石",$D$15,0)-VLOOKUP($F$7,目标属性!$A:$R,6,FALSE))/200,($D$9+IF(VLOOKUP($E141,武器奇术!$A:$R,17,FALSE)="裂石",$D$15,0)-VLOOKUP($F$7,目标属性!$A:$R,6,FALSE))/100)</f>
        <v>-0.24</v>
      </c>
      <c r="BN141" s="100">
        <f t="shared" si="90"/>
        <v>0</v>
      </c>
      <c r="BO141" s="91">
        <v>1</v>
      </c>
      <c r="BP141" s="92">
        <f>BJ141*IF(VLOOKUP($E141,武器奇术!$A:$R,17,FALSE)="裂石",VLOOKUP($E141,武器奇术!$A:$R,4,FALSE),VLOOKUP($E141,武器奇术!$A:$R,2,FALSE))*(1+BM141)*(1+BN141)*BO141</f>
        <v>0</v>
      </c>
      <c r="BQ141" s="93">
        <f>(1-IF(VLOOKUP($E141,武器奇术!$A:$R,16,FALSE)="陌刀",1,$N141))*(1-$M141)</f>
        <v>0</v>
      </c>
      <c r="BR141" s="92">
        <f>BK141*IF(VLOOKUP($E141,武器奇术!$A:$R,17,FALSE)="裂石",VLOOKUP($E141,武器奇术!$A:$R,4,FALSE),VLOOKUP($E141,武器奇术!$A:$R,2,FALSE))*(1+BM141)*(1+BN141)*BO141*(1+$E$16+VLOOKUP($E141,武器奇术!$A:$R,8,FALSE))</f>
        <v>0</v>
      </c>
      <c r="BS141" s="93">
        <f t="shared" si="98"/>
        <v>0.8135</v>
      </c>
      <c r="BT141" s="92">
        <f>BL141*IF(VLOOKUP($E141,武器奇术!$A:$R,17,FALSE)="裂石",VLOOKUP($E141,武器奇术!$A:$R,4,FALSE),VLOOKUP($E141,武器奇术!$A:$R,2,FALSE))*(1+BM141)*(1+BN141)*BO141*(1+$E$17+VLOOKUP($E141,武器奇术!$A:$R,10,FALSE))</f>
        <v>0</v>
      </c>
      <c r="BU141" s="93">
        <f t="shared" si="99"/>
        <v>0.0986</v>
      </c>
      <c r="BV141" s="92">
        <f>BK141*IF(VLOOKUP($E141,武器奇术!$A:$R,17,FALSE)="裂石",VLOOKUP($E141,武器奇术!$A:$R,4,FALSE),VLOOKUP($E141,武器奇术!$A:$R,2,FALSE))*(1+BM141)*(1+BN141)*BO141</f>
        <v>0</v>
      </c>
      <c r="BW141" s="93">
        <f t="shared" si="131"/>
        <v>0.0879</v>
      </c>
      <c r="BX141" s="101">
        <f t="shared" si="132"/>
        <v>0</v>
      </c>
      <c r="BY141" s="99">
        <f>IF(VLOOKUP($E141,武器奇术!$A:$R,18,FALSE)="极乐",0,$B$11*IF($G$5="撼天",1.05,1)+IF(AND(VLOOKUP($E141,武器奇术!$A:$R,15,FALSE)="武器",VLOOKUP($E141,武器奇术!$A:$R,17,FALSE)="牵丝"),$E$3*(1+$E$15),0))</f>
        <v>0</v>
      </c>
      <c r="BZ141" s="91">
        <f t="shared" si="133"/>
        <v>0</v>
      </c>
      <c r="CA141" s="91">
        <f>IF(VLOOKUP($E141,武器奇术!$A:$R,18,FALSE)="极乐",0,MAX($C$11*IF($G$5="撼天",1.05,1)+IF(AND(VLOOKUP($E141,武器奇术!$A:$R,15,FALSE)="武器",VLOOKUP($E141,武器奇术!$A:$R,17,FALSE)="牵丝"),$E$3*(1+$E$15),0),BY141))</f>
        <v>0</v>
      </c>
      <c r="CB141" s="93">
        <f>IF(($D$11+IF(VLOOKUP($E141,武器奇术!$A:$R,17,FALSE)="牵丝",$D$15,0)-VLOOKUP($F$7,目标属性!$A:$R,6,FALSE))&gt;0,($D$11+IF(VLOOKUP($E141,武器奇术!$A:$R,17,FALSE)="牵丝",$D$15,0)-VLOOKUP($F$7,目标属性!$A:$R,6,FALSE))/200,($D$11+IF(VLOOKUP($E141,武器奇术!$A:$R,17,FALSE)="牵丝",$D$15,0)-VLOOKUP($F$7,目标属性!$A:$R,6,FALSE))/100)</f>
        <v>-0.24</v>
      </c>
      <c r="CC141" s="100">
        <f t="shared" si="91"/>
        <v>0</v>
      </c>
      <c r="CD141" s="91">
        <v>1</v>
      </c>
      <c r="CE141" s="92">
        <f>BY141*IF(VLOOKUP($E141,武器奇术!$A:$R,17,FALSE)="牵丝",VLOOKUP($E141,武器奇术!$A:$R,4,FALSE),VLOOKUP($E141,武器奇术!$A:$R,2,FALSE))*(1+CB141)*(1+CC141)*CD141</f>
        <v>0</v>
      </c>
      <c r="CF141" s="93">
        <f>(1-IF(VLOOKUP($E141,武器奇术!$A:$R,16,FALSE)="陌刀",1,$N141))*(1-$M141)</f>
        <v>0</v>
      </c>
      <c r="CG141" s="92">
        <f>BZ141*IF(VLOOKUP($E141,武器奇术!$A:$R,17,FALSE)="牵丝",VLOOKUP($E141,武器奇术!$A:$R,4,FALSE),VLOOKUP($E141,武器奇术!$A:$R,2,FALSE))*(1+CB141)*(1+CC141)*CD141*(1+$E$16+VLOOKUP($E141,武器奇术!$A:$R,8,FALSE))</f>
        <v>0</v>
      </c>
      <c r="CH141" s="93">
        <f t="shared" si="100"/>
        <v>0.8135</v>
      </c>
      <c r="CI141" s="92">
        <f>CA141*IF(VLOOKUP($E141,武器奇术!$A:$R,17,FALSE)="牵丝",VLOOKUP($E141,武器奇术!$A:$R,4,FALSE),VLOOKUP($E141,武器奇术!$A:$R,2,FALSE))*(1+CB141)*(1+CC141)*CD141*(1+$E$17+VLOOKUP($E141,武器奇术!$A:$R,10,FALSE))</f>
        <v>0</v>
      </c>
      <c r="CJ141" s="93">
        <f t="shared" si="101"/>
        <v>0.0986</v>
      </c>
      <c r="CK141" s="92">
        <f>BZ141*IF(VLOOKUP($E141,武器奇术!$A:$R,17,FALSE)="牵丝",VLOOKUP($E141,武器奇术!$A:$R,4,FALSE),VLOOKUP($E141,武器奇术!$A:$R,2,FALSE))*(1+CB141)*(1+CC141)*CD141</f>
        <v>0</v>
      </c>
      <c r="CL141" s="93">
        <f t="shared" si="134"/>
        <v>0.0879</v>
      </c>
      <c r="CM141" s="101">
        <f t="shared" si="135"/>
        <v>0</v>
      </c>
      <c r="CN141" s="99">
        <f>IF(VLOOKUP($E141,武器奇术!$A:$R,18,FALSE)="极乐",0,$B$13*IF($G$5="撼天",1.05,1)+IF(AND(VLOOKUP($E141,武器奇术!$A:$R,15,FALSE)="武器",VLOOKUP($E141,武器奇术!$A:$R,17,FALSE)="破竹"),$E$3*(1+$E$15),0))</f>
        <v>490.8</v>
      </c>
      <c r="CO141" s="91">
        <f t="shared" si="136"/>
        <v>856.3</v>
      </c>
      <c r="CP141" s="91">
        <f>IF(VLOOKUP($E141,武器奇术!$A:$R,18,FALSE)="极乐",0,MAX($C$13*IF($G$5="撼天",1.05,1)+IF(AND(VLOOKUP($E141,武器奇术!$A:$R,15,FALSE)="武器",VLOOKUP($E141,武器奇术!$A:$R,17,FALSE)="破竹"),$E$3*(1+$E$15),0),CN141))</f>
        <v>1221.8</v>
      </c>
      <c r="CQ141" s="93">
        <f>IF(($D$13+IF(VLOOKUP($E141,武器奇术!$A:$R,17,FALSE)="破竹",$D$15,0)-VLOOKUP($F$7,目标属性!$A:$R,6,FALSE)+IF(VLOOKUP($E141,武器奇术!$A:$V,22,FALSE)=1,4,0)+IF(VLOOKUP($E141,武器奇术!$A:$T,20,FALSE)=1,10,0))&gt;0,($D$13+IF(VLOOKUP($E141,武器奇术!$A:$R,17,FALSE)="破竹",$D$15,0)-VLOOKUP($F$7,目标属性!$A:$R,6,FALSE)+IF(VLOOKUP($E141,武器奇术!$A:$V,22,FALSE)=1,4,0)+IF(VLOOKUP($E141,武器奇术!$A:$T,20,FALSE)=1,10,0))/200,($D$13+IF(VLOOKUP($E141,武器奇术!$A:$R,17,FALSE)="破竹",$D$15,0)-VLOOKUP($F$7,目标属性!$A:$R,6,FALSE)+IF(VLOOKUP($E141,武器奇术!$A:$V,22,FALSE)=1,4,0)+IF(VLOOKUP($E141,武器奇术!$A:$T,20,FALSE)=1,10,0))/100)</f>
        <v>0.028</v>
      </c>
      <c r="CR141" s="100">
        <f t="shared" si="140"/>
        <v>0.148</v>
      </c>
      <c r="CS141" s="91">
        <v>1</v>
      </c>
      <c r="CT141" s="92">
        <f>CN141*IF(VLOOKUP($E141,武器奇术!$A:$R,17,FALSE)="破竹",VLOOKUP($E141,武器奇术!$A:$R,4,FALSE),VLOOKUP($E141,武器奇术!$A:$R,2,FALSE))*(1+CQ141)*(1+CR141)*CS141</f>
        <v>579.2146752</v>
      </c>
      <c r="CU141" s="93">
        <f>(1-IF(VLOOKUP($E141,武器奇术!$A:$R,16,FALSE)="陌刀",1,$N141))*(1-$M141)</f>
        <v>0</v>
      </c>
      <c r="CV141" s="92">
        <f>CO141*IF(VLOOKUP($E141,武器奇术!$A:$R,17,FALSE)="破竹",VLOOKUP($E141,武器奇术!$A:$R,4,FALSE),VLOOKUP($E141,武器奇术!$A:$R,2,FALSE))*(1+CQ141)*(1+CR141)*CS141*(1+$E$16+VLOOKUP($E141,武器奇术!$A:$R,8,FALSE))</f>
        <v>1661.3562130368</v>
      </c>
      <c r="CW141" s="93">
        <f t="shared" si="102"/>
        <v>0.8135</v>
      </c>
      <c r="CX141" s="92">
        <f>CP141*IF(VLOOKUP($E141,武器奇术!$A:$R,17,FALSE)="破竹",VLOOKUP($E141,武器奇术!$A:$R,4,FALSE),VLOOKUP($E141,武器奇术!$A:$R,2,FALSE))*(1+CQ141)*(1+CR141)*CS141*(1+$E$17+VLOOKUP($E141,武器奇术!$A:$R,10,FALSE))</f>
        <v>1946.56491792</v>
      </c>
      <c r="CY141" s="93">
        <f t="shared" si="103"/>
        <v>0.0986</v>
      </c>
      <c r="CZ141" s="92">
        <f>CO141*IF(VLOOKUP($E141,武器奇术!$A:$R,17,FALSE)="破竹",VLOOKUP($E141,武器奇术!$A:$R,4,FALSE),VLOOKUP($E141,武器奇术!$A:$R,2,FALSE))*(1+CQ141)*(1+CR141)*CS141</f>
        <v>1010.5573072</v>
      </c>
      <c r="DA141" s="93">
        <f t="shared" si="137"/>
        <v>0.0879</v>
      </c>
      <c r="DB141" s="101">
        <f t="shared" si="138"/>
        <v>1632.27256751523</v>
      </c>
      <c r="DC141" s="99">
        <f>IF(VLOOKUP($E141,武器奇术!$A:$R,18,FALSE)="极乐",0,$B$15)</f>
        <v>66</v>
      </c>
      <c r="DD141" s="91">
        <f t="shared" si="111"/>
        <v>95.9</v>
      </c>
      <c r="DE141" s="91">
        <f>IF(VLOOKUP($E141,武器奇术!$A:$R,18,FALSE)="极乐",0,$C$15)</f>
        <v>125.8</v>
      </c>
      <c r="DF141" s="93">
        <f>IF((IF(VLOOKUP($E141,武器奇术!$A:$R,17,FALSE)="鸣金",$D$7,0)+IF(VLOOKUP($E141,武器奇术!$A:$R,17,FALSE)="裂石",$D$9,0)+IF(VLOOKUP($E141,武器奇术!$A:$R,17,FALSE)="牵丝",$D$11,0)+IF(VLOOKUP($E141,武器奇术!$A:$R,17,FALSE)="破竹",$D$13,0)+$D$15-VLOOKUP($F$7,目标属性!$A:$R,6,FALSE)+IF(VLOOKUP($E141,武器奇术!$A:$V,22,FALSE)=1,4,0)+IF(VLOOKUP($E141,武器奇术!$A:$T,20,FALSE)=1,10,0))&gt;0,(IF(VLOOKUP($E141,武器奇术!$A:$R,17,FALSE)="鸣金",$D$7,0)+IF(VLOOKUP($E141,武器奇术!$A:$R,17,FALSE)="裂石",$D$9,0)+IF(VLOOKUP($E141,武器奇术!$A:$R,17,FALSE)="牵丝",$D$11,0)+IF(VLOOKUP($E141,武器奇术!$A:$R,17,FALSE)="破竹",$D$13,0)+$D$15-VLOOKUP($F$7,目标属性!$A:$R,6,FALSE)+IF(VLOOKUP($E141,武器奇术!$A:$V,22,FALSE)=1,4,0)+IF(VLOOKUP($E141,武器奇术!$A:$T,20,FALSE)=1,10,0))/200,(IF(VLOOKUP($E141,武器奇术!$A:$R,17,FALSE)="鸣金",$D$7,0)+IF(VLOOKUP($E141,武器奇术!$A:$R,17,FALSE)="裂石",$D$9,0)+IF(VLOOKUP($E141,武器奇术!$A:$R,17,FALSE)="牵丝",$D$11,0)+IF(VLOOKUP($E141,武器奇术!$A:$R,17,FALSE)="破竹",$D$13,0)+$D$15-VLOOKUP($F$7,目标属性!$A:$R,6,FALSE)+IF(VLOOKUP($E141,武器奇术!$A:$V,22,FALSE)=1,4,0)+IF(VLOOKUP($E141,武器奇术!$A:$T,20,FALSE)=1,10,0))/100)</f>
        <v>0.028</v>
      </c>
      <c r="DG141" s="100">
        <f t="shared" si="139"/>
        <v>0.148</v>
      </c>
      <c r="DH141" s="91">
        <v>1</v>
      </c>
      <c r="DI141" s="92">
        <f>DC141*IF(VLOOKUP($E141,武器奇术!$A:$R,17,FALSE)="破竹",VLOOKUP($E141,武器奇术!$A:$R,4,FALSE),VLOOKUP($E141,武器奇术!$A:$R,2,FALSE))*(1+DF141)*(1+DG141)*DH141</f>
        <v>77.889504</v>
      </c>
      <c r="DJ141" s="93">
        <f>(1-IF(VLOOKUP($E141,武器奇术!$A:$R,16,FALSE)="陌刀",1,$N141))*(1-$M141)</f>
        <v>0</v>
      </c>
      <c r="DK141" s="92">
        <f>DD141*IF(VLOOKUP($E141,武器奇术!$A:$R,17,FALSE)="破竹",VLOOKUP($E141,武器奇术!$A:$R,4,FALSE),VLOOKUP($E141,武器奇术!$A:$R,2,FALSE))*(1+DF141)*(1+DG141)*DH141*(1+$E$16+VLOOKUP($E141,武器奇术!$A:$R,8,FALSE))</f>
        <v>186.0610309824</v>
      </c>
      <c r="DL141" s="93">
        <f t="shared" si="104"/>
        <v>0.8135</v>
      </c>
      <c r="DM141" s="92">
        <f>DE141*IF(VLOOKUP($E141,武器奇术!$A:$R,17,FALSE)="破竹",VLOOKUP($E141,武器奇术!$A:$R,4,FALSE),VLOOKUP($E141,武器奇术!$A:$R,2,FALSE))*(1+DF141)*(1+DG141)*DH141*(1+$E$17+VLOOKUP($E141,武器奇术!$A:$R,10,FALSE))</f>
        <v>200.42385552</v>
      </c>
      <c r="DN141" s="93">
        <f t="shared" si="105"/>
        <v>0.0986</v>
      </c>
      <c r="DO141" s="92">
        <f>DD141*IF(VLOOKUP($E141,武器奇术!$A:$R,17,FALSE)="破竹",VLOOKUP($E141,武器奇术!$A:$R,4,FALSE),VLOOKUP($E141,武器奇术!$A:$R,2,FALSE))*(1+DF141)*(1+DG141)*DH141</f>
        <v>113.1758096</v>
      </c>
      <c r="DP141" s="93">
        <f t="shared" si="106"/>
        <v>0.0879</v>
      </c>
      <c r="DQ141" s="101">
        <f t="shared" si="107"/>
        <v>181.070594522294</v>
      </c>
    </row>
    <row r="142" spans="1:121">
      <c r="E142" s="105" t="s">
        <v>226</v>
      </c>
      <c r="F142" s="106">
        <f t="shared" si="141"/>
        <v>1</v>
      </c>
      <c r="G142" s="107"/>
      <c r="H142" s="92">
        <f>IF(VLOOKUP($E142,武器奇术!$A:$R,18,FALSE)="天工",AE142,(AE142+AT142+BI142+BX142+CM142+DB142+DQ142))*(1+J142)*F142*K142*(1+G142)</f>
        <v>13752.0076917417</v>
      </c>
      <c r="I142" s="93">
        <f t="shared" si="117"/>
        <v>0.00176414493349338</v>
      </c>
      <c r="J142" s="93">
        <f>$F$3+VLOOKUP($E142,武器奇术!$A:$R,12,FALSE)+VLOOKUP($E142,武器奇术!$A:$R,14,FALSE)*$G$3+$P142</f>
        <v>0.523</v>
      </c>
      <c r="K142" s="94">
        <f>VLOOKUP($E142,武器奇术!$A:$R,11,FALSE)</f>
        <v>1</v>
      </c>
      <c r="L142" s="109">
        <f>IF(VLOOKUP($E142,武器奇术!$A:$R,15,FALSE)="天工",0%,IF($C$17+VLOOKUP($E142,武器奇术!$A:$R,7,FALSE)&gt;80%,80%,$C$17+VLOOKUP($E142,武器奇术!$A:$R,7,FALSE))+IF($C$19&gt;20%,20%,$C$19))</f>
        <v>0.8135</v>
      </c>
      <c r="M142" s="110">
        <f>IF(VLOOKUP($E142,武器奇术!$A:$R,15,FALSE)="天工",0%,IF($C$18+VLOOKUP($E142,武器奇术!$A:$R,9,FALSE)&gt;40%,40%,$C$18+VLOOKUP($E142,武器奇术!$A:$R,9,FALSE))+IF($C$20&gt;10%,10%,$C$20))</f>
        <v>0.0986</v>
      </c>
      <c r="N142" s="111">
        <f>IF(VLOOKUP($E142,武器奇术!$A:$R,15,FALSE)="天工",100%,MIN($C$16,1))</f>
        <v>1</v>
      </c>
      <c r="O142" s="112" t="str">
        <f>VLOOKUP($E142,武器奇术!$A:$R,16,FALSE)</f>
        <v>N/A</v>
      </c>
      <c r="P142" s="113">
        <f t="shared" si="108"/>
        <v>0</v>
      </c>
      <c r="Q142" s="99">
        <f>$B$5*(1+VLOOKUP($E142,武器奇术!$A:$R,5,FALSE)+IF($G$5="飞隼",0.1,0)+IF($G$5="撼天",0.05,0))-$F$9*IF(VLOOKUP($E142,武器奇术!$A:$S,19,FALSE)=1,0.9,1)+IF($I$5="√",160,0)</f>
        <v>2848.3</v>
      </c>
      <c r="R142" s="91">
        <f t="shared" si="118"/>
        <v>2848.3</v>
      </c>
      <c r="S142" s="91">
        <f>MAX($C$5,$B$5)*(1+VLOOKUP($E142,武器奇术!$A:$R,5,FALSE)+IF($G$5="飞隼",0.1,0)+IF($G$5="撼天",0.05,0))-$F$9*IF(VLOOKUP($E142,武器奇术!$A:$S,19,FALSE)=1,0.9,1)+IF($I$5="√",320,0)</f>
        <v>2848.3</v>
      </c>
      <c r="T142" s="93">
        <f>IF(($D$5+VLOOKUP($E142,武器奇术!$A:$R,13,FALSE)+IF($I$3="√",10,0)-VLOOKUP($F$7,目标属性!$A:$R,5,FALSE))&gt;0,($D$5+VLOOKUP($E142,武器奇术!$A:$R,13,FALSE)+IF($I$3="√",10,0)-VLOOKUP($F$7,目标属性!$A:$R,5,FALSE))/200,($D$5+VLOOKUP($E142,武器奇术!$A:$R,13,FALSE)+IF($I$3="√",10,0)-VLOOKUP($F$7,目标属性!$A:$R,5,FALSE))/100)</f>
        <v>0.3925</v>
      </c>
      <c r="U142" s="100">
        <f>$E$5+IF(VLOOKUP($E142,武器奇术!$A:$R,18,FALSE)="鼠鼠",0.24,0)</f>
        <v>0</v>
      </c>
      <c r="V142" s="91">
        <v>1</v>
      </c>
      <c r="W142" s="92">
        <f>Q142*VLOOKUP($E142,武器奇术!$A:$R,2,FALSE)*(1+T142)*(1+U142)*V142</f>
        <v>3966.25775</v>
      </c>
      <c r="X142" s="93">
        <f>(1-IF(VLOOKUP($E142,武器奇术!$A:$R,16,FALSE)="陌刀",1,$N142))*(1-$M142)</f>
        <v>0</v>
      </c>
      <c r="Y142" s="92">
        <f>R142*VLOOKUP($E142,武器奇术!$A:$R,2,FALSE)*(1+T142)*(1+U142)*V142*(1+$E$16+VLOOKUP($E142,武器奇术!$A:$R,8,FALSE))</f>
        <v>7512.0921785</v>
      </c>
      <c r="Z142" s="93">
        <f t="shared" si="119"/>
        <v>0.8135</v>
      </c>
      <c r="AA142" s="92">
        <f>S142*VLOOKUP($E142,武器奇术!$A:$R,2,FALSE)*(1+T142)*(1+U142)*V142*(1+$E$17+VLOOKUP($E142,武器奇术!$A:$R,10,FALSE))</f>
        <v>5354.4479625</v>
      </c>
      <c r="AB142" s="93">
        <f t="shared" si="120"/>
        <v>0.0986</v>
      </c>
      <c r="AC142" s="92">
        <f>R142*VLOOKUP($E142,武器奇术!$A:$R,2,FALSE)*(1+T142)*(1+U142)*V142</f>
        <v>3966.25775</v>
      </c>
      <c r="AD142" s="93">
        <f t="shared" si="121"/>
        <v>0.0879</v>
      </c>
      <c r="AE142" s="101">
        <f t="shared" si="122"/>
        <v>6987.66961253725</v>
      </c>
      <c r="AF142" s="102">
        <f>VLOOKUP($E142,武器奇术!$A:$R,3,FALSE)*(1+IF(VLOOKUP($E142,武器奇术!$A:$R,15,FALSE)="武器",$E$15,0))</f>
        <v>0</v>
      </c>
      <c r="AG142" s="92">
        <f t="shared" si="123"/>
        <v>0</v>
      </c>
      <c r="AH142" s="92">
        <f>VLOOKUP($E142,武器奇术!$A:$R,3,FALSE)*(1+IF(VLOOKUP($E142,武器奇术!$A:$R,15,FALSE)="武器",$E$15,0))</f>
        <v>0</v>
      </c>
      <c r="AI142" s="93">
        <f>IF(($D$5+VLOOKUP($E142,武器奇术!$A:$R,13,FALSE)+IF($I$3="√",10,0)-VLOOKUP($F$7,目标属性!$A:$R,5,FALSE))&gt;0,($D$5+VLOOKUP($E142,武器奇术!$A:$R,13,FALSE)+IF($I$3="√",10,0)-VLOOKUP($F$7,目标属性!$A:$R,5,FALSE))/200,($D$5+VLOOKUP($E142,武器奇术!$A:$R,13,FALSE)+IF($I$3="√",10,0)-VLOOKUP($F$7,目标属性!$A:$R,5,FALSE))/100)</f>
        <v>0.3925</v>
      </c>
      <c r="AJ142" s="100">
        <f>$E$5+IF(VLOOKUP($E142,武器奇术!$A:$R,18,FALSE)="鼠鼠",0.24,0)</f>
        <v>0</v>
      </c>
      <c r="AK142" s="91">
        <v>1</v>
      </c>
      <c r="AL142" s="92">
        <f t="shared" si="109"/>
        <v>0</v>
      </c>
      <c r="AM142" s="93">
        <f>(1-IF(VLOOKUP($E142,武器奇术!$A:$R,16,FALSE)="陌刀",1,$N142))*(1-$M142)</f>
        <v>0</v>
      </c>
      <c r="AN142" s="92">
        <f>AG142*(1+AI142)*(1+AJ142)*AK142*(1+$E$16+VLOOKUP($E142,武器奇术!$A:$R,8,FALSE))</f>
        <v>0</v>
      </c>
      <c r="AO142" s="93">
        <f t="shared" si="94"/>
        <v>0.8135</v>
      </c>
      <c r="AP142" s="92">
        <f>AH142*(1+AI142)*(1+AJ142)*AK142*(1+$E$17+VLOOKUP($E142,武器奇术!$A:$R,10,FALSE))</f>
        <v>0</v>
      </c>
      <c r="AQ142" s="93">
        <f t="shared" si="95"/>
        <v>0.0986</v>
      </c>
      <c r="AR142" s="92">
        <f t="shared" si="124"/>
        <v>0</v>
      </c>
      <c r="AS142" s="93">
        <f t="shared" si="125"/>
        <v>0.0879</v>
      </c>
      <c r="AT142" s="101">
        <f t="shared" si="126"/>
        <v>0</v>
      </c>
      <c r="AU142" s="99">
        <f>IF(VLOOKUP($E142,武器奇术!$A:$R,18,FALSE)="极乐",0,$B$7*IF($G$5="撼天",1.05,1)+IF(AND(VLOOKUP($E142,武器奇术!$A:$R,15,FALSE)="武器",VLOOKUP($E142,武器奇术!$A:$R,17,FALSE)="鸣金"),$E$3*(1+$E$15),0))</f>
        <v>0</v>
      </c>
      <c r="AV142" s="91">
        <f t="shared" si="127"/>
        <v>0</v>
      </c>
      <c r="AW142" s="91">
        <f>IF(VLOOKUP($E142,武器奇术!$A:$R,18,FALSE)="极乐",0,MAX($C$7*IF($G$5="撼天",1.05,1)+IF(AND(VLOOKUP($E142,武器奇术!$A:$R,15,FALSE)="武器",VLOOKUP($E142,武器奇术!$A:$R,17,FALSE)="鸣金"),$E$3*(1+$E$15),0),AU142))</f>
        <v>0</v>
      </c>
      <c r="AX142" s="93">
        <f>IF(($D$7+IF(VLOOKUP($E142,武器奇术!$A:$R,17,FALSE)="鸣金",$D$15,0)-VLOOKUP($F$7,目标属性!$A:$R,6,FALSE))&gt;0,($D$7+IF(VLOOKUP($E142,武器奇术!$A:$R,17,FALSE)="鸣金",$D$15,0)-VLOOKUP($F$7,目标属性!$A:$R,6,FALSE))/200,($D$7+IF(VLOOKUP($E142,武器奇术!$A:$R,17,FALSE)="鸣金",$D$15,0)-VLOOKUP($F$7,目标属性!$A:$R,6,FALSE))/100)</f>
        <v>-0.24</v>
      </c>
      <c r="AY142" s="100">
        <f t="shared" si="89"/>
        <v>0</v>
      </c>
      <c r="AZ142" s="91">
        <v>1</v>
      </c>
      <c r="BA142" s="92">
        <f>AU142*IF(VLOOKUP($E142,武器奇术!$A:$R,17,FALSE)="鸣金",VLOOKUP($E142,武器奇术!$A:$R,4,FALSE),VLOOKUP($E142,武器奇术!$A:$R,2,FALSE))*(1+AX142)*(1+AY142)*AZ142</f>
        <v>0</v>
      </c>
      <c r="BB142" s="93">
        <f>(1-IF(VLOOKUP($E142,武器奇术!$A:$R,16,FALSE)="陌刀",1,$N142))*(1-$M142)</f>
        <v>0</v>
      </c>
      <c r="BC142" s="92">
        <f>AV142*IF(VLOOKUP($E142,武器奇术!$A:$R,17,FALSE)="鸣金",VLOOKUP($E142,武器奇术!$A:$R,4,FALSE),VLOOKUP($E142,武器奇术!$A:$R,2,FALSE))*(1+AX142)*(1+AY142)*AZ142*(1+$E$16+VLOOKUP($E142,武器奇术!$A:$R,8,FALSE))</f>
        <v>0</v>
      </c>
      <c r="BD142" s="93">
        <f t="shared" si="96"/>
        <v>0.8135</v>
      </c>
      <c r="BE142" s="92">
        <f>AW142*IF(VLOOKUP($E142,武器奇术!$A:$R,17,FALSE)="鸣金",VLOOKUP($E142,武器奇术!$A:$R,4,FALSE),VLOOKUP($E142,武器奇术!$A:$R,2,FALSE))*(1+AX142)*(1+AY142)*AZ142*(1+$E$17+VLOOKUP($E142,武器奇术!$A:$R,10,FALSE))</f>
        <v>0</v>
      </c>
      <c r="BF142" s="93">
        <f t="shared" si="97"/>
        <v>0.0986</v>
      </c>
      <c r="BG142" s="92">
        <f>AV142*IF(VLOOKUP($E142,武器奇术!$A:$R,17,FALSE)="鸣金",VLOOKUP($E142,武器奇术!$A:$R,4,FALSE),VLOOKUP($E142,武器奇术!$A:$R,2,FALSE))*(1+AX142)*(1+AY142)*AZ142</f>
        <v>0</v>
      </c>
      <c r="BH142" s="93">
        <f t="shared" si="128"/>
        <v>0.0879</v>
      </c>
      <c r="BI142" s="101">
        <f t="shared" si="129"/>
        <v>0</v>
      </c>
      <c r="BJ142" s="99">
        <f>IF(VLOOKUP($E142,武器奇术!$A:$R,18,FALSE)="极乐",0,$B$9*IF($G$5="撼天",1.05,1)+IF(AND(VLOOKUP($E142,武器奇术!$A:$R,15,FALSE)="武器",VLOOKUP($E142,武器奇术!$A:$R,17,FALSE)="裂石"),$E$3*(1+$E$15),0))</f>
        <v>0</v>
      </c>
      <c r="BK142" s="91">
        <f t="shared" si="130"/>
        <v>0</v>
      </c>
      <c r="BL142" s="91">
        <f>IF(VLOOKUP($E142,武器奇术!$A:$R,18,FALSE)="极乐",0,MAX($C$9*IF($G$5="撼天",1.05,1)+IF(AND(VLOOKUP($E142,武器奇术!$A:$R,15,FALSE)="武器",VLOOKUP($E142,武器奇术!$A:$R,17,FALSE)="裂石"),$E$3*(1+$E$15),0),BJ142))</f>
        <v>0</v>
      </c>
      <c r="BM142" s="93">
        <f>IF(($D$9+IF(VLOOKUP($E142,武器奇术!$A:$R,17,FALSE)="裂石",$D$15,0)-VLOOKUP($F$7,目标属性!$A:$R,6,FALSE))&gt;0,($D$9+IF(VLOOKUP($E142,武器奇术!$A:$R,17,FALSE)="裂石",$D$15,0)-VLOOKUP($F$7,目标属性!$A:$R,6,FALSE))/200,($D$9+IF(VLOOKUP($E142,武器奇术!$A:$R,17,FALSE)="裂石",$D$15,0)-VLOOKUP($F$7,目标属性!$A:$R,6,FALSE))/100)</f>
        <v>-0.24</v>
      </c>
      <c r="BN142" s="100">
        <f t="shared" si="90"/>
        <v>0</v>
      </c>
      <c r="BO142" s="91">
        <v>1</v>
      </c>
      <c r="BP142" s="92">
        <f>BJ142*IF(VLOOKUP($E142,武器奇术!$A:$R,17,FALSE)="裂石",VLOOKUP($E142,武器奇术!$A:$R,4,FALSE),VLOOKUP($E142,武器奇术!$A:$R,2,FALSE))*(1+BM142)*(1+BN142)*BO142</f>
        <v>0</v>
      </c>
      <c r="BQ142" s="93">
        <f>(1-IF(VLOOKUP($E142,武器奇术!$A:$R,16,FALSE)="陌刀",1,$N142))*(1-$M142)</f>
        <v>0</v>
      </c>
      <c r="BR142" s="92">
        <f>BK142*IF(VLOOKUP($E142,武器奇术!$A:$R,17,FALSE)="裂石",VLOOKUP($E142,武器奇术!$A:$R,4,FALSE),VLOOKUP($E142,武器奇术!$A:$R,2,FALSE))*(1+BM142)*(1+BN142)*BO142*(1+$E$16+VLOOKUP($E142,武器奇术!$A:$R,8,FALSE))</f>
        <v>0</v>
      </c>
      <c r="BS142" s="93">
        <f t="shared" si="98"/>
        <v>0.8135</v>
      </c>
      <c r="BT142" s="92">
        <f>BL142*IF(VLOOKUP($E142,武器奇术!$A:$R,17,FALSE)="裂石",VLOOKUP($E142,武器奇术!$A:$R,4,FALSE),VLOOKUP($E142,武器奇术!$A:$R,2,FALSE))*(1+BM142)*(1+BN142)*BO142*(1+$E$17+VLOOKUP($E142,武器奇术!$A:$R,10,FALSE))</f>
        <v>0</v>
      </c>
      <c r="BU142" s="93">
        <f t="shared" si="99"/>
        <v>0.0986</v>
      </c>
      <c r="BV142" s="92">
        <f>BK142*IF(VLOOKUP($E142,武器奇术!$A:$R,17,FALSE)="裂石",VLOOKUP($E142,武器奇术!$A:$R,4,FALSE),VLOOKUP($E142,武器奇术!$A:$R,2,FALSE))*(1+BM142)*(1+BN142)*BO142</f>
        <v>0</v>
      </c>
      <c r="BW142" s="93">
        <f t="shared" si="131"/>
        <v>0.0879</v>
      </c>
      <c r="BX142" s="101">
        <f t="shared" si="132"/>
        <v>0</v>
      </c>
      <c r="BY142" s="99">
        <f>IF(VLOOKUP($E142,武器奇术!$A:$R,18,FALSE)="极乐",0,$B$11*IF($G$5="撼天",1.05,1)+IF(AND(VLOOKUP($E142,武器奇术!$A:$R,15,FALSE)="武器",VLOOKUP($E142,武器奇术!$A:$R,17,FALSE)="牵丝"),$E$3*(1+$E$15),0))</f>
        <v>0</v>
      </c>
      <c r="BZ142" s="91">
        <f t="shared" si="133"/>
        <v>0</v>
      </c>
      <c r="CA142" s="91">
        <f>IF(VLOOKUP($E142,武器奇术!$A:$R,18,FALSE)="极乐",0,MAX($C$11*IF($G$5="撼天",1.05,1)+IF(AND(VLOOKUP($E142,武器奇术!$A:$R,15,FALSE)="武器",VLOOKUP($E142,武器奇术!$A:$R,17,FALSE)="牵丝"),$E$3*(1+$E$15),0),BY142))</f>
        <v>0</v>
      </c>
      <c r="CB142" s="93">
        <f>IF(($D$11+IF(VLOOKUP($E142,武器奇术!$A:$R,17,FALSE)="牵丝",$D$15,0)-VLOOKUP($F$7,目标属性!$A:$R,6,FALSE))&gt;0,($D$11+IF(VLOOKUP($E142,武器奇术!$A:$R,17,FALSE)="牵丝",$D$15,0)-VLOOKUP($F$7,目标属性!$A:$R,6,FALSE))/200,($D$11+IF(VLOOKUP($E142,武器奇术!$A:$R,17,FALSE)="牵丝",$D$15,0)-VLOOKUP($F$7,目标属性!$A:$R,6,FALSE))/100)</f>
        <v>-0.24</v>
      </c>
      <c r="CC142" s="100">
        <f t="shared" si="91"/>
        <v>0</v>
      </c>
      <c r="CD142" s="91">
        <v>1</v>
      </c>
      <c r="CE142" s="92">
        <f>BY142*IF(VLOOKUP($E142,武器奇术!$A:$R,17,FALSE)="牵丝",VLOOKUP($E142,武器奇术!$A:$R,4,FALSE),VLOOKUP($E142,武器奇术!$A:$R,2,FALSE))*(1+CB142)*(1+CC142)*CD142</f>
        <v>0</v>
      </c>
      <c r="CF142" s="93">
        <f>(1-IF(VLOOKUP($E142,武器奇术!$A:$R,16,FALSE)="陌刀",1,$N142))*(1-$M142)</f>
        <v>0</v>
      </c>
      <c r="CG142" s="92">
        <f>BZ142*IF(VLOOKUP($E142,武器奇术!$A:$R,17,FALSE)="牵丝",VLOOKUP($E142,武器奇术!$A:$R,4,FALSE),VLOOKUP($E142,武器奇术!$A:$R,2,FALSE))*(1+CB142)*(1+CC142)*CD142*(1+$E$16+VLOOKUP($E142,武器奇术!$A:$R,8,FALSE))</f>
        <v>0</v>
      </c>
      <c r="CH142" s="93">
        <f t="shared" si="100"/>
        <v>0.8135</v>
      </c>
      <c r="CI142" s="92">
        <f>CA142*IF(VLOOKUP($E142,武器奇术!$A:$R,17,FALSE)="牵丝",VLOOKUP($E142,武器奇术!$A:$R,4,FALSE),VLOOKUP($E142,武器奇术!$A:$R,2,FALSE))*(1+CB142)*(1+CC142)*CD142*(1+$E$17+VLOOKUP($E142,武器奇术!$A:$R,10,FALSE))</f>
        <v>0</v>
      </c>
      <c r="CJ142" s="93">
        <f t="shared" si="101"/>
        <v>0.0986</v>
      </c>
      <c r="CK142" s="92">
        <f>BZ142*IF(VLOOKUP($E142,武器奇术!$A:$R,17,FALSE)="牵丝",VLOOKUP($E142,武器奇术!$A:$R,4,FALSE),VLOOKUP($E142,武器奇术!$A:$R,2,FALSE))*(1+CB142)*(1+CC142)*CD142</f>
        <v>0</v>
      </c>
      <c r="CL142" s="93">
        <f t="shared" si="134"/>
        <v>0.0879</v>
      </c>
      <c r="CM142" s="101">
        <f t="shared" si="135"/>
        <v>0</v>
      </c>
      <c r="CN142" s="99">
        <f>IF(VLOOKUP($E142,武器奇术!$A:$R,18,FALSE)="极乐",0,$B$13*IF($G$5="撼天",1.05,1)+IF(AND(VLOOKUP($E142,武器奇术!$A:$R,15,FALSE)="武器",VLOOKUP($E142,武器奇术!$A:$R,17,FALSE)="破竹"),$E$3*(1+$E$15),0))</f>
        <v>490.8</v>
      </c>
      <c r="CO142" s="91">
        <f t="shared" si="136"/>
        <v>856.3</v>
      </c>
      <c r="CP142" s="91">
        <f>IF(VLOOKUP($E142,武器奇术!$A:$R,18,FALSE)="极乐",0,MAX($C$13*IF($G$5="撼天",1.05,1)+IF(AND(VLOOKUP($E142,武器奇术!$A:$R,15,FALSE)="武器",VLOOKUP($E142,武器奇术!$A:$R,17,FALSE)="破竹"),$E$3*(1+$E$15),0),CN142))</f>
        <v>1221.8</v>
      </c>
      <c r="CQ142" s="93">
        <f>IF(($D$13+IF(VLOOKUP($E142,武器奇术!$A:$R,17,FALSE)="破竹",$D$15,0)-VLOOKUP($F$7,目标属性!$A:$R,6,FALSE)+IF(VLOOKUP($E142,武器奇术!$A:$V,22,FALSE)=1,4,0)+IF(VLOOKUP($E142,武器奇术!$A:$T,20,FALSE)=1,10,0))&gt;0,($D$13+IF(VLOOKUP($E142,武器奇术!$A:$R,17,FALSE)="破竹",$D$15,0)-VLOOKUP($F$7,目标属性!$A:$R,6,FALSE)+IF(VLOOKUP($E142,武器奇术!$A:$V,22,FALSE)=1,4,0)+IF(VLOOKUP($E142,武器奇术!$A:$T,20,FALSE)=1,10,0))/200,($D$13+IF(VLOOKUP($E142,武器奇术!$A:$R,17,FALSE)="破竹",$D$15,0)-VLOOKUP($F$7,目标属性!$A:$R,6,FALSE)+IF(VLOOKUP($E142,武器奇术!$A:$V,22,FALSE)=1,4,0)+IF(VLOOKUP($E142,武器奇术!$A:$T,20,FALSE)=1,10,0))/100)</f>
        <v>0.028</v>
      </c>
      <c r="CR142" s="100">
        <f t="shared" si="140"/>
        <v>0.148</v>
      </c>
      <c r="CS142" s="91">
        <v>1</v>
      </c>
      <c r="CT142" s="92">
        <f>CN142*IF(VLOOKUP($E142,武器奇术!$A:$R,17,FALSE)="破竹",VLOOKUP($E142,武器奇术!$A:$R,4,FALSE),VLOOKUP($E142,武器奇术!$A:$R,2,FALSE))*(1+CQ142)*(1+CR142)*CS142</f>
        <v>579.2146752</v>
      </c>
      <c r="CU142" s="93">
        <f>(1-IF(VLOOKUP($E142,武器奇术!$A:$R,16,FALSE)="陌刀",1,$N142))*(1-$M142)</f>
        <v>0</v>
      </c>
      <c r="CV142" s="92">
        <f>CO142*IF(VLOOKUP($E142,武器奇术!$A:$R,17,FALSE)="破竹",VLOOKUP($E142,武器奇术!$A:$R,4,FALSE),VLOOKUP($E142,武器奇术!$A:$R,2,FALSE))*(1+CQ142)*(1+CR142)*CS142*(1+$E$16+VLOOKUP($E142,武器奇术!$A:$R,8,FALSE))</f>
        <v>1913.9955398368</v>
      </c>
      <c r="CW142" s="93">
        <f t="shared" si="102"/>
        <v>0.8135</v>
      </c>
      <c r="CX142" s="92">
        <f>CP142*IF(VLOOKUP($E142,武器奇术!$A:$R,17,FALSE)="破竹",VLOOKUP($E142,武器奇术!$A:$R,4,FALSE),VLOOKUP($E142,武器奇术!$A:$R,2,FALSE))*(1+CQ142)*(1+CR142)*CS142*(1+$E$17+VLOOKUP($E142,武器奇术!$A:$R,10,FALSE))</f>
        <v>1946.56491792</v>
      </c>
      <c r="CY142" s="93">
        <f t="shared" si="103"/>
        <v>0.0986</v>
      </c>
      <c r="CZ142" s="92">
        <f>CO142*IF(VLOOKUP($E142,武器奇术!$A:$R,17,FALSE)="破竹",VLOOKUP($E142,武器奇术!$A:$R,4,FALSE),VLOOKUP($E142,武器奇术!$A:$R,2,FALSE))*(1+CQ142)*(1+CR142)*CS142</f>
        <v>1010.5573072</v>
      </c>
      <c r="DA142" s="93">
        <f t="shared" si="137"/>
        <v>0.0879</v>
      </c>
      <c r="DB142" s="101">
        <f t="shared" si="138"/>
        <v>1837.79465986703</v>
      </c>
      <c r="DC142" s="99">
        <f>IF(VLOOKUP($E142,武器奇术!$A:$R,18,FALSE)="极乐",0,$B$15)</f>
        <v>66</v>
      </c>
      <c r="DD142" s="91">
        <f t="shared" si="111"/>
        <v>95.9</v>
      </c>
      <c r="DE142" s="91">
        <f>IF(VLOOKUP($E142,武器奇术!$A:$R,18,FALSE)="极乐",0,$C$15)</f>
        <v>125.8</v>
      </c>
      <c r="DF142" s="93">
        <f>IF((IF(VLOOKUP($E142,武器奇术!$A:$R,17,FALSE)="鸣金",$D$7,0)+IF(VLOOKUP($E142,武器奇术!$A:$R,17,FALSE)="裂石",$D$9,0)+IF(VLOOKUP($E142,武器奇术!$A:$R,17,FALSE)="牵丝",$D$11,0)+IF(VLOOKUP($E142,武器奇术!$A:$R,17,FALSE)="破竹",$D$13,0)+$D$15-VLOOKUP($F$7,目标属性!$A:$R,6,FALSE)+IF(VLOOKUP($E142,武器奇术!$A:$V,22,FALSE)=1,4,0)+IF(VLOOKUP($E142,武器奇术!$A:$T,20,FALSE)=1,10,0))&gt;0,(IF(VLOOKUP($E142,武器奇术!$A:$R,17,FALSE)="鸣金",$D$7,0)+IF(VLOOKUP($E142,武器奇术!$A:$R,17,FALSE)="裂石",$D$9,0)+IF(VLOOKUP($E142,武器奇术!$A:$R,17,FALSE)="牵丝",$D$11,0)+IF(VLOOKUP($E142,武器奇术!$A:$R,17,FALSE)="破竹",$D$13,0)+$D$15-VLOOKUP($F$7,目标属性!$A:$R,6,FALSE)+IF(VLOOKUP($E142,武器奇术!$A:$V,22,FALSE)=1,4,0)+IF(VLOOKUP($E142,武器奇术!$A:$T,20,FALSE)=1,10,0))/200,(IF(VLOOKUP($E142,武器奇术!$A:$R,17,FALSE)="鸣金",$D$7,0)+IF(VLOOKUP($E142,武器奇术!$A:$R,17,FALSE)="裂石",$D$9,0)+IF(VLOOKUP($E142,武器奇术!$A:$R,17,FALSE)="牵丝",$D$11,0)+IF(VLOOKUP($E142,武器奇术!$A:$R,17,FALSE)="破竹",$D$13,0)+$D$15-VLOOKUP($F$7,目标属性!$A:$R,6,FALSE)+IF(VLOOKUP($E142,武器奇术!$A:$V,22,FALSE)=1,4,0)+IF(VLOOKUP($E142,武器奇术!$A:$T,20,FALSE)=1,10,0))/100)</f>
        <v>0.028</v>
      </c>
      <c r="DG142" s="100">
        <f t="shared" si="139"/>
        <v>0.148</v>
      </c>
      <c r="DH142" s="91">
        <v>1</v>
      </c>
      <c r="DI142" s="92">
        <f>DC142*IF(VLOOKUP($E142,武器奇术!$A:$R,17,FALSE)="破竹",VLOOKUP($E142,武器奇术!$A:$R,4,FALSE),VLOOKUP($E142,武器奇术!$A:$R,2,FALSE))*(1+DF142)*(1+DG142)*DH142</f>
        <v>77.889504</v>
      </c>
      <c r="DJ142" s="93">
        <f>(1-IF(VLOOKUP($E142,武器奇术!$A:$R,16,FALSE)="陌刀",1,$N142))*(1-$M142)</f>
        <v>0</v>
      </c>
      <c r="DK142" s="92">
        <f>DD142*IF(VLOOKUP($E142,武器奇术!$A:$R,17,FALSE)="破竹",VLOOKUP($E142,武器奇术!$A:$R,4,FALSE),VLOOKUP($E142,武器奇术!$A:$R,2,FALSE))*(1+DF142)*(1+DG142)*DH142*(1+$E$16+VLOOKUP($E142,武器奇术!$A:$R,8,FALSE))</f>
        <v>214.3549833824</v>
      </c>
      <c r="DL142" s="93">
        <f t="shared" si="104"/>
        <v>0.8135</v>
      </c>
      <c r="DM142" s="92">
        <f>DE142*IF(VLOOKUP($E142,武器奇术!$A:$R,17,FALSE)="破竹",VLOOKUP($E142,武器奇术!$A:$R,4,FALSE),VLOOKUP($E142,武器奇术!$A:$R,2,FALSE))*(1+DF142)*(1+DG142)*DH142*(1+$E$17+VLOOKUP($E142,武器奇术!$A:$R,10,FALSE))</f>
        <v>200.42385552</v>
      </c>
      <c r="DN142" s="93">
        <f t="shared" si="105"/>
        <v>0.0986</v>
      </c>
      <c r="DO142" s="92">
        <f>DD142*IF(VLOOKUP($E142,武器奇术!$A:$R,17,FALSE)="破竹",VLOOKUP($E142,武器奇术!$A:$R,4,FALSE),VLOOKUP($E142,武器奇术!$A:$R,2,FALSE))*(1+DF142)*(1+DG142)*DH142</f>
        <v>113.1758096</v>
      </c>
      <c r="DP142" s="93">
        <f t="shared" si="106"/>
        <v>0.0879</v>
      </c>
      <c r="DQ142" s="101">
        <f t="shared" si="107"/>
        <v>204.087724799694</v>
      </c>
    </row>
  </sheetData>
  <mergeCells count="29">
    <mergeCell ref="B21:C21"/>
    <mergeCell ref="D22:E22"/>
    <mergeCell ref="E28:K28"/>
    <mergeCell ref="L28:M28"/>
    <mergeCell ref="O28:P28"/>
    <mergeCell ref="Q28:AE28"/>
    <mergeCell ref="AF28:AT28"/>
    <mergeCell ref="AU28:BI28"/>
    <mergeCell ref="BJ28:BX28"/>
    <mergeCell ref="BY28:CM28"/>
    <mergeCell ref="CN28:DB28"/>
    <mergeCell ref="DC28:DQ28"/>
    <mergeCell ref="A16:A18"/>
    <mergeCell ref="A84:A93"/>
    <mergeCell ref="A94:A102"/>
    <mergeCell ref="A121:A130"/>
    <mergeCell ref="B28:B29"/>
    <mergeCell ref="B30:B34"/>
    <mergeCell ref="B35:B39"/>
    <mergeCell ref="B40:B44"/>
    <mergeCell ref="D82:D92"/>
    <mergeCell ref="D97:D107"/>
    <mergeCell ref="D121:D124"/>
    <mergeCell ref="D125:D130"/>
    <mergeCell ref="I8:P18"/>
    <mergeCell ref="C35:D39"/>
    <mergeCell ref="C40:D44"/>
    <mergeCell ref="C30:D34"/>
    <mergeCell ref="C28:D29"/>
  </mergeCells>
  <dataValidations count="8">
    <dataValidation type="list" allowBlank="1" showInputMessage="1" showErrorMessage="1" sqref="C2">
      <formula1>"鸣金,裂石,牵丝,破竹"</formula1>
    </dataValidation>
    <dataValidation type="list" allowBlank="1" showInputMessage="1" showErrorMessage="1" sqref="H3:K3 H5 K5 F19:G19 F21 F26">
      <formula1>"√,×"</formula1>
    </dataValidation>
    <dataValidation type="list" allowBlank="1" showInputMessage="1" showErrorMessage="1" sqref="M3:P3 I5">
      <formula1>"0%,10%,15%,20%,25%,30%"</formula1>
    </dataValidation>
    <dataValidation type="list" allowBlank="1" showInputMessage="1" showErrorMessage="1" sqref="G5">
      <formula1>"飞隼,燕归,撼天,N/A"</formula1>
    </dataValidation>
    <dataValidation type="list" allowBlank="1" showInputMessage="1" showErrorMessage="1" sqref="J5">
      <formula1>"火,毒"</formula1>
    </dataValidation>
    <dataValidation type="list" allowBlank="1" showInputMessage="1" showErrorMessage="1" sqref="F7">
      <formula1>目标属性!$A:$A</formula1>
    </dataValidation>
    <dataValidation type="list" allowBlank="1" showInputMessage="1" showErrorMessage="1" sqref="A10 A12">
      <formula1>"主属性,副属性"</formula1>
    </dataValidation>
    <dataValidation type="list" allowBlank="1" showInputMessage="1" showErrorMessage="1" sqref="E30:E142">
      <formula1>武器奇术!$A:$A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6"/>
  <sheetViews>
    <sheetView topLeftCell="A76" workbookViewId="0">
      <selection activeCell="E101" sqref="E101"/>
    </sheetView>
  </sheetViews>
  <sheetFormatPr defaultColWidth="9" defaultRowHeight="13.5"/>
  <cols>
    <col min="1" max="1" width="38" customWidth="1"/>
    <col min="2" max="2" width="11.5" style="28"/>
    <col min="3" max="3" width="9.375" style="29"/>
    <col min="4" max="4" width="10" style="28" customWidth="1"/>
    <col min="5" max="5" width="17.625" style="28" customWidth="1"/>
    <col min="6" max="6" width="16.875" style="28" customWidth="1"/>
    <col min="7" max="7" width="13" style="28" customWidth="1"/>
    <col min="8" max="8" width="15" style="28" customWidth="1"/>
    <col min="9" max="9" width="10.875" style="28" customWidth="1"/>
    <col min="10" max="10" width="13.5" customWidth="1"/>
    <col min="11" max="11" width="9" style="28"/>
    <col min="12" max="12" width="9.375" style="28"/>
    <col min="13" max="13" width="10.75" style="29" customWidth="1"/>
  </cols>
  <sheetData>
    <row r="1" spans="1:22">
      <c r="B1" s="28" t="s">
        <v>98</v>
      </c>
      <c r="C1" s="29" t="s">
        <v>77</v>
      </c>
      <c r="D1" s="28" t="s">
        <v>227</v>
      </c>
      <c r="E1" s="28" t="s">
        <v>228</v>
      </c>
      <c r="F1" s="28" t="s">
        <v>229</v>
      </c>
      <c r="G1" s="28" t="s">
        <v>230</v>
      </c>
      <c r="H1" s="28" t="s">
        <v>231</v>
      </c>
      <c r="I1" s="28" t="s">
        <v>232</v>
      </c>
      <c r="J1" t="s">
        <v>233</v>
      </c>
      <c r="K1" s="28" t="s">
        <v>87</v>
      </c>
      <c r="L1" s="28" t="s">
        <v>234</v>
      </c>
      <c r="M1" s="29" t="s">
        <v>235</v>
      </c>
      <c r="N1" t="s">
        <v>236</v>
      </c>
      <c r="O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21</v>
      </c>
      <c r="V1" t="s">
        <v>242</v>
      </c>
    </row>
    <row r="2" customFormat="1" spans="1:22">
      <c r="A2" s="30" t="s">
        <v>243</v>
      </c>
      <c r="B2" s="28">
        <f>42.05%*1.1</f>
        <v>0.46255</v>
      </c>
      <c r="C2" s="29">
        <f>117*1.1</f>
        <v>128.7</v>
      </c>
      <c r="D2" s="28">
        <f>63.07%*1.1</f>
        <v>0.69377</v>
      </c>
      <c r="E2" s="28"/>
      <c r="F2" s="28"/>
      <c r="G2" s="28"/>
      <c r="H2" s="28"/>
      <c r="I2" s="28"/>
      <c r="J2" s="27"/>
      <c r="K2" s="28">
        <v>1</v>
      </c>
      <c r="L2" s="28">
        <f>2%+IF(期望!$G$5="燕归",12%,0)</f>
        <v>0.14</v>
      </c>
      <c r="M2" s="29"/>
      <c r="N2">
        <v>0</v>
      </c>
      <c r="O2" t="s">
        <v>244</v>
      </c>
      <c r="P2" t="s">
        <v>63</v>
      </c>
      <c r="Q2" t="s">
        <v>1</v>
      </c>
      <c r="S2">
        <v>1</v>
      </c>
      <c r="U2">
        <v>1</v>
      </c>
    </row>
    <row r="3" customFormat="1" spans="1:22">
      <c r="A3" s="30" t="s">
        <v>245</v>
      </c>
      <c r="B3" s="28">
        <f>45.08%*1.1</f>
        <v>0.49588</v>
      </c>
      <c r="C3" s="29">
        <f>126*1.1</f>
        <v>138.6</v>
      </c>
      <c r="D3" s="28">
        <f>67.63%*1.1</f>
        <v>0.74393</v>
      </c>
      <c r="E3" s="28"/>
      <c r="F3" s="28"/>
      <c r="G3" s="28"/>
      <c r="H3" s="28"/>
      <c r="I3" s="28"/>
      <c r="J3" s="27"/>
      <c r="K3" s="28">
        <v>1</v>
      </c>
      <c r="L3" s="28">
        <f>2%+IF(期望!$G$5="燕归",12%,0)</f>
        <v>0.14</v>
      </c>
      <c r="M3" s="29"/>
      <c r="N3">
        <v>0</v>
      </c>
      <c r="O3" t="s">
        <v>244</v>
      </c>
      <c r="P3" t="s">
        <v>63</v>
      </c>
      <c r="Q3" t="s">
        <v>1</v>
      </c>
      <c r="S3">
        <v>1</v>
      </c>
      <c r="U3">
        <v>1</v>
      </c>
    </row>
    <row r="4" customFormat="1" spans="1:22">
      <c r="A4" s="30" t="s">
        <v>246</v>
      </c>
      <c r="B4" s="28">
        <f>57.72%*1.1</f>
        <v>0.63492</v>
      </c>
      <c r="C4" s="29">
        <f>161*1.1</f>
        <v>177.1</v>
      </c>
      <c r="D4" s="28">
        <f>86.58%*1.1</f>
        <v>0.95238</v>
      </c>
      <c r="E4" s="28"/>
      <c r="F4" s="28"/>
      <c r="G4" s="28"/>
      <c r="H4" s="28"/>
      <c r="I4" s="28"/>
      <c r="J4" s="27"/>
      <c r="K4" s="28">
        <v>1</v>
      </c>
      <c r="L4" s="28">
        <f>2%+IF(期望!$G$5="燕归",12%,0)</f>
        <v>0.14</v>
      </c>
      <c r="M4" s="29"/>
      <c r="N4">
        <v>0</v>
      </c>
      <c r="O4" t="s">
        <v>244</v>
      </c>
      <c r="P4" t="s">
        <v>63</v>
      </c>
      <c r="Q4" t="s">
        <v>1</v>
      </c>
      <c r="S4">
        <v>1</v>
      </c>
      <c r="U4">
        <v>1</v>
      </c>
    </row>
    <row r="5" customFormat="1" spans="1:22">
      <c r="A5" s="30" t="s">
        <v>247</v>
      </c>
      <c r="B5" s="28">
        <f>50.82%*1.1</f>
        <v>0.55902</v>
      </c>
      <c r="C5" s="29">
        <f>142*1.1</f>
        <v>156.2</v>
      </c>
      <c r="D5" s="28">
        <f>76.23%*1.1</f>
        <v>0.83853</v>
      </c>
      <c r="E5" s="28"/>
      <c r="F5" s="28"/>
      <c r="G5" s="28"/>
      <c r="H5" s="28"/>
      <c r="I5" s="28"/>
      <c r="J5" s="27"/>
      <c r="K5" s="28">
        <v>1</v>
      </c>
      <c r="L5" s="28">
        <f>2%+IF(期望!$G$5="燕归",12%,0)</f>
        <v>0.14</v>
      </c>
      <c r="M5" s="29"/>
      <c r="N5">
        <v>0</v>
      </c>
      <c r="O5" t="s">
        <v>244</v>
      </c>
      <c r="P5" t="s">
        <v>63</v>
      </c>
      <c r="Q5" t="s">
        <v>1</v>
      </c>
      <c r="S5">
        <v>1</v>
      </c>
      <c r="U5">
        <v>1</v>
      </c>
    </row>
    <row r="6" customFormat="1" spans="1:22">
      <c r="A6" s="30" t="s">
        <v>124</v>
      </c>
      <c r="B6" s="28">
        <f>42.05%*1.1</f>
        <v>0.46255</v>
      </c>
      <c r="C6" s="29">
        <f>117*1.1</f>
        <v>128.7</v>
      </c>
      <c r="D6" s="28">
        <f>63.07%*1.1</f>
        <v>0.69377</v>
      </c>
      <c r="E6" s="28"/>
      <c r="F6" s="28"/>
      <c r="G6" s="28"/>
      <c r="H6" s="28"/>
      <c r="I6" s="28"/>
      <c r="J6" s="27"/>
      <c r="K6" s="28">
        <v>1</v>
      </c>
      <c r="L6" s="28">
        <f>10%+IF(期望!$G$5="燕归",12%,0)</f>
        <v>0.22</v>
      </c>
      <c r="M6" s="31"/>
      <c r="N6">
        <v>0</v>
      </c>
      <c r="O6" t="s">
        <v>244</v>
      </c>
      <c r="P6" t="s">
        <v>63</v>
      </c>
      <c r="Q6" t="s">
        <v>1</v>
      </c>
      <c r="S6">
        <v>1</v>
      </c>
      <c r="T6"/>
      <c r="U6">
        <v>1</v>
      </c>
    </row>
    <row r="7" customFormat="1" spans="1:22">
      <c r="A7" s="30" t="s">
        <v>125</v>
      </c>
      <c r="B7" s="28">
        <f>45.08%*1.1</f>
        <v>0.49588</v>
      </c>
      <c r="C7" s="29">
        <f>126*1.1</f>
        <v>138.6</v>
      </c>
      <c r="D7" s="28">
        <f>67.63%*1.1</f>
        <v>0.74393</v>
      </c>
      <c r="E7" s="28"/>
      <c r="F7" s="28"/>
      <c r="G7" s="28"/>
      <c r="H7" s="28"/>
      <c r="I7" s="28"/>
      <c r="J7" s="27"/>
      <c r="K7" s="28">
        <v>1</v>
      </c>
      <c r="L7" s="28">
        <f>10%+IF(期望!$G$5="燕归",12%,0)</f>
        <v>0.22</v>
      </c>
      <c r="M7" s="31"/>
      <c r="N7">
        <v>0</v>
      </c>
      <c r="O7" t="s">
        <v>244</v>
      </c>
      <c r="P7" t="s">
        <v>63</v>
      </c>
      <c r="Q7" t="s">
        <v>1</v>
      </c>
      <c r="S7">
        <v>1</v>
      </c>
      <c r="T7"/>
      <c r="U7">
        <v>1</v>
      </c>
    </row>
    <row r="8" customFormat="1" spans="1:22">
      <c r="A8" s="30" t="s">
        <v>126</v>
      </c>
      <c r="B8" s="28">
        <f>57.72%*1.1</f>
        <v>0.63492</v>
      </c>
      <c r="C8" s="29">
        <f>161*1.1</f>
        <v>177.1</v>
      </c>
      <c r="D8" s="28">
        <f>86.58%*1.1</f>
        <v>0.95238</v>
      </c>
      <c r="E8" s="28"/>
      <c r="F8" s="28"/>
      <c r="G8" s="28"/>
      <c r="H8" s="28"/>
      <c r="I8" s="28"/>
      <c r="J8" s="27"/>
      <c r="K8" s="28">
        <v>1</v>
      </c>
      <c r="L8" s="28">
        <f>10%+IF(期望!$G$5="燕归",12%,0)</f>
        <v>0.22</v>
      </c>
      <c r="M8" s="31"/>
      <c r="N8">
        <v>0</v>
      </c>
      <c r="O8" t="s">
        <v>244</v>
      </c>
      <c r="P8" t="s">
        <v>63</v>
      </c>
      <c r="Q8" t="s">
        <v>1</v>
      </c>
      <c r="S8">
        <v>1</v>
      </c>
      <c r="T8"/>
      <c r="U8">
        <v>1</v>
      </c>
    </row>
    <row r="9" customFormat="1" spans="1:22">
      <c r="A9" s="30" t="s">
        <v>127</v>
      </c>
      <c r="B9" s="28">
        <f>50.82%*1.1</f>
        <v>0.55902</v>
      </c>
      <c r="C9" s="29">
        <f>142*1.1</f>
        <v>156.2</v>
      </c>
      <c r="D9" s="28">
        <f>76.23%*1.1</f>
        <v>0.83853</v>
      </c>
      <c r="E9" s="28"/>
      <c r="F9" s="28"/>
      <c r="G9" s="28"/>
      <c r="H9" s="28"/>
      <c r="I9" s="28"/>
      <c r="J9" s="27"/>
      <c r="K9" s="28">
        <v>1</v>
      </c>
      <c r="L9" s="28">
        <f>10%+IF(期望!$G$5="燕归",12%,0)</f>
        <v>0.22</v>
      </c>
      <c r="M9" s="31"/>
      <c r="N9">
        <v>0</v>
      </c>
      <c r="O9" t="s">
        <v>244</v>
      </c>
      <c r="P9" t="s">
        <v>63</v>
      </c>
      <c r="Q9" t="s">
        <v>1</v>
      </c>
      <c r="S9">
        <v>1</v>
      </c>
      <c r="T9"/>
      <c r="U9">
        <v>1</v>
      </c>
    </row>
    <row r="10" customFormat="1" spans="1:22">
      <c r="A10" s="30" t="s">
        <v>157</v>
      </c>
      <c r="B10" s="28">
        <f>42.05%*1.1</f>
        <v>0.46255</v>
      </c>
      <c r="C10" s="29">
        <f>117*1.1</f>
        <v>128.7</v>
      </c>
      <c r="D10" s="28">
        <f>63.07%*1.1</f>
        <v>0.69377</v>
      </c>
      <c r="E10" s="28"/>
      <c r="F10" s="28"/>
      <c r="G10" s="28"/>
      <c r="H10" s="28">
        <f>IF(期望!$H$3="√",25%,0)</f>
        <v>0.25</v>
      </c>
      <c r="I10" s="28"/>
      <c r="J10" s="27"/>
      <c r="K10" s="28">
        <v>1</v>
      </c>
      <c r="L10" s="28">
        <f>10%+IF(期望!$G$5="燕归",12%,0)</f>
        <v>0.22</v>
      </c>
      <c r="M10" s="31">
        <f>IF(期望!$H$3="√",25,0)</f>
        <v>25</v>
      </c>
      <c r="N10">
        <v>0</v>
      </c>
      <c r="O10" t="s">
        <v>244</v>
      </c>
      <c r="P10" t="s">
        <v>63</v>
      </c>
      <c r="Q10" t="s">
        <v>1</v>
      </c>
      <c r="S10">
        <v>1</v>
      </c>
      <c r="U10">
        <v>1</v>
      </c>
    </row>
    <row r="11" customFormat="1" spans="1:22">
      <c r="A11" s="30" t="s">
        <v>159</v>
      </c>
      <c r="B11" s="28">
        <f>45.08%*1.1</f>
        <v>0.49588</v>
      </c>
      <c r="C11" s="29">
        <f>126*1.1</f>
        <v>138.6</v>
      </c>
      <c r="D11" s="28">
        <f>67.63%*1.1</f>
        <v>0.74393</v>
      </c>
      <c r="E11" s="28"/>
      <c r="F11" s="28"/>
      <c r="G11" s="28"/>
      <c r="H11" s="28">
        <f>IF(期望!$H$3="√",25%,0)</f>
        <v>0.25</v>
      </c>
      <c r="I11" s="28"/>
      <c r="J11" s="27"/>
      <c r="K11" s="28">
        <v>1</v>
      </c>
      <c r="L11" s="28">
        <f>10%+IF(期望!$G$5="燕归",12%,0)</f>
        <v>0.22</v>
      </c>
      <c r="M11" s="31">
        <f>IF(期望!$H$3="√",25,0)</f>
        <v>25</v>
      </c>
      <c r="N11">
        <v>0</v>
      </c>
      <c r="O11" t="s">
        <v>244</v>
      </c>
      <c r="P11" t="s">
        <v>63</v>
      </c>
      <c r="Q11" t="s">
        <v>1</v>
      </c>
      <c r="S11">
        <v>1</v>
      </c>
      <c r="U11">
        <v>1</v>
      </c>
    </row>
    <row r="12" customFormat="1" spans="1:22">
      <c r="A12" s="30" t="s">
        <v>248</v>
      </c>
      <c r="B12" s="28">
        <f>57.72%*1.1</f>
        <v>0.63492</v>
      </c>
      <c r="C12" s="29">
        <f>161*1.1</f>
        <v>177.1</v>
      </c>
      <c r="D12" s="28">
        <f>86.58%*1.1</f>
        <v>0.95238</v>
      </c>
      <c r="E12" s="28"/>
      <c r="F12" s="28"/>
      <c r="G12" s="28"/>
      <c r="H12" s="28">
        <f>IF(期望!$H$3="√",25%,0)</f>
        <v>0.25</v>
      </c>
      <c r="I12" s="28"/>
      <c r="J12" s="27"/>
      <c r="K12" s="28">
        <v>1</v>
      </c>
      <c r="L12" s="28">
        <f>10%+IF(期望!$G$5="燕归",12%,0)</f>
        <v>0.22</v>
      </c>
      <c r="M12" s="31">
        <f>IF(期望!$H$3="√",25,0)</f>
        <v>25</v>
      </c>
      <c r="N12">
        <v>0</v>
      </c>
      <c r="O12" t="s">
        <v>244</v>
      </c>
      <c r="P12" t="s">
        <v>63</v>
      </c>
      <c r="Q12" t="s">
        <v>1</v>
      </c>
      <c r="S12">
        <v>1</v>
      </c>
      <c r="U12">
        <v>1</v>
      </c>
    </row>
    <row r="13" customFormat="1" spans="1:22">
      <c r="A13" s="30" t="s">
        <v>249</v>
      </c>
      <c r="B13" s="28">
        <f>50.82%*1.1</f>
        <v>0.55902</v>
      </c>
      <c r="C13" s="29">
        <f>142*1.1</f>
        <v>156.2</v>
      </c>
      <c r="D13" s="28">
        <f>76.23%*1.1</f>
        <v>0.83853</v>
      </c>
      <c r="E13" s="28"/>
      <c r="F13" s="28"/>
      <c r="G13" s="28"/>
      <c r="H13" s="28">
        <f>IF(期望!$H$3="√",25%,0)</f>
        <v>0.25</v>
      </c>
      <c r="I13" s="28"/>
      <c r="J13" s="27"/>
      <c r="K13" s="28">
        <v>1</v>
      </c>
      <c r="L13" s="28">
        <f>10%+IF(期望!$G$5="燕归",12%,0)</f>
        <v>0.22</v>
      </c>
      <c r="M13" s="31">
        <f>IF(期望!$H$3="√",25,0)</f>
        <v>25</v>
      </c>
      <c r="N13">
        <v>0</v>
      </c>
      <c r="O13" t="s">
        <v>244</v>
      </c>
      <c r="P13" t="s">
        <v>63</v>
      </c>
      <c r="Q13" t="s">
        <v>1</v>
      </c>
      <c r="S13">
        <v>1</v>
      </c>
      <c r="U13">
        <v>1</v>
      </c>
    </row>
    <row r="14" customFormat="1" spans="1:22">
      <c r="A14" s="30" t="s">
        <v>195</v>
      </c>
      <c r="B14" s="28">
        <f>42.05%*1.1</f>
        <v>0.46255</v>
      </c>
      <c r="C14" s="29">
        <f>117*1.1</f>
        <v>128.7</v>
      </c>
      <c r="D14" s="28">
        <f>63.07%*1.1</f>
        <v>0.69377</v>
      </c>
      <c r="E14" s="28"/>
      <c r="F14" s="28"/>
      <c r="G14" s="28"/>
      <c r="H14" s="28">
        <f>IF(期望!$H$3="√",25%,0)</f>
        <v>0.25</v>
      </c>
      <c r="I14" s="28"/>
      <c r="J14" s="27"/>
      <c r="K14" s="28">
        <v>1</v>
      </c>
      <c r="L14" s="28">
        <f>10%+IF(期望!$G$5="燕归",12%,0)+2%</f>
        <v>0.24</v>
      </c>
      <c r="M14" s="31">
        <f>IF(期望!$H$3="√",25,0)</f>
        <v>25</v>
      </c>
      <c r="N14">
        <v>0</v>
      </c>
      <c r="O14" t="s">
        <v>244</v>
      </c>
      <c r="P14" t="s">
        <v>63</v>
      </c>
      <c r="Q14" t="s">
        <v>1</v>
      </c>
      <c r="S14">
        <v>1</v>
      </c>
      <c r="U14">
        <v>1</v>
      </c>
    </row>
    <row r="15" customFormat="1" spans="1:22">
      <c r="A15" s="30" t="s">
        <v>196</v>
      </c>
      <c r="B15" s="28">
        <f>45.08%*1.1</f>
        <v>0.49588</v>
      </c>
      <c r="C15" s="29">
        <f>126*1.1</f>
        <v>138.6</v>
      </c>
      <c r="D15" s="28">
        <f>67.63%*1.1</f>
        <v>0.74393</v>
      </c>
      <c r="E15" s="28"/>
      <c r="F15" s="28"/>
      <c r="G15" s="28"/>
      <c r="H15" s="28">
        <f>IF(期望!$H$3="√",25%,0)</f>
        <v>0.25</v>
      </c>
      <c r="I15" s="28"/>
      <c r="J15" s="27"/>
      <c r="K15" s="28">
        <v>1</v>
      </c>
      <c r="L15" s="28">
        <f>10%+IF(期望!$G$5="燕归",12%,0)+2%</f>
        <v>0.24</v>
      </c>
      <c r="M15" s="31">
        <f>IF(期望!$H$3="√",25,0)</f>
        <v>25</v>
      </c>
      <c r="N15">
        <v>0</v>
      </c>
      <c r="O15" t="s">
        <v>244</v>
      </c>
      <c r="P15" t="s">
        <v>63</v>
      </c>
      <c r="Q15" t="s">
        <v>1</v>
      </c>
      <c r="S15">
        <v>1</v>
      </c>
      <c r="U15">
        <v>1</v>
      </c>
    </row>
    <row r="16" customFormat="1" spans="1:22">
      <c r="A16" s="30" t="s">
        <v>163</v>
      </c>
      <c r="B16" s="28">
        <f>42.05%*1.1</f>
        <v>0.46255</v>
      </c>
      <c r="C16" s="29">
        <f>117*1.1</f>
        <v>128.7</v>
      </c>
      <c r="D16" s="28">
        <f>63.07%*1.1</f>
        <v>0.69377</v>
      </c>
      <c r="E16" s="28"/>
      <c r="F16" s="28"/>
      <c r="G16" s="28"/>
      <c r="H16" s="28">
        <f>IF(期望!$H$3="√",25%,0)</f>
        <v>0.25</v>
      </c>
      <c r="I16" s="28"/>
      <c r="J16" s="27"/>
      <c r="K16" s="28">
        <v>1</v>
      </c>
      <c r="L16" s="28">
        <f>10%+IF(期望!$G$5="燕归",12%,0)+15%</f>
        <v>0.37</v>
      </c>
      <c r="M16" s="31">
        <f>IF(期望!$H$3="√",25,0)</f>
        <v>25</v>
      </c>
      <c r="N16">
        <v>0</v>
      </c>
      <c r="O16" t="s">
        <v>244</v>
      </c>
      <c r="P16" t="s">
        <v>63</v>
      </c>
      <c r="Q16" t="s">
        <v>1</v>
      </c>
      <c r="S16">
        <v>1</v>
      </c>
      <c r="U16">
        <v>1</v>
      </c>
    </row>
    <row r="17" customFormat="1" spans="1:21">
      <c r="A17" s="30" t="s">
        <v>164</v>
      </c>
      <c r="B17" s="28">
        <f>45.08%*1.1</f>
        <v>0.49588</v>
      </c>
      <c r="C17" s="29">
        <f>126*1.1</f>
        <v>138.6</v>
      </c>
      <c r="D17" s="28">
        <f>67.63%*1.1</f>
        <v>0.74393</v>
      </c>
      <c r="E17" s="28"/>
      <c r="F17" s="28"/>
      <c r="G17" s="28"/>
      <c r="H17" s="28">
        <f>IF(期望!$H$3="√",25%,0)</f>
        <v>0.25</v>
      </c>
      <c r="I17" s="28"/>
      <c r="J17" s="27"/>
      <c r="K17" s="28">
        <v>1</v>
      </c>
      <c r="L17" s="28">
        <f>10%+IF(期望!$G$5="燕归",12%,0)+15%</f>
        <v>0.37</v>
      </c>
      <c r="M17" s="31">
        <f>IF(期望!$H$3="√",25,0)</f>
        <v>25</v>
      </c>
      <c r="N17">
        <v>0</v>
      </c>
      <c r="O17" t="s">
        <v>244</v>
      </c>
      <c r="P17" t="s">
        <v>63</v>
      </c>
      <c r="Q17" t="s">
        <v>1</v>
      </c>
      <c r="S17">
        <v>1</v>
      </c>
      <c r="U17">
        <v>1</v>
      </c>
    </row>
    <row r="18" customFormat="1" spans="1:21">
      <c r="A18" s="30" t="s">
        <v>166</v>
      </c>
      <c r="B18" s="28">
        <f>57.72%*1.1</f>
        <v>0.63492</v>
      </c>
      <c r="C18" s="29">
        <f>161*1.1</f>
        <v>177.1</v>
      </c>
      <c r="D18" s="28">
        <f>86.58%*1.1</f>
        <v>0.95238</v>
      </c>
      <c r="E18" s="28"/>
      <c r="F18" s="28"/>
      <c r="G18" s="28"/>
      <c r="H18" s="28">
        <f>IF(期望!$H$3="√",25%,0)</f>
        <v>0.25</v>
      </c>
      <c r="I18" s="28"/>
      <c r="J18" s="27"/>
      <c r="K18" s="28">
        <v>1</v>
      </c>
      <c r="L18" s="28">
        <f>10%+IF(期望!$G$5="燕归",12%,0)+15%</f>
        <v>0.37</v>
      </c>
      <c r="M18" s="31">
        <f>IF(期望!$H$3="√",25,0)</f>
        <v>25</v>
      </c>
      <c r="N18">
        <v>0</v>
      </c>
      <c r="O18" t="s">
        <v>244</v>
      </c>
      <c r="P18" t="s">
        <v>63</v>
      </c>
      <c r="Q18" t="s">
        <v>1</v>
      </c>
      <c r="S18">
        <v>1</v>
      </c>
      <c r="U18">
        <v>1</v>
      </c>
    </row>
    <row r="19" customFormat="1" spans="1:21">
      <c r="A19" s="30" t="s">
        <v>250</v>
      </c>
      <c r="B19" s="28">
        <f>50.82%*1.1</f>
        <v>0.55902</v>
      </c>
      <c r="C19" s="29">
        <f>142*1.1</f>
        <v>156.2</v>
      </c>
      <c r="D19" s="28">
        <f>76.23%*1.1</f>
        <v>0.83853</v>
      </c>
      <c r="E19" s="28"/>
      <c r="F19" s="28"/>
      <c r="G19" s="28"/>
      <c r="H19" s="28">
        <f>IF(期望!$H$3="√",25%,0)</f>
        <v>0.25</v>
      </c>
      <c r="I19" s="28"/>
      <c r="J19" s="27"/>
      <c r="K19" s="28">
        <v>1</v>
      </c>
      <c r="L19" s="28">
        <f>10%+IF(期望!$G$5="燕归",12%,0)+15%</f>
        <v>0.37</v>
      </c>
      <c r="M19" s="31">
        <f>IF(期望!$H$3="√",25,0)</f>
        <v>25</v>
      </c>
      <c r="N19">
        <v>0</v>
      </c>
      <c r="O19" t="s">
        <v>244</v>
      </c>
      <c r="P19" t="s">
        <v>63</v>
      </c>
      <c r="Q19" t="s">
        <v>1</v>
      </c>
      <c r="S19">
        <v>1</v>
      </c>
      <c r="U19">
        <v>1</v>
      </c>
    </row>
    <row r="20" customFormat="1" spans="1:21">
      <c r="A20" s="30" t="s">
        <v>180</v>
      </c>
      <c r="B20" s="28">
        <f>64.72%*1.1</f>
        <v>0.71192</v>
      </c>
      <c r="C20" s="29">
        <f>180*1.1</f>
        <v>198</v>
      </c>
      <c r="D20" s="28">
        <f>97.08%*1.1</f>
        <v>1.06788</v>
      </c>
      <c r="E20" s="28"/>
      <c r="F20" s="28"/>
      <c r="G20" s="28">
        <v>0.1</v>
      </c>
      <c r="H20" s="28">
        <v>0.5</v>
      </c>
      <c r="I20" s="28"/>
      <c r="J20" s="27"/>
      <c r="K20" s="28">
        <v>1</v>
      </c>
      <c r="L20" s="28">
        <f>10%+IF(期望!$G$5="燕归",12%,0)</f>
        <v>0.22</v>
      </c>
      <c r="M20" s="29"/>
      <c r="N20">
        <v>0</v>
      </c>
      <c r="O20" t="s">
        <v>244</v>
      </c>
      <c r="P20" t="s">
        <v>63</v>
      </c>
      <c r="Q20" t="s">
        <v>1</v>
      </c>
      <c r="S20">
        <v>1</v>
      </c>
      <c r="T20">
        <v>1</v>
      </c>
      <c r="U20">
        <v>1</v>
      </c>
    </row>
    <row r="21" customFormat="1" spans="1:21">
      <c r="A21" s="30" t="s">
        <v>181</v>
      </c>
      <c r="B21" s="28">
        <f>90.12%*1.1</f>
        <v>0.99132</v>
      </c>
      <c r="C21" s="29">
        <f>250*1.1</f>
        <v>275</v>
      </c>
      <c r="D21" s="28">
        <f>135.18%*1.1</f>
        <v>1.48698</v>
      </c>
      <c r="E21" s="28"/>
      <c r="F21" s="28"/>
      <c r="G21" s="28">
        <v>0.1</v>
      </c>
      <c r="H21" s="28">
        <v>0.5</v>
      </c>
      <c r="I21" s="28"/>
      <c r="J21" s="27"/>
      <c r="K21" s="28">
        <v>1</v>
      </c>
      <c r="L21" s="28">
        <f>10%+IF(期望!$G$5="燕归",12%,0)</f>
        <v>0.22</v>
      </c>
      <c r="M21" s="29"/>
      <c r="N21">
        <v>0</v>
      </c>
      <c r="O21" t="s">
        <v>244</v>
      </c>
      <c r="P21" t="s">
        <v>63</v>
      </c>
      <c r="Q21" t="s">
        <v>1</v>
      </c>
      <c r="S21">
        <v>1</v>
      </c>
      <c r="T21">
        <v>1</v>
      </c>
      <c r="U21">
        <v>1</v>
      </c>
    </row>
    <row r="22" customFormat="1" spans="1:21">
      <c r="A22" s="30" t="s">
        <v>182</v>
      </c>
      <c r="B22" s="28">
        <f>144.55%*1.1</f>
        <v>1.59005</v>
      </c>
      <c r="C22" s="29">
        <f>401*1.1</f>
        <v>441.1</v>
      </c>
      <c r="D22" s="28">
        <f>216.83%*1.1</f>
        <v>2.38513</v>
      </c>
      <c r="E22" s="28"/>
      <c r="F22" s="28"/>
      <c r="G22" s="28">
        <v>0.1</v>
      </c>
      <c r="H22" s="28">
        <v>0.5</v>
      </c>
      <c r="I22" s="28"/>
      <c r="J22" s="27"/>
      <c r="K22" s="28">
        <v>1</v>
      </c>
      <c r="L22" s="28">
        <f>10%+IF(期望!$G$5="燕归",12%,0)</f>
        <v>0.22</v>
      </c>
      <c r="M22" s="29"/>
      <c r="N22">
        <v>0</v>
      </c>
      <c r="O22" t="s">
        <v>244</v>
      </c>
      <c r="P22" t="s">
        <v>63</v>
      </c>
      <c r="Q22" t="s">
        <v>1</v>
      </c>
      <c r="S22">
        <v>1</v>
      </c>
      <c r="T22">
        <v>1</v>
      </c>
      <c r="U22">
        <v>1</v>
      </c>
    </row>
    <row r="23" customFormat="1" spans="1:21">
      <c r="A23" s="30" t="s">
        <v>184</v>
      </c>
      <c r="B23" s="28">
        <f>173.58%*1.1</f>
        <v>1.90938</v>
      </c>
      <c r="C23" s="29">
        <f>481*1.1</f>
        <v>529.1</v>
      </c>
      <c r="D23" s="28">
        <f>260.37%*1.1</f>
        <v>2.86407</v>
      </c>
      <c r="E23" s="28"/>
      <c r="F23" s="28"/>
      <c r="G23" s="28">
        <v>0.1</v>
      </c>
      <c r="H23" s="28">
        <v>0.5</v>
      </c>
      <c r="I23" s="28"/>
      <c r="J23" s="27"/>
      <c r="K23" s="28">
        <v>1</v>
      </c>
      <c r="L23" s="28">
        <f>10%+IF(期望!$G$5="燕归",12%,0)</f>
        <v>0.22</v>
      </c>
      <c r="M23" s="29"/>
      <c r="N23">
        <v>0</v>
      </c>
      <c r="O23" t="s">
        <v>244</v>
      </c>
      <c r="P23" t="s">
        <v>63</v>
      </c>
      <c r="Q23" t="s">
        <v>1</v>
      </c>
      <c r="S23">
        <v>1</v>
      </c>
      <c r="T23">
        <v>1</v>
      </c>
      <c r="U23">
        <v>1</v>
      </c>
    </row>
    <row r="24" customFormat="1" spans="1:21">
      <c r="A24" s="30" t="s">
        <v>185</v>
      </c>
      <c r="B24" s="28">
        <f>253.42%*1.1</f>
        <v>2.78762</v>
      </c>
      <c r="C24" s="29">
        <f>702*1.1</f>
        <v>772.2</v>
      </c>
      <c r="D24" s="28">
        <f>380.12%*1.1</f>
        <v>4.18132</v>
      </c>
      <c r="E24" s="28"/>
      <c r="F24" s="28"/>
      <c r="G24" s="28">
        <v>0.1</v>
      </c>
      <c r="H24" s="28">
        <v>0.5</v>
      </c>
      <c r="I24" s="28"/>
      <c r="J24" s="27"/>
      <c r="K24" s="28">
        <v>1</v>
      </c>
      <c r="L24" s="28">
        <f>10%+IF(期望!$G$5="燕归",12%,0)</f>
        <v>0.22</v>
      </c>
      <c r="M24" s="29"/>
      <c r="N24">
        <v>0</v>
      </c>
      <c r="O24" t="s">
        <v>244</v>
      </c>
      <c r="P24" t="s">
        <v>63</v>
      </c>
      <c r="Q24" t="s">
        <v>1</v>
      </c>
      <c r="S24">
        <v>1</v>
      </c>
      <c r="T24">
        <v>1</v>
      </c>
      <c r="U24">
        <v>1</v>
      </c>
    </row>
    <row r="25" customFormat="1" spans="1:21">
      <c r="A25" s="30" t="s">
        <v>191</v>
      </c>
      <c r="B25" s="28">
        <f>253.42%*1.1</f>
        <v>2.78762</v>
      </c>
      <c r="C25" s="29">
        <f>702*1.1</f>
        <v>772.2</v>
      </c>
      <c r="D25" s="28">
        <f>380.12%*1.1</f>
        <v>4.18132</v>
      </c>
      <c r="E25" s="28"/>
      <c r="F25" s="28"/>
      <c r="G25" s="28"/>
      <c r="H25" s="28"/>
      <c r="I25" s="28"/>
      <c r="J25" s="27"/>
      <c r="K25" s="28">
        <v>1</v>
      </c>
      <c r="L25" s="28">
        <f>10%+IF(期望!$G$5="燕归",12%,0)</f>
        <v>0.22</v>
      </c>
      <c r="M25" s="29"/>
      <c r="N25">
        <v>0</v>
      </c>
      <c r="O25" t="s">
        <v>244</v>
      </c>
      <c r="P25" t="s">
        <v>63</v>
      </c>
      <c r="Q25" t="s">
        <v>1</v>
      </c>
      <c r="S25">
        <v>1</v>
      </c>
      <c r="T25">
        <v>1</v>
      </c>
      <c r="U25">
        <v>1</v>
      </c>
    </row>
    <row r="26" customFormat="1" spans="1:21">
      <c r="A26" s="30" t="s">
        <v>113</v>
      </c>
      <c r="B26" s="28">
        <f>64.72%*1.1</f>
        <v>0.71192</v>
      </c>
      <c r="C26" s="29">
        <f>180*1.1</f>
        <v>198</v>
      </c>
      <c r="D26" s="28">
        <f>97.08%*1.1</f>
        <v>1.06788</v>
      </c>
      <c r="E26" s="28"/>
      <c r="F26" s="28"/>
      <c r="G26" s="28">
        <v>0.1</v>
      </c>
      <c r="H26" s="28">
        <v>0.5</v>
      </c>
      <c r="I26" s="28"/>
      <c r="J26" s="27"/>
      <c r="K26" s="28">
        <v>1</v>
      </c>
      <c r="L26" s="28">
        <f>10%+2%+IF(期望!$G$5="燕归",12%,0)</f>
        <v>0.24</v>
      </c>
      <c r="M26" s="29"/>
      <c r="N26">
        <v>0</v>
      </c>
      <c r="O26" t="s">
        <v>244</v>
      </c>
      <c r="P26" t="s">
        <v>63</v>
      </c>
      <c r="Q26" t="s">
        <v>1</v>
      </c>
      <c r="S26">
        <v>1</v>
      </c>
      <c r="T26">
        <v>1</v>
      </c>
      <c r="U26">
        <v>1</v>
      </c>
    </row>
    <row r="27" customFormat="1" spans="1:21">
      <c r="A27" s="30" t="s">
        <v>114</v>
      </c>
      <c r="B27" s="28">
        <f>90.12%*1.1</f>
        <v>0.99132</v>
      </c>
      <c r="C27" s="29">
        <f>250*1.1</f>
        <v>275</v>
      </c>
      <c r="D27" s="28">
        <f>135.18%*1.1</f>
        <v>1.48698</v>
      </c>
      <c r="E27" s="28"/>
      <c r="F27" s="28"/>
      <c r="G27" s="28">
        <v>0.1</v>
      </c>
      <c r="H27" s="28">
        <v>0.5</v>
      </c>
      <c r="I27" s="28"/>
      <c r="J27" s="27"/>
      <c r="K27" s="28">
        <v>1</v>
      </c>
      <c r="L27" s="28">
        <f>10%+2%+IF(期望!$G$5="燕归",12%,0)</f>
        <v>0.24</v>
      </c>
      <c r="M27" s="29"/>
      <c r="N27">
        <v>0</v>
      </c>
      <c r="O27" t="s">
        <v>244</v>
      </c>
      <c r="P27" t="s">
        <v>63</v>
      </c>
      <c r="Q27" t="s">
        <v>1</v>
      </c>
      <c r="S27">
        <v>1</v>
      </c>
      <c r="T27">
        <v>1</v>
      </c>
      <c r="U27">
        <v>1</v>
      </c>
    </row>
    <row r="28" customFormat="1" spans="1:21">
      <c r="A28" s="30" t="s">
        <v>115</v>
      </c>
      <c r="B28" s="28">
        <f>144.55%*1.1</f>
        <v>1.59005</v>
      </c>
      <c r="C28" s="29">
        <f>401*1.1</f>
        <v>441.1</v>
      </c>
      <c r="D28" s="28">
        <f>216.83%*1.1</f>
        <v>2.38513</v>
      </c>
      <c r="E28" s="28"/>
      <c r="F28" s="28"/>
      <c r="G28" s="28">
        <v>0.1</v>
      </c>
      <c r="H28" s="28">
        <v>0.5</v>
      </c>
      <c r="I28" s="28"/>
      <c r="J28" s="27"/>
      <c r="K28" s="28">
        <v>1</v>
      </c>
      <c r="L28" s="28">
        <f>10%+2%+IF(期望!$G$5="燕归",12%,0)</f>
        <v>0.24</v>
      </c>
      <c r="M28" s="29"/>
      <c r="N28">
        <v>0</v>
      </c>
      <c r="O28" t="s">
        <v>244</v>
      </c>
      <c r="P28" t="s">
        <v>63</v>
      </c>
      <c r="Q28" t="s">
        <v>1</v>
      </c>
      <c r="S28">
        <v>1</v>
      </c>
      <c r="T28">
        <v>1</v>
      </c>
      <c r="U28">
        <v>1</v>
      </c>
    </row>
    <row r="29" customFormat="1" spans="1:21">
      <c r="A29" s="30" t="s">
        <v>117</v>
      </c>
      <c r="B29" s="28">
        <v>1.90938</v>
      </c>
      <c r="C29" s="29">
        <v>529.1</v>
      </c>
      <c r="D29" s="28">
        <v>2.86407</v>
      </c>
      <c r="E29" s="28"/>
      <c r="F29" s="28"/>
      <c r="G29" s="28">
        <v>0.1</v>
      </c>
      <c r="H29" s="28">
        <v>0.5</v>
      </c>
      <c r="I29" s="28"/>
      <c r="J29" s="27"/>
      <c r="K29" s="28">
        <v>1</v>
      </c>
      <c r="L29" s="28">
        <f>10%+2%+IF(期望!$G$5="燕归",12%,0)</f>
        <v>0.24</v>
      </c>
      <c r="M29" s="29"/>
      <c r="N29">
        <v>0</v>
      </c>
      <c r="O29" t="s">
        <v>244</v>
      </c>
      <c r="P29" t="s">
        <v>63</v>
      </c>
      <c r="Q29" t="s">
        <v>1</v>
      </c>
      <c r="S29">
        <v>1</v>
      </c>
      <c r="T29">
        <v>1</v>
      </c>
      <c r="U29">
        <v>1</v>
      </c>
    </row>
    <row r="30" customFormat="1" spans="1:21">
      <c r="A30" s="30" t="s">
        <v>118</v>
      </c>
      <c r="B30" s="28">
        <v>2.78762</v>
      </c>
      <c r="C30" s="29">
        <v>772.2</v>
      </c>
      <c r="D30" s="28">
        <v>4.18132</v>
      </c>
      <c r="E30" s="28"/>
      <c r="F30" s="28"/>
      <c r="G30" s="28">
        <v>0.1</v>
      </c>
      <c r="H30" s="28">
        <v>0.5</v>
      </c>
      <c r="I30" s="28"/>
      <c r="J30" s="27"/>
      <c r="K30" s="28">
        <v>1</v>
      </c>
      <c r="L30" s="28">
        <f>10%+2%+IF(期望!$G$5="燕归",12%,0)</f>
        <v>0.24</v>
      </c>
      <c r="M30" s="29"/>
      <c r="N30">
        <v>0</v>
      </c>
      <c r="O30" t="s">
        <v>244</v>
      </c>
      <c r="P30" t="s">
        <v>63</v>
      </c>
      <c r="Q30" t="s">
        <v>1</v>
      </c>
      <c r="S30">
        <v>1</v>
      </c>
      <c r="T30">
        <v>1</v>
      </c>
      <c r="U30">
        <v>1</v>
      </c>
    </row>
    <row r="31" customFormat="1" spans="1:21">
      <c r="A31" s="30" t="s">
        <v>122</v>
      </c>
      <c r="B31" s="28">
        <v>2.78762</v>
      </c>
      <c r="C31" s="29">
        <v>772.2</v>
      </c>
      <c r="D31" s="28">
        <v>4.18132</v>
      </c>
      <c r="E31" s="28"/>
      <c r="F31" s="28"/>
      <c r="G31" s="28"/>
      <c r="H31" s="28"/>
      <c r="I31" s="28"/>
      <c r="J31" s="27"/>
      <c r="K31" s="28">
        <v>1</v>
      </c>
      <c r="L31" s="28">
        <f>10%+2%+IF(期望!$G$5="燕归",12%,0)</f>
        <v>0.24</v>
      </c>
      <c r="M31" s="29"/>
      <c r="N31">
        <v>0</v>
      </c>
      <c r="O31" t="s">
        <v>244</v>
      </c>
      <c r="P31" t="s">
        <v>63</v>
      </c>
      <c r="Q31" t="s">
        <v>1</v>
      </c>
      <c r="S31">
        <v>1</v>
      </c>
      <c r="T31">
        <v>1</v>
      </c>
      <c r="U31">
        <v>1</v>
      </c>
    </row>
    <row r="32" customFormat="1" spans="1:21">
      <c r="A32" s="30" t="s">
        <v>174</v>
      </c>
      <c r="B32" s="28">
        <f>64.72%*1.1</f>
        <v>0.71192</v>
      </c>
      <c r="C32" s="29">
        <f>180*1.1</f>
        <v>198</v>
      </c>
      <c r="D32" s="28">
        <f>97.08%*1.1</f>
        <v>1.06788</v>
      </c>
      <c r="E32" s="28"/>
      <c r="F32" s="28"/>
      <c r="G32" s="28">
        <v>0.1</v>
      </c>
      <c r="H32" s="28">
        <v>0.5</v>
      </c>
      <c r="I32" s="28"/>
      <c r="J32" s="27"/>
      <c r="K32" s="28">
        <v>1</v>
      </c>
      <c r="L32" s="28">
        <f>10%+IF(期望!$G$5="燕归",12%,0)+15%</f>
        <v>0.37</v>
      </c>
      <c r="M32" s="29"/>
      <c r="N32">
        <v>0</v>
      </c>
      <c r="O32" t="s">
        <v>244</v>
      </c>
      <c r="P32" t="s">
        <v>63</v>
      </c>
      <c r="Q32" t="s">
        <v>1</v>
      </c>
      <c r="S32">
        <v>1</v>
      </c>
      <c r="T32">
        <v>1</v>
      </c>
      <c r="U32">
        <v>1</v>
      </c>
    </row>
    <row r="33" customFormat="1" spans="1:21">
      <c r="A33" s="30" t="s">
        <v>175</v>
      </c>
      <c r="B33" s="28">
        <f>90.12%*1.1</f>
        <v>0.99132</v>
      </c>
      <c r="C33" s="29">
        <f>250*1.1</f>
        <v>275</v>
      </c>
      <c r="D33" s="28">
        <f>135.18%*1.1</f>
        <v>1.48698</v>
      </c>
      <c r="E33" s="28"/>
      <c r="F33" s="28"/>
      <c r="G33" s="28">
        <v>0.1</v>
      </c>
      <c r="H33" s="28">
        <v>0.5</v>
      </c>
      <c r="I33" s="28"/>
      <c r="J33" s="27"/>
      <c r="K33" s="28">
        <v>1</v>
      </c>
      <c r="L33" s="28">
        <f>10%+IF(期望!$G$5="燕归",12%,0)+15%</f>
        <v>0.37</v>
      </c>
      <c r="M33" s="29"/>
      <c r="N33">
        <v>0</v>
      </c>
      <c r="O33" t="s">
        <v>244</v>
      </c>
      <c r="P33" t="s">
        <v>63</v>
      </c>
      <c r="Q33" t="s">
        <v>1</v>
      </c>
      <c r="S33">
        <v>1</v>
      </c>
      <c r="T33">
        <v>1</v>
      </c>
      <c r="U33">
        <v>1</v>
      </c>
    </row>
    <row r="34" customFormat="1" spans="1:21">
      <c r="A34" s="30" t="s">
        <v>176</v>
      </c>
      <c r="B34" s="28">
        <f>144.55%*1.1</f>
        <v>1.59005</v>
      </c>
      <c r="C34" s="29">
        <f>401*1.1</f>
        <v>441.1</v>
      </c>
      <c r="D34" s="28">
        <f>216.83%*1.1</f>
        <v>2.38513</v>
      </c>
      <c r="E34" s="28"/>
      <c r="F34" s="28"/>
      <c r="G34" s="28">
        <v>0.1</v>
      </c>
      <c r="H34" s="28">
        <v>0.5</v>
      </c>
      <c r="I34" s="28"/>
      <c r="J34" s="27"/>
      <c r="K34" s="28">
        <v>1</v>
      </c>
      <c r="L34" s="28">
        <f>10%+IF(期望!$G$5="燕归",12%,0)+15%</f>
        <v>0.37</v>
      </c>
      <c r="M34" s="29"/>
      <c r="N34">
        <v>0</v>
      </c>
      <c r="O34" t="s">
        <v>244</v>
      </c>
      <c r="P34" t="s">
        <v>63</v>
      </c>
      <c r="Q34" t="s">
        <v>1</v>
      </c>
      <c r="S34">
        <v>1</v>
      </c>
      <c r="T34">
        <v>1</v>
      </c>
      <c r="U34">
        <v>1</v>
      </c>
    </row>
    <row r="35" customFormat="1" spans="1:21">
      <c r="A35" s="30" t="s">
        <v>177</v>
      </c>
      <c r="B35" s="28">
        <v>1.90938</v>
      </c>
      <c r="C35" s="29">
        <v>529.1</v>
      </c>
      <c r="D35" s="28">
        <v>2.86407</v>
      </c>
      <c r="E35" s="28"/>
      <c r="F35" s="28"/>
      <c r="G35" s="28">
        <v>0.1</v>
      </c>
      <c r="H35" s="28">
        <v>0.5</v>
      </c>
      <c r="I35" s="28"/>
      <c r="J35" s="27"/>
      <c r="K35" s="28">
        <v>1</v>
      </c>
      <c r="L35" s="28">
        <f>10%+IF(期望!$G$5="燕归",12%,0)+15%</f>
        <v>0.37</v>
      </c>
      <c r="M35" s="29"/>
      <c r="N35">
        <v>0</v>
      </c>
      <c r="O35" t="s">
        <v>244</v>
      </c>
      <c r="P35" t="s">
        <v>63</v>
      </c>
      <c r="Q35" t="s">
        <v>1</v>
      </c>
      <c r="S35">
        <v>1</v>
      </c>
      <c r="T35">
        <v>1</v>
      </c>
      <c r="U35">
        <v>1</v>
      </c>
    </row>
    <row r="36" customFormat="1" spans="1:21">
      <c r="A36" s="30" t="s">
        <v>251</v>
      </c>
      <c r="B36" s="28">
        <v>2.78762</v>
      </c>
      <c r="C36" s="29">
        <v>772.2</v>
      </c>
      <c r="D36" s="28">
        <v>4.18132</v>
      </c>
      <c r="E36" s="28"/>
      <c r="F36" s="28"/>
      <c r="G36" s="28">
        <v>0.1</v>
      </c>
      <c r="H36" s="28">
        <v>0.5</v>
      </c>
      <c r="I36" s="28"/>
      <c r="J36" s="27"/>
      <c r="K36" s="28">
        <v>1</v>
      </c>
      <c r="L36" s="28">
        <f>10%+IF(期望!$G$5="燕归",12%,0)+15%</f>
        <v>0.37</v>
      </c>
      <c r="M36" s="29"/>
      <c r="N36">
        <v>0</v>
      </c>
      <c r="O36" t="s">
        <v>244</v>
      </c>
      <c r="P36" t="s">
        <v>63</v>
      </c>
      <c r="Q36" t="s">
        <v>1</v>
      </c>
      <c r="S36">
        <v>1</v>
      </c>
      <c r="T36">
        <v>1</v>
      </c>
      <c r="U36">
        <v>1</v>
      </c>
    </row>
    <row r="37" customFormat="1" spans="1:21">
      <c r="A37" s="30" t="s">
        <v>252</v>
      </c>
      <c r="B37" s="28">
        <v>2.78762</v>
      </c>
      <c r="C37" s="29">
        <v>772.2</v>
      </c>
      <c r="D37" s="28">
        <v>4.18132</v>
      </c>
      <c r="E37" s="28"/>
      <c r="F37" s="28"/>
      <c r="G37" s="28"/>
      <c r="H37" s="28"/>
      <c r="I37" s="28"/>
      <c r="J37" s="27"/>
      <c r="K37" s="28">
        <v>1</v>
      </c>
      <c r="L37" s="28">
        <f>10%+IF(期望!$G$5="燕归",12%,0)+15%</f>
        <v>0.37</v>
      </c>
      <c r="M37" s="29"/>
      <c r="N37">
        <v>0</v>
      </c>
      <c r="O37" t="s">
        <v>244</v>
      </c>
      <c r="P37" t="s">
        <v>63</v>
      </c>
      <c r="Q37" t="s">
        <v>1</v>
      </c>
      <c r="S37">
        <v>1</v>
      </c>
      <c r="T37">
        <v>1</v>
      </c>
      <c r="U37">
        <v>1</v>
      </c>
    </row>
    <row r="38" customFormat="1" spans="1:21">
      <c r="A38" s="30" t="s">
        <v>142</v>
      </c>
      <c r="B38" s="28">
        <f>64.72%*1.1</f>
        <v>0.71192</v>
      </c>
      <c r="C38" s="29">
        <f>180*1.1</f>
        <v>198</v>
      </c>
      <c r="D38" s="28">
        <f>97.08%*1.1</f>
        <v>1.06788</v>
      </c>
      <c r="E38" s="28"/>
      <c r="F38" s="28"/>
      <c r="G38" s="28">
        <v>0.1</v>
      </c>
      <c r="H38" s="28">
        <f>50%+IF(期望!$H$3="√",25%,0)</f>
        <v>0.75</v>
      </c>
      <c r="I38" s="28"/>
      <c r="J38" s="27"/>
      <c r="K38" s="28">
        <v>1</v>
      </c>
      <c r="L38" s="28">
        <f>10%+IF(期望!$G$5="燕归",12%,0)</f>
        <v>0.22</v>
      </c>
      <c r="M38" s="31">
        <f>IF(期望!$H$3="√",25,0)</f>
        <v>25</v>
      </c>
      <c r="N38">
        <v>0</v>
      </c>
      <c r="O38" t="s">
        <v>244</v>
      </c>
      <c r="P38" t="s">
        <v>63</v>
      </c>
      <c r="Q38" t="s">
        <v>1</v>
      </c>
      <c r="S38">
        <v>1</v>
      </c>
      <c r="T38">
        <v>1</v>
      </c>
      <c r="U38">
        <v>1</v>
      </c>
    </row>
    <row r="39" customFormat="1" spans="1:21">
      <c r="A39" s="30" t="s">
        <v>144</v>
      </c>
      <c r="B39" s="28">
        <f>90.12%*1.1</f>
        <v>0.99132</v>
      </c>
      <c r="C39" s="29">
        <f>250*1.1</f>
        <v>275</v>
      </c>
      <c r="D39" s="28">
        <f>135.18%*1.1</f>
        <v>1.48698</v>
      </c>
      <c r="E39" s="28"/>
      <c r="F39" s="28"/>
      <c r="G39" s="28">
        <v>0.1</v>
      </c>
      <c r="H39" s="28">
        <f>50%+IF(期望!$H$3="√",25%,0)</f>
        <v>0.75</v>
      </c>
      <c r="I39" s="28"/>
      <c r="J39" s="27"/>
      <c r="K39" s="28">
        <v>1</v>
      </c>
      <c r="L39" s="28">
        <f>10%+IF(期望!$G$5="燕归",12%,0)</f>
        <v>0.22</v>
      </c>
      <c r="M39" s="31">
        <f>IF(期望!$H$3="√",25,0)</f>
        <v>25</v>
      </c>
      <c r="N39">
        <v>0</v>
      </c>
      <c r="O39" t="s">
        <v>244</v>
      </c>
      <c r="P39" t="s">
        <v>63</v>
      </c>
      <c r="Q39" t="s">
        <v>1</v>
      </c>
      <c r="S39">
        <v>1</v>
      </c>
      <c r="T39">
        <v>1</v>
      </c>
      <c r="U39">
        <v>1</v>
      </c>
    </row>
    <row r="40" customFormat="1" spans="1:21">
      <c r="A40" s="30" t="s">
        <v>146</v>
      </c>
      <c r="B40" s="28">
        <f>144.55%*1.1</f>
        <v>1.59005</v>
      </c>
      <c r="C40" s="29">
        <f>401*1.1</f>
        <v>441.1</v>
      </c>
      <c r="D40" s="28">
        <f>216.83%*1.1</f>
        <v>2.38513</v>
      </c>
      <c r="E40" s="28"/>
      <c r="F40" s="28"/>
      <c r="G40" s="28">
        <v>0.1</v>
      </c>
      <c r="H40" s="28">
        <f>50%+IF(期望!$H$3="√",25%,0)</f>
        <v>0.75</v>
      </c>
      <c r="I40" s="28"/>
      <c r="J40" s="27"/>
      <c r="K40" s="28">
        <v>1</v>
      </c>
      <c r="L40" s="28">
        <f>10%+IF(期望!$G$5="燕归",12%,0)</f>
        <v>0.22</v>
      </c>
      <c r="M40" s="31">
        <f>IF(期望!$H$3="√",25,0)</f>
        <v>25</v>
      </c>
      <c r="N40">
        <v>0</v>
      </c>
      <c r="O40" t="s">
        <v>244</v>
      </c>
      <c r="P40" t="s">
        <v>63</v>
      </c>
      <c r="Q40" t="s">
        <v>1</v>
      </c>
      <c r="S40">
        <v>1</v>
      </c>
      <c r="T40">
        <v>1</v>
      </c>
      <c r="U40">
        <v>1</v>
      </c>
    </row>
    <row r="41" customFormat="1" spans="1:21">
      <c r="A41" s="30" t="s">
        <v>148</v>
      </c>
      <c r="B41" s="28">
        <v>1.90938</v>
      </c>
      <c r="C41" s="29">
        <v>529.1</v>
      </c>
      <c r="D41" s="28">
        <v>2.86407</v>
      </c>
      <c r="E41" s="28"/>
      <c r="F41" s="28"/>
      <c r="G41" s="28">
        <v>0.1</v>
      </c>
      <c r="H41" s="28">
        <f>50%+IF(期望!$H$3="√",25%,0)</f>
        <v>0.75</v>
      </c>
      <c r="I41" s="28"/>
      <c r="J41" s="27"/>
      <c r="K41" s="28">
        <v>1</v>
      </c>
      <c r="L41" s="28">
        <f>10%+IF(期望!$G$5="燕归",12%,0)</f>
        <v>0.22</v>
      </c>
      <c r="M41" s="31">
        <f>IF(期望!$H$3="√",25,0)</f>
        <v>25</v>
      </c>
      <c r="N41">
        <v>0</v>
      </c>
      <c r="O41" t="s">
        <v>244</v>
      </c>
      <c r="P41" t="s">
        <v>63</v>
      </c>
      <c r="Q41" t="s">
        <v>1</v>
      </c>
      <c r="S41">
        <v>1</v>
      </c>
      <c r="T41">
        <v>1</v>
      </c>
      <c r="U41">
        <v>1</v>
      </c>
    </row>
    <row r="42" customFormat="1" spans="1:21">
      <c r="A42" s="30" t="s">
        <v>253</v>
      </c>
      <c r="B42" s="28">
        <v>2.78762</v>
      </c>
      <c r="C42" s="29">
        <v>772.2</v>
      </c>
      <c r="D42" s="28">
        <v>4.18132</v>
      </c>
      <c r="E42" s="28"/>
      <c r="F42" s="28"/>
      <c r="G42" s="28">
        <v>0.1</v>
      </c>
      <c r="H42" s="28">
        <f>50%+IF(期望!$H$3="√",25%,0)</f>
        <v>0.75</v>
      </c>
      <c r="I42" s="28"/>
      <c r="J42" s="27"/>
      <c r="K42" s="28">
        <v>1</v>
      </c>
      <c r="L42" s="28">
        <f>10%+IF(期望!$G$5="燕归",12%,0)</f>
        <v>0.22</v>
      </c>
      <c r="M42" s="31">
        <f>IF(期望!$H$3="√",25,0)</f>
        <v>25</v>
      </c>
      <c r="N42">
        <v>0</v>
      </c>
      <c r="O42" t="s">
        <v>244</v>
      </c>
      <c r="P42" t="s">
        <v>63</v>
      </c>
      <c r="Q42" t="s">
        <v>1</v>
      </c>
      <c r="S42">
        <v>1</v>
      </c>
      <c r="T42">
        <v>1</v>
      </c>
      <c r="U42">
        <v>1</v>
      </c>
    </row>
    <row r="43" customFormat="1" spans="1:21">
      <c r="A43" s="30" t="s">
        <v>156</v>
      </c>
      <c r="B43" s="28">
        <v>2.78762</v>
      </c>
      <c r="C43" s="29">
        <v>772.2</v>
      </c>
      <c r="D43" s="28">
        <v>4.18132</v>
      </c>
      <c r="E43" s="28"/>
      <c r="F43" s="28"/>
      <c r="G43" s="28"/>
      <c r="H43" s="28">
        <f>IF(期望!$H$3="√",25%,0)</f>
        <v>0.25</v>
      </c>
      <c r="I43" s="28"/>
      <c r="J43" s="27"/>
      <c r="K43" s="28">
        <v>1</v>
      </c>
      <c r="L43" s="28">
        <f>10%+IF(期望!$G$5="燕归",12%,0)</f>
        <v>0.22</v>
      </c>
      <c r="M43" s="31">
        <f>IF(期望!$H$3="√",25,0)</f>
        <v>25</v>
      </c>
      <c r="N43">
        <v>0</v>
      </c>
      <c r="O43" t="s">
        <v>244</v>
      </c>
      <c r="P43" t="s">
        <v>63</v>
      </c>
      <c r="Q43" t="s">
        <v>1</v>
      </c>
      <c r="S43">
        <v>1</v>
      </c>
      <c r="T43">
        <v>1</v>
      </c>
      <c r="U43">
        <v>1</v>
      </c>
    </row>
    <row r="44" customFormat="1" spans="1:21">
      <c r="A44" s="30" t="s">
        <v>201</v>
      </c>
      <c r="B44" s="28">
        <f>64.72%*1.1</f>
        <v>0.71192</v>
      </c>
      <c r="C44" s="29">
        <f>180*1.1</f>
        <v>198</v>
      </c>
      <c r="D44" s="28">
        <f>97.08%*1.1</f>
        <v>1.06788</v>
      </c>
      <c r="E44" s="28"/>
      <c r="F44" s="28"/>
      <c r="G44" s="28">
        <v>0.1</v>
      </c>
      <c r="H44" s="28">
        <f>50%+IF(期望!$H$3="√",25%,0)</f>
        <v>0.75</v>
      </c>
      <c r="I44" s="28"/>
      <c r="J44" s="27"/>
      <c r="K44" s="28">
        <v>1</v>
      </c>
      <c r="L44" s="28">
        <f>10%+IF(期望!$G$5="燕归",12%,0)+2%</f>
        <v>0.24</v>
      </c>
      <c r="M44" s="31">
        <f>IF(期望!$H$3="√",25,0)</f>
        <v>25</v>
      </c>
      <c r="N44">
        <v>0</v>
      </c>
      <c r="O44" t="s">
        <v>244</v>
      </c>
      <c r="P44" t="s">
        <v>63</v>
      </c>
      <c r="Q44" t="s">
        <v>1</v>
      </c>
      <c r="S44">
        <v>1</v>
      </c>
      <c r="T44">
        <v>1</v>
      </c>
      <c r="U44">
        <v>1</v>
      </c>
    </row>
    <row r="45" customFormat="1" spans="1:21">
      <c r="A45" s="30" t="s">
        <v>202</v>
      </c>
      <c r="B45" s="28">
        <f>90.12%*1.1</f>
        <v>0.99132</v>
      </c>
      <c r="C45" s="29">
        <f>250*1.1</f>
        <v>275</v>
      </c>
      <c r="D45" s="28">
        <f>135.18%*1.1</f>
        <v>1.48698</v>
      </c>
      <c r="E45" s="28"/>
      <c r="F45" s="28"/>
      <c r="G45" s="28">
        <v>0.1</v>
      </c>
      <c r="H45" s="28">
        <f>50%+IF(期望!$H$3="√",25%,0)</f>
        <v>0.75</v>
      </c>
      <c r="I45" s="28"/>
      <c r="J45" s="27"/>
      <c r="K45" s="28">
        <v>1</v>
      </c>
      <c r="L45" s="28">
        <f>10%+IF(期望!$G$5="燕归",12%,0)+2%</f>
        <v>0.24</v>
      </c>
      <c r="M45" s="31">
        <f>IF(期望!$H$3="√",25,0)</f>
        <v>25</v>
      </c>
      <c r="N45">
        <v>0</v>
      </c>
      <c r="O45" t="s">
        <v>244</v>
      </c>
      <c r="P45" t="s">
        <v>63</v>
      </c>
      <c r="Q45" t="s">
        <v>1</v>
      </c>
      <c r="S45">
        <v>1</v>
      </c>
      <c r="T45">
        <v>1</v>
      </c>
      <c r="U45">
        <v>1</v>
      </c>
    </row>
    <row r="46" customFormat="1" spans="1:21">
      <c r="A46" s="30" t="s">
        <v>203</v>
      </c>
      <c r="B46" s="28">
        <f>144.55%*1.1</f>
        <v>1.59005</v>
      </c>
      <c r="C46" s="29">
        <f>401*1.1</f>
        <v>441.1</v>
      </c>
      <c r="D46" s="28">
        <f>216.83%*1.1</f>
        <v>2.38513</v>
      </c>
      <c r="E46" s="28"/>
      <c r="F46" s="28"/>
      <c r="G46" s="28">
        <v>0.1</v>
      </c>
      <c r="H46" s="28">
        <f>50%+IF(期望!$H$3="√",25%,0)</f>
        <v>0.75</v>
      </c>
      <c r="I46" s="28"/>
      <c r="J46" s="27"/>
      <c r="K46" s="28">
        <v>1</v>
      </c>
      <c r="L46" s="28">
        <f>10%+IF(期望!$G$5="燕归",12%,0)+2%</f>
        <v>0.24</v>
      </c>
      <c r="M46" s="31">
        <f>IF(期望!$H$3="√",25,0)</f>
        <v>25</v>
      </c>
      <c r="N46">
        <v>0</v>
      </c>
      <c r="O46" t="s">
        <v>244</v>
      </c>
      <c r="P46" t="s">
        <v>63</v>
      </c>
      <c r="Q46" t="s">
        <v>1</v>
      </c>
      <c r="S46">
        <v>1</v>
      </c>
      <c r="T46">
        <v>1</v>
      </c>
      <c r="U46">
        <v>1</v>
      </c>
    </row>
    <row r="47" customFormat="1" spans="1:21">
      <c r="A47" s="30" t="s">
        <v>204</v>
      </c>
      <c r="B47" s="28">
        <v>1.90938</v>
      </c>
      <c r="C47" s="29">
        <v>529.1</v>
      </c>
      <c r="D47" s="28">
        <v>2.86407</v>
      </c>
      <c r="E47" s="28"/>
      <c r="F47" s="28"/>
      <c r="G47" s="28">
        <v>0.1</v>
      </c>
      <c r="H47" s="28">
        <f>50%+IF(期望!$H$3="√",25%,0)</f>
        <v>0.75</v>
      </c>
      <c r="I47" s="28"/>
      <c r="J47" s="27"/>
      <c r="K47" s="28">
        <v>1</v>
      </c>
      <c r="L47" s="28">
        <f>10%+IF(期望!$G$5="燕归",12%,0)+2%</f>
        <v>0.24</v>
      </c>
      <c r="M47" s="31">
        <f>IF(期望!$H$3="√",25,0)</f>
        <v>25</v>
      </c>
      <c r="N47">
        <v>0</v>
      </c>
      <c r="O47" t="s">
        <v>244</v>
      </c>
      <c r="P47" t="s">
        <v>63</v>
      </c>
      <c r="Q47" t="s">
        <v>1</v>
      </c>
      <c r="S47">
        <v>1</v>
      </c>
      <c r="T47">
        <v>1</v>
      </c>
      <c r="U47">
        <v>1</v>
      </c>
    </row>
    <row r="48" customFormat="1" spans="1:21">
      <c r="A48" s="30" t="s">
        <v>209</v>
      </c>
      <c r="B48" s="28">
        <f>64.72%*1.1</f>
        <v>0.71192</v>
      </c>
      <c r="C48" s="29">
        <f>180*1.1</f>
        <v>198</v>
      </c>
      <c r="D48" s="28">
        <f>97.08%*1.1</f>
        <v>1.06788</v>
      </c>
      <c r="E48" s="28"/>
      <c r="F48" s="28"/>
      <c r="G48" s="28">
        <v>0.1</v>
      </c>
      <c r="H48" s="28">
        <f>50%+IF(期望!$H$3="√",25%,0)</f>
        <v>0.75</v>
      </c>
      <c r="I48" s="28"/>
      <c r="J48" s="27"/>
      <c r="K48" s="28">
        <v>1</v>
      </c>
      <c r="L48" s="28">
        <f>10%+IF(期望!$G$5="燕归",12%,0)+VLOOKUP(期望!$F$7,目标属性!$A:$R,4,FALSE)+2%</f>
        <v>0.34</v>
      </c>
      <c r="M48" s="31">
        <f>IF(期望!$H$3="√",25,0)</f>
        <v>25</v>
      </c>
      <c r="N48">
        <v>0</v>
      </c>
      <c r="O48" t="s">
        <v>244</v>
      </c>
      <c r="P48" t="s">
        <v>63</v>
      </c>
      <c r="Q48" t="s">
        <v>1</v>
      </c>
      <c r="S48">
        <v>1</v>
      </c>
      <c r="T48">
        <v>1</v>
      </c>
      <c r="U48">
        <v>1</v>
      </c>
    </row>
    <row r="49" customFormat="1" spans="1:21">
      <c r="A49" s="30" t="s">
        <v>210</v>
      </c>
      <c r="B49" s="28">
        <f>90.12%*1.1</f>
        <v>0.99132</v>
      </c>
      <c r="C49" s="29">
        <f>250*1.1</f>
        <v>275</v>
      </c>
      <c r="D49" s="28">
        <f>135.18%*1.1</f>
        <v>1.48698</v>
      </c>
      <c r="E49" s="28"/>
      <c r="F49" s="28"/>
      <c r="G49" s="28">
        <v>0.1</v>
      </c>
      <c r="H49" s="28">
        <f>50%+IF(期望!$H$3="√",25%,0)</f>
        <v>0.75</v>
      </c>
      <c r="I49" s="28"/>
      <c r="J49" s="27"/>
      <c r="K49" s="28">
        <v>1</v>
      </c>
      <c r="L49" s="28">
        <f>10%+IF(期望!$G$5="燕归",12%,0)+VLOOKUP(期望!$F$7,目标属性!$A:$R,4,FALSE)+2%</f>
        <v>0.34</v>
      </c>
      <c r="M49" s="31">
        <f>IF(期望!$H$3="√",25,0)</f>
        <v>25</v>
      </c>
      <c r="N49">
        <v>0</v>
      </c>
      <c r="O49" t="s">
        <v>244</v>
      </c>
      <c r="P49" t="s">
        <v>63</v>
      </c>
      <c r="Q49" t="s">
        <v>1</v>
      </c>
      <c r="S49">
        <v>1</v>
      </c>
      <c r="T49">
        <v>1</v>
      </c>
      <c r="U49">
        <v>1</v>
      </c>
    </row>
    <row r="50" customFormat="1" spans="1:21">
      <c r="A50" s="30" t="s">
        <v>211</v>
      </c>
      <c r="B50" s="28">
        <f>144.55%*1.1</f>
        <v>1.59005</v>
      </c>
      <c r="C50" s="29">
        <f>401*1.1</f>
        <v>441.1</v>
      </c>
      <c r="D50" s="28">
        <f>216.83%*1.1</f>
        <v>2.38513</v>
      </c>
      <c r="E50" s="28"/>
      <c r="F50" s="28"/>
      <c r="G50" s="28">
        <v>0.1</v>
      </c>
      <c r="H50" s="28">
        <f>50%+IF(期望!$H$3="√",25%,0)</f>
        <v>0.75</v>
      </c>
      <c r="I50" s="28"/>
      <c r="J50" s="27"/>
      <c r="K50" s="28">
        <v>1</v>
      </c>
      <c r="L50" s="28">
        <f>10%+IF(期望!$G$5="燕归",12%,0)+VLOOKUP(期望!$F$7,目标属性!$A:$R,4,FALSE)+2%</f>
        <v>0.34</v>
      </c>
      <c r="M50" s="31">
        <f>IF(期望!$H$3="√",25,0)</f>
        <v>25</v>
      </c>
      <c r="N50">
        <v>0</v>
      </c>
      <c r="O50" t="s">
        <v>244</v>
      </c>
      <c r="P50" t="s">
        <v>63</v>
      </c>
      <c r="Q50" t="s">
        <v>1</v>
      </c>
      <c r="S50">
        <v>1</v>
      </c>
      <c r="T50">
        <v>1</v>
      </c>
      <c r="U50">
        <v>1</v>
      </c>
    </row>
    <row r="51" customFormat="1" spans="1:21">
      <c r="A51" s="30" t="s">
        <v>212</v>
      </c>
      <c r="B51" s="28">
        <v>1.90938</v>
      </c>
      <c r="C51" s="29">
        <v>529.1</v>
      </c>
      <c r="D51" s="28">
        <v>2.86407</v>
      </c>
      <c r="E51" s="28"/>
      <c r="F51" s="28"/>
      <c r="G51" s="28">
        <v>0.1</v>
      </c>
      <c r="H51" s="28">
        <f>50%+IF(期望!$H$3="√",25%,0)</f>
        <v>0.75</v>
      </c>
      <c r="I51" s="28"/>
      <c r="J51" s="27"/>
      <c r="K51" s="28">
        <v>1</v>
      </c>
      <c r="L51" s="28">
        <f>10%+IF(期望!$G$5="燕归",12%,0)+VLOOKUP(期望!$F$7,目标属性!$A:$R,4,FALSE)+2%</f>
        <v>0.34</v>
      </c>
      <c r="M51" s="31">
        <f>IF(期望!$H$3="√",25,0)</f>
        <v>25</v>
      </c>
      <c r="N51">
        <v>0</v>
      </c>
      <c r="O51" t="s">
        <v>244</v>
      </c>
      <c r="P51" t="s">
        <v>63</v>
      </c>
      <c r="Q51" t="s">
        <v>1</v>
      </c>
      <c r="S51">
        <v>1</v>
      </c>
      <c r="T51">
        <v>1</v>
      </c>
      <c r="U51">
        <v>1</v>
      </c>
    </row>
    <row r="52" customFormat="1" spans="1:21">
      <c r="A52" s="30" t="s">
        <v>213</v>
      </c>
      <c r="B52" s="28">
        <v>2.78762</v>
      </c>
      <c r="C52" s="29">
        <v>772.2</v>
      </c>
      <c r="D52" s="28">
        <v>4.18132</v>
      </c>
      <c r="E52" s="28"/>
      <c r="F52" s="28"/>
      <c r="G52" s="28">
        <v>0.1</v>
      </c>
      <c r="H52" s="28">
        <f>50%+IF(期望!$H$3="√",25%,0)</f>
        <v>0.75</v>
      </c>
      <c r="I52" s="28"/>
      <c r="J52" s="27"/>
      <c r="K52" s="28">
        <v>1</v>
      </c>
      <c r="L52" s="28">
        <f>10%+IF(期望!$G$5="燕归",12%,0)+VLOOKUP(期望!$F$7,目标属性!$A:$R,4,FALSE)+2%</f>
        <v>0.34</v>
      </c>
      <c r="M52" s="31">
        <f>IF(期望!$H$3="√",25,0)</f>
        <v>25</v>
      </c>
      <c r="N52">
        <v>0</v>
      </c>
      <c r="O52" t="s">
        <v>244</v>
      </c>
      <c r="P52" t="s">
        <v>63</v>
      </c>
      <c r="Q52" t="s">
        <v>1</v>
      </c>
      <c r="S52">
        <v>1</v>
      </c>
      <c r="T52">
        <v>1</v>
      </c>
      <c r="U52">
        <v>1</v>
      </c>
    </row>
    <row r="53" customFormat="1" spans="1:21">
      <c r="A53" s="30" t="s">
        <v>218</v>
      </c>
      <c r="B53" s="28">
        <v>2.78762</v>
      </c>
      <c r="C53" s="29">
        <v>772.2</v>
      </c>
      <c r="D53" s="28">
        <v>4.18132</v>
      </c>
      <c r="E53" s="28"/>
      <c r="F53" s="28"/>
      <c r="G53" s="28"/>
      <c r="H53" s="28">
        <f>IF(期望!$H$3="√",25%,0)</f>
        <v>0.25</v>
      </c>
      <c r="I53" s="28"/>
      <c r="J53" s="27"/>
      <c r="K53" s="28">
        <v>1</v>
      </c>
      <c r="L53" s="28">
        <f>10%+IF(期望!$G$5="燕归",12%,0)+VLOOKUP(期望!$F$7,目标属性!$A:$R,4,FALSE)+2%</f>
        <v>0.34</v>
      </c>
      <c r="M53" s="31">
        <f>IF(期望!$H$3="√",25,0)</f>
        <v>25</v>
      </c>
      <c r="N53">
        <v>0</v>
      </c>
      <c r="O53" t="s">
        <v>244</v>
      </c>
      <c r="P53" t="s">
        <v>63</v>
      </c>
      <c r="Q53" t="s">
        <v>1</v>
      </c>
      <c r="S53">
        <v>1</v>
      </c>
      <c r="T53">
        <v>1</v>
      </c>
      <c r="U53">
        <v>1</v>
      </c>
    </row>
    <row r="54" customFormat="1" spans="1:21">
      <c r="A54" s="30" t="s">
        <v>254</v>
      </c>
      <c r="B54" s="28">
        <f>64.72%*1.1</f>
        <v>0.71192</v>
      </c>
      <c r="C54" s="29">
        <f>180*1.1</f>
        <v>198</v>
      </c>
      <c r="D54" s="28">
        <f>97.08%*1.1</f>
        <v>1.06788</v>
      </c>
      <c r="E54" s="28"/>
      <c r="F54" s="28"/>
      <c r="G54" s="28">
        <v>0.1</v>
      </c>
      <c r="H54" s="28">
        <f>50%+IF(期望!$H$3="√",25%,0)</f>
        <v>0.75</v>
      </c>
      <c r="I54" s="28"/>
      <c r="J54" s="27"/>
      <c r="K54" s="28">
        <v>1</v>
      </c>
      <c r="L54" s="28">
        <f>10%+IF(期望!$G$5="燕归",12%,0)+VLOOKUP(期望!$F$7,目标属性!$A:$R,4,FALSE)</f>
        <v>0.32</v>
      </c>
      <c r="M54" s="31">
        <f>IF(期望!$H$3="√",25,0)</f>
        <v>25</v>
      </c>
      <c r="N54">
        <v>0</v>
      </c>
      <c r="O54" t="s">
        <v>244</v>
      </c>
      <c r="P54" t="s">
        <v>63</v>
      </c>
      <c r="Q54" t="s">
        <v>1</v>
      </c>
      <c r="S54">
        <v>1</v>
      </c>
      <c r="T54">
        <v>1</v>
      </c>
      <c r="U54">
        <v>1</v>
      </c>
    </row>
    <row r="55" customFormat="1" spans="1:21">
      <c r="A55" s="30" t="s">
        <v>255</v>
      </c>
      <c r="B55" s="28">
        <f>90.12%*1.1</f>
        <v>0.99132</v>
      </c>
      <c r="C55" s="29">
        <f>250*1.1</f>
        <v>275</v>
      </c>
      <c r="D55" s="28">
        <f>135.18%*1.1</f>
        <v>1.48698</v>
      </c>
      <c r="E55" s="28"/>
      <c r="F55" s="28"/>
      <c r="G55" s="28">
        <v>0.1</v>
      </c>
      <c r="H55" s="28">
        <f>50%+IF(期望!$H$3="√",25%,0)</f>
        <v>0.75</v>
      </c>
      <c r="I55" s="28"/>
      <c r="J55" s="27"/>
      <c r="K55" s="28">
        <v>1</v>
      </c>
      <c r="L55" s="28">
        <f>10%+IF(期望!$G$5="燕归",12%,0)+VLOOKUP(期望!$F$7,目标属性!$A:$R,4,FALSE)</f>
        <v>0.32</v>
      </c>
      <c r="M55" s="31">
        <f>IF(期望!$H$3="√",25,0)</f>
        <v>25</v>
      </c>
      <c r="N55">
        <v>0</v>
      </c>
      <c r="O55" t="s">
        <v>244</v>
      </c>
      <c r="P55" t="s">
        <v>63</v>
      </c>
      <c r="Q55" t="s">
        <v>1</v>
      </c>
      <c r="S55">
        <v>1</v>
      </c>
      <c r="T55">
        <v>1</v>
      </c>
      <c r="U55">
        <v>1</v>
      </c>
    </row>
    <row r="56" customFormat="1" spans="1:21">
      <c r="A56" s="30" t="s">
        <v>256</v>
      </c>
      <c r="B56" s="28">
        <f>144.55%*1.1</f>
        <v>1.59005</v>
      </c>
      <c r="C56" s="29">
        <f>401*1.1</f>
        <v>441.1</v>
      </c>
      <c r="D56" s="28">
        <f>216.83%*1.1</f>
        <v>2.38513</v>
      </c>
      <c r="E56" s="28"/>
      <c r="F56" s="28"/>
      <c r="G56" s="28">
        <v>0.1</v>
      </c>
      <c r="H56" s="28">
        <f>50%+IF(期望!$H$3="√",25%,0)</f>
        <v>0.75</v>
      </c>
      <c r="I56" s="28"/>
      <c r="J56" s="27"/>
      <c r="K56" s="28">
        <v>1</v>
      </c>
      <c r="L56" s="28">
        <f>10%+IF(期望!$G$5="燕归",12%,0)+VLOOKUP(期望!$F$7,目标属性!$A:$R,4,FALSE)</f>
        <v>0.32</v>
      </c>
      <c r="M56" s="31">
        <f>IF(期望!$H$3="√",25,0)</f>
        <v>25</v>
      </c>
      <c r="N56">
        <v>0</v>
      </c>
      <c r="O56" t="s">
        <v>244</v>
      </c>
      <c r="P56" t="s">
        <v>63</v>
      </c>
      <c r="Q56" t="s">
        <v>1</v>
      </c>
      <c r="S56">
        <v>1</v>
      </c>
      <c r="T56">
        <v>1</v>
      </c>
      <c r="U56">
        <v>1</v>
      </c>
    </row>
    <row r="57" customFormat="1" spans="1:21">
      <c r="A57" s="30" t="s">
        <v>138</v>
      </c>
      <c r="B57" s="28">
        <v>1.90938</v>
      </c>
      <c r="C57" s="29">
        <v>529.1</v>
      </c>
      <c r="D57" s="28">
        <v>2.86407</v>
      </c>
      <c r="E57" s="28"/>
      <c r="F57" s="28"/>
      <c r="G57" s="28">
        <v>0.1</v>
      </c>
      <c r="H57" s="28">
        <f>50%+IF(期望!$H$3="√",25%,0)</f>
        <v>0.75</v>
      </c>
      <c r="I57" s="28"/>
      <c r="J57" s="27"/>
      <c r="K57" s="28">
        <v>1</v>
      </c>
      <c r="L57" s="28">
        <f>10%+IF(期望!$G$5="燕归",12%,0)+VLOOKUP(期望!$F$7,目标属性!$A:$R,4,FALSE)</f>
        <v>0.32</v>
      </c>
      <c r="M57" s="31">
        <f>IF(期望!$H$3="√",25,0)</f>
        <v>25</v>
      </c>
      <c r="N57">
        <v>0</v>
      </c>
      <c r="O57" t="s">
        <v>244</v>
      </c>
      <c r="P57" t="s">
        <v>63</v>
      </c>
      <c r="Q57" t="s">
        <v>1</v>
      </c>
      <c r="S57">
        <v>1</v>
      </c>
      <c r="T57">
        <v>1</v>
      </c>
      <c r="U57">
        <v>1</v>
      </c>
    </row>
    <row r="58" customFormat="1" spans="1:21">
      <c r="A58" s="30" t="s">
        <v>139</v>
      </c>
      <c r="B58" s="28">
        <v>2.78762</v>
      </c>
      <c r="C58" s="29">
        <v>772.2</v>
      </c>
      <c r="D58" s="28">
        <v>4.18132</v>
      </c>
      <c r="E58" s="28"/>
      <c r="F58" s="28"/>
      <c r="G58" s="28">
        <v>0.1</v>
      </c>
      <c r="H58" s="28">
        <f>50%+IF(期望!$H$3="√",25%,0)</f>
        <v>0.75</v>
      </c>
      <c r="I58" s="28"/>
      <c r="J58" s="27"/>
      <c r="K58" s="28">
        <v>1</v>
      </c>
      <c r="L58" s="28">
        <f>10%+IF(期望!$G$5="燕归",12%,0)+VLOOKUP(期望!$F$7,目标属性!$A:$R,4,FALSE)</f>
        <v>0.32</v>
      </c>
      <c r="M58" s="31">
        <f>IF(期望!$H$3="√",25,0)</f>
        <v>25</v>
      </c>
      <c r="N58">
        <v>0</v>
      </c>
      <c r="O58" t="s">
        <v>244</v>
      </c>
      <c r="P58" t="s">
        <v>63</v>
      </c>
      <c r="Q58" t="s">
        <v>1</v>
      </c>
      <c r="S58">
        <v>1</v>
      </c>
      <c r="T58">
        <v>1</v>
      </c>
      <c r="U58">
        <v>1</v>
      </c>
    </row>
    <row r="59" customFormat="1" spans="1:21">
      <c r="A59" s="30" t="s">
        <v>130</v>
      </c>
      <c r="B59" s="28">
        <f>64.72%*1.1</f>
        <v>0.71192</v>
      </c>
      <c r="C59" s="29">
        <f>180*1.1</f>
        <v>198</v>
      </c>
      <c r="D59" s="28">
        <f>97.08%*1.1</f>
        <v>1.06788</v>
      </c>
      <c r="E59" s="28"/>
      <c r="F59" s="28"/>
      <c r="G59" s="28">
        <v>0.1</v>
      </c>
      <c r="H59" s="28">
        <f>50%+IF(期望!$H$3="√",25%,0)</f>
        <v>0.75</v>
      </c>
      <c r="I59" s="28"/>
      <c r="J59" s="27"/>
      <c r="K59" s="28">
        <v>1</v>
      </c>
      <c r="L59" s="28">
        <f>10%+IF(期望!$G$5="燕归",12%,0)+VLOOKUP(期望!$F$7,目标属性!$A:$R,4,FALSE)+15%</f>
        <v>0.47</v>
      </c>
      <c r="M59" s="31">
        <f>IF(期望!$H$3="√",25,0)</f>
        <v>25</v>
      </c>
      <c r="N59">
        <v>0</v>
      </c>
      <c r="O59" t="s">
        <v>244</v>
      </c>
      <c r="P59" t="s">
        <v>63</v>
      </c>
      <c r="Q59" t="s">
        <v>1</v>
      </c>
      <c r="S59">
        <v>1</v>
      </c>
      <c r="T59">
        <v>1</v>
      </c>
      <c r="U59">
        <v>1</v>
      </c>
    </row>
    <row r="60" customFormat="1" spans="1:21">
      <c r="A60" s="30" t="s">
        <v>131</v>
      </c>
      <c r="B60" s="28">
        <f>90.12%*1.1</f>
        <v>0.99132</v>
      </c>
      <c r="C60" s="29">
        <f>250*1.1</f>
        <v>275</v>
      </c>
      <c r="D60" s="28">
        <f>135.18%*1.1</f>
        <v>1.48698</v>
      </c>
      <c r="E60" s="28"/>
      <c r="F60" s="28"/>
      <c r="G60" s="28">
        <v>0.1</v>
      </c>
      <c r="H60" s="28">
        <f>50%+IF(期望!$H$3="√",25%,0)</f>
        <v>0.75</v>
      </c>
      <c r="I60" s="28"/>
      <c r="J60" s="27"/>
      <c r="K60" s="28">
        <v>1</v>
      </c>
      <c r="L60" s="28">
        <f>10%+IF(期望!$G$5="燕归",12%,0)+VLOOKUP(期望!$F$7,目标属性!$A:$R,4,FALSE)+15%</f>
        <v>0.47</v>
      </c>
      <c r="M60" s="31">
        <f>IF(期望!$H$3="√",25,0)</f>
        <v>25</v>
      </c>
      <c r="N60">
        <v>0</v>
      </c>
      <c r="O60" t="s">
        <v>244</v>
      </c>
      <c r="P60" t="s">
        <v>63</v>
      </c>
      <c r="Q60" t="s">
        <v>1</v>
      </c>
      <c r="S60">
        <v>1</v>
      </c>
      <c r="T60">
        <v>1</v>
      </c>
      <c r="U60">
        <v>1</v>
      </c>
    </row>
    <row r="61" customFormat="1" spans="1:21">
      <c r="A61" s="30" t="s">
        <v>132</v>
      </c>
      <c r="B61" s="28">
        <f>144.55%*1.1</f>
        <v>1.59005</v>
      </c>
      <c r="C61" s="29">
        <f>401*1.1</f>
        <v>441.1</v>
      </c>
      <c r="D61" s="28">
        <f>216.83%*1.1</f>
        <v>2.38513</v>
      </c>
      <c r="E61" s="28"/>
      <c r="F61" s="28"/>
      <c r="G61" s="28">
        <v>0.1</v>
      </c>
      <c r="H61" s="28">
        <f>50%+IF(期望!$H$3="√",25%,0)</f>
        <v>0.75</v>
      </c>
      <c r="I61" s="28"/>
      <c r="J61" s="27"/>
      <c r="K61" s="28">
        <v>1</v>
      </c>
      <c r="L61" s="28">
        <f>10%+IF(期望!$G$5="燕归",12%,0)+VLOOKUP(期望!$F$7,目标属性!$A:$R,4,FALSE)+15%</f>
        <v>0.47</v>
      </c>
      <c r="M61" s="31">
        <f>IF(期望!$H$3="√",25,0)</f>
        <v>25</v>
      </c>
      <c r="N61">
        <v>0</v>
      </c>
      <c r="O61" t="s">
        <v>244</v>
      </c>
      <c r="P61" t="s">
        <v>63</v>
      </c>
      <c r="Q61" t="s">
        <v>1</v>
      </c>
      <c r="S61">
        <v>1</v>
      </c>
      <c r="T61">
        <v>1</v>
      </c>
      <c r="U61">
        <v>1</v>
      </c>
    </row>
    <row r="62" customFormat="1" spans="1:21">
      <c r="A62" s="30" t="s">
        <v>133</v>
      </c>
      <c r="B62" s="28">
        <v>1.90938</v>
      </c>
      <c r="C62" s="29">
        <v>529.1</v>
      </c>
      <c r="D62" s="28">
        <v>2.86407</v>
      </c>
      <c r="E62" s="28"/>
      <c r="F62" s="28"/>
      <c r="G62" s="28">
        <v>0.1</v>
      </c>
      <c r="H62" s="28">
        <f>50%+IF(期望!$H$3="√",25%,0)</f>
        <v>0.75</v>
      </c>
      <c r="I62" s="28"/>
      <c r="J62" s="27"/>
      <c r="K62" s="28">
        <v>1</v>
      </c>
      <c r="L62" s="28">
        <f>10%+IF(期望!$G$5="燕归",12%,0)+VLOOKUP(期望!$F$7,目标属性!$A:$R,4,FALSE)+15%</f>
        <v>0.47</v>
      </c>
      <c r="M62" s="31">
        <f>IF(期望!$H$3="√",25,0)</f>
        <v>25</v>
      </c>
      <c r="N62">
        <v>0</v>
      </c>
      <c r="O62" t="s">
        <v>244</v>
      </c>
      <c r="P62" t="s">
        <v>63</v>
      </c>
      <c r="Q62" t="s">
        <v>1</v>
      </c>
      <c r="S62">
        <v>1</v>
      </c>
      <c r="T62">
        <v>1</v>
      </c>
      <c r="U62">
        <v>1</v>
      </c>
    </row>
    <row r="63" customFormat="1" spans="1:21">
      <c r="A63" s="30" t="s">
        <v>134</v>
      </c>
      <c r="B63" s="28">
        <v>2.78762</v>
      </c>
      <c r="C63" s="29">
        <v>772.2</v>
      </c>
      <c r="D63" s="28">
        <v>4.18132</v>
      </c>
      <c r="E63" s="28"/>
      <c r="F63" s="28"/>
      <c r="G63" s="28">
        <v>0.1</v>
      </c>
      <c r="H63" s="28">
        <f>50%+IF(期望!$H$3="√",25%,0)</f>
        <v>0.75</v>
      </c>
      <c r="I63" s="28"/>
      <c r="J63" s="27"/>
      <c r="K63" s="28">
        <v>1</v>
      </c>
      <c r="L63" s="28">
        <f>10%+IF(期望!$G$5="燕归",12%,0)+VLOOKUP(期望!$F$7,目标属性!$A:$R,4,FALSE)+15%</f>
        <v>0.47</v>
      </c>
      <c r="M63" s="31">
        <f>IF(期望!$H$3="√",25,0)</f>
        <v>25</v>
      </c>
      <c r="N63">
        <v>0</v>
      </c>
      <c r="O63" t="s">
        <v>244</v>
      </c>
      <c r="P63" t="s">
        <v>63</v>
      </c>
      <c r="Q63" t="s">
        <v>1</v>
      </c>
      <c r="S63">
        <v>1</v>
      </c>
      <c r="T63">
        <v>1</v>
      </c>
      <c r="U63">
        <v>1</v>
      </c>
    </row>
    <row r="64" customFormat="1" spans="1:21">
      <c r="A64" s="30" t="s">
        <v>188</v>
      </c>
      <c r="B64" s="28">
        <v>1.3548</v>
      </c>
      <c r="C64" s="29">
        <v>376</v>
      </c>
      <c r="D64" s="28">
        <v>2.0322</v>
      </c>
      <c r="E64" s="28"/>
      <c r="F64" s="28"/>
      <c r="G64" s="28">
        <v>0.1</v>
      </c>
      <c r="H64" s="28">
        <v>0.5</v>
      </c>
      <c r="I64" s="28"/>
      <c r="J64" s="27"/>
      <c r="K64" s="28">
        <v>1</v>
      </c>
      <c r="L64" s="28">
        <v>0.1</v>
      </c>
      <c r="M64" s="29"/>
      <c r="N64">
        <v>0</v>
      </c>
      <c r="O64" t="s">
        <v>244</v>
      </c>
      <c r="P64" t="s">
        <v>63</v>
      </c>
      <c r="Q64" t="s">
        <v>1</v>
      </c>
    </row>
    <row r="65" customFormat="1" spans="1:22">
      <c r="A65" s="30" t="s">
        <v>120</v>
      </c>
      <c r="B65" s="28">
        <v>1.3548</v>
      </c>
      <c r="C65" s="29">
        <v>376</v>
      </c>
      <c r="D65" s="28">
        <v>2.0322</v>
      </c>
      <c r="E65" s="28"/>
      <c r="F65" s="28"/>
      <c r="G65" s="28">
        <v>0.1</v>
      </c>
      <c r="H65" s="28">
        <f>50%</f>
        <v>0.5</v>
      </c>
      <c r="I65" s="28"/>
      <c r="J65" s="27"/>
      <c r="K65" s="28">
        <v>1</v>
      </c>
      <c r="L65" s="28">
        <f>10%+2%</f>
        <v>0.12</v>
      </c>
      <c r="M65" s="29"/>
      <c r="N65">
        <v>0</v>
      </c>
      <c r="O65" t="s">
        <v>244</v>
      </c>
      <c r="P65" t="s">
        <v>63</v>
      </c>
      <c r="Q65" t="s">
        <v>1</v>
      </c>
    </row>
    <row r="66" customFormat="1" spans="1:22">
      <c r="A66" s="30" t="s">
        <v>152</v>
      </c>
      <c r="B66" s="28">
        <v>1.3548</v>
      </c>
      <c r="C66" s="29">
        <v>376</v>
      </c>
      <c r="D66" s="28">
        <v>2.0322</v>
      </c>
      <c r="E66" s="28"/>
      <c r="F66" s="28"/>
      <c r="G66" s="28">
        <v>0.1</v>
      </c>
      <c r="H66" s="28">
        <f>50%+IF(期望!$H$3="√",25%,0)</f>
        <v>0.75</v>
      </c>
      <c r="I66" s="28"/>
      <c r="J66" s="27"/>
      <c r="K66" s="28">
        <v>1</v>
      </c>
      <c r="L66" s="28">
        <f>10%</f>
        <v>0.1</v>
      </c>
      <c r="M66" s="31">
        <f>IF(期望!$H$3="√",25,0)</f>
        <v>25</v>
      </c>
      <c r="N66">
        <v>0</v>
      </c>
      <c r="O66" t="s">
        <v>244</v>
      </c>
      <c r="P66" t="s">
        <v>63</v>
      </c>
      <c r="Q66" t="s">
        <v>1</v>
      </c>
    </row>
    <row r="67" customFormat="1" spans="1:22">
      <c r="A67" s="30" t="s">
        <v>136</v>
      </c>
      <c r="B67" s="28">
        <v>1.3548</v>
      </c>
      <c r="C67" s="29">
        <v>376</v>
      </c>
      <c r="D67" s="28">
        <v>2.0322</v>
      </c>
      <c r="E67" s="28"/>
      <c r="F67" s="28"/>
      <c r="G67" s="28">
        <v>0.1</v>
      </c>
      <c r="H67" s="28">
        <f>50%+IF(期望!$H$3="√",25%,0)</f>
        <v>0.75</v>
      </c>
      <c r="I67" s="28"/>
      <c r="J67" s="27"/>
      <c r="K67" s="28">
        <v>1</v>
      </c>
      <c r="L67" s="28">
        <f>10%+VLOOKUP(期望!$F$7,目标属性!$A:$R,4,FALSE)+15%</f>
        <v>0.35</v>
      </c>
      <c r="M67" s="31">
        <f>IF(期望!$H$3="√",25,0)</f>
        <v>25</v>
      </c>
      <c r="N67">
        <v>0</v>
      </c>
      <c r="O67" t="s">
        <v>244</v>
      </c>
      <c r="P67" t="s">
        <v>63</v>
      </c>
      <c r="Q67" t="s">
        <v>1</v>
      </c>
    </row>
    <row r="68" customFormat="1" spans="1:22">
      <c r="A68" s="30" t="s">
        <v>215</v>
      </c>
      <c r="B68" s="28">
        <v>1.3548</v>
      </c>
      <c r="C68" s="29">
        <v>376</v>
      </c>
      <c r="D68" s="28">
        <v>2.0322</v>
      </c>
      <c r="E68" s="28"/>
      <c r="F68" s="28"/>
      <c r="G68" s="28">
        <v>0.1</v>
      </c>
      <c r="H68" s="28">
        <f>50%+IF(期望!$H$3="√",25%,0)</f>
        <v>0.75</v>
      </c>
      <c r="I68" s="28"/>
      <c r="J68" s="27"/>
      <c r="K68" s="28">
        <v>1</v>
      </c>
      <c r="L68" s="28">
        <f>10%+VLOOKUP(期望!$F$7,目标属性!$A:$R,4,FALSE)+2%</f>
        <v>0.22</v>
      </c>
      <c r="M68" s="31">
        <f>IF(期望!$H$3="√",25,0)</f>
        <v>25</v>
      </c>
      <c r="N68">
        <v>0</v>
      </c>
      <c r="O68" t="s">
        <v>244</v>
      </c>
      <c r="P68" t="s">
        <v>63</v>
      </c>
      <c r="Q68" t="s">
        <v>1</v>
      </c>
    </row>
    <row r="69" customFormat="1" spans="1:22">
      <c r="A69" s="30" t="s">
        <v>257</v>
      </c>
      <c r="B69" s="28">
        <v>0.0621</v>
      </c>
      <c r="C69" s="29">
        <v>17</v>
      </c>
      <c r="D69" s="28">
        <v>0.0932</v>
      </c>
      <c r="E69" s="28"/>
      <c r="F69" s="28"/>
      <c r="G69" s="28"/>
      <c r="H69" s="28"/>
      <c r="I69" s="28"/>
      <c r="J69" s="27"/>
      <c r="K69" s="28">
        <v>1</v>
      </c>
      <c r="L69" s="28">
        <v>0.2</v>
      </c>
      <c r="M69" s="29"/>
      <c r="N69">
        <v>0</v>
      </c>
      <c r="O69" t="s">
        <v>244</v>
      </c>
      <c r="P69" t="s">
        <v>65</v>
      </c>
      <c r="Q69" t="s">
        <v>1</v>
      </c>
    </row>
    <row r="70" customFormat="1" spans="1:22">
      <c r="A70" s="30" t="s">
        <v>111</v>
      </c>
      <c r="B70" s="28">
        <v>0.0621</v>
      </c>
      <c r="C70" s="29">
        <v>17</v>
      </c>
      <c r="D70" s="28">
        <v>0.0932</v>
      </c>
      <c r="E70" s="28"/>
      <c r="F70" s="28"/>
      <c r="G70" s="28"/>
      <c r="H70" s="28"/>
      <c r="I70" s="28"/>
      <c r="J70" s="27"/>
      <c r="K70" s="28">
        <v>1</v>
      </c>
      <c r="L70" s="28">
        <f>10%</f>
        <v>0.1</v>
      </c>
      <c r="M70" s="31"/>
      <c r="N70">
        <v>0</v>
      </c>
      <c r="O70" t="s">
        <v>244</v>
      </c>
      <c r="P70" t="s">
        <v>65</v>
      </c>
      <c r="Q70" t="s">
        <v>1</v>
      </c>
    </row>
    <row r="71" customFormat="1" spans="1:22">
      <c r="A71" s="30" t="s">
        <v>173</v>
      </c>
      <c r="B71" s="28">
        <v>0.0621</v>
      </c>
      <c r="C71" s="29">
        <v>17</v>
      </c>
      <c r="D71" s="28">
        <v>0.0932</v>
      </c>
      <c r="E71" s="28"/>
      <c r="F71" s="28"/>
      <c r="G71" s="28"/>
      <c r="H71" s="28">
        <f>IF(期望!$H$3="√",25%,0)</f>
        <v>0.25</v>
      </c>
      <c r="I71" s="28"/>
      <c r="J71" s="27"/>
      <c r="K71" s="28">
        <v>1</v>
      </c>
      <c r="L71" s="28">
        <f>10%+15%</f>
        <v>0.25</v>
      </c>
      <c r="M71" s="31">
        <f>IF(期望!$H$3="√",25,0)</f>
        <v>25</v>
      </c>
      <c r="N71">
        <v>0</v>
      </c>
      <c r="O71" t="s">
        <v>244</v>
      </c>
      <c r="P71" t="s">
        <v>65</v>
      </c>
      <c r="Q71" t="s">
        <v>1</v>
      </c>
    </row>
    <row r="72" customFormat="1" spans="1:22">
      <c r="A72" s="30" t="s">
        <v>129</v>
      </c>
      <c r="B72" s="28">
        <v>0.0621</v>
      </c>
      <c r="C72" s="29">
        <v>17</v>
      </c>
      <c r="D72" s="28">
        <v>0.0932</v>
      </c>
      <c r="E72" s="28"/>
      <c r="F72" s="28"/>
      <c r="G72" s="28"/>
      <c r="H72" s="28">
        <f>IF(期望!$H$3="√",25%,0)</f>
        <v>0.25</v>
      </c>
      <c r="I72" s="28"/>
      <c r="J72" s="27"/>
      <c r="K72" s="28">
        <v>1</v>
      </c>
      <c r="L72" s="28">
        <f>10%+VLOOKUP(期望!$F$7,目标属性!$A:$R,4,FALSE)+15%</f>
        <v>0.35</v>
      </c>
      <c r="M72" s="31">
        <f>IF(期望!$H$3="√",25,0)</f>
        <v>25</v>
      </c>
      <c r="N72">
        <v>0</v>
      </c>
      <c r="O72" t="s">
        <v>244</v>
      </c>
      <c r="P72" t="s">
        <v>65</v>
      </c>
      <c r="Q72" t="s">
        <v>1</v>
      </c>
    </row>
    <row r="73" customFormat="1" spans="1:22">
      <c r="A73" s="30" t="s">
        <v>187</v>
      </c>
      <c r="B73" s="28">
        <f t="shared" ref="B73:B75" si="0">35%</f>
        <v>0.35</v>
      </c>
      <c r="C73" s="29"/>
      <c r="D73" s="28">
        <f t="shared" ref="D73:D75" si="1">B73*1.5</f>
        <v>0.525</v>
      </c>
      <c r="E73" s="28"/>
      <c r="F73" s="28"/>
      <c r="G73" s="28">
        <v>0.1</v>
      </c>
      <c r="H73" s="28">
        <v>0.5</v>
      </c>
      <c r="I73" s="28"/>
      <c r="J73" s="27"/>
      <c r="K73" s="28">
        <v>1</v>
      </c>
      <c r="L73" s="28">
        <f>10%+80%+IF(期望!$G$5="燕归",12%,0)</f>
        <v>1.02</v>
      </c>
      <c r="M73" s="29"/>
      <c r="N73">
        <v>0</v>
      </c>
      <c r="O73" t="s">
        <v>258</v>
      </c>
      <c r="P73" t="s">
        <v>65</v>
      </c>
      <c r="Q73" t="s">
        <v>1</v>
      </c>
      <c r="R73" t="s">
        <v>66</v>
      </c>
      <c r="U73">
        <v>1</v>
      </c>
      <c r="V73">
        <f>IF(期望!$G$5="撼天",1,0)</f>
        <v>0</v>
      </c>
    </row>
    <row r="74" customFormat="1" spans="1:22">
      <c r="A74" s="30" t="s">
        <v>119</v>
      </c>
      <c r="B74" s="28">
        <f t="shared" si="0"/>
        <v>0.35</v>
      </c>
      <c r="C74" s="29"/>
      <c r="D74" s="28">
        <f t="shared" si="1"/>
        <v>0.525</v>
      </c>
      <c r="E74" s="28"/>
      <c r="F74" s="28"/>
      <c r="G74" s="28">
        <v>0.1</v>
      </c>
      <c r="H74" s="28">
        <v>0.5</v>
      </c>
      <c r="I74" s="28"/>
      <c r="J74" s="27"/>
      <c r="K74" s="28">
        <v>1</v>
      </c>
      <c r="L74" s="28">
        <f>12%+80%+IF(期望!$G$5="燕归",12%,0)</f>
        <v>1.04</v>
      </c>
      <c r="M74" s="29"/>
      <c r="N74">
        <v>0</v>
      </c>
      <c r="O74" t="s">
        <v>258</v>
      </c>
      <c r="P74" t="s">
        <v>65</v>
      </c>
      <c r="Q74" t="s">
        <v>1</v>
      </c>
      <c r="R74" t="s">
        <v>66</v>
      </c>
      <c r="U74">
        <v>1</v>
      </c>
      <c r="V74">
        <f>IF(期望!$G$5="撼天",1,0)</f>
        <v>0</v>
      </c>
    </row>
    <row r="75" customFormat="1" spans="1:22">
      <c r="A75" s="30" t="s">
        <v>178</v>
      </c>
      <c r="B75" s="28">
        <f t="shared" si="0"/>
        <v>0.35</v>
      </c>
      <c r="C75" s="29"/>
      <c r="D75" s="28">
        <f t="shared" si="1"/>
        <v>0.525</v>
      </c>
      <c r="E75" s="28"/>
      <c r="F75" s="28"/>
      <c r="G75" s="28">
        <v>0.1</v>
      </c>
      <c r="H75" s="28">
        <v>0.5</v>
      </c>
      <c r="I75" s="28"/>
      <c r="J75" s="27"/>
      <c r="K75" s="28">
        <v>1</v>
      </c>
      <c r="L75" s="28">
        <f>10%+80%+IF(期望!$G$5="燕归",12%,0)+15%</f>
        <v>1.17</v>
      </c>
      <c r="M75" s="29"/>
      <c r="N75">
        <v>0</v>
      </c>
      <c r="O75" t="s">
        <v>258</v>
      </c>
      <c r="P75" t="s">
        <v>65</v>
      </c>
      <c r="Q75" t="s">
        <v>1</v>
      </c>
      <c r="R75" t="s">
        <v>66</v>
      </c>
      <c r="U75">
        <v>1</v>
      </c>
      <c r="V75">
        <f>IF(期望!$G$5="撼天",1,0)</f>
        <v>0</v>
      </c>
    </row>
    <row r="76" customFormat="1" spans="1:22">
      <c r="A76" s="30" t="s">
        <v>150</v>
      </c>
      <c r="B76" s="28">
        <f t="shared" ref="B76:B81" si="2">35%</f>
        <v>0.35</v>
      </c>
      <c r="C76" s="29"/>
      <c r="D76" s="28">
        <f t="shared" ref="D76:D81" si="3">B76*1.5</f>
        <v>0.525</v>
      </c>
      <c r="E76" s="28"/>
      <c r="F76" s="28"/>
      <c r="G76" s="28">
        <v>0.1</v>
      </c>
      <c r="H76" s="28">
        <f>50%+IF(期望!$H$3="√",25%,0)</f>
        <v>0.75</v>
      </c>
      <c r="I76" s="28"/>
      <c r="J76" s="27"/>
      <c r="K76" s="28">
        <v>1</v>
      </c>
      <c r="L76" s="28">
        <f>10%+80%+IF(期望!$G$5="燕归",12%,0)</f>
        <v>1.02</v>
      </c>
      <c r="M76" s="31">
        <f>IF(期望!$H$3="√",25,0)</f>
        <v>25</v>
      </c>
      <c r="N76">
        <v>0</v>
      </c>
      <c r="O76" t="s">
        <v>258</v>
      </c>
      <c r="P76" t="s">
        <v>65</v>
      </c>
      <c r="Q76" t="s">
        <v>1</v>
      </c>
      <c r="R76" t="s">
        <v>66</v>
      </c>
      <c r="U76">
        <v>1</v>
      </c>
      <c r="V76">
        <f>IF(期望!$G$5="撼天",1,0)</f>
        <v>0</v>
      </c>
    </row>
    <row r="77" customFormat="1" spans="1:22">
      <c r="A77" s="30" t="s">
        <v>206</v>
      </c>
      <c r="B77" s="28">
        <f t="shared" si="2"/>
        <v>0.35</v>
      </c>
      <c r="C77" s="29"/>
      <c r="D77" s="28">
        <f t="shared" si="3"/>
        <v>0.525</v>
      </c>
      <c r="E77" s="28"/>
      <c r="F77" s="28"/>
      <c r="G77" s="28">
        <v>0.1</v>
      </c>
      <c r="H77" s="28">
        <f>50%+IF(期望!$H$3="√",25%,0)</f>
        <v>0.75</v>
      </c>
      <c r="I77" s="28"/>
      <c r="J77" s="27"/>
      <c r="K77" s="28">
        <v>1</v>
      </c>
      <c r="L77" s="28">
        <f>10%+80%+IF(期望!$G$5="燕归",12%,0)+2%</f>
        <v>1.04</v>
      </c>
      <c r="M77" s="31">
        <f>IF(期望!$H$3="√",25,0)</f>
        <v>25</v>
      </c>
      <c r="N77">
        <v>0</v>
      </c>
      <c r="O77" t="s">
        <v>258</v>
      </c>
      <c r="P77" t="s">
        <v>65</v>
      </c>
      <c r="Q77" t="s">
        <v>1</v>
      </c>
      <c r="R77" t="s">
        <v>66</v>
      </c>
      <c r="U77">
        <v>1</v>
      </c>
      <c r="V77">
        <f>IF(期望!$G$5="撼天",1,0)</f>
        <v>0</v>
      </c>
    </row>
    <row r="78" customFormat="1" spans="1:22">
      <c r="A78" s="30" t="s">
        <v>214</v>
      </c>
      <c r="B78" s="28">
        <f t="shared" si="2"/>
        <v>0.35</v>
      </c>
      <c r="C78" s="29"/>
      <c r="D78" s="28">
        <f t="shared" si="3"/>
        <v>0.525</v>
      </c>
      <c r="E78" s="28"/>
      <c r="F78" s="28"/>
      <c r="G78" s="28">
        <v>0.1</v>
      </c>
      <c r="H78" s="28">
        <f>50%+IF(期望!$H$3="√",25%,0)</f>
        <v>0.75</v>
      </c>
      <c r="I78" s="28"/>
      <c r="J78" s="27"/>
      <c r="K78" s="28">
        <v>1</v>
      </c>
      <c r="L78" s="28">
        <f>10%+80%+IF(期望!$G$5="燕归",12%,0)+VLOOKUP(期望!$F$7,目标属性!$A:$R,4,FALSE)+2%</f>
        <v>1.14</v>
      </c>
      <c r="M78" s="31">
        <f>IF(期望!$H$3="√",25,0)</f>
        <v>25</v>
      </c>
      <c r="N78">
        <v>0</v>
      </c>
      <c r="O78" t="s">
        <v>258</v>
      </c>
      <c r="P78" t="s">
        <v>65</v>
      </c>
      <c r="Q78" t="s">
        <v>1</v>
      </c>
      <c r="R78" t="s">
        <v>66</v>
      </c>
      <c r="U78">
        <v>1</v>
      </c>
      <c r="V78">
        <f>IF(期望!$G$5="撼天",1,0)</f>
        <v>0</v>
      </c>
    </row>
    <row r="79" customFormat="1" spans="1:22">
      <c r="A79" s="30" t="s">
        <v>140</v>
      </c>
      <c r="B79" s="28">
        <f t="shared" si="2"/>
        <v>0.35</v>
      </c>
      <c r="C79" s="29"/>
      <c r="D79" s="28">
        <f t="shared" si="3"/>
        <v>0.525</v>
      </c>
      <c r="E79" s="28"/>
      <c r="F79" s="28"/>
      <c r="G79" s="28">
        <v>0.1</v>
      </c>
      <c r="H79" s="28">
        <f>50%+IF(期望!$H$3="√",25%,0)</f>
        <v>0.75</v>
      </c>
      <c r="I79" s="28"/>
      <c r="J79" s="27"/>
      <c r="K79" s="28">
        <v>1</v>
      </c>
      <c r="L79" s="28">
        <f>10%+80%+IF(期望!$G$5="燕归",12%,0)+VLOOKUP(期望!$F$7,目标属性!$A:$R,4,FALSE)</f>
        <v>1.12</v>
      </c>
      <c r="M79" s="31">
        <f>IF(期望!$H$3="√",25,0)</f>
        <v>25</v>
      </c>
      <c r="N79">
        <v>0</v>
      </c>
      <c r="O79" t="s">
        <v>258</v>
      </c>
      <c r="P79" t="s">
        <v>65</v>
      </c>
      <c r="Q79" t="s">
        <v>1</v>
      </c>
      <c r="R79" t="s">
        <v>66</v>
      </c>
      <c r="U79">
        <v>1</v>
      </c>
      <c r="V79">
        <f>IF(期望!$G$5="撼天",1,0)</f>
        <v>0</v>
      </c>
    </row>
    <row r="80" customFormat="1" spans="1:22">
      <c r="A80" s="30" t="s">
        <v>135</v>
      </c>
      <c r="B80" s="28">
        <f t="shared" si="2"/>
        <v>0.35</v>
      </c>
      <c r="C80" s="29"/>
      <c r="D80" s="28">
        <f t="shared" si="3"/>
        <v>0.525</v>
      </c>
      <c r="E80" s="28"/>
      <c r="F80" s="28"/>
      <c r="G80" s="28">
        <v>0.1</v>
      </c>
      <c r="H80" s="28">
        <f>50%+IF(期望!$H$3="√",25%,0)</f>
        <v>0.75</v>
      </c>
      <c r="I80" s="28"/>
      <c r="J80" s="27"/>
      <c r="K80" s="28">
        <v>1</v>
      </c>
      <c r="L80" s="28">
        <f>10%+80%+IF(期望!$G$5="燕归",12%,0)+VLOOKUP(期望!$F$7,目标属性!$A:$R,4,FALSE)+15%</f>
        <v>1.27</v>
      </c>
      <c r="M80" s="31">
        <f>IF(期望!$H$3="√",25,0)</f>
        <v>25</v>
      </c>
      <c r="N80">
        <v>0</v>
      </c>
      <c r="O80" t="s">
        <v>258</v>
      </c>
      <c r="P80" t="s">
        <v>65</v>
      </c>
      <c r="Q80" t="s">
        <v>1</v>
      </c>
      <c r="R80" t="s">
        <v>66</v>
      </c>
      <c r="U80">
        <v>1</v>
      </c>
      <c r="V80">
        <f>IF(期望!$G$5="撼天",1,0)</f>
        <v>0</v>
      </c>
    </row>
    <row r="81" customFormat="1" spans="1:22">
      <c r="A81" s="30" t="s">
        <v>259</v>
      </c>
      <c r="B81" s="28">
        <f t="shared" si="2"/>
        <v>0.35</v>
      </c>
      <c r="C81" s="29"/>
      <c r="D81" s="28">
        <f t="shared" si="3"/>
        <v>0.525</v>
      </c>
      <c r="E81" s="28"/>
      <c r="F81" s="28"/>
      <c r="G81" s="28"/>
      <c r="H81" s="28"/>
      <c r="I81" s="28"/>
      <c r="J81" s="27"/>
      <c r="K81" s="28">
        <v>1</v>
      </c>
      <c r="L81" s="28">
        <f>80%+IF(期望!$G$5="燕归",12%,0)</f>
        <v>0.92</v>
      </c>
      <c r="M81" s="29"/>
      <c r="N81">
        <v>0</v>
      </c>
      <c r="O81" t="s">
        <v>258</v>
      </c>
      <c r="P81" t="s">
        <v>65</v>
      </c>
      <c r="Q81" t="s">
        <v>1</v>
      </c>
      <c r="R81" t="s">
        <v>66</v>
      </c>
      <c r="U81">
        <v>1</v>
      </c>
      <c r="V81">
        <f>IF(期望!$G$5="撼天",1,0)</f>
        <v>0</v>
      </c>
    </row>
    <row r="82" customFormat="1" spans="1:22">
      <c r="A82" s="30" t="s">
        <v>260</v>
      </c>
      <c r="B82" s="28">
        <f t="shared" ref="B82:B88" si="4">35%</f>
        <v>0.35</v>
      </c>
      <c r="C82" s="29"/>
      <c r="D82" s="28">
        <f t="shared" ref="D82:D88" si="5">B82*1.5</f>
        <v>0.525</v>
      </c>
      <c r="E82" s="28"/>
      <c r="F82" s="28"/>
      <c r="G82" s="28"/>
      <c r="H82" s="28"/>
      <c r="I82" s="28"/>
      <c r="J82" s="27"/>
      <c r="K82" s="28">
        <v>1</v>
      </c>
      <c r="L82" s="28">
        <f>80%+2%+IF(期望!$G$5="燕归",12%,0)</f>
        <v>0.94</v>
      </c>
      <c r="M82" s="29"/>
      <c r="N82">
        <v>0</v>
      </c>
      <c r="O82" t="s">
        <v>258</v>
      </c>
      <c r="P82" t="s">
        <v>65</v>
      </c>
      <c r="Q82" t="s">
        <v>1</v>
      </c>
      <c r="R82" t="s">
        <v>66</v>
      </c>
      <c r="U82">
        <v>1</v>
      </c>
      <c r="V82">
        <f>IF(期望!$G$5="撼天",1,0)</f>
        <v>0</v>
      </c>
    </row>
    <row r="83" customFormat="1" spans="1:22">
      <c r="A83" s="30" t="s">
        <v>112</v>
      </c>
      <c r="B83" s="28">
        <f t="shared" si="4"/>
        <v>0.35</v>
      </c>
      <c r="C83" s="29"/>
      <c r="D83" s="28">
        <f t="shared" si="5"/>
        <v>0.525</v>
      </c>
      <c r="E83" s="28"/>
      <c r="F83" s="28"/>
      <c r="G83" s="28"/>
      <c r="H83" s="28"/>
      <c r="I83" s="28"/>
      <c r="J83" s="27"/>
      <c r="K83" s="28">
        <v>1</v>
      </c>
      <c r="L83" s="28">
        <f>10%+80%+IF(期望!$G$5="燕归",12%,0)</f>
        <v>1.02</v>
      </c>
      <c r="M83" s="29"/>
      <c r="N83">
        <v>0</v>
      </c>
      <c r="O83" t="s">
        <v>258</v>
      </c>
      <c r="P83" t="s">
        <v>65</v>
      </c>
      <c r="Q83" t="s">
        <v>1</v>
      </c>
      <c r="R83" t="s">
        <v>66</v>
      </c>
      <c r="U83">
        <v>1</v>
      </c>
      <c r="V83">
        <f>IF(期望!$G$5="撼天",1,0)</f>
        <v>0</v>
      </c>
    </row>
    <row r="84" customFormat="1" spans="1:22">
      <c r="A84" s="30" t="s">
        <v>160</v>
      </c>
      <c r="B84" s="28">
        <f t="shared" si="4"/>
        <v>0.35</v>
      </c>
      <c r="C84" s="29"/>
      <c r="D84" s="28">
        <f t="shared" si="5"/>
        <v>0.525</v>
      </c>
      <c r="E84" s="28"/>
      <c r="F84" s="28"/>
      <c r="G84" s="28"/>
      <c r="H84" s="28">
        <f>IF(期望!$H$3="√",25%,0)</f>
        <v>0.25</v>
      </c>
      <c r="I84" s="28"/>
      <c r="J84" s="27"/>
      <c r="K84" s="28">
        <v>1</v>
      </c>
      <c r="L84" s="28">
        <f>10%+80%+IF(期望!$G$5="燕归",12%,0)</f>
        <v>1.02</v>
      </c>
      <c r="M84" s="31">
        <f>IF(期望!$H$3="√",25,0)</f>
        <v>25</v>
      </c>
      <c r="N84">
        <v>0</v>
      </c>
      <c r="O84" t="s">
        <v>258</v>
      </c>
      <c r="P84" t="s">
        <v>65</v>
      </c>
      <c r="Q84" t="s">
        <v>1</v>
      </c>
      <c r="R84" t="s">
        <v>66</v>
      </c>
      <c r="U84">
        <v>1</v>
      </c>
      <c r="V84">
        <f>IF(期望!$G$5="撼天",1,0)</f>
        <v>0</v>
      </c>
    </row>
    <row r="85" customFormat="1" spans="1:22">
      <c r="A85" s="30" t="s">
        <v>168</v>
      </c>
      <c r="B85" s="28">
        <f t="shared" si="4"/>
        <v>0.35</v>
      </c>
      <c r="C85" s="29"/>
      <c r="D85" s="28">
        <f t="shared" si="5"/>
        <v>0.525</v>
      </c>
      <c r="E85" s="28"/>
      <c r="F85" s="28"/>
      <c r="G85" s="28"/>
      <c r="H85" s="28">
        <f>IF(期望!$H$3="√",25%,0)</f>
        <v>0.25</v>
      </c>
      <c r="I85" s="28"/>
      <c r="J85" s="27"/>
      <c r="K85" s="28">
        <v>1</v>
      </c>
      <c r="L85" s="28">
        <f>10%+80%+IF(期望!$G$5="燕归",12%,0)+15%</f>
        <v>1.17</v>
      </c>
      <c r="M85" s="31">
        <f>IF(期望!$H$3="√",25,0)</f>
        <v>25</v>
      </c>
      <c r="N85">
        <v>0</v>
      </c>
      <c r="O85" t="s">
        <v>258</v>
      </c>
      <c r="P85" t="s">
        <v>65</v>
      </c>
      <c r="Q85" t="s">
        <v>1</v>
      </c>
      <c r="R85" t="s">
        <v>66</v>
      </c>
      <c r="U85">
        <v>1</v>
      </c>
      <c r="V85">
        <f>IF(期望!$G$5="撼天",1,0)</f>
        <v>0</v>
      </c>
    </row>
    <row r="86" customFormat="1" spans="1:22">
      <c r="A86" s="30" t="s">
        <v>123</v>
      </c>
      <c r="B86" s="28">
        <f t="shared" si="4"/>
        <v>0.35</v>
      </c>
      <c r="C86" s="29"/>
      <c r="D86" s="28">
        <f t="shared" si="5"/>
        <v>0.525</v>
      </c>
      <c r="E86" s="28"/>
      <c r="F86" s="28"/>
      <c r="G86" s="28"/>
      <c r="H86" s="28"/>
      <c r="I86" s="28"/>
      <c r="J86" s="27"/>
      <c r="K86" s="28">
        <v>1</v>
      </c>
      <c r="L86" s="28">
        <f>10%+80%+IF(期望!$G$5="燕归",12%,0)+2%</f>
        <v>1.04</v>
      </c>
      <c r="M86" s="29"/>
      <c r="N86">
        <v>0</v>
      </c>
      <c r="O86" t="s">
        <v>258</v>
      </c>
      <c r="P86" t="s">
        <v>65</v>
      </c>
      <c r="Q86" t="s">
        <v>1</v>
      </c>
      <c r="R86" t="s">
        <v>66</v>
      </c>
      <c r="U86">
        <v>1</v>
      </c>
      <c r="V86">
        <f>IF(期望!$G$5="撼天",1,0)</f>
        <v>0</v>
      </c>
    </row>
    <row r="87" customFormat="1" spans="1:22">
      <c r="A87" s="30" t="s">
        <v>198</v>
      </c>
      <c r="B87" s="28">
        <f t="shared" si="4"/>
        <v>0.35</v>
      </c>
      <c r="C87" s="29"/>
      <c r="D87" s="28">
        <f t="shared" si="5"/>
        <v>0.525</v>
      </c>
      <c r="E87" s="28"/>
      <c r="F87" s="28"/>
      <c r="G87" s="28"/>
      <c r="H87" s="28">
        <f>IF(期望!$H$3="√",25%,0)</f>
        <v>0.25</v>
      </c>
      <c r="I87" s="28"/>
      <c r="J87" s="27"/>
      <c r="K87" s="28">
        <v>1</v>
      </c>
      <c r="L87" s="28">
        <f>10%+80%+IF(期望!$G$5="燕归",12%,0)+2%</f>
        <v>1.04</v>
      </c>
      <c r="M87" s="31">
        <f>IF(期望!$H$3="√",25,0)</f>
        <v>25</v>
      </c>
      <c r="N87">
        <v>0</v>
      </c>
      <c r="O87" t="s">
        <v>258</v>
      </c>
      <c r="P87" t="s">
        <v>65</v>
      </c>
      <c r="Q87" t="s">
        <v>1</v>
      </c>
      <c r="R87" t="s">
        <v>66</v>
      </c>
      <c r="U87">
        <v>1</v>
      </c>
      <c r="V87">
        <f>IF(期望!$G$5="撼天",1,0)</f>
        <v>0</v>
      </c>
    </row>
    <row r="88" customFormat="1" spans="1:22">
      <c r="A88" s="30" t="s">
        <v>219</v>
      </c>
      <c r="B88" s="28">
        <f t="shared" si="4"/>
        <v>0.35</v>
      </c>
      <c r="C88" s="29"/>
      <c r="D88" s="28">
        <f t="shared" si="5"/>
        <v>0.525</v>
      </c>
      <c r="E88" s="28"/>
      <c r="F88" s="28"/>
      <c r="G88" s="28"/>
      <c r="H88" s="28">
        <f>IF(期望!$H$3="√",25%,0)</f>
        <v>0.25</v>
      </c>
      <c r="I88" s="28"/>
      <c r="J88" s="27"/>
      <c r="K88" s="28">
        <v>1</v>
      </c>
      <c r="L88" s="28">
        <f>10%+80%+IF(期望!$G$5="燕归",12%,0)+2%+VLOOKUP(期望!$F$7,目标属性!$A:$R,4,FALSE)</f>
        <v>1.14</v>
      </c>
      <c r="M88" s="31">
        <f>IF(期望!$H$3="√",25,0)</f>
        <v>25</v>
      </c>
      <c r="N88">
        <v>0</v>
      </c>
      <c r="O88" t="s">
        <v>258</v>
      </c>
      <c r="P88" t="s">
        <v>65</v>
      </c>
      <c r="Q88" t="s">
        <v>1</v>
      </c>
      <c r="R88" t="s">
        <v>66</v>
      </c>
      <c r="U88">
        <v>1</v>
      </c>
      <c r="V88">
        <f>IF(期望!$G$5="撼天",1,0)</f>
        <v>0</v>
      </c>
    </row>
    <row r="89" customFormat="1" spans="1:22">
      <c r="A89" s="30" t="s">
        <v>128</v>
      </c>
      <c r="B89" s="28"/>
      <c r="C89" s="29"/>
      <c r="D89" s="28"/>
      <c r="E89" s="28"/>
      <c r="F89" s="28"/>
      <c r="G89" s="28"/>
      <c r="H89" s="28"/>
      <c r="I89" s="28"/>
      <c r="J89" s="27"/>
      <c r="K89" s="28">
        <v>1</v>
      </c>
      <c r="L89" s="28">
        <f>-期望!$F$3</f>
        <v>-0.303</v>
      </c>
      <c r="M89" s="29"/>
      <c r="N89">
        <v>0</v>
      </c>
      <c r="O89" t="s">
        <v>258</v>
      </c>
      <c r="P89" t="s">
        <v>73</v>
      </c>
    </row>
    <row r="90" customFormat="1" spans="1:22">
      <c r="A90" s="30" t="s">
        <v>261</v>
      </c>
      <c r="B90" s="28">
        <v>7.1064</v>
      </c>
      <c r="C90" s="29">
        <v>1269</v>
      </c>
      <c r="D90" s="28">
        <v>10.6596</v>
      </c>
      <c r="E90" s="28"/>
      <c r="F90" s="28"/>
      <c r="G90" s="28"/>
      <c r="H90" s="28"/>
      <c r="I90" s="28"/>
      <c r="J90"/>
      <c r="K90" s="28">
        <v>1</v>
      </c>
      <c r="L90" s="28">
        <f>10%+期望!$C$25</f>
        <v>0.1</v>
      </c>
      <c r="M90" s="29"/>
      <c r="N90">
        <v>0</v>
      </c>
      <c r="O90" t="s">
        <v>69</v>
      </c>
      <c r="P90" t="s">
        <v>73</v>
      </c>
      <c r="Q90" t="str">
        <f>期望!$C$2</f>
        <v>破竹</v>
      </c>
    </row>
    <row r="91" customFormat="1" spans="1:22">
      <c r="A91" s="30" t="s">
        <v>262</v>
      </c>
      <c r="B91" s="28">
        <f>74.51%*2</f>
        <v>1.4902</v>
      </c>
      <c r="C91" s="29">
        <f>179*2</f>
        <v>358</v>
      </c>
      <c r="D91" s="28">
        <f>B91*1.5</f>
        <v>2.2353</v>
      </c>
      <c r="E91" s="28"/>
      <c r="F91" s="28"/>
      <c r="G91" s="28"/>
      <c r="H91" s="28"/>
      <c r="I91" s="28"/>
      <c r="K91" s="28">
        <v>1</v>
      </c>
      <c r="L91" s="28">
        <f>10%+2%+期望!$C$26</f>
        <v>0.12</v>
      </c>
      <c r="M91" s="29"/>
      <c r="N91">
        <v>0</v>
      </c>
      <c r="O91" t="s">
        <v>71</v>
      </c>
      <c r="P91" t="s">
        <v>73</v>
      </c>
      <c r="Q91" t="s">
        <v>1</v>
      </c>
    </row>
    <row r="92" customFormat="1" spans="1:22">
      <c r="A92" s="30" t="s">
        <v>194</v>
      </c>
      <c r="B92" s="28">
        <f>74.51%*2</f>
        <v>1.4902</v>
      </c>
      <c r="C92" s="29">
        <f>179*2</f>
        <v>358</v>
      </c>
      <c r="D92" s="28">
        <f>B92*1.5</f>
        <v>2.2353</v>
      </c>
      <c r="E92" s="28"/>
      <c r="F92" s="28"/>
      <c r="G92" s="28"/>
      <c r="H92" s="28">
        <f>IF(期望!$H$3="√",25%,0)</f>
        <v>0.25</v>
      </c>
      <c r="I92" s="28"/>
      <c r="K92" s="28">
        <v>1</v>
      </c>
      <c r="L92" s="28">
        <f>10+2%+期望!$C$26</f>
        <v>10.02</v>
      </c>
      <c r="M92" s="31">
        <f>IF(期望!$H$3="√",25,0)</f>
        <v>25</v>
      </c>
      <c r="N92">
        <v>0</v>
      </c>
      <c r="O92" t="s">
        <v>71</v>
      </c>
      <c r="P92" t="s">
        <v>73</v>
      </c>
      <c r="Q92" t="s">
        <v>1</v>
      </c>
    </row>
    <row r="93" customFormat="1" spans="1:22">
      <c r="A93" s="30" t="s">
        <v>109</v>
      </c>
      <c r="B93" s="28">
        <f>74.51%*2</f>
        <v>1.4902</v>
      </c>
      <c r="C93" s="29">
        <f>179*2</f>
        <v>358</v>
      </c>
      <c r="D93" s="28">
        <f>B93*1.5</f>
        <v>2.2353</v>
      </c>
      <c r="E93" s="28"/>
      <c r="F93" s="28"/>
      <c r="G93" s="28">
        <v>0.1</v>
      </c>
      <c r="H93" s="28">
        <v>0.5</v>
      </c>
      <c r="I93" s="28"/>
      <c r="K93" s="28">
        <v>1</v>
      </c>
      <c r="L93" s="28">
        <f>12%+期望!$C$26</f>
        <v>0.12</v>
      </c>
      <c r="M93" s="29"/>
      <c r="N93">
        <v>0</v>
      </c>
      <c r="O93" t="s">
        <v>71</v>
      </c>
      <c r="P93" t="s">
        <v>73</v>
      </c>
      <c r="Q93" t="s">
        <v>1</v>
      </c>
    </row>
    <row r="94" customFormat="1" spans="1:22">
      <c r="A94" s="30" t="s">
        <v>200</v>
      </c>
      <c r="B94" s="28">
        <f>74.51%*2</f>
        <v>1.4902</v>
      </c>
      <c r="C94" s="29">
        <f>179*2</f>
        <v>358</v>
      </c>
      <c r="D94" s="28">
        <f>B94*1.5</f>
        <v>2.2353</v>
      </c>
      <c r="E94" s="28"/>
      <c r="F94" s="28"/>
      <c r="G94" s="28">
        <v>0.1</v>
      </c>
      <c r="H94" s="28">
        <f>50%+IF(期望!$H$3="√",25%,0)</f>
        <v>0.75</v>
      </c>
      <c r="I94" s="28"/>
      <c r="K94" s="28">
        <v>1</v>
      </c>
      <c r="L94" s="28">
        <f>12%+期望!$C$26</f>
        <v>0.12</v>
      </c>
      <c r="M94" s="31">
        <f>IF(期望!$H$3="√",25,0)</f>
        <v>25</v>
      </c>
      <c r="N94">
        <v>0</v>
      </c>
      <c r="O94" t="s">
        <v>71</v>
      </c>
      <c r="P94" t="s">
        <v>73</v>
      </c>
      <c r="Q94" t="s">
        <v>1</v>
      </c>
    </row>
    <row r="95" customFormat="1" spans="1:22">
      <c r="A95" s="30" t="s">
        <v>208</v>
      </c>
      <c r="B95" s="28">
        <f>74.51%*2</f>
        <v>1.4902</v>
      </c>
      <c r="C95" s="29">
        <f>179*2</f>
        <v>358</v>
      </c>
      <c r="D95" s="28">
        <f>B95*1.5</f>
        <v>2.2353</v>
      </c>
      <c r="E95" s="28"/>
      <c r="F95" s="28"/>
      <c r="G95" s="28">
        <v>0.1</v>
      </c>
      <c r="H95" s="28">
        <f>50%+IF(期望!$H$3="√",25%,0)</f>
        <v>0.75</v>
      </c>
      <c r="I95" s="28"/>
      <c r="K95" s="28">
        <v>1</v>
      </c>
      <c r="L95" s="28">
        <f>12%+期望!$C$26+VLOOKUP(期望!$F$7,目标属性!$A:$R,4,FALSE)</f>
        <v>0.22</v>
      </c>
      <c r="M95" s="31">
        <f>IF(期望!$H$3="√",25,0)</f>
        <v>25</v>
      </c>
      <c r="N95">
        <v>0</v>
      </c>
      <c r="O95" t="s">
        <v>71</v>
      </c>
      <c r="P95" t="s">
        <v>73</v>
      </c>
      <c r="Q95" t="s">
        <v>1</v>
      </c>
    </row>
    <row r="96" customFormat="1" spans="1:22">
      <c r="A96" s="30" t="s">
        <v>263</v>
      </c>
      <c r="B96" s="28">
        <v>2</v>
      </c>
      <c r="C96" s="29"/>
      <c r="D96" s="28"/>
      <c r="E96" s="28"/>
      <c r="F96" s="28"/>
      <c r="G96" s="28"/>
      <c r="H96" s="28"/>
      <c r="I96" s="28"/>
      <c r="K96" s="28">
        <v>1</v>
      </c>
      <c r="L96" s="28">
        <v>0.02</v>
      </c>
      <c r="M96" s="29"/>
      <c r="N96">
        <v>0</v>
      </c>
      <c r="O96" t="s">
        <v>258</v>
      </c>
      <c r="P96" t="s">
        <v>73</v>
      </c>
      <c r="Q96" t="str">
        <f>期望!$C$2</f>
        <v>破竹</v>
      </c>
      <c r="R96" t="s">
        <v>264</v>
      </c>
    </row>
    <row r="97" customFormat="1" spans="1:18">
      <c r="A97" s="30" t="s">
        <v>193</v>
      </c>
      <c r="B97" s="28">
        <v>2</v>
      </c>
      <c r="C97" s="29"/>
      <c r="D97" s="28"/>
      <c r="E97" s="28"/>
      <c r="F97" s="28"/>
      <c r="G97" s="28"/>
      <c r="H97" s="28"/>
      <c r="I97" s="28"/>
      <c r="K97" s="28">
        <v>1</v>
      </c>
      <c r="L97" s="28">
        <v>0.1</v>
      </c>
      <c r="M97" s="29"/>
      <c r="N97">
        <v>0</v>
      </c>
      <c r="O97" t="s">
        <v>258</v>
      </c>
      <c r="P97" t="s">
        <v>73</v>
      </c>
      <c r="Q97" t="str">
        <f>期望!$C$2</f>
        <v>破竹</v>
      </c>
      <c r="R97" t="s">
        <v>264</v>
      </c>
    </row>
    <row r="98" customFormat="1" spans="1:18">
      <c r="A98" s="30" t="s">
        <v>161</v>
      </c>
      <c r="B98" s="28">
        <v>2</v>
      </c>
      <c r="C98" s="29"/>
      <c r="D98" s="28"/>
      <c r="E98" s="28"/>
      <c r="F98" s="28"/>
      <c r="G98" s="28"/>
      <c r="H98" s="28">
        <f>IF(期望!$H$3="√",25%,0)</f>
        <v>0.25</v>
      </c>
      <c r="I98" s="28"/>
      <c r="K98" s="28">
        <v>1</v>
      </c>
      <c r="L98" s="28">
        <v>0.1</v>
      </c>
      <c r="M98" s="31">
        <f>IF(期望!$H$3="√",25,0)</f>
        <v>25</v>
      </c>
      <c r="N98">
        <v>0</v>
      </c>
      <c r="O98" t="s">
        <v>258</v>
      </c>
      <c r="P98" t="s">
        <v>73</v>
      </c>
      <c r="Q98" t="str">
        <f>期望!$C$2</f>
        <v>破竹</v>
      </c>
      <c r="R98" t="s">
        <v>264</v>
      </c>
    </row>
    <row r="99" customFormat="1" spans="1:18">
      <c r="A99" s="30" t="s">
        <v>199</v>
      </c>
      <c r="B99" s="28">
        <v>2</v>
      </c>
      <c r="C99" s="29"/>
      <c r="D99" s="28"/>
      <c r="E99" s="28"/>
      <c r="F99" s="28"/>
      <c r="G99" s="28"/>
      <c r="H99" s="28">
        <f>IF(期望!$H$3="√",25%,0)</f>
        <v>0.25</v>
      </c>
      <c r="I99" s="28"/>
      <c r="K99" s="28">
        <v>1</v>
      </c>
      <c r="L99" s="28">
        <f>10%+2%</f>
        <v>0.12</v>
      </c>
      <c r="M99" s="31">
        <f>IF(期望!$H$3="√",25,0)</f>
        <v>25</v>
      </c>
      <c r="N99">
        <v>0</v>
      </c>
      <c r="O99" t="s">
        <v>258</v>
      </c>
      <c r="P99" t="s">
        <v>73</v>
      </c>
      <c r="Q99" t="str">
        <f>期望!$C$2</f>
        <v>破竹</v>
      </c>
      <c r="R99" t="s">
        <v>264</v>
      </c>
    </row>
    <row r="100" customFormat="1" spans="1:18">
      <c r="A100" s="30" t="s">
        <v>171</v>
      </c>
      <c r="B100" s="28">
        <v>2</v>
      </c>
      <c r="C100" s="29"/>
      <c r="D100" s="28"/>
      <c r="E100" s="28"/>
      <c r="F100" s="28"/>
      <c r="G100" s="28"/>
      <c r="H100" s="28">
        <f>IF(期望!$H$3="√",25%,0)</f>
        <v>0.25</v>
      </c>
      <c r="I100" s="28"/>
      <c r="K100" s="28">
        <v>1</v>
      </c>
      <c r="L100" s="28">
        <f>10%+15%</f>
        <v>0.25</v>
      </c>
      <c r="M100" s="31">
        <f>IF(期望!$H$3="√",25,0)</f>
        <v>25</v>
      </c>
      <c r="N100">
        <v>0</v>
      </c>
      <c r="O100" t="s">
        <v>258</v>
      </c>
      <c r="P100" t="s">
        <v>73</v>
      </c>
      <c r="Q100" t="str">
        <f>期望!$C$2</f>
        <v>破竹</v>
      </c>
      <c r="R100" t="s">
        <v>264</v>
      </c>
    </row>
    <row r="101" customFormat="1" spans="1:18">
      <c r="A101" s="30" t="s">
        <v>190</v>
      </c>
      <c r="B101" s="28">
        <v>2</v>
      </c>
      <c r="C101" s="29"/>
      <c r="D101" s="28"/>
      <c r="E101" s="28"/>
      <c r="F101" s="28"/>
      <c r="G101" s="28">
        <v>0.1</v>
      </c>
      <c r="H101" s="28">
        <v>0.5</v>
      </c>
      <c r="I101" s="28"/>
      <c r="K101" s="28">
        <v>1</v>
      </c>
      <c r="L101" s="28">
        <f t="shared" ref="L101:L103" si="6">10%</f>
        <v>0.1</v>
      </c>
      <c r="M101" s="29"/>
      <c r="N101">
        <v>0</v>
      </c>
      <c r="O101" t="s">
        <v>258</v>
      </c>
      <c r="P101" t="s">
        <v>73</v>
      </c>
      <c r="Q101" t="str">
        <f>期望!$C$2</f>
        <v>破竹</v>
      </c>
      <c r="R101" t="s">
        <v>264</v>
      </c>
    </row>
    <row r="102" customFormat="1" spans="1:18">
      <c r="A102" s="30" t="s">
        <v>154</v>
      </c>
      <c r="B102" s="28">
        <v>2</v>
      </c>
      <c r="C102" s="29"/>
      <c r="D102" s="28"/>
      <c r="E102" s="28"/>
      <c r="F102" s="28"/>
      <c r="G102" s="28">
        <v>0.1</v>
      </c>
      <c r="H102" s="28">
        <f>50%+IF(期望!$H$3="√",25%,0)</f>
        <v>0.75</v>
      </c>
      <c r="I102" s="28"/>
      <c r="K102" s="28">
        <v>1</v>
      </c>
      <c r="L102" s="28">
        <f t="shared" si="6"/>
        <v>0.1</v>
      </c>
      <c r="M102" s="31">
        <f>IF(期望!$H$3="√",25,0)</f>
        <v>25</v>
      </c>
      <c r="N102">
        <v>0</v>
      </c>
      <c r="O102" t="s">
        <v>258</v>
      </c>
      <c r="P102" t="s">
        <v>73</v>
      </c>
      <c r="Q102" t="str">
        <f>期望!$C$2</f>
        <v>破竹</v>
      </c>
      <c r="R102" t="s">
        <v>264</v>
      </c>
    </row>
    <row r="103" customFormat="1" spans="1:18">
      <c r="A103" s="30" t="s">
        <v>207</v>
      </c>
      <c r="B103" s="28">
        <v>2</v>
      </c>
      <c r="C103" s="29"/>
      <c r="D103" s="28"/>
      <c r="E103" s="28"/>
      <c r="F103" s="28"/>
      <c r="G103" s="28">
        <v>0.1</v>
      </c>
      <c r="H103" s="28">
        <f>50%+IF(期望!$H$3="√",25%,0)</f>
        <v>0.75</v>
      </c>
      <c r="I103" s="28"/>
      <c r="K103" s="28">
        <v>1</v>
      </c>
      <c r="L103" s="28">
        <f>10%+2%</f>
        <v>0.12</v>
      </c>
      <c r="M103" s="31">
        <f>IF(期望!$H$3="√",25,0)</f>
        <v>25</v>
      </c>
      <c r="N103">
        <v>0</v>
      </c>
      <c r="O103" t="s">
        <v>258</v>
      </c>
      <c r="P103" t="s">
        <v>73</v>
      </c>
      <c r="Q103" t="str">
        <f>期望!$C$2</f>
        <v>破竹</v>
      </c>
      <c r="R103" t="s">
        <v>264</v>
      </c>
    </row>
    <row r="104" customFormat="1" spans="1:18">
      <c r="A104" s="30" t="s">
        <v>217</v>
      </c>
      <c r="B104" s="28">
        <v>2</v>
      </c>
      <c r="C104" s="29"/>
      <c r="D104" s="28"/>
      <c r="E104" s="28"/>
      <c r="F104" s="28"/>
      <c r="G104" s="28">
        <v>0.1</v>
      </c>
      <c r="H104" s="28">
        <f>50%+IF(期望!$H$3="√",25%,0)</f>
        <v>0.75</v>
      </c>
      <c r="I104" s="28"/>
      <c r="K104" s="28">
        <v>1</v>
      </c>
      <c r="L104" s="28">
        <f>10%+2%+VLOOKUP(期望!$F$7,目标属性!$A:$R,4,FALSE)</f>
        <v>0.22</v>
      </c>
      <c r="M104" s="31">
        <f>IF(期望!$H$3="√",25,0)</f>
        <v>25</v>
      </c>
      <c r="N104">
        <v>0</v>
      </c>
      <c r="O104" t="s">
        <v>258</v>
      </c>
      <c r="P104" t="s">
        <v>73</v>
      </c>
      <c r="Q104" t="str">
        <f>期望!$C$2</f>
        <v>破竹</v>
      </c>
      <c r="R104" t="s">
        <v>264</v>
      </c>
    </row>
    <row r="105" customFormat="1" spans="1:18">
      <c r="A105" s="30" t="s">
        <v>179</v>
      </c>
      <c r="B105" s="28">
        <v>2</v>
      </c>
      <c r="C105" s="29"/>
      <c r="D105" s="28"/>
      <c r="E105" s="28"/>
      <c r="F105" s="28"/>
      <c r="G105" s="28">
        <v>0.1</v>
      </c>
      <c r="H105" s="28">
        <f>50%</f>
        <v>0.5</v>
      </c>
      <c r="I105" s="28"/>
      <c r="K105" s="28">
        <v>1</v>
      </c>
      <c r="L105" s="28">
        <f>10%+15%</f>
        <v>0.25</v>
      </c>
      <c r="M105" s="31"/>
      <c r="N105">
        <v>0</v>
      </c>
      <c r="O105" t="s">
        <v>258</v>
      </c>
      <c r="P105" t="s">
        <v>73</v>
      </c>
      <c r="Q105" t="str">
        <f>期望!$C$2</f>
        <v>破竹</v>
      </c>
      <c r="R105" t="s">
        <v>264</v>
      </c>
    </row>
    <row r="106" customFormat="1" spans="1:18">
      <c r="A106" s="30" t="s">
        <v>141</v>
      </c>
      <c r="B106" s="28">
        <v>2</v>
      </c>
      <c r="C106" s="29"/>
      <c r="D106" s="28"/>
      <c r="E106" s="28"/>
      <c r="F106" s="28"/>
      <c r="G106" s="28">
        <v>0.1</v>
      </c>
      <c r="H106" s="28">
        <f>50%+IF(期望!$H$3="√",25%,0)</f>
        <v>0.75</v>
      </c>
      <c r="I106" s="28"/>
      <c r="K106" s="28">
        <v>1</v>
      </c>
      <c r="L106" s="28">
        <f>10%+VLOOKUP(期望!$F$7,目标属性!$A:$R,4,FALSE)</f>
        <v>0.2</v>
      </c>
      <c r="M106" s="31">
        <f>IF(期望!$H$3="√",25,0)</f>
        <v>25</v>
      </c>
      <c r="N106">
        <v>0</v>
      </c>
      <c r="O106" t="s">
        <v>258</v>
      </c>
      <c r="P106" t="s">
        <v>73</v>
      </c>
      <c r="Q106" t="str">
        <f>期望!$C$2</f>
        <v>破竹</v>
      </c>
      <c r="R106" t="s">
        <v>264</v>
      </c>
    </row>
    <row r="107" customFormat="1" spans="1:18">
      <c r="A107" s="30" t="s">
        <v>137</v>
      </c>
      <c r="B107" s="28">
        <v>2</v>
      </c>
      <c r="C107" s="29"/>
      <c r="D107" s="28"/>
      <c r="E107" s="28"/>
      <c r="F107" s="28"/>
      <c r="G107" s="28">
        <v>0.1</v>
      </c>
      <c r="H107" s="28">
        <f>50%+IF(期望!$H$3="√",25%,0)</f>
        <v>0.75</v>
      </c>
      <c r="I107" s="28"/>
      <c r="K107" s="28">
        <v>1</v>
      </c>
      <c r="L107" s="28">
        <f>10%+VLOOKUP(期望!$F$7,目标属性!$A:$R,4,FALSE)+15%</f>
        <v>0.35</v>
      </c>
      <c r="M107" s="31">
        <f>IF(期望!$H$3="√",25,0)</f>
        <v>25</v>
      </c>
      <c r="N107">
        <v>0</v>
      </c>
      <c r="O107" t="s">
        <v>258</v>
      </c>
      <c r="P107" t="s">
        <v>73</v>
      </c>
      <c r="Q107" t="str">
        <f>期望!$C$2</f>
        <v>破竹</v>
      </c>
      <c r="R107" t="s">
        <v>264</v>
      </c>
    </row>
    <row r="108" customFormat="1" spans="1:18">
      <c r="A108" s="30" t="s">
        <v>121</v>
      </c>
      <c r="B108" s="28">
        <v>2</v>
      </c>
      <c r="C108" s="29"/>
      <c r="D108" s="28"/>
      <c r="E108" s="28"/>
      <c r="F108" s="28"/>
      <c r="G108" s="28">
        <v>0.1</v>
      </c>
      <c r="H108" s="28">
        <v>0.5</v>
      </c>
      <c r="I108" s="28"/>
      <c r="K108" s="28">
        <v>1</v>
      </c>
      <c r="L108" s="28">
        <v>0.12</v>
      </c>
      <c r="M108" s="29"/>
      <c r="N108">
        <v>0</v>
      </c>
      <c r="O108" t="s">
        <v>258</v>
      </c>
      <c r="P108" t="s">
        <v>73</v>
      </c>
      <c r="Q108" t="str">
        <f>期望!$C$2</f>
        <v>破竹</v>
      </c>
      <c r="R108" t="s">
        <v>264</v>
      </c>
    </row>
    <row r="109" customFormat="1" spans="1:18">
      <c r="A109" s="30" t="s">
        <v>220</v>
      </c>
      <c r="B109" s="28">
        <v>1</v>
      </c>
      <c r="C109" s="29"/>
      <c r="D109" s="28">
        <v>1</v>
      </c>
      <c r="E109" s="28"/>
      <c r="F109" s="28"/>
      <c r="G109" s="28"/>
      <c r="H109" s="28"/>
      <c r="I109" s="28"/>
      <c r="K109" s="28">
        <v>1</v>
      </c>
      <c r="L109" s="28">
        <v>0.1</v>
      </c>
      <c r="M109" s="29"/>
      <c r="N109">
        <v>0</v>
      </c>
      <c r="O109" t="s">
        <v>258</v>
      </c>
      <c r="P109" t="s">
        <v>73</v>
      </c>
      <c r="Q109" t="str">
        <f>期望!$C$2</f>
        <v>破竹</v>
      </c>
    </row>
    <row r="110" customFormat="1" spans="1:18">
      <c r="A110" s="30" t="s">
        <v>225</v>
      </c>
      <c r="B110" s="28">
        <v>1</v>
      </c>
      <c r="C110" s="29"/>
      <c r="D110" s="28">
        <v>1</v>
      </c>
      <c r="E110" s="28"/>
      <c r="F110" s="28"/>
      <c r="G110" s="28"/>
      <c r="H110" s="28">
        <v>0.5</v>
      </c>
      <c r="I110" s="28"/>
      <c r="K110" s="28">
        <v>1</v>
      </c>
      <c r="L110" s="28">
        <v>0.1</v>
      </c>
      <c r="M110" s="29"/>
      <c r="N110">
        <v>0</v>
      </c>
      <c r="O110" t="s">
        <v>258</v>
      </c>
      <c r="P110" t="s">
        <v>73</v>
      </c>
      <c r="Q110" t="str">
        <f>期望!$C$2</f>
        <v>破竹</v>
      </c>
    </row>
    <row r="111" customFormat="1" spans="1:18">
      <c r="A111" s="30" t="s">
        <v>221</v>
      </c>
      <c r="B111" s="28">
        <v>1</v>
      </c>
      <c r="C111" s="29"/>
      <c r="D111" s="28">
        <v>1</v>
      </c>
      <c r="E111" s="28"/>
      <c r="F111" s="28"/>
      <c r="G111" s="28"/>
      <c r="H111" s="28">
        <v>0.5</v>
      </c>
      <c r="I111" s="28"/>
      <c r="K111" s="28">
        <v>1</v>
      </c>
      <c r="L111" s="28">
        <v>0.12</v>
      </c>
      <c r="M111" s="29"/>
      <c r="N111">
        <v>0</v>
      </c>
      <c r="O111" t="s">
        <v>258</v>
      </c>
      <c r="P111" t="s">
        <v>73</v>
      </c>
      <c r="Q111" t="str">
        <f>期望!$C$2</f>
        <v>破竹</v>
      </c>
    </row>
    <row r="112" customFormat="1" spans="1:18">
      <c r="A112" s="30" t="s">
        <v>223</v>
      </c>
      <c r="B112" s="28">
        <v>1</v>
      </c>
      <c r="C112" s="29"/>
      <c r="D112" s="28">
        <v>1</v>
      </c>
      <c r="E112" s="28"/>
      <c r="F112" s="28"/>
      <c r="G112" s="28"/>
      <c r="H112" s="28">
        <f>IF(期望!$H$3="√",25%,0)</f>
        <v>0.25</v>
      </c>
      <c r="I112" s="28"/>
      <c r="K112" s="28">
        <v>1</v>
      </c>
      <c r="L112" s="28">
        <f>10%</f>
        <v>0.1</v>
      </c>
      <c r="M112" s="31">
        <f>IF(期望!$H$3="√",25,0)</f>
        <v>25</v>
      </c>
      <c r="N112">
        <v>0</v>
      </c>
      <c r="O112" t="s">
        <v>258</v>
      </c>
      <c r="P112" t="s">
        <v>73</v>
      </c>
      <c r="Q112" t="str">
        <f>期望!$C$2</f>
        <v>破竹</v>
      </c>
    </row>
    <row r="113" customFormat="1" spans="1:17">
      <c r="A113" s="30" t="s">
        <v>224</v>
      </c>
      <c r="B113" s="28">
        <v>1</v>
      </c>
      <c r="C113" s="29"/>
      <c r="D113" s="28">
        <v>1</v>
      </c>
      <c r="E113" s="28"/>
      <c r="F113" s="28"/>
      <c r="G113" s="28"/>
      <c r="H113" s="28"/>
      <c r="I113" s="28"/>
      <c r="K113" s="28">
        <v>1</v>
      </c>
      <c r="L113" s="28">
        <f>10%+15%</f>
        <v>0.25</v>
      </c>
      <c r="M113" s="31"/>
      <c r="N113">
        <v>0</v>
      </c>
      <c r="O113" t="s">
        <v>258</v>
      </c>
      <c r="P113" t="s">
        <v>73</v>
      </c>
      <c r="Q113" t="str">
        <f>期望!$C$2</f>
        <v>破竹</v>
      </c>
    </row>
    <row r="114" customFormat="1" spans="1:17">
      <c r="A114" s="30" t="s">
        <v>226</v>
      </c>
      <c r="B114" s="28">
        <v>1</v>
      </c>
      <c r="C114" s="29"/>
      <c r="D114" s="28">
        <v>1</v>
      </c>
      <c r="E114" s="28"/>
      <c r="F114" s="28"/>
      <c r="G114" s="28"/>
      <c r="H114" s="28">
        <f>IF(期望!$H$3="√",25%,0)</f>
        <v>0.25</v>
      </c>
      <c r="I114" s="28"/>
      <c r="K114" s="28">
        <v>1</v>
      </c>
      <c r="L114" s="28">
        <f>10%+2%+VLOOKUP(期望!$F$7,目标属性!$A:$R,4,FALSE)</f>
        <v>0.22</v>
      </c>
      <c r="M114" s="31">
        <f>IF(期望!$H$3="√",25,0)</f>
        <v>25</v>
      </c>
      <c r="N114">
        <v>0</v>
      </c>
      <c r="O114" t="s">
        <v>258</v>
      </c>
      <c r="P114" t="s">
        <v>73</v>
      </c>
      <c r="Q114" t="str">
        <f>期望!$C$2</f>
        <v>破竹</v>
      </c>
    </row>
    <row r="115" customFormat="1" spans="1:17">
      <c r="A115" s="30" t="s">
        <v>222</v>
      </c>
      <c r="B115" s="28">
        <v>1</v>
      </c>
      <c r="C115" s="29"/>
      <c r="D115" s="28">
        <v>1</v>
      </c>
      <c r="E115" s="28"/>
      <c r="F115" s="28"/>
      <c r="G115" s="28"/>
      <c r="H115" s="28">
        <f>IF(期望!$H$3="√",25%,0)</f>
        <v>0.25</v>
      </c>
      <c r="I115" s="28"/>
      <c r="K115" s="28">
        <v>1</v>
      </c>
      <c r="L115" s="28">
        <f>10%+15%+VLOOKUP(期望!$F$7,目标属性!$A:$R,4,FALSE)</f>
        <v>0.35</v>
      </c>
      <c r="M115" s="31">
        <f>IF(期望!$H$3="√",25,0)</f>
        <v>25</v>
      </c>
      <c r="N115">
        <v>0</v>
      </c>
      <c r="O115" t="s">
        <v>258</v>
      </c>
      <c r="P115" t="s">
        <v>73</v>
      </c>
      <c r="Q115" t="str">
        <f>期望!$C$2</f>
        <v>破竹</v>
      </c>
    </row>
    <row r="116" spans="1:17">
      <c r="A116" t="s">
        <v>73</v>
      </c>
      <c r="B116" s="28">
        <v>0</v>
      </c>
      <c r="C116" s="29">
        <v>0</v>
      </c>
      <c r="D116" s="28">
        <v>0</v>
      </c>
      <c r="K116" s="28">
        <v>1</v>
      </c>
      <c r="N116">
        <v>0</v>
      </c>
      <c r="O116" t="s">
        <v>265</v>
      </c>
      <c r="P116" t="s">
        <v>73</v>
      </c>
      <c r="Q116" t="str">
        <f>期望!$C$2</f>
        <v>破竹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opLeftCell="A10" workbookViewId="0">
      <selection activeCell="C14" sqref="C14"/>
    </sheetView>
  </sheetViews>
  <sheetFormatPr defaultColWidth="9" defaultRowHeight="13.5" outlineLevelCol="5"/>
  <cols>
    <col min="1" max="1" width="11.125" customWidth="1"/>
  </cols>
  <sheetData>
    <row r="1" spans="1:6">
      <c r="B1" t="s">
        <v>266</v>
      </c>
      <c r="C1" t="s">
        <v>4</v>
      </c>
      <c r="D1" t="s">
        <v>267</v>
      </c>
    </row>
    <row r="2" spans="1:6">
      <c r="A2" t="s">
        <v>268</v>
      </c>
      <c r="B2">
        <v>10</v>
      </c>
      <c r="C2" s="27">
        <v>0.15</v>
      </c>
      <c r="D2" s="27">
        <v>0.4</v>
      </c>
    </row>
    <row r="3" spans="1:6">
      <c r="A3" t="s">
        <v>269</v>
      </c>
      <c r="B3">
        <v>29</v>
      </c>
      <c r="C3" s="27">
        <v>0.15</v>
      </c>
      <c r="D3" s="27">
        <v>0.4</v>
      </c>
    </row>
    <row r="4" spans="1:6">
      <c r="A4" t="s">
        <v>270</v>
      </c>
      <c r="B4">
        <v>307</v>
      </c>
      <c r="C4" s="27">
        <v>0.15</v>
      </c>
      <c r="D4" s="27">
        <v>0.1</v>
      </c>
    </row>
    <row r="5" spans="1:6">
      <c r="A5" t="s">
        <v>271</v>
      </c>
      <c r="B5">
        <v>350</v>
      </c>
      <c r="C5" s="27">
        <v>0.15</v>
      </c>
      <c r="D5" s="27">
        <v>0.1</v>
      </c>
    </row>
    <row r="6" spans="1:6">
      <c r="A6" t="s">
        <v>272</v>
      </c>
      <c r="B6">
        <v>405</v>
      </c>
      <c r="C6" s="27">
        <v>0.15</v>
      </c>
      <c r="D6" s="27">
        <v>0.1</v>
      </c>
    </row>
    <row r="7" spans="1:6">
      <c r="A7" t="s">
        <v>273</v>
      </c>
      <c r="B7">
        <v>405</v>
      </c>
      <c r="C7" s="27">
        <v>0.15</v>
      </c>
      <c r="D7" s="27">
        <v>0.1</v>
      </c>
    </row>
    <row r="8" spans="1:6">
      <c r="A8" t="s">
        <v>274</v>
      </c>
      <c r="B8">
        <v>498</v>
      </c>
      <c r="C8" s="27">
        <v>0.15</v>
      </c>
      <c r="D8" s="27">
        <v>0.1</v>
      </c>
    </row>
    <row r="9" spans="1:6">
      <c r="A9" t="s">
        <v>28</v>
      </c>
      <c r="B9">
        <v>559</v>
      </c>
      <c r="C9" s="27">
        <v>0.15</v>
      </c>
      <c r="D9" s="27">
        <v>0.1</v>
      </c>
      <c r="E9">
        <v>20</v>
      </c>
      <c r="F9">
        <v>24</v>
      </c>
    </row>
    <row r="10" spans="1:6">
      <c r="A10" t="s">
        <v>275</v>
      </c>
      <c r="B10">
        <v>559</v>
      </c>
      <c r="C10">
        <v>0</v>
      </c>
      <c r="D10" s="27">
        <v>0.1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C28" sqref="C28"/>
    </sheetView>
  </sheetViews>
  <sheetFormatPr defaultColWidth="9" defaultRowHeight="13.5" outlineLevelCol="2"/>
  <cols>
    <col min="1" max="1" width="9" style="1"/>
    <col min="3" max="3" width="95.25" customWidth="1"/>
  </cols>
  <sheetData>
    <row r="1" ht="14.25" spans="1:3">
      <c r="A1" s="2" t="s">
        <v>276</v>
      </c>
      <c r="B1" s="3"/>
      <c r="C1" s="4"/>
    </row>
    <row r="2" ht="14.25" spans="1:3">
      <c r="A2" s="5" t="s">
        <v>277</v>
      </c>
      <c r="B2" s="6" t="s">
        <v>278</v>
      </c>
      <c r="C2" s="7" t="s">
        <v>279</v>
      </c>
    </row>
    <row r="3" spans="1:3">
      <c r="A3" s="8">
        <v>1</v>
      </c>
      <c r="B3" s="9">
        <v>1</v>
      </c>
      <c r="C3" s="10" t="s">
        <v>280</v>
      </c>
    </row>
    <row r="4" spans="1:3">
      <c r="A4" s="11"/>
      <c r="B4" s="12">
        <v>2</v>
      </c>
      <c r="C4" s="13" t="s">
        <v>281</v>
      </c>
    </row>
    <row r="5" spans="1:3">
      <c r="A5" s="11"/>
      <c r="B5" s="12">
        <v>3</v>
      </c>
      <c r="C5" s="13" t="s">
        <v>282</v>
      </c>
    </row>
    <row r="6" ht="14.25" spans="1:3">
      <c r="A6" s="14"/>
      <c r="B6" s="15">
        <v>4</v>
      </c>
      <c r="C6" s="16" t="s">
        <v>283</v>
      </c>
    </row>
    <row r="7" ht="14.25" spans="1:3">
      <c r="A7" s="17">
        <v>1.1</v>
      </c>
      <c r="B7" s="18">
        <v>1</v>
      </c>
      <c r="C7" s="19" t="s">
        <v>284</v>
      </c>
    </row>
    <row r="8" ht="14.25" spans="1:3">
      <c r="A8" s="17">
        <v>1.2</v>
      </c>
      <c r="B8" s="18">
        <v>1</v>
      </c>
      <c r="C8" s="19" t="s">
        <v>285</v>
      </c>
    </row>
    <row r="9" spans="1:3">
      <c r="A9" s="8">
        <v>2</v>
      </c>
      <c r="B9" s="9">
        <v>1</v>
      </c>
      <c r="C9" s="10" t="s">
        <v>286</v>
      </c>
    </row>
    <row r="10" ht="14.25" spans="1:3">
      <c r="A10" s="14"/>
      <c r="B10" s="15">
        <v>2</v>
      </c>
      <c r="C10" s="20" t="s">
        <v>287</v>
      </c>
    </row>
    <row r="11" spans="1:3">
      <c r="A11" s="8">
        <v>3</v>
      </c>
      <c r="B11" s="9">
        <v>1</v>
      </c>
      <c r="C11" s="10" t="s">
        <v>288</v>
      </c>
    </row>
    <row r="12" spans="1:3">
      <c r="A12" s="11"/>
      <c r="B12" s="12">
        <v>2</v>
      </c>
      <c r="C12" s="21" t="s">
        <v>289</v>
      </c>
    </row>
    <row r="13" spans="1:3">
      <c r="A13" s="11"/>
      <c r="B13" s="12">
        <v>3</v>
      </c>
      <c r="C13" s="13" t="s">
        <v>290</v>
      </c>
    </row>
    <row r="14" spans="1:3">
      <c r="A14" s="11"/>
      <c r="B14" s="12">
        <v>4</v>
      </c>
      <c r="C14" s="13" t="s">
        <v>291</v>
      </c>
    </row>
    <row r="15" ht="14.25" spans="1:3">
      <c r="A15" s="14"/>
      <c r="B15" s="15">
        <v>5</v>
      </c>
      <c r="C15" s="22" t="s">
        <v>292</v>
      </c>
    </row>
    <row r="16" spans="1:3">
      <c r="A16" s="8">
        <v>4</v>
      </c>
      <c r="B16" s="9">
        <v>1</v>
      </c>
      <c r="C16" s="23" t="s">
        <v>293</v>
      </c>
    </row>
    <row r="17" ht="14.25" spans="1:3">
      <c r="A17" s="14"/>
      <c r="B17" s="15">
        <v>2</v>
      </c>
      <c r="C17" s="20" t="s">
        <v>294</v>
      </c>
    </row>
    <row r="18" spans="1:3">
      <c r="A18" s="8">
        <v>4.1</v>
      </c>
      <c r="B18" s="9">
        <v>1</v>
      </c>
      <c r="C18" s="10" t="s">
        <v>284</v>
      </c>
    </row>
    <row r="19" ht="14.25" spans="1:3">
      <c r="A19" s="14"/>
      <c r="B19" s="15">
        <v>2</v>
      </c>
      <c r="C19" s="20" t="s">
        <v>295</v>
      </c>
    </row>
    <row r="20" ht="14.25" spans="1:3">
      <c r="A20" s="17">
        <v>4.2</v>
      </c>
      <c r="B20" s="24">
        <v>1</v>
      </c>
      <c r="C20" s="25" t="s">
        <v>296</v>
      </c>
    </row>
    <row r="21" ht="14.25" spans="1:3">
      <c r="A21" s="17">
        <v>4.3</v>
      </c>
      <c r="B21" s="18">
        <v>1</v>
      </c>
      <c r="C21" s="19" t="s">
        <v>297</v>
      </c>
    </row>
    <row r="22" ht="14.25" spans="1:3">
      <c r="A22" s="17">
        <v>5</v>
      </c>
      <c r="B22" s="18">
        <v>1</v>
      </c>
      <c r="C22" s="25" t="s">
        <v>298</v>
      </c>
    </row>
    <row r="23" spans="1:3">
      <c r="A23" s="26"/>
      <c r="B23" s="12"/>
      <c r="C23" s="12"/>
    </row>
    <row r="24" spans="1:3">
      <c r="A24" s="26"/>
      <c r="B24" s="12"/>
      <c r="C24" s="12"/>
    </row>
    <row r="25" spans="1:3">
      <c r="A25" s="26"/>
      <c r="B25" s="12"/>
      <c r="C25" s="12"/>
    </row>
    <row r="26" spans="1:3">
      <c r="A26" s="26"/>
      <c r="B26" s="12"/>
      <c r="C26" s="12"/>
    </row>
    <row r="27" spans="1:3">
      <c r="A27" s="26"/>
      <c r="B27" s="12"/>
      <c r="C27" s="12"/>
    </row>
    <row r="28" spans="1:3">
      <c r="A28" s="26"/>
      <c r="B28" s="12"/>
      <c r="C28" s="12"/>
    </row>
    <row r="29" spans="1:3">
      <c r="A29" s="26"/>
      <c r="B29" s="12"/>
      <c r="C29" s="12"/>
    </row>
    <row r="30" spans="1:3">
      <c r="A30" s="26"/>
      <c r="B30" s="12"/>
      <c r="C30" s="12"/>
    </row>
    <row r="31" spans="1:3">
      <c r="A31" s="26"/>
      <c r="B31" s="12"/>
      <c r="C31" s="12"/>
    </row>
    <row r="32" spans="1:3">
      <c r="A32" s="26"/>
      <c r="B32" s="12"/>
      <c r="C32" s="12"/>
    </row>
    <row r="33" spans="1:3">
      <c r="A33" s="26"/>
      <c r="B33" s="12"/>
      <c r="C33" s="12"/>
    </row>
    <row r="34" spans="1:3">
      <c r="A34" s="26"/>
      <c r="B34" s="12"/>
      <c r="C34" s="12"/>
    </row>
    <row r="35" spans="1:3">
      <c r="A35" s="26"/>
      <c r="B35" s="12"/>
      <c r="C35" s="12"/>
    </row>
    <row r="36" spans="1:3">
      <c r="A36" s="26"/>
      <c r="B36" s="12"/>
      <c r="C36" s="12"/>
    </row>
    <row r="37" spans="1:3">
      <c r="A37" s="26"/>
      <c r="B37" s="12"/>
      <c r="C37" s="12"/>
    </row>
    <row r="38" spans="1:3">
      <c r="A38" s="26"/>
      <c r="B38" s="12"/>
      <c r="C38" s="12"/>
    </row>
    <row r="39" spans="1:3">
      <c r="A39" s="26"/>
      <c r="B39" s="12"/>
      <c r="C39" s="12"/>
    </row>
    <row r="40" spans="1:3">
      <c r="A40" s="26"/>
      <c r="B40" s="12"/>
      <c r="C40" s="12"/>
    </row>
    <row r="41" spans="1:3">
      <c r="A41" s="26"/>
      <c r="B41" s="12"/>
      <c r="C41" s="12"/>
    </row>
  </sheetData>
  <mergeCells count="6">
    <mergeCell ref="A1:C1"/>
    <mergeCell ref="A3:A6"/>
    <mergeCell ref="A9:A10"/>
    <mergeCell ref="A11:A15"/>
    <mergeCell ref="A16:A17"/>
    <mergeCell ref="A18:A19"/>
  </mergeCells>
  <hyperlinks>
    <hyperlink ref="A1" r:id="rId1" display="bilibili@片雲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期望</vt:lpstr>
      <vt:lpstr>武器奇术</vt:lpstr>
      <vt:lpstr>目标属性</vt:lpstr>
      <vt:lpstr>版本日志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2025-01-24T10:16:00Z</dcterms:created>
  <dcterms:modified xsi:type="dcterms:W3CDTF">2026-05-08T17:45:10Z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D2AE7040C5434515B09101D333FFAFEB_13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