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<sst xmlns="http://schemas.openxmlformats.org/spreadsheetml/2006/main" count="3759" uniqueCount="210">
  <si>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</si>
  <si>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</si>
  <si>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</si>
  <si>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</si>
  <si>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</si>
  <si>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</si>
  <si>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</si>
  <si>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</si>
  <si>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</si>
  <si>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</si>
  <si>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</si>
  <si>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</si>
  <si>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</si>
  <si>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</si>
  <si>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</si>
  <si>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</si>
  <si>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</si>
  <si>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</si>
  <si>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</si>
  <si>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</si>
  <si>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</si>
  <si>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</si>
  <si>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</si>
  <si>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</si>
  <si>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</si>
  <si>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</si>
  <si>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</si>
  <si>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</si>
  <si>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</si>
  <si>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</si>
  <si>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</si>
  <si>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</si>
  <si>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</si>
  <si>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</si>
  <si>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</si>
  <si>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</si>
  <si>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</si>
  <si>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</si>
  <si>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</si>
  <si>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</si>
  <si>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</si>
  <si>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</si>
  <si>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</si>
  <si>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</si>
  <si>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</si>
  <si>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</si>
  <si>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</si>
  <si>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</si>
  <si>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</si>
  <si>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</si>
  <si>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</si>
  <si>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</si>
  <si>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</si>
  <si>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</si>
  <si>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</si>
  <si>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</si>
  <si>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</si>
  <si>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</si>
  <si>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</si>
  <si>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</si>
  <si>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</si>
  <si>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</si>
  <si>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</si>
  <si>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</si>
  <si>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</si>
  <si>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</si>
  <si>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</si>
  <si>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</si>
  <si>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</si>
  <si>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</si>
  <si>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</si>
  <si>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</si>
  <si>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</si>
  <si>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</si>
  <si>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无惧</t>
  </si>
  <si>
    <t>鸣金</t>
  </si>
  <si>
    <t>外抗</t>
  </si>
  <si>
    <t>易水歌2层</t>
  </si>
  <si>
    <t>沧海帖1层</t>
  </si>
  <si>
    <t>穿喉2(普)</t>
  </si>
  <si>
    <t>陌刀</t>
  </si>
  <si>
    <t>属抗</t>
  </si>
  <si>
    <t>易水歌3层</t>
  </si>
  <si>
    <t>沧海帖2层</t>
  </si>
  <si>
    <t>牵丝</t>
  </si>
  <si>
    <t>枪</t>
  </si>
  <si>
    <t>副本天赋</t>
  </si>
  <si>
    <t>易水歌4层</t>
  </si>
  <si>
    <t>沧海帖3层</t>
  </si>
  <si>
    <t>穿喉4(普)</t>
  </si>
  <si>
    <t>破竹</t>
  </si>
  <si>
    <t>单体奇术</t>
  </si>
  <si>
    <t>易水歌5层</t>
  </si>
  <si>
    <t>沧海帖4层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</si>
  <si>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</si>
  <si>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</si>
  <si>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</si>
  <si>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</si>
  <si>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</si>
  <si>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</si>
  <si>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</si>
  <si>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</si>
  <si>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派生2战意</t>
  </si>
  <si>
    <t>惧刃(拐)</t>
  </si>
  <si>
    <t>会心率</t>
  </si>
  <si>
    <t>八强～一段</t>
  </si>
  <si>
    <t>会意率</t>
  </si>
  <si>
    <t>总伤</t>
  </si>
  <si>
    <t>易伤</t>
  </si>
  <si>
    <t>直接会心率</t>
  </si>
  <si>
    <t>穿喉2</t>
  </si>
  <si>
    <t>直接会意率</t>
  </si>
  <si>
    <t>ADPS</t>
  </si>
  <si>
    <t>会心伤害加成</t>
  </si>
  <si>
    <t>穿喉4</t>
  </si>
  <si>
    <t>会意伤害加成</t>
  </si>
  <si>
    <t>RDPS</t>
  </si>
  <si>
    <t>沧海帖5层</t>
  </si>
  <si>
    <t>穿喉5(普)</t>
  </si>
  <si>
    <t>全武增</t>
  </si>
  <si>
    <t>团队增益</t>
  </si>
  <si>
    <t>穿喉5</t>
  </si>
  <si>
    <t>首领增</t>
  </si>
  <si>
    <t>沧海帖</t>
  </si>
  <si>
    <t>√</t>
  </si>
  <si>
    <t>毕业率</t>
  </si>
  <si>
    <t>沧海帖7层</t>
  </si>
  <si>
    <t>陌刀增</t>
  </si>
  <si>
    <t>尘</t>
  </si>
  <si>
    <t>所恨年年</t>
  </si>
  <si>
    <t>枪增</t>
  </si>
  <si>
    <t>虹</t>
  </si>
  <si>
    <t>穿喉决</t>
  </si>
  <si>
    <t>沧海帖8层</t>
  </si>
  <si>
    <t>单体奇术增</t>
  </si>
  <si>
    <t>钧</t>
  </si>
  <si>
    <t>抗造大法</t>
  </si>
  <si>
    <t>群体奇术增</t>
  </si>
  <si>
    <t>蓄力技定音</t>
  </si>
  <si>
    <t>沧海帖10层</t>
  </si>
  <si>
    <t>固伤加成</t>
  </si>
  <si>
    <t>气竭</t>
  </si>
  <si>
    <t>真气失衡</t>
  </si>
  <si>
    <t>食物加成</t>
  </si>
  <si>
    <t>开盾</t>
  </si>
  <si>
    <t>笛</t>
  </si>
  <si>
    <t>蓄力</t>
  </si>
  <si>
    <t>盾</t>
  </si>
  <si>
    <t>八枪Q</t>
  </si>
  <si>
    <t>蓄3</t>
  </si>
  <si>
    <t>派生</t>
  </si>
  <si>
    <t>枪～卸</t>
  </si>
  <si>
    <t>骑龙回马</t>
  </si>
  <si>
    <t>气</t>
  </si>
  <si>
    <t>枪Q</t>
  </si>
  <si>
    <t>金身</t>
  </si>
  <si>
    <t>易水歌6重</t>
  </si>
  <si>
    <t>骑龙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</si>
  <si>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</si>
  <si>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</si>
  <si>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</si>
  <si>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</si>
  <si>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</si>
  <si>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</si>
  <si>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</si>
  <si>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</si>
  <si>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</si>
  <si>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</si>
  <si>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</si>
  <si>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</si>
  <si>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</si>
  <si>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</si>
  <si>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</si>
  <si>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萧呤千浪AOE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</si>
  <si>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</si>
  <si>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</si>
  <si>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</si>
  <si>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</si>
  <si>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</si>
  <si>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</si>
  <si>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</si>
  <si>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</si>
  <si>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</si>
  <si>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</si>
  <si>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</si>
  <si>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</si>
  <si>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</si>
  <si>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</si>
  <si>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</si>
  <si>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</si>
  <si>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沧海帖6层</t>
  </si>
  <si>
    <t>沧海帖9层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</si>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</sst>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7"/>
  <sheetViews>
    <sheetView workbookViewId="0">
      <selection activeCell="G25" sqref="G25"/>
    </sheetView>
  </sheetViews>
  <sheetFormatPr defaultColWidth="9" defaultRowHeight="13.5"/>
  <cols>
    <col min="1" max="1" width="12.875" customWidth="1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1864.4</v>
      </c>
      <c r="C2" s="29">
        <v>5836.5</v>
      </c>
      <c r="D2" s="29">
        <f>58.4+IF($C$21="征人归",5.1,0)</f>
        <v>58.4</v>
      </c>
      <c r="E2" s="40"/>
      <c r="F2" s="41" t="s">
        <v>67</v>
      </c>
      <c r="G2" s="42" t="s">
        <v>68</v>
      </c>
      <c r="H2" s="43" t="s">
        <v>69</v>
      </c>
      <c r="I2" s="11">
        <f>620*IF(F17="√",0.94,1)</f>
        <v>582.8</v>
      </c>
      <c r="K2" s="36">
        <f>($L2*$BN2+$M2*$BL2+$N2*$BO2+$O2*$BP2)</f>
        <v>20891.5091996526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23079.0987353298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25868.1392723962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12864.603531399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6567.62241657864</v>
      </c>
      <c r="P2" s="37">
        <v>1</v>
      </c>
      <c r="Q2" s="38" t="s">
        <v>70</v>
      </c>
      <c r="R2" s="38" t="s">
        <v>71</v>
      </c>
      <c r="S2" s="38" t="s">
        <v>71</v>
      </c>
      <c r="T2" s="38" t="s">
        <v>72</v>
      </c>
      <c r="U2" s="38" t="s">
        <v>71</v>
      </c>
      <c r="V2" s="38" t="s">
        <v>71</v>
      </c>
      <c r="W2" s="38" t="s">
        <v>73</v>
      </c>
      <c r="X2" s="38" t="s">
        <v>71</v>
      </c>
      <c r="Y2" s="38" t="s">
        <v>71</v>
      </c>
      <c r="Z2" s="38" t="s">
        <v>71</v>
      </c>
      <c r="AA2" s="38" t="s">
        <v>71</v>
      </c>
      <c r="AB2" s="38" t="s">
        <v>71</v>
      </c>
      <c r="AC2" s="38" t="s">
        <v>71</v>
      </c>
      <c r="AD2" s="38" t="s">
        <v>71</v>
      </c>
      <c r="AE2" s="38" t="s">
        <v>74</v>
      </c>
      <c r="AF2" s="38" t="s">
        <v>71</v>
      </c>
      <c r="AG2" t="str">
        <f>VLOOKUP($Q2,武学奇术!$A:$ZZ,25,FALSE)</f>
        <v>群体奇术</v>
      </c>
      <c r="AH2" s="24">
        <f>VLOOKUP($Q2,武学奇术!$A:$ZZ,26,FALSE)</f>
        <v>1.4904</v>
      </c>
      <c r="AI2" s="25">
        <f>VLOOKUP($Q2,武学奇术!$A:$ZZ,27,FALSE)*(1+IF(OR($AG2=$F$4,$AG2=$F$5),$B$22,0))</f>
        <v>368</v>
      </c>
      <c r="AJ2" s="24">
        <f>VLOOKUP($Q2,武学奇术!$A:$ZZ,28,FALSE)</f>
        <v>2.2353</v>
      </c>
      <c r="AK2" s="25">
        <f>VLOOKUP($Q2,武学奇术!$A:$ZZ,29,FALSE)*(1+IF(OR($AG2=$F$4,$AG2=$F$5),$B$22,0))</f>
        <v>0</v>
      </c>
      <c r="AL2" s="24" cm="1">
        <f t="array" ref="AL2">$G$3+VLOOKUP($AG2,$F$4:$G$7,2,FALSE)+VLOOKUP($Q2,武学奇术!$A:$ZZ,2,FALSE)+SUM(_xlfn.XLOOKUP($R2:$AF2,增益!$A:$A,增益!$B:$B,0))</f>
        <v>0.2237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1481.6</v>
      </c>
      <c r="AO2" cm="1">
        <f t="array" ref="AO2">$E$10*(1+$AM2)+VLOOKUP($Q2,武学奇术!$A:$ZZ,4,FALSE)+SUM(_xlfn.XLOOKUP($R2:$AF2,增益!$A:$A,增益!$D:$D,0))-$I$2</f>
        <v>5653.7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0.267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0" cm="1">
        <f t="array" ref="AV2">$G$11+VLOOKUP($Q2,武学奇术!$A:$ZZ,10,FALSE)+SUM(_xlfn.XLOOKUP(R2:AF2,增益!$A:$A,增益!$J:$J,0))</f>
        <v>0</v>
      </c>
      <c r="AW2">
        <f>$D$12*(1+$AR2)</f>
        <v>576.6</v>
      </c>
      <c r="AX2">
        <f>$E$12*(1+$AR2)</f>
        <v>1088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0.06</v>
      </c>
      <c r="AZ2" s="30" cm="1">
        <f t="array" ref="AZ2">$G$12+VLOOKUP($Q2,武学奇术!$A:$ZZ,12,FALSE)+SUM(_xlfn.XLOOKUP(R2:AF2,增益!$A:$A,增益!$L:$L,0))</f>
        <v>0.15</v>
      </c>
      <c r="BA2">
        <f>$D$13*(1+$AR2)</f>
        <v>0</v>
      </c>
      <c r="BB2">
        <f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0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0.6113</v>
      </c>
      <c r="BK2" s="24" cm="1">
        <f t="array" ref="BK2">1+$B$13+VLOOKUP($Q2,武学奇术!$A:$ZZ,18,FALSE)+SUM(_xlfn.XLOOKUP(R2:AF2,增益!$A:$A,增益!$R:$R,0))</f>
        <v>1.794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0.1371</v>
      </c>
      <c r="BM2" s="24" cm="1">
        <f t="array" ref="BM2">1+$B$14+VLOOKUP($Q2,武学奇术!$A:$ZZ,20,FALSE)+SUM(_xlfn.XLOOKUP(R2:AF2,增益!$A:$A,增益!$T:$T,0))</f>
        <v>1.35</v>
      </c>
      <c r="BN2" s="24">
        <f>MIN((1-BL2)*BI2,BI2*BJ2)</f>
        <v>0.6113</v>
      </c>
      <c r="BO2" s="24">
        <f>1-BL2-BN2-BP2</f>
        <v>0.2516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75</v>
      </c>
      <c r="B3" s="45"/>
      <c r="C3" s="45"/>
      <c r="D3" s="45"/>
      <c r="E3" s="46"/>
      <c r="F3" s="43" t="s">
        <v>34</v>
      </c>
      <c r="G3" s="47">
        <f>B16+1.5%+IF($F$19="√",10%,0)</f>
        <v>0.2037</v>
      </c>
      <c r="H3" s="43" t="s">
        <v>76</v>
      </c>
      <c r="I3" s="11">
        <f>25-IF(D17="√",10,0)-IF(F17="√",10,0)</f>
        <v>5</v>
      </c>
      <c r="K3" s="36">
        <f t="shared" ref="K3:K34" si="0">($L3*$BN3+$M3*$BL3+$N3*$BO3+$O3*$BP3)</f>
        <v>22155.343749331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24688.948587491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26946.5150144783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13388.8007524355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6817.2200126648</v>
      </c>
      <c r="P3" s="37">
        <v>1</v>
      </c>
      <c r="Q3" s="38" t="s">
        <v>70</v>
      </c>
      <c r="R3" s="38" t="s">
        <v>77</v>
      </c>
      <c r="S3" s="38" t="s">
        <v>71</v>
      </c>
      <c r="T3" s="38" t="s">
        <v>72</v>
      </c>
      <c r="U3" s="38" t="s">
        <v>71</v>
      </c>
      <c r="V3" s="38" t="s">
        <v>78</v>
      </c>
      <c r="W3" s="38" t="s">
        <v>73</v>
      </c>
      <c r="X3" s="38" t="s">
        <v>79</v>
      </c>
      <c r="Y3" s="38" t="s">
        <v>71</v>
      </c>
      <c r="Z3" s="38" t="s">
        <v>71</v>
      </c>
      <c r="AA3" s="38" t="s">
        <v>71</v>
      </c>
      <c r="AB3" s="38" t="s">
        <v>71</v>
      </c>
      <c r="AC3" s="38" t="s">
        <v>71</v>
      </c>
      <c r="AD3" s="38" t="s">
        <v>71</v>
      </c>
      <c r="AE3" s="38" t="s">
        <v>74</v>
      </c>
      <c r="AF3" s="38" t="s">
        <v>71</v>
      </c>
      <c r="AG3" t="str">
        <f>VLOOKUP($Q3,武学奇术!$A:$ZZ,25,FALSE)</f>
        <v>群体奇术</v>
      </c>
      <c r="AH3" s="24">
        <f>VLOOKUP($Q3,武学奇术!$A:$ZZ,26,FALSE)</f>
        <v>1.4904</v>
      </c>
      <c r="AI3" s="25">
        <f>VLOOKUP($Q3,武学奇术!$A:$ZZ,27,FALSE)*(1+IF(OR($AG3=$F$4,$AG3=$F$5),$B$22,0))</f>
        <v>368</v>
      </c>
      <c r="AJ3" s="24">
        <f>VLOOKUP($Q3,武学奇术!$A:$ZZ,28,FALSE)</f>
        <v>2.2353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0.2437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1481.6</v>
      </c>
      <c r="AO3" cm="1">
        <f t="array" ref="AO3">$E$10*(1+$AM3)+VLOOKUP($Q3,武学奇术!$A:$ZZ,4,FALSE)+SUM(_xlfn.XLOOKUP($R3:$AF3,增益!$A:$A,增益!$D:$D,0))-$I$2</f>
        <v>5653.7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0.307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0" cm="1">
        <f t="array" ref="AV3">$G$11+VLOOKUP($Q3,武学奇术!$A:$ZZ,10,FALSE)+SUM(_xlfn.XLOOKUP(R3:AF3,增益!$A:$A,增益!$J:$J,0))</f>
        <v>0</v>
      </c>
      <c r="AW3">
        <f t="shared" ref="AW3:AW43" si="3">$D$12*(1+$AR3)</f>
        <v>576.6</v>
      </c>
      <c r="AX3">
        <f t="shared" ref="AX3:AX43" si="4">$E$12*(1+$AR3)</f>
        <v>1088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0.06</v>
      </c>
      <c r="AZ3" s="30" cm="1">
        <f t="array" ref="AZ3">$G$12+VLOOKUP($Q3,武学奇术!$A:$ZZ,12,FALSE)+SUM(_xlfn.XLOOKUP(R3:AF3,增益!$A:$A,增益!$L:$L,0))</f>
        <v>0.15</v>
      </c>
      <c r="BA3">
        <f t="shared" ref="BA3:BA34" si="5">$D$13*(1+$AR3)</f>
        <v>0</v>
      </c>
      <c r="BB3">
        <f t="shared" ref="BB3:BB34" si="6">$E$13*(1+$AR3)</f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0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0.6113</v>
      </c>
      <c r="BK3" s="24" cm="1">
        <f t="array" ref="BK3">1+$B$13+VLOOKUP($Q3,武学奇术!$A:$ZZ,18,FALSE)+SUM(_xlfn.XLOOKUP(R3:AF3,增益!$A:$A,增益!$R:$R,0))</f>
        <v>1.844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0.1371</v>
      </c>
      <c r="BM3" s="24" cm="1">
        <f t="array" ref="BM3">1+$B$14+VLOOKUP($Q3,武学奇术!$A:$ZZ,20,FALSE)+SUM(_xlfn.XLOOKUP(R3:AF3,增益!$A:$A,增益!$T:$T,0))</f>
        <v>1.35</v>
      </c>
      <c r="BN3" s="24">
        <f t="shared" ref="BN3:BN18" si="9">MIN((1-BL3)*BI3,BI3*BJ3)</f>
        <v>0.6113</v>
      </c>
      <c r="BO3" s="24">
        <f t="shared" ref="BO3:BO34" si="10">1-BL3-BN3-BP3</f>
        <v>0.2516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5</v>
      </c>
      <c r="B4" s="49">
        <v>510.6</v>
      </c>
      <c r="C4" s="49">
        <v>1022</v>
      </c>
      <c r="D4" s="49">
        <v>42</v>
      </c>
      <c r="E4" s="50">
        <v>0.15</v>
      </c>
      <c r="F4" s="43" t="s">
        <v>80</v>
      </c>
      <c r="G4" s="47">
        <f>B15+B17</f>
        <v>0.1704</v>
      </c>
      <c r="H4" s="51" t="s">
        <v>81</v>
      </c>
      <c r="I4" s="14">
        <f>30</f>
        <v>30</v>
      </c>
      <c r="K4" s="36">
        <f t="shared" si="0"/>
        <v>22548.2108893737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25169.1062725934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27328.3944696993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13575.5697263179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6907.88428989552</v>
      </c>
      <c r="P4" s="37">
        <v>1</v>
      </c>
      <c r="Q4" s="38" t="s">
        <v>70</v>
      </c>
      <c r="R4" s="38" t="s">
        <v>82</v>
      </c>
      <c r="S4" s="38" t="s">
        <v>71</v>
      </c>
      <c r="T4" s="38" t="s">
        <v>72</v>
      </c>
      <c r="U4" s="38" t="s">
        <v>71</v>
      </c>
      <c r="V4" s="38" t="s">
        <v>83</v>
      </c>
      <c r="W4" s="38" t="s">
        <v>73</v>
      </c>
      <c r="X4" s="38" t="s">
        <v>79</v>
      </c>
      <c r="Y4" s="38" t="s">
        <v>71</v>
      </c>
      <c r="Z4" s="38" t="s">
        <v>71</v>
      </c>
      <c r="AA4" s="38" t="s">
        <v>71</v>
      </c>
      <c r="AB4" s="38" t="s">
        <v>71</v>
      </c>
      <c r="AC4" s="38" t="s">
        <v>71</v>
      </c>
      <c r="AD4" s="38" t="s">
        <v>71</v>
      </c>
      <c r="AE4" s="38" t="s">
        <v>74</v>
      </c>
      <c r="AF4" s="38" t="s">
        <v>71</v>
      </c>
      <c r="AG4" t="str">
        <f>VLOOKUP($Q4,武学奇术!$A:$ZZ,25,FALSE)</f>
        <v>群体奇术</v>
      </c>
      <c r="AH4" s="24">
        <f>VLOOKUP($Q4,武学奇术!$A:$ZZ,26,FALSE)</f>
        <v>1.4904</v>
      </c>
      <c r="AI4" s="25">
        <f>VLOOKUP($Q4,武学奇术!$A:$ZZ,27,FALSE)*(1+IF(OR($AG4=$F$4,$AG4=$F$5),$B$22,0))</f>
        <v>368</v>
      </c>
      <c r="AJ4" s="24">
        <f>VLOOKUP($Q4,武学奇术!$A:$ZZ,28,FALSE)</f>
        <v>2.2353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0.2537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1481.6</v>
      </c>
      <c r="AO4" cm="1">
        <f t="array" ref="AO4">$E$10*(1+$AM4)+VLOOKUP($Q4,武学奇术!$A:$ZZ,4,FALSE)+SUM(_xlfn.XLOOKUP($R4:$AF4,增益!$A:$A,增益!$D:$D,0))-$I$2</f>
        <v>5653.7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0.317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0" cm="1">
        <f t="array" ref="AV4">$G$11+VLOOKUP($Q4,武学奇术!$A:$ZZ,10,FALSE)+SUM(_xlfn.XLOOKUP(R4:AF4,增益!$A:$A,增益!$J:$J,0))</f>
        <v>0</v>
      </c>
      <c r="AW4">
        <f t="shared" si="3"/>
        <v>576.6</v>
      </c>
      <c r="AX4">
        <f t="shared" si="4"/>
        <v>1088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0.06</v>
      </c>
      <c r="AZ4" s="30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0.6113</v>
      </c>
      <c r="BK4" s="24" cm="1">
        <f t="array" ref="BK4">1+$B$13+VLOOKUP($Q4,武学奇术!$A:$ZZ,18,FALSE)+SUM(_xlfn.XLOOKUP(R4:AF4,增益!$A:$A,增益!$R:$R,0))</f>
        <v>1.854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0.1371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0.6113</v>
      </c>
      <c r="BO4" s="24">
        <f t="shared" si="10"/>
        <v>0.2516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84</v>
      </c>
      <c r="B5" s="53"/>
      <c r="C5" s="53"/>
      <c r="D5" s="53"/>
      <c r="E5" s="54"/>
      <c r="F5" s="43" t="s">
        <v>85</v>
      </c>
      <c r="G5" s="47">
        <f>B15+B18</f>
        <v>0.0852</v>
      </c>
      <c r="H5" t="s">
        <v>86</v>
      </c>
      <c r="I5" s="26">
        <v>0.06</v>
      </c>
      <c r="K5" s="36">
        <f t="shared" si="0"/>
        <v>23553.4558073453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26509.5727544625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28045.9759090536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13923.0949340665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7071.3928984636</v>
      </c>
      <c r="P5" s="37">
        <v>1</v>
      </c>
      <c r="Q5" s="38" t="s">
        <v>70</v>
      </c>
      <c r="R5" s="38" t="s">
        <v>87</v>
      </c>
      <c r="S5" s="38" t="s">
        <v>71</v>
      </c>
      <c r="T5" s="38" t="s">
        <v>72</v>
      </c>
      <c r="U5" s="38" t="s">
        <v>71</v>
      </c>
      <c r="V5" s="38" t="s">
        <v>88</v>
      </c>
      <c r="W5" s="38" t="s">
        <v>73</v>
      </c>
      <c r="X5" s="38" t="s">
        <v>89</v>
      </c>
      <c r="Y5" s="38" t="s">
        <v>71</v>
      </c>
      <c r="Z5" s="38" t="s">
        <v>71</v>
      </c>
      <c r="AA5" s="38" t="s">
        <v>71</v>
      </c>
      <c r="AB5" s="38" t="s">
        <v>71</v>
      </c>
      <c r="AC5" s="38" t="s">
        <v>71</v>
      </c>
      <c r="AD5" s="38" t="s">
        <v>71</v>
      </c>
      <c r="AE5" s="38" t="s">
        <v>74</v>
      </c>
      <c r="AF5" s="38" t="s">
        <v>71</v>
      </c>
      <c r="AG5" t="str">
        <f>VLOOKUP($Q5,武学奇术!$A:$ZZ,25,FALSE)</f>
        <v>群体奇术</v>
      </c>
      <c r="AH5" s="24">
        <f>VLOOKUP($Q5,武学奇术!$A:$ZZ,26,FALSE)</f>
        <v>1.4904</v>
      </c>
      <c r="AI5" s="25">
        <f>VLOOKUP($Q5,武学奇术!$A:$ZZ,27,FALSE)*(1+IF(OR($AG5=$F$4,$AG5=$F$5),$B$22,0))</f>
        <v>368</v>
      </c>
      <c r="AJ5" s="24">
        <f>VLOOKUP($Q5,武学奇术!$A:$ZZ,28,FALSE)</f>
        <v>2.2353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0.2637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1481.6</v>
      </c>
      <c r="AO5" cm="1">
        <f t="array" ref="AO5">$E$10*(1+$AM5)+VLOOKUP($Q5,武学奇术!$A:$ZZ,4,FALSE)+SUM(_xlfn.XLOOKUP($R5:$AF5,增益!$A:$A,增益!$D:$D,0))-$I$2</f>
        <v>5653.7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0.347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0" cm="1">
        <f t="array" ref="AV5">$G$11+VLOOKUP($Q5,武学奇术!$A:$ZZ,10,FALSE)+SUM(_xlfn.XLOOKUP(R5:AF5,增益!$A:$A,增益!$J:$J,0))</f>
        <v>0</v>
      </c>
      <c r="AW5">
        <f t="shared" si="3"/>
        <v>576.6</v>
      </c>
      <c r="AX5">
        <f t="shared" si="4"/>
        <v>1088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0.06</v>
      </c>
      <c r="AZ5" s="30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0.6113</v>
      </c>
      <c r="BK5" s="24" cm="1">
        <f t="array" ref="BK5">1+$B$13+VLOOKUP($Q5,武学奇术!$A:$ZZ,18,FALSE)+SUM(_xlfn.XLOOKUP(R5:AF5,增益!$A:$A,增益!$R:$R,0))</f>
        <v>1.904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0.1371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0.6113</v>
      </c>
      <c r="BO5" s="24">
        <f t="shared" si="10"/>
        <v>0.2516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90</v>
      </c>
      <c r="B6" s="56"/>
      <c r="C6" s="56"/>
      <c r="D6" s="56"/>
      <c r="E6" s="57"/>
      <c r="F6" s="43" t="s">
        <v>91</v>
      </c>
      <c r="G6" s="47">
        <f>B19</f>
        <v>0</v>
      </c>
      <c r="K6" s="36">
        <f t="shared" si="0"/>
        <v>23962.9062370153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27013.5266132809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28435.7622964597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14113.6502681719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7163.77290933656</v>
      </c>
      <c r="P6" s="37">
        <v>1</v>
      </c>
      <c r="Q6" s="38" t="s">
        <v>70</v>
      </c>
      <c r="R6" s="38" t="s">
        <v>92</v>
      </c>
      <c r="S6" s="38" t="s">
        <v>71</v>
      </c>
      <c r="T6" s="38" t="s">
        <v>72</v>
      </c>
      <c r="U6" s="38" t="s">
        <v>71</v>
      </c>
      <c r="V6" s="38" t="s">
        <v>93</v>
      </c>
      <c r="W6" s="38" t="s">
        <v>73</v>
      </c>
      <c r="X6" s="38" t="s">
        <v>89</v>
      </c>
      <c r="Y6" s="38" t="s">
        <v>71</v>
      </c>
      <c r="Z6" s="38" t="s">
        <v>71</v>
      </c>
      <c r="AA6" s="38" t="s">
        <v>71</v>
      </c>
      <c r="AB6" s="38" t="s">
        <v>71</v>
      </c>
      <c r="AC6" s="38" t="s">
        <v>71</v>
      </c>
      <c r="AD6" s="38" t="s">
        <v>71</v>
      </c>
      <c r="AE6" s="38" t="s">
        <v>74</v>
      </c>
      <c r="AF6" s="38" t="s">
        <v>71</v>
      </c>
      <c r="AG6" t="str">
        <f>VLOOKUP($Q6,武学奇术!$A:$ZZ,25,FALSE)</f>
        <v>群体奇术</v>
      </c>
      <c r="AH6" s="24">
        <f>VLOOKUP($Q6,武学奇术!$A:$ZZ,26,FALSE)</f>
        <v>1.4904</v>
      </c>
      <c r="AI6" s="25">
        <f>VLOOKUP($Q6,武学奇术!$A:$ZZ,27,FALSE)*(1+IF(OR($AG6=$F$4,$AG6=$F$5),$B$22,0))</f>
        <v>368</v>
      </c>
      <c r="AJ6" s="24">
        <f>VLOOKUP($Q6,武学奇术!$A:$ZZ,28,FALSE)</f>
        <v>2.2353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0.2737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1481.6</v>
      </c>
      <c r="AO6" cm="1">
        <f t="array" ref="AO6">$E$10*(1+$AM6)+VLOOKUP($Q6,武学奇术!$A:$ZZ,4,FALSE)+SUM(_xlfn.XLOOKUP($R6:$AF6,增益!$A:$A,增益!$D:$D,0))-$I$2</f>
        <v>5653.7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0.357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0" cm="1">
        <f t="array" ref="AV6">$G$11+VLOOKUP($Q6,武学奇术!$A:$ZZ,10,FALSE)+SUM(_xlfn.XLOOKUP(R6:AF6,增益!$A:$A,增益!$J:$J,0))</f>
        <v>0</v>
      </c>
      <c r="AW6">
        <f t="shared" si="3"/>
        <v>576.6</v>
      </c>
      <c r="AX6">
        <f t="shared" si="4"/>
        <v>1088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0.06</v>
      </c>
      <c r="AZ6" s="30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0.6113</v>
      </c>
      <c r="BK6" s="24" cm="1">
        <f t="array" ref="BK6">1+$B$13+VLOOKUP($Q6,武学奇术!$A:$ZZ,18,FALSE)+SUM(_xlfn.XLOOKUP(R6:AF6,增益!$A:$A,增益!$R:$R,0))</f>
        <v>1.914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0.1371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0.6113</v>
      </c>
      <c r="BO6" s="24">
        <f t="shared" si="10"/>
        <v>0.2516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82" t="s">
        <v>94</v>
      </c>
      <c r="B7" s="85">
        <v>66</v>
      </c>
      <c r="C7" s="58">
        <v>66</v>
      </c>
      <c r="D7" s="59"/>
      <c r="E7" s="60"/>
      <c r="F7" s="51" t="s">
        <v>95</v>
      </c>
      <c r="G7" s="61">
        <f>B20</f>
        <v>0</v>
      </c>
      <c r="K7" s="36">
        <f t="shared" si="0"/>
        <v>260101.755564034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260937.507416637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270113.273648543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137047.010197814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74010.113989299</v>
      </c>
      <c r="P7" s="37">
        <v>1</v>
      </c>
      <c r="Q7" s="38" t="s">
        <v>96</v>
      </c>
      <c r="R7" s="38" t="s">
        <v>97</v>
      </c>
      <c r="S7" s="38" t="s">
        <v>71</v>
      </c>
      <c r="T7" s="38" t="s">
        <v>72</v>
      </c>
      <c r="U7" s="38" t="s">
        <v>71</v>
      </c>
      <c r="V7" s="38" t="s">
        <v>78</v>
      </c>
      <c r="W7" s="38" t="s">
        <v>73</v>
      </c>
      <c r="X7" s="38" t="s">
        <v>71</v>
      </c>
      <c r="Y7" s="38" t="s">
        <v>71</v>
      </c>
      <c r="Z7" s="38" t="s">
        <v>71</v>
      </c>
      <c r="AA7" s="38" t="s">
        <v>71</v>
      </c>
      <c r="AB7" s="38" t="s">
        <v>71</v>
      </c>
      <c r="AC7" s="38" t="s">
        <v>71</v>
      </c>
      <c r="AD7" s="38" t="s">
        <v>71</v>
      </c>
      <c r="AE7" s="38" t="s">
        <v>74</v>
      </c>
      <c r="AF7" s="38" t="s">
        <v>98</v>
      </c>
      <c r="AG7" t="str">
        <f>VLOOKUP($Q7,武学奇术!$A:$ZZ,25,FALSE)</f>
        <v>陌刀</v>
      </c>
      <c r="AH7" s="24">
        <f>VLOOKUP($Q7,武学奇术!$A:$ZZ,26,FALSE)</f>
        <v>7.2368</v>
      </c>
      <c r="AI7" s="25">
        <f>VLOOKUP($Q7,武学奇术!$A:$ZZ,27,FALSE)*(1+IF(OR($AG7=$F$4,$AG7=$F$5),$B$22,0))</f>
        <v>2802.8</v>
      </c>
      <c r="AJ7" s="24">
        <f>VLOOKUP($Q7,武学奇术!$A:$ZZ,28,FALSE)</f>
        <v>10.8553</v>
      </c>
      <c r="AK7" s="25">
        <f>VLOOKUP($Q7,武学奇术!$A:$ZZ,29,FALSE)*(1+IF(OR($AG7=$F$4,$AG7=$F$5),$B$22,0))</f>
        <v>1526</v>
      </c>
      <c r="AL7" s="24" cm="1">
        <f t="array" ref="AL7">$G$3+IFERROR(VLOOKUP($AG7,$F$4:$G$7,2,FALSE),0)+VLOOKUP($Q7,武学奇术!$A:$ZZ,2,FALSE)+SUM(_xlfn.XLOOKUP($R7:$AF7,增益!$A:$A,增益!$B:$B,0))</f>
        <v>0.8241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1481.6</v>
      </c>
      <c r="AO7" cm="1">
        <f t="array" ref="AO7">$E$10*(1+$AM7)+VLOOKUP($Q7,武学奇术!$A:$ZZ,4,FALSE)+SUM(_xlfn.XLOOKUP($R7:$AF7,增益!$A:$A,增益!$D:$D,0))-$I$2</f>
        <v>5853.7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0.277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</v>
      </c>
      <c r="AW7">
        <f t="shared" si="3"/>
        <v>576.6</v>
      </c>
      <c r="AX7">
        <f t="shared" si="4"/>
        <v>1088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0.06</v>
      </c>
      <c r="AZ7" s="30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0.846</v>
      </c>
      <c r="BK7" s="24" cm="1">
        <f t="array" ref="BK7">1+$B$13+VLOOKUP($Q7,武学奇术!$A:$ZZ,18,FALSE)+SUM(_xlfn.XLOOKUP(R7:AF7,增益!$A:$A,增益!$R:$R,0))</f>
        <v>1.904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0.1371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0.846</v>
      </c>
      <c r="BO7" s="24">
        <f t="shared" si="10"/>
        <v>0.0168999999999999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2" t="s">
        <v>99</v>
      </c>
      <c r="B8" s="63">
        <v>1.0047</v>
      </c>
      <c r="C8" s="34" t="s">
        <v>100</v>
      </c>
      <c r="D8" s="64"/>
      <c r="E8" s="64"/>
      <c r="F8" s="64"/>
      <c r="G8" s="35"/>
      <c r="H8" s="65" t="s">
        <v>101</v>
      </c>
      <c r="I8" s="18">
        <v>94.5</v>
      </c>
      <c r="J8" s="66"/>
      <c r="K8" s="36">
        <f t="shared" si="0"/>
        <v>156916.101717774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157486.058947567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162545.890944134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82713.2662539741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45022.1688456271</v>
      </c>
      <c r="P8" s="37">
        <v>1</v>
      </c>
      <c r="Q8" s="38" t="s">
        <v>102</v>
      </c>
      <c r="R8" s="38" t="s">
        <v>97</v>
      </c>
      <c r="S8" s="38" t="s">
        <v>71</v>
      </c>
      <c r="T8" s="38" t="s">
        <v>72</v>
      </c>
      <c r="U8" s="38" t="s">
        <v>103</v>
      </c>
      <c r="V8" s="38" t="s">
        <v>78</v>
      </c>
      <c r="W8" s="38" t="s">
        <v>73</v>
      </c>
      <c r="X8" s="38" t="s">
        <v>71</v>
      </c>
      <c r="Y8" s="38" t="s">
        <v>71</v>
      </c>
      <c r="Z8" s="38" t="s">
        <v>71</v>
      </c>
      <c r="AA8" s="38" t="s">
        <v>71</v>
      </c>
      <c r="AB8" s="38" t="s">
        <v>71</v>
      </c>
      <c r="AC8" s="38" t="s">
        <v>71</v>
      </c>
      <c r="AD8" s="38" t="s">
        <v>71</v>
      </c>
      <c r="AE8" s="38" t="s">
        <v>74</v>
      </c>
      <c r="AF8" s="38" t="s">
        <v>98</v>
      </c>
      <c r="AG8" t="str">
        <f>VLOOKUP($Q8,武学奇术!$A:$ZZ,25,FALSE)</f>
        <v>陌刀</v>
      </c>
      <c r="AH8" s="24">
        <f>VLOOKUP($Q8,武学奇术!$A:$ZZ,26,FALSE)</f>
        <v>4.2807</v>
      </c>
      <c r="AI8" s="25">
        <f>VLOOKUP($Q8,武学奇术!$A:$ZZ,27,FALSE)*(1+IF(OR($AG8=$F$4,$AG8=$F$5),$B$22,0))</f>
        <v>1657.6</v>
      </c>
      <c r="AJ8" s="24">
        <f>VLOOKUP($Q8,武学奇术!$A:$ZZ,28,FALSE)</f>
        <v>6.421</v>
      </c>
      <c r="AK8" s="25">
        <f>VLOOKUP($Q8,武学奇术!$A:$ZZ,29,FALSE)*(1+IF(OR($AG8=$F$4,$AG8=$F$5),$B$22,0))</f>
        <v>903</v>
      </c>
      <c r="AL8" s="24" cm="1">
        <f t="array" ref="AL8">$G$3+IFERROR(VLOOKUP($AG8,$F$4:$G$7,2,FALSE),0)+VLOOKUP($Q8,武学奇术!$A:$ZZ,2,FALSE)+SUM(_xlfn.XLOOKUP($R8:$AF8,增益!$A:$A,增益!$B:$B,0))</f>
        <v>0.8241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1481.6</v>
      </c>
      <c r="AO8" cm="1">
        <f t="array" ref="AO8">$E$10*(1+$AM8)+VLOOKUP($Q8,武学奇术!$A:$ZZ,4,FALSE)+SUM(_xlfn.XLOOKUP($R8:$AF8,增益!$A:$A,增益!$D:$D,0))-$I$2</f>
        <v>5853.7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0.277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</v>
      </c>
      <c r="AW8">
        <f t="shared" si="3"/>
        <v>576.6</v>
      </c>
      <c r="AX8">
        <f t="shared" si="4"/>
        <v>1088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0.14</v>
      </c>
      <c r="AZ8" s="30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-0.14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0.846</v>
      </c>
      <c r="BK8" s="24" cm="1">
        <f t="array" ref="BK8">1+$B$13+VLOOKUP($Q8,武学奇术!$A:$ZZ,18,FALSE)+SUM(_xlfn.XLOOKUP(R8:AF8,增益!$A:$A,增益!$R:$R,0))</f>
        <v>1.904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0.1371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0.846</v>
      </c>
      <c r="BO8" s="24">
        <f t="shared" si="10"/>
        <v>0.0168999999999999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104</v>
      </c>
      <c r="B9" s="67">
        <v>0.5653</v>
      </c>
      <c r="C9" s="43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8525.83739685566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9563.66227635841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10078.1819402658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5158.39389231845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2851.46782888443</v>
      </c>
      <c r="P9" s="37">
        <v>1</v>
      </c>
      <c r="Q9" s="38" t="s">
        <v>105</v>
      </c>
      <c r="R9" s="38" t="s">
        <v>77</v>
      </c>
      <c r="S9" s="38" t="s">
        <v>71</v>
      </c>
      <c r="T9" s="38" t="s">
        <v>72</v>
      </c>
      <c r="U9" s="38" t="s">
        <v>103</v>
      </c>
      <c r="V9" s="38" t="s">
        <v>83</v>
      </c>
      <c r="W9" s="38" t="s">
        <v>73</v>
      </c>
      <c r="X9" s="38" t="s">
        <v>79</v>
      </c>
      <c r="Y9" s="38" t="s">
        <v>71</v>
      </c>
      <c r="Z9" s="38" t="s">
        <v>71</v>
      </c>
      <c r="AA9" s="38" t="s">
        <v>71</v>
      </c>
      <c r="AB9" s="38" t="s">
        <v>71</v>
      </c>
      <c r="AC9" s="38" t="s">
        <v>71</v>
      </c>
      <c r="AD9" s="38" t="s">
        <v>71</v>
      </c>
      <c r="AE9" s="38" t="s">
        <v>74</v>
      </c>
      <c r="AF9" s="38" t="s">
        <v>71</v>
      </c>
      <c r="AG9" t="str">
        <f>VLOOKUP($Q9,武学奇术!$A:$ZZ,25,FALSE)</f>
        <v>枪</v>
      </c>
      <c r="AH9" s="24">
        <f>VLOOKUP($Q9,武学奇术!$A:$ZZ,26,FALSE)</f>
        <v>0.4843</v>
      </c>
      <c r="AI9" s="25">
        <f>VLOOKUP($Q9,武学奇术!$A:$ZZ,27,FALSE)*(1+IF(OR($AG9=$F$4,$AG9=$F$5),$B$22,0))</f>
        <v>187.6</v>
      </c>
      <c r="AJ9" s="24">
        <f>VLOOKUP($Q9,武学奇术!$A:$ZZ,28,FALSE)</f>
        <v>0.7264</v>
      </c>
      <c r="AK9" s="25">
        <f>VLOOKUP($Q9,武学奇术!$A:$ZZ,29,FALSE)*(1+IF(OR($AG9=$F$4,$AG9=$F$5),$B$22,0))</f>
        <v>102.2</v>
      </c>
      <c r="AL9" s="24" cm="1">
        <f t="array" ref="AL9">$G$3+IFERROR(VLOOKUP($AG9,$F$4:$G$7,2,FALSE),0)+VLOOKUP($Q9,武学奇术!$A:$ZZ,2,FALSE)+SUM(_xlfn.XLOOKUP($R9:$AF9,增益!$A:$A,增益!$B:$B,0))</f>
        <v>0.3289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1481.6</v>
      </c>
      <c r="AO9" cm="1">
        <f t="array" ref="AO9">$E$10*(1+$AM9)+VLOOKUP($Q9,武学奇术!$A:$ZZ,4,FALSE)+SUM(_xlfn.XLOOKUP($R9:$AF9,增益!$A:$A,增益!$D:$D,0))-$I$2</f>
        <v>5653.7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0.307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</v>
      </c>
      <c r="AW9">
        <f t="shared" si="3"/>
        <v>576.6</v>
      </c>
      <c r="AX9">
        <f t="shared" si="4"/>
        <v>1088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0.14</v>
      </c>
      <c r="AZ9" s="30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0.6113</v>
      </c>
      <c r="BK9" s="24" cm="1">
        <f t="array" ref="BK9">1+$B$13+VLOOKUP($Q9,武学奇术!$A:$ZZ,18,FALSE)+SUM(_xlfn.XLOOKUP(R9:AF9,增益!$A:$A,增益!$R:$R,0))</f>
        <v>1.854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0.1371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0.6113</v>
      </c>
      <c r="BO9" s="24">
        <f t="shared" si="10"/>
        <v>0.2516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106</v>
      </c>
      <c r="B10" s="67">
        <v>0.1371</v>
      </c>
      <c r="C10" s="43" t="s">
        <v>66</v>
      </c>
      <c r="D10">
        <f>B2+B23</f>
        <v>2064.4</v>
      </c>
      <c r="E10">
        <f>MAX(B2+B23,C2+B24)</f>
        <v>6236.5</v>
      </c>
      <c r="F10">
        <f>D2</f>
        <v>58.4</v>
      </c>
      <c r="G10" s="86">
        <f>E2</f>
        <v>0</v>
      </c>
      <c r="H10" s="65" t="s">
        <v>107</v>
      </c>
      <c r="I10" s="70">
        <f>SUM(K:K)</f>
        <v>10947504.2694472</v>
      </c>
      <c r="J10" s="71"/>
      <c r="K10" s="36">
        <f t="shared" si="0"/>
        <v>304688.971891441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306927.517154411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309071.47495341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157076.518502769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85211.2037067158</v>
      </c>
      <c r="P10" s="37">
        <v>1</v>
      </c>
      <c r="Q10" s="38" t="s">
        <v>96</v>
      </c>
      <c r="R10" s="38" t="s">
        <v>82</v>
      </c>
      <c r="S10" s="38" t="s">
        <v>108</v>
      </c>
      <c r="T10" s="38" t="s">
        <v>72</v>
      </c>
      <c r="U10" s="38" t="s">
        <v>103</v>
      </c>
      <c r="V10" s="38" t="s">
        <v>83</v>
      </c>
      <c r="W10" s="38" t="s">
        <v>73</v>
      </c>
      <c r="X10" s="38" t="s">
        <v>79</v>
      </c>
      <c r="Y10" s="38" t="s">
        <v>71</v>
      </c>
      <c r="Z10" s="38" t="s">
        <v>71</v>
      </c>
      <c r="AA10" s="38" t="s">
        <v>71</v>
      </c>
      <c r="AB10" s="38" t="s">
        <v>71</v>
      </c>
      <c r="AC10" s="38" t="s">
        <v>71</v>
      </c>
      <c r="AD10" s="38" t="s">
        <v>71</v>
      </c>
      <c r="AE10" s="38" t="s">
        <v>74</v>
      </c>
      <c r="AF10" s="38" t="s">
        <v>98</v>
      </c>
      <c r="AG10" t="str">
        <f>VLOOKUP($Q10,武学奇术!$A:$ZZ,25,FALSE)</f>
        <v>陌刀</v>
      </c>
      <c r="AH10" s="24">
        <f>VLOOKUP($Q10,武学奇术!$A:$ZZ,26,FALSE)</f>
        <v>7.2368</v>
      </c>
      <c r="AI10" s="25">
        <f>VLOOKUP($Q10,武学奇术!$A:$ZZ,27,FALSE)*(1+IF(OR($AG10=$F$4,$AG10=$F$5),$B$22,0))</f>
        <v>2802.8</v>
      </c>
      <c r="AJ10" s="24">
        <f>VLOOKUP($Q10,武学奇术!$A:$ZZ,28,FALSE)</f>
        <v>10.8553</v>
      </c>
      <c r="AK10" s="25">
        <f>VLOOKUP($Q10,武学奇术!$A:$ZZ,29,FALSE)*(1+IF(OR($AG10=$F$4,$AG10=$F$5),$B$22,0))</f>
        <v>1526</v>
      </c>
      <c r="AL10" s="24" cm="1">
        <f t="array" ref="AL10">$G$3+IFERROR(VLOOKUP($AG10,$F$4:$G$7,2,FALSE),0)+VLOOKUP($Q10,武学奇术!$A:$ZZ,2,FALSE)+SUM(_xlfn.XLOOKUP($R10:$AF10,增益!$A:$A,增益!$B:$B,0))</f>
        <v>1.0041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1481.6</v>
      </c>
      <c r="AO10" cm="1">
        <f t="array" ref="AO10">$E$10*(1+$AM10)+VLOOKUP($Q10,武学奇术!$A:$ZZ,4,FALSE)+SUM(_xlfn.XLOOKUP($R10:$AF10,增益!$A:$A,增益!$D:$D,0))-$I$2</f>
        <v>5853.7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0.317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576.6</v>
      </c>
      <c r="AX10">
        <f t="shared" si="4"/>
        <v>1088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0.14</v>
      </c>
      <c r="AZ10" s="30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0.846</v>
      </c>
      <c r="BK10" s="24" cm="1">
        <f t="array" ref="BK10">1+$B$13+VLOOKUP($Q10,武学奇术!$A:$ZZ,18,FALSE)+SUM(_xlfn.XLOOKUP(R10:AF10,增益!$A:$A,增益!$R:$R,0))</f>
        <v>1.954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0.1371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0.846</v>
      </c>
      <c r="BO10" s="24">
        <f t="shared" si="10"/>
        <v>0.0168999999999999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109</v>
      </c>
      <c r="B11" s="67">
        <f>4.6%+IF($C$21="易水歌",4.6%,0)</f>
        <v>0.046</v>
      </c>
      <c r="C11" s="43" t="s">
        <v>75</v>
      </c>
      <c r="D11">
        <f>B3+IF($G$1=$C11,$B$7,0)</f>
        <v>0</v>
      </c>
      <c r="E11">
        <f>MAX(B3,C3)+IF($G$1=$C11,$C$7,0)</f>
        <v>0</v>
      </c>
      <c r="F11">
        <f>D3</f>
        <v>0</v>
      </c>
      <c r="G11" s="86">
        <f>E3</f>
        <v>0</v>
      </c>
      <c r="H11" s="68"/>
      <c r="I11" s="72"/>
      <c r="J11" s="73"/>
      <c r="K11" s="36">
        <f t="shared" si="0"/>
        <v>182807.021129073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184418.536576026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183880.943455831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93423.7773941366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50639.4485246946</v>
      </c>
      <c r="P11" s="37">
        <v>1</v>
      </c>
      <c r="Q11" s="38" t="s">
        <v>102</v>
      </c>
      <c r="R11" s="38" t="s">
        <v>82</v>
      </c>
      <c r="S11" s="38" t="s">
        <v>108</v>
      </c>
      <c r="T11" s="38" t="s">
        <v>72</v>
      </c>
      <c r="U11" s="38" t="s">
        <v>103</v>
      </c>
      <c r="V11" s="38" t="s">
        <v>83</v>
      </c>
      <c r="W11" s="38" t="s">
        <v>73</v>
      </c>
      <c r="X11" s="38" t="s">
        <v>110</v>
      </c>
      <c r="Y11" s="38" t="s">
        <v>71</v>
      </c>
      <c r="Z11" s="38" t="s">
        <v>71</v>
      </c>
      <c r="AA11" s="38" t="s">
        <v>71</v>
      </c>
      <c r="AB11" s="38" t="s">
        <v>71</v>
      </c>
      <c r="AC11" s="38" t="s">
        <v>71</v>
      </c>
      <c r="AD11" s="38" t="s">
        <v>71</v>
      </c>
      <c r="AE11" s="38" t="s">
        <v>74</v>
      </c>
      <c r="AF11" s="38" t="s">
        <v>98</v>
      </c>
      <c r="AG11" t="str">
        <f>VLOOKUP($Q11,武学奇术!$A:$ZZ,25,FALSE)</f>
        <v>陌刀</v>
      </c>
      <c r="AH11" s="24">
        <f>VLOOKUP($Q11,武学奇术!$A:$ZZ,26,FALSE)</f>
        <v>4.2807</v>
      </c>
      <c r="AI11" s="25">
        <f>VLOOKUP($Q11,武学奇术!$A:$ZZ,27,FALSE)*(1+IF(OR($AG11=$F$4,$AG11=$F$5),$B$22,0))</f>
        <v>1657.6</v>
      </c>
      <c r="AJ11" s="24">
        <f>VLOOKUP($Q11,武学奇术!$A:$ZZ,28,FALSE)</f>
        <v>6.421</v>
      </c>
      <c r="AK11" s="25">
        <f>VLOOKUP($Q11,武学奇术!$A:$ZZ,29,FALSE)*(1+IF(OR($AG11=$F$4,$AG11=$F$5),$B$22,0))</f>
        <v>903</v>
      </c>
      <c r="AL11" s="24" cm="1">
        <f t="array" ref="AL11">$G$3+IFERROR(VLOOKUP($AG11,$F$4:$G$7,2,FALSE),0)+VLOOKUP($Q11,武学奇术!$A:$ZZ,2,FALSE)+SUM(_xlfn.XLOOKUP($R11:$AF11,增益!$A:$A,增益!$B:$B,0))</f>
        <v>1.0041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1481.6</v>
      </c>
      <c r="AO11" cm="1">
        <f t="array" ref="AO11">$E$10*(1+$AM11)+VLOOKUP($Q11,武学奇术!$A:$ZZ,4,FALSE)+SUM(_xlfn.XLOOKUP($R11:$AF11,增益!$A:$A,增益!$D:$D,0))-$I$2</f>
        <v>5853.7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0.327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576.6</v>
      </c>
      <c r="AX11">
        <f t="shared" si="4"/>
        <v>1088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0.14</v>
      </c>
      <c r="AZ11" s="30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0.846</v>
      </c>
      <c r="BK11" s="24" cm="1">
        <f t="array" ref="BK11">1+$B$13+VLOOKUP($Q11,武学奇术!$A:$ZZ,18,FALSE)+SUM(_xlfn.XLOOKUP(R11:AF11,增益!$A:$A,增益!$R:$R,0))</f>
        <v>1.974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0.1371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0.846</v>
      </c>
      <c r="BO11" s="24">
        <f t="shared" si="10"/>
        <v>0.0168999999999999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111</v>
      </c>
      <c r="B12" s="67">
        <v>0</v>
      </c>
      <c r="C12" s="43" t="s">
        <v>5</v>
      </c>
      <c r="D12">
        <f>B4+IF($G$1=$C12,$B$7,0)</f>
        <v>576.6</v>
      </c>
      <c r="E12">
        <f>MAX(B4,C4)+IF($G$1=$C12,$C$7,0)</f>
        <v>1088</v>
      </c>
      <c r="F12">
        <f>D4</f>
        <v>42</v>
      </c>
      <c r="G12" s="86">
        <f>E4</f>
        <v>0.15</v>
      </c>
      <c r="H12" s="65" t="s">
        <v>112</v>
      </c>
      <c r="I12" s="36">
        <f>I10/I8</f>
        <v>115846.606025896</v>
      </c>
      <c r="J12" s="74"/>
      <c r="K12" s="36">
        <f t="shared" si="0"/>
        <v>316118.580571825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319822.972662632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312652.280137755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158799.887121466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86005.4926594095</v>
      </c>
      <c r="P12" s="37">
        <v>1</v>
      </c>
      <c r="Q12" s="38" t="s">
        <v>96</v>
      </c>
      <c r="R12" s="38" t="s">
        <v>82</v>
      </c>
      <c r="S12" s="38" t="s">
        <v>108</v>
      </c>
      <c r="T12" s="38" t="s">
        <v>72</v>
      </c>
      <c r="U12" s="38" t="s">
        <v>103</v>
      </c>
      <c r="V12" s="38" t="s">
        <v>93</v>
      </c>
      <c r="W12" s="38" t="s">
        <v>73</v>
      </c>
      <c r="X12" s="38" t="s">
        <v>89</v>
      </c>
      <c r="Y12" s="38" t="s">
        <v>71</v>
      </c>
      <c r="Z12" s="38" t="s">
        <v>71</v>
      </c>
      <c r="AA12" s="38" t="s">
        <v>71</v>
      </c>
      <c r="AB12" s="38" t="s">
        <v>71</v>
      </c>
      <c r="AC12" s="38" t="s">
        <v>71</v>
      </c>
      <c r="AD12" s="38" t="s">
        <v>71</v>
      </c>
      <c r="AE12" s="38" t="s">
        <v>74</v>
      </c>
      <c r="AF12" s="38" t="s">
        <v>98</v>
      </c>
      <c r="AG12" t="str">
        <f>VLOOKUP($Q12,武学奇术!$A:$ZZ,25,FALSE)</f>
        <v>陌刀</v>
      </c>
      <c r="AH12" s="24">
        <f>VLOOKUP($Q12,武学奇术!$A:$ZZ,26,FALSE)</f>
        <v>7.2368</v>
      </c>
      <c r="AI12" s="25">
        <f>VLOOKUP($Q12,武学奇术!$A:$ZZ,27,FALSE)*(1+IF(OR($AG12=$F$4,$AG12=$F$5),$B$22,0))</f>
        <v>2802.8</v>
      </c>
      <c r="AJ12" s="24">
        <f>VLOOKUP($Q12,武学奇术!$A:$ZZ,28,FALSE)</f>
        <v>10.8553</v>
      </c>
      <c r="AK12" s="25">
        <f>VLOOKUP($Q12,武学奇术!$A:$ZZ,29,FALSE)*(1+IF(OR($AG12=$F$4,$AG12=$F$5),$B$22,0))</f>
        <v>1526</v>
      </c>
      <c r="AL12" s="24" cm="1">
        <f t="array" ref="AL12">$G$3+IFERROR(VLOOKUP($AG12,$F$4:$G$7,2,FALSE),0)+VLOOKUP($Q12,武学奇术!$A:$ZZ,2,FALSE)+SUM(_xlfn.XLOOKUP($R12:$AF12,增益!$A:$A,增益!$B:$B,0))</f>
        <v>1.0041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1481.6</v>
      </c>
      <c r="AO12" cm="1">
        <f t="array" ref="AO12">$E$10*(1+$AM12)+VLOOKUP($Q12,武学奇术!$A:$ZZ,4,FALSE)+SUM(_xlfn.XLOOKUP($R12:$AF12,增益!$A:$A,增益!$D:$D,0))-$I$2</f>
        <v>5853.7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0.337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576.6</v>
      </c>
      <c r="AX12">
        <f t="shared" si="4"/>
        <v>1088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0.14</v>
      </c>
      <c r="AZ12" s="30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0.846</v>
      </c>
      <c r="BK12" s="24" cm="1">
        <f t="array" ref="BK12">1+$B$13+VLOOKUP($Q12,武学奇术!$A:$ZZ,18,FALSE)+SUM(_xlfn.XLOOKUP(R12:AF12,增益!$A:$A,增益!$R:$R,0))</f>
        <v>2.014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0.1371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0.846</v>
      </c>
      <c r="BO12" s="24">
        <f t="shared" si="10"/>
        <v>0.0168999999999999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0.11</v>
      </c>
    </row>
    <row r="13" ht="14.25" spans="1:69">
      <c r="A13" s="39" t="s">
        <v>113</v>
      </c>
      <c r="B13" s="67">
        <f>54.4%+IF(G2="时雨",10%,0)</f>
        <v>0.644</v>
      </c>
      <c r="C13" s="43" t="s">
        <v>84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6">
        <f>E5</f>
        <v>0</v>
      </c>
      <c r="H13" s="68"/>
      <c r="I13" s="75"/>
      <c r="J13" s="73"/>
      <c r="K13" s="36">
        <f t="shared" si="0"/>
        <v>192248.424896527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195033.167329854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187058.074835682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94952.8565383903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51344.1761614604</v>
      </c>
      <c r="P13" s="37">
        <v>1</v>
      </c>
      <c r="Q13" s="38" t="s">
        <v>102</v>
      </c>
      <c r="R13" s="38" t="s">
        <v>82</v>
      </c>
      <c r="S13" s="38" t="s">
        <v>108</v>
      </c>
      <c r="T13" s="38" t="s">
        <v>72</v>
      </c>
      <c r="U13" s="38" t="s">
        <v>103</v>
      </c>
      <c r="V13" s="38" t="s">
        <v>93</v>
      </c>
      <c r="W13" s="38" t="s">
        <v>73</v>
      </c>
      <c r="X13" s="38" t="s">
        <v>114</v>
      </c>
      <c r="Y13" s="38" t="s">
        <v>71</v>
      </c>
      <c r="Z13" s="38" t="s">
        <v>71</v>
      </c>
      <c r="AA13" s="38" t="s">
        <v>71</v>
      </c>
      <c r="AB13" s="38" t="s">
        <v>71</v>
      </c>
      <c r="AC13" s="38" t="s">
        <v>71</v>
      </c>
      <c r="AD13" s="38" t="s">
        <v>71</v>
      </c>
      <c r="AE13" s="38" t="s">
        <v>74</v>
      </c>
      <c r="AF13" s="38" t="s">
        <v>98</v>
      </c>
      <c r="AG13" t="str">
        <f>VLOOKUP($Q13,武学奇术!$A:$ZZ,25,FALSE)</f>
        <v>陌刀</v>
      </c>
      <c r="AH13" s="24">
        <f>VLOOKUP($Q13,武学奇术!$A:$ZZ,26,FALSE)</f>
        <v>4.2807</v>
      </c>
      <c r="AI13" s="25">
        <f>VLOOKUP($Q13,武学奇术!$A:$ZZ,27,FALSE)*(1+IF(OR($AG13=$F$4,$AG13=$F$5),$B$22,0))</f>
        <v>1657.6</v>
      </c>
      <c r="AJ13" s="24">
        <f>VLOOKUP($Q13,武学奇术!$A:$ZZ,28,FALSE)</f>
        <v>6.421</v>
      </c>
      <c r="AK13" s="25">
        <f>VLOOKUP($Q13,武学奇术!$A:$ZZ,29,FALSE)*(1+IF(OR($AG13=$F$4,$AG13=$F$5),$B$22,0))</f>
        <v>903</v>
      </c>
      <c r="AL13" s="24" cm="1">
        <f t="array" ref="AL13">$G$3+IFERROR(VLOOKUP($AG13,$F$4:$G$7,2,FALSE),0)+VLOOKUP($Q13,武学奇术!$A:$ZZ,2,FALSE)+SUM(_xlfn.XLOOKUP($R13:$AF13,增益!$A:$A,增益!$B:$B,0))</f>
        <v>1.0041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1481.6</v>
      </c>
      <c r="AO13" cm="1">
        <f t="array" ref="AO13">$E$10*(1+$AM13)+VLOOKUP($Q13,武学奇术!$A:$ZZ,4,FALSE)+SUM(_xlfn.XLOOKUP($R13:$AF13,增益!$A:$A,增益!$D:$D,0))-$I$2</f>
        <v>5853.7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0.357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576.6</v>
      </c>
      <c r="AX13">
        <f t="shared" si="4"/>
        <v>1088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0.14</v>
      </c>
      <c r="AZ13" s="30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0.846</v>
      </c>
      <c r="BK13" s="24" cm="1">
        <f t="array" ref="BK13">1+$B$13+VLOOKUP($Q13,武学奇术!$A:$ZZ,18,FALSE)+SUM(_xlfn.XLOOKUP(R13:AF13,增益!$A:$A,增益!$R:$R,0))</f>
        <v>2.054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0.1371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0.846</v>
      </c>
      <c r="BO13" s="24">
        <f t="shared" si="10"/>
        <v>0.0168999999999999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0.11</v>
      </c>
    </row>
    <row r="14" ht="14.25" spans="1:69">
      <c r="A14" s="39" t="s">
        <v>115</v>
      </c>
      <c r="B14" s="67">
        <v>0.35</v>
      </c>
      <c r="C14" s="51" t="s">
        <v>90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7">
        <f>E6</f>
        <v>0</v>
      </c>
      <c r="H14" s="34" t="s">
        <v>116</v>
      </c>
      <c r="I14" s="70">
        <f>RD!I14</f>
        <v>124434.164960841</v>
      </c>
      <c r="J14" s="71"/>
      <c r="K14" s="36">
        <f t="shared" si="0"/>
        <v>318686.589049016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323091.445936977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311304.688790204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158068.222082669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85540.3783948177</v>
      </c>
      <c r="P14" s="37">
        <v>1</v>
      </c>
      <c r="Q14" s="38" t="s">
        <v>96</v>
      </c>
      <c r="R14" s="38" t="s">
        <v>82</v>
      </c>
      <c r="S14" s="38" t="s">
        <v>108</v>
      </c>
      <c r="T14" s="38" t="s">
        <v>72</v>
      </c>
      <c r="U14" s="38" t="s">
        <v>103</v>
      </c>
      <c r="V14" s="38" t="s">
        <v>117</v>
      </c>
      <c r="W14" s="38" t="s">
        <v>71</v>
      </c>
      <c r="X14" s="38" t="s">
        <v>118</v>
      </c>
      <c r="Y14" s="38" t="s">
        <v>71</v>
      </c>
      <c r="Z14" s="38" t="s">
        <v>71</v>
      </c>
      <c r="AA14" s="38" t="s">
        <v>71</v>
      </c>
      <c r="AB14" s="38" t="s">
        <v>71</v>
      </c>
      <c r="AC14" s="38" t="s">
        <v>71</v>
      </c>
      <c r="AD14" s="38" t="s">
        <v>71</v>
      </c>
      <c r="AE14" s="38" t="s">
        <v>74</v>
      </c>
      <c r="AF14" s="38" t="s">
        <v>98</v>
      </c>
      <c r="AG14" t="str">
        <f>VLOOKUP($Q14,武学奇术!$A:$ZZ,25,FALSE)</f>
        <v>陌刀</v>
      </c>
      <c r="AH14" s="24">
        <f>VLOOKUP($Q14,武学奇术!$A:$ZZ,26,FALSE)</f>
        <v>7.2368</v>
      </c>
      <c r="AI14" s="25">
        <f>VLOOKUP($Q14,武学奇术!$A:$ZZ,27,FALSE)*(1+IF(OR($AG14=$F$4,$AG14=$F$5),$B$22,0))</f>
        <v>2802.8</v>
      </c>
      <c r="AJ14" s="24">
        <f>VLOOKUP($Q14,武学奇术!$A:$ZZ,28,FALSE)</f>
        <v>10.8553</v>
      </c>
      <c r="AK14" s="25">
        <f>VLOOKUP($Q14,武学奇术!$A:$ZZ,29,FALSE)*(1+IF(OR($AG14=$F$4,$AG14=$F$5),$B$22,0))</f>
        <v>1526</v>
      </c>
      <c r="AL14" s="24" cm="1">
        <f t="array" ref="AL14">$G$3+IFERROR(VLOOKUP($AG14,$F$4:$G$7,2,FALSE),0)+VLOOKUP($Q14,武学奇术!$A:$ZZ,2,FALSE)+SUM(_xlfn.XLOOKUP($R14:$AF14,增益!$A:$A,增益!$B:$B,0))</f>
        <v>0.9841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1481.6</v>
      </c>
      <c r="AO14" cm="1">
        <f t="array" ref="AO14">$E$10*(1+$AM14)+VLOOKUP($Q14,武学奇术!$A:$ZZ,4,FALSE)+SUM(_xlfn.XLOOKUP($R14:$AF14,增益!$A:$A,增益!$D:$D,0))-$I$2</f>
        <v>5853.7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0.347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576.6</v>
      </c>
      <c r="AX14">
        <f t="shared" si="4"/>
        <v>1088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0.14</v>
      </c>
      <c r="AZ14" s="30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0.846</v>
      </c>
      <c r="BK14" s="24" cm="1">
        <f t="array" ref="BK14">1+$B$13+VLOOKUP($Q14,武学奇术!$A:$ZZ,18,FALSE)+SUM(_xlfn.XLOOKUP(R14:AF14,增益!$A:$A,增益!$R:$R,0))</f>
        <v>2.044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0.1371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0.846</v>
      </c>
      <c r="BO14" s="24">
        <f t="shared" si="10"/>
        <v>0.0168999999999999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0.11</v>
      </c>
    </row>
    <row r="15" ht="14.25" spans="1:69">
      <c r="A15" s="39" t="s">
        <v>119</v>
      </c>
      <c r="B15" s="67">
        <v>0.0852</v>
      </c>
      <c r="C15" s="37" t="s">
        <v>120</v>
      </c>
      <c r="D15" s="37"/>
      <c r="F15" s="76"/>
      <c r="H15" s="77"/>
      <c r="I15" s="72"/>
      <c r="J15" s="73"/>
      <c r="K15" s="36">
        <f t="shared" si="0"/>
        <v>197114.994002984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200494.088219403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188759.096402525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95746.9380226374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51672.3231545152</v>
      </c>
      <c r="P15" s="37">
        <v>1</v>
      </c>
      <c r="Q15" s="38" t="s">
        <v>102</v>
      </c>
      <c r="R15" s="38" t="s">
        <v>87</v>
      </c>
      <c r="S15" s="38" t="s">
        <v>108</v>
      </c>
      <c r="T15" s="38" t="s">
        <v>72</v>
      </c>
      <c r="U15" s="38" t="s">
        <v>103</v>
      </c>
      <c r="V15" s="38" t="s">
        <v>117</v>
      </c>
      <c r="W15" s="38" t="s">
        <v>71</v>
      </c>
      <c r="X15" s="38" t="s">
        <v>121</v>
      </c>
      <c r="Y15" s="38" t="s">
        <v>71</v>
      </c>
      <c r="Z15" s="38" t="s">
        <v>71</v>
      </c>
      <c r="AA15" s="38" t="s">
        <v>71</v>
      </c>
      <c r="AB15" s="38" t="s">
        <v>71</v>
      </c>
      <c r="AC15" s="38" t="s">
        <v>71</v>
      </c>
      <c r="AD15" s="38" t="s">
        <v>71</v>
      </c>
      <c r="AE15" s="38" t="s">
        <v>74</v>
      </c>
      <c r="AF15" s="38" t="s">
        <v>98</v>
      </c>
      <c r="AG15" t="str">
        <f>VLOOKUP($Q15,武学奇术!$A:$ZZ,25,FALSE)</f>
        <v>陌刀</v>
      </c>
      <c r="AH15" s="24">
        <f>VLOOKUP($Q15,武学奇术!$A:$ZZ,26,FALSE)</f>
        <v>4.2807</v>
      </c>
      <c r="AI15" s="25">
        <f>VLOOKUP($Q15,武学奇术!$A:$ZZ,27,FALSE)*(1+IF(OR($AG15=$F$4,$AG15=$F$5),$B$22,0))</f>
        <v>1657.6</v>
      </c>
      <c r="AJ15" s="24">
        <f>VLOOKUP($Q15,武学奇术!$A:$ZZ,28,FALSE)</f>
        <v>6.421</v>
      </c>
      <c r="AK15" s="25">
        <f>VLOOKUP($Q15,武学奇术!$A:$ZZ,29,FALSE)*(1+IF(OR($AG15=$F$4,$AG15=$F$5),$B$22,0))</f>
        <v>903</v>
      </c>
      <c r="AL15" s="24" cm="1">
        <f t="array" ref="AL15">$G$3+IFERROR(VLOOKUP($AG15,$F$4:$G$7,2,FALSE),0)+VLOOKUP($Q15,武学奇术!$A:$ZZ,2,FALSE)+SUM(_xlfn.XLOOKUP($R15:$AF15,增益!$A:$A,增益!$B:$B,0))</f>
        <v>0.9941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1481.6</v>
      </c>
      <c r="AO15" cm="1">
        <f t="array" ref="AO15">$E$10*(1+$AM15)+VLOOKUP($Q15,武学奇术!$A:$ZZ,4,FALSE)+SUM(_xlfn.XLOOKUP($R15:$AF15,增益!$A:$A,增益!$D:$D,0))-$I$2</f>
        <v>5853.7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0.382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576.6</v>
      </c>
      <c r="AX15">
        <f t="shared" si="4"/>
        <v>1088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0.14</v>
      </c>
      <c r="AZ15" s="30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0.846</v>
      </c>
      <c r="BK15" s="24" cm="1">
        <f t="array" ref="BK15">1+$B$13+VLOOKUP($Q15,武学奇术!$A:$ZZ,18,FALSE)+SUM(_xlfn.XLOOKUP(R15:AF15,增益!$A:$A,增益!$R:$R,0))</f>
        <v>2.094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0.1371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0.846</v>
      </c>
      <c r="BO15" s="24">
        <f t="shared" si="10"/>
        <v>0.0168999999999999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0.11</v>
      </c>
    </row>
    <row r="16" spans="1:69">
      <c r="A16" s="39" t="s">
        <v>122</v>
      </c>
      <c r="B16" s="67">
        <v>0.0887</v>
      </c>
      <c r="C16" s="37"/>
      <c r="D16" s="37"/>
      <c r="E16" s="37" t="s">
        <v>123</v>
      </c>
      <c r="F16" s="76" t="s">
        <v>124</v>
      </c>
      <c r="H16" s="65" t="s">
        <v>125</v>
      </c>
      <c r="I16" s="78">
        <f>I12/115846.61</f>
        <v>0.999999965695124</v>
      </c>
      <c r="J16" s="79"/>
      <c r="K16" s="36">
        <f t="shared" si="0"/>
        <v>301939.846739172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303035.58801571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312881.350822036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158325.803560977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84887.6435500752</v>
      </c>
      <c r="P16" s="37">
        <v>1</v>
      </c>
      <c r="Q16" s="38" t="s">
        <v>96</v>
      </c>
      <c r="R16" s="38" t="s">
        <v>92</v>
      </c>
      <c r="S16" s="38" t="s">
        <v>108</v>
      </c>
      <c r="T16" s="38" t="s">
        <v>71</v>
      </c>
      <c r="U16" s="38" t="s">
        <v>71</v>
      </c>
      <c r="V16" s="38" t="s">
        <v>126</v>
      </c>
      <c r="W16" s="38" t="s">
        <v>71</v>
      </c>
      <c r="X16" s="38" t="s">
        <v>118</v>
      </c>
      <c r="Y16" s="38" t="s">
        <v>71</v>
      </c>
      <c r="Z16" s="38" t="s">
        <v>71</v>
      </c>
      <c r="AA16" s="38" t="s">
        <v>71</v>
      </c>
      <c r="AB16" s="38" t="s">
        <v>71</v>
      </c>
      <c r="AC16" s="38" t="s">
        <v>71</v>
      </c>
      <c r="AD16" s="38" t="s">
        <v>71</v>
      </c>
      <c r="AE16" s="38" t="s">
        <v>74</v>
      </c>
      <c r="AF16" s="38" t="s">
        <v>98</v>
      </c>
      <c r="AG16" t="str">
        <f>VLOOKUP($Q16,武学奇术!$A:$ZZ,25,FALSE)</f>
        <v>陌刀</v>
      </c>
      <c r="AH16" s="24">
        <f>VLOOKUP($Q16,武学奇术!$A:$ZZ,26,FALSE)</f>
        <v>7.2368</v>
      </c>
      <c r="AI16" s="25">
        <f>VLOOKUP($Q16,武学奇术!$A:$ZZ,27,FALSE)*(1+IF(OR($AG16=$F$4,$AG16=$F$5),$B$22,0))</f>
        <v>2802.8</v>
      </c>
      <c r="AJ16" s="24">
        <f>VLOOKUP($Q16,武学奇术!$A:$ZZ,28,FALSE)</f>
        <v>10.8553</v>
      </c>
      <c r="AK16" s="25">
        <f>VLOOKUP($Q16,武学奇术!$A:$ZZ,29,FALSE)*(1+IF(OR($AG16=$F$4,$AG16=$F$5),$B$22,0))</f>
        <v>1526</v>
      </c>
      <c r="AL16" s="24" cm="1">
        <f t="array" ref="AL16">$G$3+IFERROR(VLOOKUP($AG16,$F$4:$G$7,2,FALSE),0)+VLOOKUP($Q16,武学奇术!$A:$ZZ,2,FALSE)+SUM(_xlfn.XLOOKUP($R16:$AF16,增益!$A:$A,增益!$B:$B,0))</f>
        <v>1.0041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1481.6</v>
      </c>
      <c r="AO16" cm="1">
        <f t="array" ref="AO16">$E$10*(1+$AM16)+VLOOKUP($Q16,武学奇术!$A:$ZZ,4,FALSE)+SUM(_xlfn.XLOOKUP($R16:$AF16,增益!$A:$A,增益!$D:$D,0))-$I$2</f>
        <v>5853.7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0.367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576.6</v>
      </c>
      <c r="AX16">
        <f t="shared" si="4"/>
        <v>1088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0.06</v>
      </c>
      <c r="AZ16" s="30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-0.3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0.846</v>
      </c>
      <c r="BK16" s="24" cm="1">
        <f t="array" ref="BK16">1+$B$13+VLOOKUP($Q16,武学奇术!$A:$ZZ,18,FALSE)+SUM(_xlfn.XLOOKUP(R16:AF16,增益!$A:$A,增益!$R:$R,0))</f>
        <v>1.914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0.1371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0.846</v>
      </c>
      <c r="BO16" s="24">
        <f t="shared" si="10"/>
        <v>0.0168999999999999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0.11</v>
      </c>
    </row>
    <row r="17" ht="14.25" spans="1:69">
      <c r="A17" s="39" t="s">
        <v>127</v>
      </c>
      <c r="B17" s="67">
        <v>0.0852</v>
      </c>
      <c r="C17" s="37" t="s">
        <v>128</v>
      </c>
      <c r="D17" s="76" t="s">
        <v>124</v>
      </c>
      <c r="E17" s="37" t="s">
        <v>129</v>
      </c>
      <c r="F17" s="76" t="s">
        <v>124</v>
      </c>
      <c r="H17" s="68"/>
      <c r="I17" s="80"/>
      <c r="J17" s="81"/>
      <c r="K17" s="36">
        <f t="shared" si="0"/>
        <v>188521.115898298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189991.040253932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190764.728112175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96736.7822066862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52166.3584043539</v>
      </c>
      <c r="P17" s="37">
        <v>1</v>
      </c>
      <c r="Q17" s="38" t="s">
        <v>102</v>
      </c>
      <c r="R17" s="38" t="s">
        <v>92</v>
      </c>
      <c r="S17" s="38" t="s">
        <v>108</v>
      </c>
      <c r="T17" s="38" t="s">
        <v>71</v>
      </c>
      <c r="U17" s="38" t="s">
        <v>103</v>
      </c>
      <c r="V17" s="38" t="s">
        <v>126</v>
      </c>
      <c r="W17" s="38" t="s">
        <v>71</v>
      </c>
      <c r="X17" s="38" t="s">
        <v>121</v>
      </c>
      <c r="Y17" s="38" t="s">
        <v>71</v>
      </c>
      <c r="Z17" s="38" t="s">
        <v>71</v>
      </c>
      <c r="AA17" s="38" t="s">
        <v>71</v>
      </c>
      <c r="AB17" s="38" t="s">
        <v>71</v>
      </c>
      <c r="AC17" s="38" t="s">
        <v>71</v>
      </c>
      <c r="AD17" s="38" t="s">
        <v>71</v>
      </c>
      <c r="AE17" s="38" t="s">
        <v>74</v>
      </c>
      <c r="AF17" s="38" t="s">
        <v>98</v>
      </c>
      <c r="AG17" t="str">
        <f>VLOOKUP($Q17,武学奇术!$A:$ZZ,25,FALSE)</f>
        <v>陌刀</v>
      </c>
      <c r="AH17" s="24">
        <f>VLOOKUP($Q17,武学奇术!$A:$ZZ,26,FALSE)</f>
        <v>4.2807</v>
      </c>
      <c r="AI17" s="25">
        <f>VLOOKUP($Q17,武学奇术!$A:$ZZ,27,FALSE)*(1+IF(OR($AG17=$F$4,$AG17=$F$5),$B$22,0))</f>
        <v>1657.6</v>
      </c>
      <c r="AJ17" s="24">
        <f>VLOOKUP($Q17,武学奇术!$A:$ZZ,28,FALSE)</f>
        <v>6.421</v>
      </c>
      <c r="AK17" s="25">
        <f>VLOOKUP($Q17,武学奇术!$A:$ZZ,29,FALSE)*(1+IF(OR($AG17=$F$4,$AG17=$F$5),$B$22,0))</f>
        <v>903</v>
      </c>
      <c r="AL17" s="24" cm="1">
        <f t="array" ref="AL17">$G$3+IFERROR(VLOOKUP($AG17,$F$4:$G$7,2,FALSE),0)+VLOOKUP($Q17,武学奇术!$A:$ZZ,2,FALSE)+SUM(_xlfn.XLOOKUP($R17:$AF17,增益!$A:$A,增益!$B:$B,0))</f>
        <v>1.0041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1481.6</v>
      </c>
      <c r="AO17" cm="1">
        <f t="array" ref="AO17">$E$10*(1+$AM17)+VLOOKUP($Q17,武学奇术!$A:$ZZ,4,FALSE)+SUM(_xlfn.XLOOKUP($R17:$AF17,增益!$A:$A,增益!$D:$D,0))-$I$2</f>
        <v>5853.7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0.392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576.6</v>
      </c>
      <c r="AX17">
        <f t="shared" si="4"/>
        <v>1088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0.14</v>
      </c>
      <c r="AZ17" s="30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0.846</v>
      </c>
      <c r="BK17" s="24" cm="1">
        <f t="array" ref="BK17">1+$B$13+VLOOKUP($Q17,武学奇术!$A:$ZZ,18,FALSE)+SUM(_xlfn.XLOOKUP(R17:AF17,增益!$A:$A,增益!$R:$R,0))</f>
        <v>1.964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0.1371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0.846</v>
      </c>
      <c r="BO17" s="24">
        <f t="shared" si="10"/>
        <v>0.0168999999999999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0.11</v>
      </c>
    </row>
    <row r="18" spans="1:69">
      <c r="A18" s="39" t="s">
        <v>130</v>
      </c>
      <c r="B18" s="67">
        <v>0</v>
      </c>
      <c r="C18" s="37" t="s">
        <v>131</v>
      </c>
      <c r="D18" s="76" t="s">
        <v>124</v>
      </c>
      <c r="E18" s="37" t="s">
        <v>132</v>
      </c>
      <c r="F18" s="76" t="s">
        <v>124</v>
      </c>
      <c r="K18" s="36">
        <f t="shared" si="0"/>
        <v>9268.60405456191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10596.451144558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10506.2161180659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5368.00969835765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2953.63708703688</v>
      </c>
      <c r="P18" s="37">
        <v>1</v>
      </c>
      <c r="Q18" s="38" t="s">
        <v>105</v>
      </c>
      <c r="R18" s="38" t="s">
        <v>92</v>
      </c>
      <c r="S18" s="38" t="s">
        <v>71</v>
      </c>
      <c r="T18" s="38" t="s">
        <v>72</v>
      </c>
      <c r="U18" s="38" t="s">
        <v>103</v>
      </c>
      <c r="V18" s="38" t="s">
        <v>133</v>
      </c>
      <c r="W18" s="38" t="s">
        <v>71</v>
      </c>
      <c r="X18" s="38" t="s">
        <v>118</v>
      </c>
      <c r="Y18" s="38" t="s">
        <v>71</v>
      </c>
      <c r="Z18" s="38" t="s">
        <v>71</v>
      </c>
      <c r="AA18" s="38" t="s">
        <v>71</v>
      </c>
      <c r="AB18" s="38" t="s">
        <v>71</v>
      </c>
      <c r="AC18" s="38" t="s">
        <v>71</v>
      </c>
      <c r="AD18" s="38" t="s">
        <v>71</v>
      </c>
      <c r="AE18" s="38" t="s">
        <v>74</v>
      </c>
      <c r="AF18" s="38" t="s">
        <v>71</v>
      </c>
      <c r="AG18" t="str">
        <f>VLOOKUP($Q18,武学奇术!$A:$ZZ,25,FALSE)</f>
        <v>枪</v>
      </c>
      <c r="AH18" s="24">
        <f>VLOOKUP($Q18,武学奇术!$A:$ZZ,26,FALSE)</f>
        <v>0.4843</v>
      </c>
      <c r="AI18" s="25">
        <f>VLOOKUP($Q18,武学奇术!$A:$ZZ,27,FALSE)*(1+IF(OR($AG18=$F$4,$AG18=$F$5),$B$22,0))</f>
        <v>187.6</v>
      </c>
      <c r="AJ18" s="24">
        <f>VLOOKUP($Q18,武学奇术!$A:$ZZ,28,FALSE)</f>
        <v>0.7264</v>
      </c>
      <c r="AK18" s="25">
        <f>VLOOKUP($Q18,武学奇术!$A:$ZZ,29,FALSE)*(1+IF(OR($AG18=$F$4,$AG18=$F$5),$B$22,0))</f>
        <v>102.2</v>
      </c>
      <c r="AL18" s="24" cm="1">
        <f t="array" ref="AL18">$G$3+IFERROR(VLOOKUP($AG18,$F$4:$G$7,2,FALSE),0)+VLOOKUP($Q18,武学奇术!$A:$ZZ,2,FALSE)+SUM(_xlfn.XLOOKUP($R18:$AF18,增益!$A:$A,增益!$B:$B,0))</f>
        <v>0.3389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1481.6</v>
      </c>
      <c r="AO18" cm="1">
        <f t="array" ref="AO18">$E$10*(1+$AM18)+VLOOKUP($Q18,武学奇术!$A:$ZZ,4,FALSE)+SUM(_xlfn.XLOOKUP($R18:$AF18,增益!$A:$A,增益!$D:$D,0))-$I$2</f>
        <v>5653.7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0.367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576.6</v>
      </c>
      <c r="AX18">
        <f t="shared" si="4"/>
        <v>1088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0.14</v>
      </c>
      <c r="AZ18" s="30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0.6113</v>
      </c>
      <c r="BK18" s="24" cm="1">
        <f t="array" ref="BK18">1+$B$13+VLOOKUP($Q18,武学奇术!$A:$ZZ,18,FALSE)+SUM(_xlfn.XLOOKUP(R18:AF18,增益!$A:$A,增益!$R:$R,0))</f>
        <v>1.974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0.1371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0.6113</v>
      </c>
      <c r="BO18" s="24">
        <f t="shared" si="10"/>
        <v>0.2516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0.11</v>
      </c>
    </row>
    <row r="19" spans="1:69">
      <c r="A19" s="39" t="s">
        <v>134</v>
      </c>
      <c r="B19" s="67">
        <v>0</v>
      </c>
      <c r="C19" s="37" t="s">
        <v>135</v>
      </c>
      <c r="D19" s="76" t="s">
        <v>124</v>
      </c>
      <c r="E19" t="s">
        <v>136</v>
      </c>
      <c r="F19" s="76" t="s">
        <v>124</v>
      </c>
      <c r="K19" s="36">
        <f t="shared" si="0"/>
        <v>329495.087030515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334712.365662685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318023.487914271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161384.94004951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87196.9260884499</v>
      </c>
      <c r="P19" s="37">
        <v>1</v>
      </c>
      <c r="Q19" s="38" t="s">
        <v>96</v>
      </c>
      <c r="R19" s="38" t="s">
        <v>92</v>
      </c>
      <c r="S19" s="38" t="s">
        <v>108</v>
      </c>
      <c r="T19" s="38" t="s">
        <v>72</v>
      </c>
      <c r="U19" s="38" t="s">
        <v>103</v>
      </c>
      <c r="V19" s="38" t="s">
        <v>133</v>
      </c>
      <c r="W19" s="38" t="s">
        <v>71</v>
      </c>
      <c r="X19" s="38" t="s">
        <v>118</v>
      </c>
      <c r="Y19" s="38" t="s">
        <v>71</v>
      </c>
      <c r="Z19" s="38" t="s">
        <v>71</v>
      </c>
      <c r="AA19" s="38" t="s">
        <v>71</v>
      </c>
      <c r="AB19" s="38" t="s">
        <v>71</v>
      </c>
      <c r="AC19" s="38" t="s">
        <v>71</v>
      </c>
      <c r="AD19" s="38" t="s">
        <v>71</v>
      </c>
      <c r="AE19" s="38" t="s">
        <v>74</v>
      </c>
      <c r="AF19" s="38" t="s">
        <v>98</v>
      </c>
      <c r="AG19" t="str">
        <f>VLOOKUP($Q19,武学奇术!$A:$ZZ,25,FALSE)</f>
        <v>陌刀</v>
      </c>
      <c r="AH19" s="24">
        <f>VLOOKUP($Q19,武学奇术!$A:$ZZ,26,FALSE)</f>
        <v>7.2368</v>
      </c>
      <c r="AI19" s="25">
        <f>VLOOKUP($Q19,武学奇术!$A:$ZZ,27,FALSE)*(1+IF(OR($AG19=$F$4,$AG19=$F$5),$B$22,0))</f>
        <v>2802.8</v>
      </c>
      <c r="AJ19" s="24">
        <f>VLOOKUP($Q19,武学奇术!$A:$ZZ,28,FALSE)</f>
        <v>10.8553</v>
      </c>
      <c r="AK19" s="25">
        <f>VLOOKUP($Q19,武学奇术!$A:$ZZ,29,FALSE)*(1+IF(OR($AG19=$F$4,$AG19=$F$5),$B$22,0))</f>
        <v>1526</v>
      </c>
      <c r="AL19" s="24" cm="1">
        <f t="array" ref="AL19">$G$3+IFERROR(VLOOKUP($AG19,$F$4:$G$7,2,FALSE),0)+VLOOKUP($Q19,武学奇术!$A:$ZZ,2,FALSE)+SUM(_xlfn.XLOOKUP($R19:$AF19,增益!$A:$A,增益!$B:$B,0))</f>
        <v>1.0041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1481.6</v>
      </c>
      <c r="AO19" cm="1">
        <f t="array" ref="AO19">$E$10*(1+$AM19)+VLOOKUP($Q19,武学奇术!$A:$ZZ,4,FALSE)+SUM(_xlfn.XLOOKUP($R19:$AF19,增益!$A:$A,增益!$D:$D,0))-$I$2</f>
        <v>5853.7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0.367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576.6</v>
      </c>
      <c r="AX19">
        <f t="shared" si="4"/>
        <v>1088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0.14</v>
      </c>
      <c r="AZ19" s="30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0.846</v>
      </c>
      <c r="BK19" s="24" cm="1">
        <f t="array" ref="BK19">1+$B$13+VLOOKUP($Q19,武学奇术!$A:$ZZ,18,FALSE)+SUM(_xlfn.XLOOKUP(R19:AF19,增益!$A:$A,增益!$R:$R,0))</f>
        <v>2.074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0.1371</v>
      </c>
      <c r="BM19" s="24" cm="1">
        <f t="array" ref="BM19">1+$B$14+VLOOKUP($Q19,武学奇术!$A:$ZZ,20,FALSE)+SUM(_xlfn.XLOOKUP(R19:AF19,增益!$A:$A,增益!$T:$T,0))</f>
        <v>1.35</v>
      </c>
      <c r="BN19" s="24">
        <f t="shared" ref="BN19:BN50" si="11">MIN((1-BL19)*BI19,BI19*BJ19)</f>
        <v>0.846</v>
      </c>
      <c r="BO19" s="24">
        <f t="shared" si="10"/>
        <v>0.0168999999999999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0.11</v>
      </c>
    </row>
    <row r="20" spans="1:69">
      <c r="A20" s="39" t="s">
        <v>137</v>
      </c>
      <c r="B20" s="67">
        <v>0</v>
      </c>
      <c r="K20" s="36">
        <f t="shared" si="0"/>
        <v>201615.406737795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205468.925407001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190764.728112175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96736.7822066862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52166.3584043539</v>
      </c>
      <c r="P20" s="37">
        <v>1</v>
      </c>
      <c r="Q20" s="38" t="s">
        <v>102</v>
      </c>
      <c r="R20" s="38" t="s">
        <v>92</v>
      </c>
      <c r="S20" s="38" t="s">
        <v>108</v>
      </c>
      <c r="T20" s="38" t="s">
        <v>72</v>
      </c>
      <c r="U20" s="38" t="s">
        <v>103</v>
      </c>
      <c r="V20" s="38" t="s">
        <v>133</v>
      </c>
      <c r="W20" s="38" t="s">
        <v>71</v>
      </c>
      <c r="X20" s="38" t="s">
        <v>121</v>
      </c>
      <c r="Y20" s="38" t="s">
        <v>71</v>
      </c>
      <c r="Z20" s="38" t="s">
        <v>71</v>
      </c>
      <c r="AA20" s="38" t="s">
        <v>71</v>
      </c>
      <c r="AB20" s="38" t="s">
        <v>71</v>
      </c>
      <c r="AC20" s="38" t="s">
        <v>71</v>
      </c>
      <c r="AD20" s="38" t="s">
        <v>71</v>
      </c>
      <c r="AE20" s="38" t="s">
        <v>74</v>
      </c>
      <c r="AF20" s="38" t="s">
        <v>98</v>
      </c>
      <c r="AG20" t="str">
        <f>VLOOKUP($Q20,武学奇术!$A:$ZZ,25,FALSE)</f>
        <v>陌刀</v>
      </c>
      <c r="AH20" s="24">
        <f>VLOOKUP($Q20,武学奇术!$A:$ZZ,26,FALSE)</f>
        <v>4.2807</v>
      </c>
      <c r="AI20" s="25">
        <f>VLOOKUP($Q20,武学奇术!$A:$ZZ,27,FALSE)*(1+IF(OR($AG20=$F$4,$AG20=$F$5),$B$22,0))</f>
        <v>1657.6</v>
      </c>
      <c r="AJ20" s="24">
        <f>VLOOKUP($Q20,武学奇术!$A:$ZZ,28,FALSE)</f>
        <v>6.421</v>
      </c>
      <c r="AK20" s="25">
        <f>VLOOKUP($Q20,武学奇术!$A:$ZZ,29,FALSE)*(1+IF(OR($AG20=$F$4,$AG20=$F$5),$B$22,0))</f>
        <v>903</v>
      </c>
      <c r="AL20" s="24" cm="1">
        <f t="array" ref="AL20">$G$3+IFERROR(VLOOKUP($AG20,$F$4:$G$7,2,FALSE),0)+VLOOKUP($Q20,武学奇术!$A:$ZZ,2,FALSE)+SUM(_xlfn.XLOOKUP($R20:$AF20,增益!$A:$A,增益!$B:$B,0))</f>
        <v>1.0041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1481.6</v>
      </c>
      <c r="AO20" cm="1">
        <f t="array" ref="AO20">$E$10*(1+$AM20)+VLOOKUP($Q20,武学奇术!$A:$ZZ,4,FALSE)+SUM(_xlfn.XLOOKUP($R20:$AF20,增益!$A:$A,增益!$D:$D,0))-$I$2</f>
        <v>5853.7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0.392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576.6</v>
      </c>
      <c r="AX20">
        <f t="shared" si="4"/>
        <v>1088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0.14</v>
      </c>
      <c r="AZ20" s="30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0.846</v>
      </c>
      <c r="BK20" s="24" cm="1">
        <f t="array" ref="BK20">1+$B$13+VLOOKUP($Q20,武学奇术!$A:$ZZ,18,FALSE)+SUM(_xlfn.XLOOKUP(R20:AF20,增益!$A:$A,增益!$R:$R,0))</f>
        <v>2.124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0.1371</v>
      </c>
      <c r="BM20" s="24" cm="1">
        <f t="array" ref="BM20">1+$B$14+VLOOKUP($Q20,武学奇术!$A:$ZZ,20,FALSE)+SUM(_xlfn.XLOOKUP(R20:AF20,增益!$A:$A,增益!$T:$T,0))</f>
        <v>1.35</v>
      </c>
      <c r="BN20" s="24">
        <f t="shared" si="11"/>
        <v>0.846</v>
      </c>
      <c r="BO20" s="24">
        <f t="shared" si="10"/>
        <v>0.0168999999999999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0.11</v>
      </c>
    </row>
    <row r="21" ht="14.25" spans="1:69">
      <c r="A21" s="82" t="s">
        <v>138</v>
      </c>
      <c r="B21" s="88">
        <v>0.32</v>
      </c>
      <c r="D21" s="37"/>
      <c r="F21" s="37"/>
      <c r="K21" s="36">
        <f t="shared" si="0"/>
        <v>332225.720216152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337940.064463675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318023.487914271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161384.94004951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87196.9260884499</v>
      </c>
      <c r="P21" s="37">
        <v>1</v>
      </c>
      <c r="Q21" s="38" t="s">
        <v>96</v>
      </c>
      <c r="R21" s="38" t="s">
        <v>92</v>
      </c>
      <c r="S21" s="38" t="s">
        <v>108</v>
      </c>
      <c r="T21" s="38" t="s">
        <v>72</v>
      </c>
      <c r="U21" s="38" t="s">
        <v>103</v>
      </c>
      <c r="V21" s="38" t="s">
        <v>139</v>
      </c>
      <c r="W21" s="38" t="s">
        <v>71</v>
      </c>
      <c r="X21" s="38" t="s">
        <v>118</v>
      </c>
      <c r="Y21" s="38" t="s">
        <v>71</v>
      </c>
      <c r="Z21" s="38" t="s">
        <v>71</v>
      </c>
      <c r="AA21" s="38" t="s">
        <v>71</v>
      </c>
      <c r="AB21" s="38" t="s">
        <v>71</v>
      </c>
      <c r="AC21" s="38" t="s">
        <v>71</v>
      </c>
      <c r="AD21" s="38" t="s">
        <v>71</v>
      </c>
      <c r="AE21" s="38" t="s">
        <v>74</v>
      </c>
      <c r="AF21" s="38" t="s">
        <v>98</v>
      </c>
      <c r="AG21" t="str">
        <f>VLOOKUP($Q21,武学奇术!$A:$ZZ,25,FALSE)</f>
        <v>陌刀</v>
      </c>
      <c r="AH21" s="24">
        <f>VLOOKUP($Q21,武学奇术!$A:$ZZ,26,FALSE)</f>
        <v>7.2368</v>
      </c>
      <c r="AI21" s="25">
        <f>VLOOKUP($Q21,武学奇术!$A:$ZZ,27,FALSE)*(1+IF(OR($AG21=$F$4,$AG21=$F$5),$B$22,0))</f>
        <v>2802.8</v>
      </c>
      <c r="AJ21" s="24">
        <f>VLOOKUP($Q21,武学奇术!$A:$ZZ,28,FALSE)</f>
        <v>10.8553</v>
      </c>
      <c r="AK21" s="25">
        <f>VLOOKUP($Q21,武学奇术!$A:$ZZ,29,FALSE)*(1+IF(OR($AG21=$F$4,$AG21=$F$5),$B$22,0))</f>
        <v>1526</v>
      </c>
      <c r="AL21" s="24" cm="1">
        <f t="array" ref="AL21">$G$3+IFERROR(VLOOKUP($AG21,$F$4:$G$7,2,FALSE),0)+VLOOKUP($Q21,武学奇术!$A:$ZZ,2,FALSE)+SUM(_xlfn.XLOOKUP($R21:$AF21,增益!$A:$A,增益!$B:$B,0))</f>
        <v>1.0041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1481.6</v>
      </c>
      <c r="AO21" cm="1">
        <f t="array" ref="AO21">$E$10*(1+$AM21)+VLOOKUP($Q21,武学奇术!$A:$ZZ,4,FALSE)+SUM(_xlfn.XLOOKUP($R21:$AF21,增益!$A:$A,增益!$D:$D,0))-$I$2</f>
        <v>5853.7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0.367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576.6</v>
      </c>
      <c r="AX21">
        <f t="shared" si="4"/>
        <v>1088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0.14</v>
      </c>
      <c r="AZ21" s="30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0.846</v>
      </c>
      <c r="BK21" s="24" cm="1">
        <f t="array" ref="BK21">1+$B$13+VLOOKUP($Q21,武学奇术!$A:$ZZ,18,FALSE)+SUM(_xlfn.XLOOKUP(R21:AF21,增益!$A:$A,增益!$R:$R,0))</f>
        <v>2.094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0.1371</v>
      </c>
      <c r="BM21" s="24" cm="1">
        <f t="array" ref="BM21">1+$B$14+VLOOKUP($Q21,武学奇术!$A:$ZZ,20,FALSE)+SUM(_xlfn.XLOOKUP(R21:AF21,增益!$A:$A,增益!$T:$T,0))</f>
        <v>1.35</v>
      </c>
      <c r="BN21" s="24">
        <f t="shared" si="11"/>
        <v>0.846</v>
      </c>
      <c r="BO21" s="24">
        <f t="shared" si="10"/>
        <v>0.0168999999999999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0.11</v>
      </c>
    </row>
    <row r="22" spans="1:69">
      <c r="A22" t="s">
        <v>140</v>
      </c>
      <c r="B22" s="26">
        <v>0.4</v>
      </c>
      <c r="K22" s="36">
        <f t="shared" si="0"/>
        <v>719622.629598594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734321.070208073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675410.253586349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342500.499164213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184697.106782983</v>
      </c>
      <c r="P22" s="37">
        <v>3</v>
      </c>
      <c r="Q22" s="38" t="s">
        <v>102</v>
      </c>
      <c r="R22" s="38" t="s">
        <v>92</v>
      </c>
      <c r="S22" s="38" t="s">
        <v>108</v>
      </c>
      <c r="T22" s="38" t="s">
        <v>72</v>
      </c>
      <c r="U22" s="38" t="s">
        <v>103</v>
      </c>
      <c r="V22" s="38" t="s">
        <v>139</v>
      </c>
      <c r="W22" s="38" t="s">
        <v>71</v>
      </c>
      <c r="X22" s="38" t="s">
        <v>121</v>
      </c>
      <c r="Y22" s="38" t="s">
        <v>141</v>
      </c>
      <c r="Z22" s="38" t="s">
        <v>142</v>
      </c>
      <c r="AA22" s="38" t="s">
        <v>71</v>
      </c>
      <c r="AB22" s="38" t="s">
        <v>71</v>
      </c>
      <c r="AC22" s="38" t="s">
        <v>71</v>
      </c>
      <c r="AD22" s="38" t="s">
        <v>71</v>
      </c>
      <c r="AE22" s="38" t="s">
        <v>74</v>
      </c>
      <c r="AF22" s="38" t="s">
        <v>98</v>
      </c>
      <c r="AG22" t="str">
        <f>VLOOKUP($Q22,武学奇术!$A:$ZZ,25,FALSE)</f>
        <v>陌刀</v>
      </c>
      <c r="AH22" s="24">
        <f>VLOOKUP($Q22,武学奇术!$A:$ZZ,26,FALSE)</f>
        <v>4.2807</v>
      </c>
      <c r="AI22" s="25">
        <f>VLOOKUP($Q22,武学奇术!$A:$ZZ,27,FALSE)*(1+IF(OR($AG22=$F$4,$AG22=$F$5),$B$22,0))</f>
        <v>1657.6</v>
      </c>
      <c r="AJ22" s="24">
        <f>VLOOKUP($Q22,武学奇术!$A:$ZZ,28,FALSE)</f>
        <v>6.421</v>
      </c>
      <c r="AK22" s="25">
        <f>VLOOKUP($Q22,武学奇术!$A:$ZZ,29,FALSE)*(1+IF(OR($AG22=$F$4,$AG22=$F$5),$B$22,0))</f>
        <v>903</v>
      </c>
      <c r="AL22" s="24" cm="1">
        <f t="array" ref="AL22">$G$3+IFERROR(VLOOKUP($AG22,$F$4:$G$7,2,FALSE),0)+VLOOKUP($Q22,武学奇术!$A:$ZZ,2,FALSE)+SUM(_xlfn.XLOOKUP($R22:$AF22,增益!$A:$A,增益!$B:$B,0))</f>
        <v>1.0041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1481.6</v>
      </c>
      <c r="AO22" cm="1">
        <f t="array" ref="AO22">$E$10*(1+$AM22)+VLOOKUP($Q22,武学奇术!$A:$ZZ,4,FALSE)+SUM(_xlfn.XLOOKUP($R22:$AF22,增益!$A:$A,增益!$D:$D,0))-$I$2</f>
        <v>5853.7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0.392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0" cm="1">
        <f t="array" ref="AV22">$G$11+VLOOKUP($Q22,武学奇术!$A:$ZZ,10,FALSE)+SUM(_xlfn.XLOOKUP(R22:AF22,增益!$A:$A,增益!$J:$J,0))</f>
        <v>0.1</v>
      </c>
      <c r="AW22">
        <f t="shared" si="3"/>
        <v>576.6</v>
      </c>
      <c r="AX22">
        <f t="shared" si="4"/>
        <v>1088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0.14</v>
      </c>
      <c r="AZ22" s="30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0.846</v>
      </c>
      <c r="BK22" s="24" cm="1">
        <f t="array" ref="BK22">1+$B$13+VLOOKUP($Q22,武学奇术!$A:$ZZ,18,FALSE)+SUM(_xlfn.XLOOKUP(R22:AF22,增益!$A:$A,增益!$R:$R,0))</f>
        <v>2.144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0.1371</v>
      </c>
      <c r="BM22" s="24" cm="1">
        <f t="array" ref="BM22">1+$B$14+VLOOKUP($Q22,武学奇术!$A:$ZZ,20,FALSE)+SUM(_xlfn.XLOOKUP(R22:AF22,增益!$A:$A,增益!$T:$T,0))</f>
        <v>1.35</v>
      </c>
      <c r="BN22" s="24">
        <f t="shared" si="11"/>
        <v>0.846</v>
      </c>
      <c r="BO22" s="24">
        <f t="shared" si="10"/>
        <v>0.0168999999999999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0.31</v>
      </c>
    </row>
    <row r="23" spans="1:69">
      <c r="A23" s="37" t="s">
        <v>143</v>
      </c>
      <c r="B23">
        <v>200</v>
      </c>
      <c r="K23" s="36">
        <f t="shared" si="0"/>
        <v>392086.210345189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398830.166168842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375325.017268194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190463.307625999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102908.083942225</v>
      </c>
      <c r="P23" s="37">
        <v>1</v>
      </c>
      <c r="Q23" s="38" t="s">
        <v>96</v>
      </c>
      <c r="R23" s="38" t="s">
        <v>92</v>
      </c>
      <c r="S23" s="38" t="s">
        <v>108</v>
      </c>
      <c r="T23" s="38" t="s">
        <v>72</v>
      </c>
      <c r="U23" s="38" t="s">
        <v>103</v>
      </c>
      <c r="V23" s="38" t="s">
        <v>139</v>
      </c>
      <c r="W23" s="38" t="s">
        <v>71</v>
      </c>
      <c r="X23" s="38" t="s">
        <v>118</v>
      </c>
      <c r="Y23" s="38" t="s">
        <v>141</v>
      </c>
      <c r="Z23" s="38" t="s">
        <v>142</v>
      </c>
      <c r="AA23" s="38" t="s">
        <v>71</v>
      </c>
      <c r="AB23" s="38" t="s">
        <v>71</v>
      </c>
      <c r="AC23" s="38" t="s">
        <v>71</v>
      </c>
      <c r="AD23" s="38" t="s">
        <v>71</v>
      </c>
      <c r="AE23" s="38" t="s">
        <v>74</v>
      </c>
      <c r="AF23" s="38" t="s">
        <v>98</v>
      </c>
      <c r="AG23" t="str">
        <f>VLOOKUP($Q23,武学奇术!$A:$ZZ,25,FALSE)</f>
        <v>陌刀</v>
      </c>
      <c r="AH23" s="24">
        <f>VLOOKUP($Q23,武学奇术!$A:$ZZ,26,FALSE)</f>
        <v>7.2368</v>
      </c>
      <c r="AI23" s="25">
        <f>VLOOKUP($Q23,武学奇术!$A:$ZZ,27,FALSE)*(1+IF(OR($AG23=$F$4,$AG23=$F$5),$B$22,0))</f>
        <v>2802.8</v>
      </c>
      <c r="AJ23" s="24">
        <f>VLOOKUP($Q23,武学奇术!$A:$ZZ,28,FALSE)</f>
        <v>10.8553</v>
      </c>
      <c r="AK23" s="25">
        <f>VLOOKUP($Q23,武学奇术!$A:$ZZ,29,FALSE)*(1+IF(OR($AG23=$F$4,$AG23=$F$5),$B$22,0))</f>
        <v>1526</v>
      </c>
      <c r="AL23" s="24" cm="1">
        <f t="array" ref="AL23">$G$3+IFERROR(VLOOKUP($AG23,$F$4:$G$7,2,FALSE),0)+VLOOKUP($Q23,武学奇术!$A:$ZZ,2,FALSE)+SUM(_xlfn.XLOOKUP($R23:$AF23,增益!$A:$A,增益!$B:$B,0))</f>
        <v>1.0041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1481.6</v>
      </c>
      <c r="AO23" cm="1">
        <f t="array" ref="AO23">$E$10*(1+$AM23)+VLOOKUP($Q23,武学奇术!$A:$ZZ,4,FALSE)+SUM(_xlfn.XLOOKUP($R23:$AF23,增益!$A:$A,增益!$D:$D,0))-$I$2</f>
        <v>5853.7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0.367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0" cm="1">
        <f t="array" ref="AV23">$G$11+VLOOKUP($Q23,武学奇术!$A:$ZZ,10,FALSE)+SUM(_xlfn.XLOOKUP(R23:AF23,增益!$A:$A,增益!$J:$J,0))</f>
        <v>0.1</v>
      </c>
      <c r="AW23">
        <f t="shared" si="3"/>
        <v>576.6</v>
      </c>
      <c r="AX23">
        <f t="shared" si="4"/>
        <v>1088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0.14</v>
      </c>
      <c r="AZ23" s="30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0.846</v>
      </c>
      <c r="BK23" s="24" cm="1">
        <f t="array" ref="BK23">1+$B$13+VLOOKUP($Q23,武学奇术!$A:$ZZ,18,FALSE)+SUM(_xlfn.XLOOKUP(R23:AF23,增益!$A:$A,增益!$R:$R,0))</f>
        <v>2.094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0.1371</v>
      </c>
      <c r="BM23" s="24" cm="1">
        <f t="array" ref="BM23">1+$B$14+VLOOKUP($Q23,武学奇术!$A:$ZZ,20,FALSE)+SUM(_xlfn.XLOOKUP(R23:AF23,增益!$A:$A,增益!$T:$T,0))</f>
        <v>1.35</v>
      </c>
      <c r="BN23" s="24">
        <f t="shared" si="11"/>
        <v>0.846</v>
      </c>
      <c r="BO23" s="24">
        <f t="shared" si="10"/>
        <v>0.0168999999999999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0.31</v>
      </c>
    </row>
    <row r="24" spans="1:69">
      <c r="A24" s="37"/>
      <c r="B24">
        <v>400</v>
      </c>
      <c r="K24" s="36">
        <f t="shared" si="0"/>
        <v>235472.135568125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240194.721721456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221546.864042986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112031.120205903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59953.4522318157</v>
      </c>
      <c r="P24" s="37">
        <v>1</v>
      </c>
      <c r="Q24" s="38" t="s">
        <v>102</v>
      </c>
      <c r="R24" s="38" t="s">
        <v>92</v>
      </c>
      <c r="S24" s="38" t="s">
        <v>108</v>
      </c>
      <c r="T24" s="38" t="s">
        <v>72</v>
      </c>
      <c r="U24" s="38" t="s">
        <v>71</v>
      </c>
      <c r="V24" s="38" t="s">
        <v>139</v>
      </c>
      <c r="W24" s="38" t="s">
        <v>71</v>
      </c>
      <c r="X24" s="38" t="s">
        <v>121</v>
      </c>
      <c r="Y24" s="38" t="s">
        <v>141</v>
      </c>
      <c r="Z24" s="38" t="s">
        <v>142</v>
      </c>
      <c r="AA24" s="38" t="s">
        <v>71</v>
      </c>
      <c r="AB24" s="38" t="s">
        <v>71</v>
      </c>
      <c r="AC24" s="38" t="s">
        <v>71</v>
      </c>
      <c r="AD24" s="38" t="s">
        <v>71</v>
      </c>
      <c r="AE24" s="38" t="s">
        <v>74</v>
      </c>
      <c r="AF24" s="38" t="s">
        <v>98</v>
      </c>
      <c r="AG24" t="str">
        <f>VLOOKUP($Q24,武学奇术!$A:$ZZ,25,FALSE)</f>
        <v>陌刀</v>
      </c>
      <c r="AH24" s="24">
        <f>VLOOKUP($Q24,武学奇术!$A:$ZZ,26,FALSE)</f>
        <v>4.2807</v>
      </c>
      <c r="AI24" s="25">
        <f>VLOOKUP($Q24,武学奇术!$A:$ZZ,27,FALSE)*(1+IF(OR($AG24=$F$4,$AG24=$F$5),$B$22,0))</f>
        <v>1657.6</v>
      </c>
      <c r="AJ24" s="24">
        <f>VLOOKUP($Q24,武学奇术!$A:$ZZ,28,FALSE)</f>
        <v>6.421</v>
      </c>
      <c r="AK24" s="25">
        <f>VLOOKUP($Q24,武学奇术!$A:$ZZ,29,FALSE)*(1+IF(OR($AG24=$F$4,$AG24=$F$5),$B$22,0))</f>
        <v>903</v>
      </c>
      <c r="AL24" s="24" cm="1">
        <f t="array" ref="AL24">$G$3+IFERROR(VLOOKUP($AG24,$F$4:$G$7,2,FALSE),0)+VLOOKUP($Q24,武学奇术!$A:$ZZ,2,FALSE)+SUM(_xlfn.XLOOKUP($R24:$AF24,增益!$A:$A,增益!$B:$B,0))</f>
        <v>1.0041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1481.6</v>
      </c>
      <c r="AO24" cm="1">
        <f t="array" ref="AO24">$E$10*(1+$AM24)+VLOOKUP($Q24,武学奇术!$A:$ZZ,4,FALSE)+SUM(_xlfn.XLOOKUP($R24:$AF24,增益!$A:$A,增益!$D:$D,0))-$I$2</f>
        <v>5853.7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0.392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0.1</v>
      </c>
      <c r="AW24">
        <f t="shared" si="3"/>
        <v>576.6</v>
      </c>
      <c r="AX24">
        <f t="shared" si="4"/>
        <v>1088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0.06</v>
      </c>
      <c r="AZ24" s="30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0.846</v>
      </c>
      <c r="BK24" s="24" cm="1">
        <f t="array" ref="BK24">1+$B$13+VLOOKUP($Q24,武学奇术!$A:$ZZ,18,FALSE)+SUM(_xlfn.XLOOKUP(R24:AF24,增益!$A:$A,增益!$R:$R,0))</f>
        <v>2.144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0.1371</v>
      </c>
      <c r="BM24" s="24" cm="1">
        <f t="array" ref="BM24">1+$B$14+VLOOKUP($Q24,武学奇术!$A:$ZZ,20,FALSE)+SUM(_xlfn.XLOOKUP(R24:AF24,增益!$A:$A,增益!$T:$T,0))</f>
        <v>1.35</v>
      </c>
      <c r="BN24" s="24">
        <f t="shared" si="11"/>
        <v>0.846</v>
      </c>
      <c r="BO24" s="24">
        <f t="shared" si="10"/>
        <v>0.0168999999999999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0.31</v>
      </c>
    </row>
    <row r="25" spans="1:69">
      <c r="K25" s="36">
        <f t="shared" si="0"/>
        <v>15490.0130060929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17755.1915064981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17475.8597699638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8904.30867928691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4863.53604748956</v>
      </c>
      <c r="P25" s="37">
        <v>1</v>
      </c>
      <c r="Q25" s="38" t="s">
        <v>105</v>
      </c>
      <c r="R25" s="38" t="s">
        <v>92</v>
      </c>
      <c r="S25" s="38" t="s">
        <v>108</v>
      </c>
      <c r="T25" s="38" t="s">
        <v>72</v>
      </c>
      <c r="U25" s="38" t="s">
        <v>71</v>
      </c>
      <c r="V25" s="38" t="s">
        <v>139</v>
      </c>
      <c r="W25" s="38" t="s">
        <v>71</v>
      </c>
      <c r="X25" s="38" t="s">
        <v>118</v>
      </c>
      <c r="Y25" s="38" t="s">
        <v>141</v>
      </c>
      <c r="Z25" s="38" t="s">
        <v>142</v>
      </c>
      <c r="AA25" s="38" t="s">
        <v>71</v>
      </c>
      <c r="AB25" s="38" t="s">
        <v>71</v>
      </c>
      <c r="AC25" s="38" t="s">
        <v>71</v>
      </c>
      <c r="AD25" s="38" t="s">
        <v>71</v>
      </c>
      <c r="AE25" s="38" t="s">
        <v>74</v>
      </c>
      <c r="AF25" s="38" t="s">
        <v>98</v>
      </c>
      <c r="AG25" t="str">
        <f>VLOOKUP($Q25,武学奇术!$A:$ZZ,25,FALSE)</f>
        <v>枪</v>
      </c>
      <c r="AH25" s="24">
        <f>VLOOKUP($Q25,武学奇术!$A:$ZZ,26,FALSE)</f>
        <v>0.4843</v>
      </c>
      <c r="AI25" s="25">
        <f>VLOOKUP($Q25,武学奇术!$A:$ZZ,27,FALSE)*(1+IF(OR($AG25=$F$4,$AG25=$F$5),$B$22,0))</f>
        <v>187.6</v>
      </c>
      <c r="AJ25" s="24">
        <f>VLOOKUP($Q25,武学奇术!$A:$ZZ,28,FALSE)</f>
        <v>0.7264</v>
      </c>
      <c r="AK25" s="25">
        <f>VLOOKUP($Q25,武学奇术!$A:$ZZ,29,FALSE)*(1+IF(OR($AG25=$F$4,$AG25=$F$5),$B$22,0))</f>
        <v>102.2</v>
      </c>
      <c r="AL25" s="24" cm="1">
        <f t="array" ref="AL25">$G$3+IFERROR(VLOOKUP($AG25,$F$4:$G$7,2,FALSE),0)+VLOOKUP($Q25,武学奇术!$A:$ZZ,2,FALSE)+SUM(_xlfn.XLOOKUP($R25:$AF25,增益!$A:$A,增益!$B:$B,0))</f>
        <v>0.9189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1481.6</v>
      </c>
      <c r="AO25" cm="1">
        <f t="array" ref="AO25">$E$10*(1+$AM25)+VLOOKUP($Q25,武学奇术!$A:$ZZ,4,FALSE)+SUM(_xlfn.XLOOKUP($R25:$AF25,增益!$A:$A,增益!$D:$D,0))-$I$2</f>
        <v>5653.7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0.367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0.1</v>
      </c>
      <c r="AW25">
        <f t="shared" si="3"/>
        <v>576.6</v>
      </c>
      <c r="AX25">
        <f t="shared" si="4"/>
        <v>1088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0.06</v>
      </c>
      <c r="AZ25" s="30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-0.3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0.6113</v>
      </c>
      <c r="BK25" s="24" cm="1">
        <f t="array" ref="BK25">1+$B$13+VLOOKUP($Q25,武学奇术!$A:$ZZ,18,FALSE)+SUM(_xlfn.XLOOKUP(R25:AF25,增益!$A:$A,增益!$R:$R,0))</f>
        <v>1.994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0.1371</v>
      </c>
      <c r="BM25" s="24" cm="1">
        <f t="array" ref="BM25">1+$B$14+VLOOKUP($Q25,武学奇术!$A:$ZZ,20,FALSE)+SUM(_xlfn.XLOOKUP(R25:AF25,增益!$A:$A,增益!$T:$T,0))</f>
        <v>1.35</v>
      </c>
      <c r="BN25" s="24">
        <f t="shared" si="11"/>
        <v>0.6113</v>
      </c>
      <c r="BO25" s="24">
        <f t="shared" si="10"/>
        <v>0.2516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0.31</v>
      </c>
    </row>
    <row r="26" spans="1:69">
      <c r="A26" s="4" t="s">
        <v>144</v>
      </c>
      <c r="B26" s="4">
        <v>1.2</v>
      </c>
      <c r="C26" s="4"/>
      <c r="E26">
        <v>2.5</v>
      </c>
      <c r="K26" s="36">
        <f t="shared" si="0"/>
        <v>326049.700105438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331534.232656686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312881.350822036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158325.803560977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84887.6435500752</v>
      </c>
      <c r="P26" s="37">
        <v>1</v>
      </c>
      <c r="Q26" s="38" t="s">
        <v>96</v>
      </c>
      <c r="R26" s="38" t="s">
        <v>92</v>
      </c>
      <c r="S26" s="38" t="s">
        <v>108</v>
      </c>
      <c r="T26" s="38" t="s">
        <v>72</v>
      </c>
      <c r="U26" s="38" t="s">
        <v>71</v>
      </c>
      <c r="V26" s="38" t="s">
        <v>139</v>
      </c>
      <c r="W26" s="38" t="s">
        <v>71</v>
      </c>
      <c r="X26" s="38" t="s">
        <v>118</v>
      </c>
      <c r="Y26" s="38" t="s">
        <v>71</v>
      </c>
      <c r="Z26" s="38" t="s">
        <v>71</v>
      </c>
      <c r="AA26" s="38" t="s">
        <v>71</v>
      </c>
      <c r="AB26" s="38" t="s">
        <v>71</v>
      </c>
      <c r="AC26" s="38" t="s">
        <v>71</v>
      </c>
      <c r="AD26" s="38" t="s">
        <v>71</v>
      </c>
      <c r="AE26" s="38" t="s">
        <v>74</v>
      </c>
      <c r="AF26" s="38" t="s">
        <v>98</v>
      </c>
      <c r="AG26" t="str">
        <f>VLOOKUP($Q26,武学奇术!$A:$ZZ,25,FALSE)</f>
        <v>陌刀</v>
      </c>
      <c r="AH26" s="24">
        <f>VLOOKUP($Q26,武学奇术!$A:$ZZ,26,FALSE)</f>
        <v>7.2368</v>
      </c>
      <c r="AI26" s="25">
        <f>VLOOKUP($Q26,武学奇术!$A:$ZZ,27,FALSE)*(1+IF(OR($AG26=$F$4,$AG26=$F$5),$B$22,0))</f>
        <v>2802.8</v>
      </c>
      <c r="AJ26" s="24">
        <f>VLOOKUP($Q26,武学奇术!$A:$ZZ,28,FALSE)</f>
        <v>10.8553</v>
      </c>
      <c r="AK26" s="25">
        <f>VLOOKUP($Q26,武学奇术!$A:$ZZ,29,FALSE)*(1+IF(OR($AG26=$F$4,$AG26=$F$5),$B$22,0))</f>
        <v>1526</v>
      </c>
      <c r="AL26" s="24" cm="1">
        <f t="array" ref="AL26">$G$3+IFERROR(VLOOKUP($AG26,$F$4:$G$7,2,FALSE),0)+VLOOKUP($Q26,武学奇术!$A:$ZZ,2,FALSE)+SUM(_xlfn.XLOOKUP($R26:$AF26,增益!$A:$A,增益!$B:$B,0))</f>
        <v>1.0041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1481.6</v>
      </c>
      <c r="AO26" cm="1">
        <f t="array" ref="AO26">$E$10*(1+$AM26)+VLOOKUP($Q26,武学奇术!$A:$ZZ,4,FALSE)+SUM(_xlfn.XLOOKUP($R26:$AF26,增益!$A:$A,增益!$D:$D,0))-$I$2</f>
        <v>5853.7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0.367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576.6</v>
      </c>
      <c r="AX26">
        <f t="shared" si="4"/>
        <v>1088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0.06</v>
      </c>
      <c r="AZ26" s="30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0.846</v>
      </c>
      <c r="BK26" s="24" cm="1">
        <f t="array" ref="BK26">1+$B$13+VLOOKUP($Q26,武学奇术!$A:$ZZ,18,FALSE)+SUM(_xlfn.XLOOKUP(R26:AF26,增益!$A:$A,增益!$R:$R,0))</f>
        <v>2.094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0.1371</v>
      </c>
      <c r="BM26" s="24" cm="1">
        <f t="array" ref="BM26">1+$B$14+VLOOKUP($Q26,武学奇术!$A:$ZZ,20,FALSE)+SUM(_xlfn.XLOOKUP(R26:AF26,增益!$A:$A,增益!$T:$T,0))</f>
        <v>1.35</v>
      </c>
      <c r="BN26" s="24">
        <f t="shared" si="11"/>
        <v>0.846</v>
      </c>
      <c r="BO26" s="24">
        <f t="shared" si="10"/>
        <v>0.0168999999999999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0.11</v>
      </c>
    </row>
    <row r="27" spans="1:69">
      <c r="A27" s="4" t="s">
        <v>145</v>
      </c>
      <c r="B27" s="4">
        <v>1.3</v>
      </c>
      <c r="C27" s="4"/>
      <c r="E27">
        <v>20</v>
      </c>
      <c r="K27" s="36">
        <f t="shared" si="0"/>
        <v>203252.193092733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207403.661051135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190764.728112175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96736.7822066862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52166.3584043539</v>
      </c>
      <c r="P27" s="37">
        <v>1</v>
      </c>
      <c r="Q27" s="38" t="s">
        <v>102</v>
      </c>
      <c r="R27" s="38" t="s">
        <v>92</v>
      </c>
      <c r="S27" s="38" t="s">
        <v>108</v>
      </c>
      <c r="T27" s="38" t="s">
        <v>72</v>
      </c>
      <c r="U27" s="38" t="s">
        <v>103</v>
      </c>
      <c r="V27" s="38" t="s">
        <v>139</v>
      </c>
      <c r="W27" s="38" t="s">
        <v>71</v>
      </c>
      <c r="X27" s="38" t="s">
        <v>121</v>
      </c>
      <c r="Y27" s="38" t="s">
        <v>71</v>
      </c>
      <c r="Z27" s="38" t="s">
        <v>71</v>
      </c>
      <c r="AA27" s="38" t="s">
        <v>71</v>
      </c>
      <c r="AB27" s="38" t="s">
        <v>71</v>
      </c>
      <c r="AC27" s="38" t="s">
        <v>71</v>
      </c>
      <c r="AD27" s="38" t="s">
        <v>71</v>
      </c>
      <c r="AE27" s="38" t="s">
        <v>74</v>
      </c>
      <c r="AF27" s="38" t="s">
        <v>98</v>
      </c>
      <c r="AG27" t="str">
        <f>VLOOKUP($Q27,武学奇术!$A:$ZZ,25,FALSE)</f>
        <v>陌刀</v>
      </c>
      <c r="AH27" s="24">
        <f>VLOOKUP($Q27,武学奇术!$A:$ZZ,26,FALSE)</f>
        <v>4.2807</v>
      </c>
      <c r="AI27" s="25">
        <f>VLOOKUP($Q27,武学奇术!$A:$ZZ,27,FALSE)*(1+IF(OR($AG27=$F$4,$AG27=$F$5),$B$22,0))</f>
        <v>1657.6</v>
      </c>
      <c r="AJ27" s="24">
        <f>VLOOKUP($Q27,武学奇术!$A:$ZZ,28,FALSE)</f>
        <v>6.421</v>
      </c>
      <c r="AK27" s="25">
        <f>VLOOKUP($Q27,武学奇术!$A:$ZZ,29,FALSE)*(1+IF(OR($AG27=$F$4,$AG27=$F$5),$B$22,0))</f>
        <v>903</v>
      </c>
      <c r="AL27" s="24" cm="1">
        <f t="array" ref="AL27">$G$3+IFERROR(VLOOKUP($AG27,$F$4:$G$7,2,FALSE),0)+VLOOKUP($Q27,武学奇术!$A:$ZZ,2,FALSE)+SUM(_xlfn.XLOOKUP($R27:$AF27,增益!$A:$A,增益!$B:$B,0))</f>
        <v>1.0041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1481.6</v>
      </c>
      <c r="AO27" cm="1">
        <f t="array" ref="AO27">$E$10*(1+$AM27)+VLOOKUP($Q27,武学奇术!$A:$ZZ,4,FALSE)+SUM(_xlfn.XLOOKUP($R27:$AF27,增益!$A:$A,增益!$D:$D,0))-$I$2</f>
        <v>5853.7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0.392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-0.14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576.6</v>
      </c>
      <c r="AX27">
        <f t="shared" si="4"/>
        <v>1088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0.14</v>
      </c>
      <c r="AZ27" s="30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-0.14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-0.14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0.846</v>
      </c>
      <c r="BK27" s="24" cm="1">
        <f t="array" ref="BK27">1+$B$13+VLOOKUP($Q27,武学奇术!$A:$ZZ,18,FALSE)+SUM(_xlfn.XLOOKUP(R27:AF27,增益!$A:$A,增益!$R:$R,0))</f>
        <v>2.144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0.1371</v>
      </c>
      <c r="BM27" s="24" cm="1">
        <f t="array" ref="BM27">1+$B$14+VLOOKUP($Q27,武学奇术!$A:$ZZ,20,FALSE)+SUM(_xlfn.XLOOKUP(R27:AF27,增益!$A:$A,增益!$T:$T,0))</f>
        <v>1.35</v>
      </c>
      <c r="BN27" s="24">
        <f t="shared" si="11"/>
        <v>0.846</v>
      </c>
      <c r="BO27" s="24">
        <f t="shared" si="10"/>
        <v>0.0168999999999999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0.11</v>
      </c>
    </row>
    <row r="28" spans="1:69">
      <c r="A28" s="4" t="s">
        <v>146</v>
      </c>
      <c r="B28" s="4">
        <v>2</v>
      </c>
      <c r="C28" s="37" t="s">
        <v>147</v>
      </c>
      <c r="E28">
        <v>40</v>
      </c>
      <c r="K28" s="36">
        <f t="shared" si="0"/>
        <v>6806.94347888848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7806.1687995759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7659.09222376071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3914.82888644729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2156.25612566443</v>
      </c>
      <c r="P28" s="37">
        <v>1</v>
      </c>
      <c r="Q28" s="38" t="s">
        <v>148</v>
      </c>
      <c r="R28" s="38" t="s">
        <v>92</v>
      </c>
      <c r="S28" s="38" t="s">
        <v>108</v>
      </c>
      <c r="T28" s="38" t="s">
        <v>72</v>
      </c>
      <c r="U28" s="38" t="s">
        <v>103</v>
      </c>
      <c r="V28" s="38" t="s">
        <v>139</v>
      </c>
      <c r="W28" s="38" t="s">
        <v>71</v>
      </c>
      <c r="X28" s="38" t="s">
        <v>118</v>
      </c>
      <c r="Y28" s="38" t="s">
        <v>71</v>
      </c>
      <c r="Z28" s="38" t="s">
        <v>71</v>
      </c>
      <c r="AA28" s="38" t="s">
        <v>71</v>
      </c>
      <c r="AB28" s="38" t="s">
        <v>71</v>
      </c>
      <c r="AC28" s="38" t="s">
        <v>71</v>
      </c>
      <c r="AD28" s="38" t="s">
        <v>71</v>
      </c>
      <c r="AE28" s="38" t="s">
        <v>74</v>
      </c>
      <c r="AF28" s="38" t="s">
        <v>71</v>
      </c>
      <c r="AG28" t="str">
        <f>VLOOKUP($Q28,武学奇术!$A:$ZZ,25,FALSE)</f>
        <v>枪</v>
      </c>
      <c r="AH28" s="24">
        <f>VLOOKUP($Q28,武学奇术!$A:$ZZ,26,FALSE)</f>
        <v>0.3151</v>
      </c>
      <c r="AI28" s="25">
        <f>VLOOKUP($Q28,武学奇术!$A:$ZZ,27,FALSE)*(1+IF(OR($AG28=$F$4,$AG28=$F$5),$B$22,0))</f>
        <v>123.2</v>
      </c>
      <c r="AJ28" s="24">
        <f>VLOOKUP($Q28,武学奇术!$A:$ZZ,28,FALSE)</f>
        <v>0.4726</v>
      </c>
      <c r="AK28" s="25">
        <f>VLOOKUP($Q28,武学奇术!$A:$ZZ,29,FALSE)*(1+IF(OR($AG28=$F$4,$AG28=$F$5),$B$22,0))</f>
        <v>67.2</v>
      </c>
      <c r="AL28" s="24" cm="1">
        <f t="array" ref="AL28">$G$3+IFERROR(VLOOKUP($AG28,$F$4:$G$7,2,FALSE),0)+VLOOKUP($Q28,武学奇术!$A:$ZZ,2,FALSE)+SUM(_xlfn.XLOOKUP($R28:$AF28,增益!$A:$A,增益!$B:$B,0))</f>
        <v>0.4989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1481.6</v>
      </c>
      <c r="AO28" cm="1">
        <f t="array" ref="AO28">$E$10*(1+$AM28)+VLOOKUP($Q28,武学奇术!$A:$ZZ,4,FALSE)+SUM(_xlfn.XLOOKUP($R28:$AF28,增益!$A:$A,增益!$D:$D,0))-$I$2</f>
        <v>5653.7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0.367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-0.14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576.6</v>
      </c>
      <c r="AX28">
        <f t="shared" si="4"/>
        <v>1088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0.14</v>
      </c>
      <c r="AZ28" s="30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-0.14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-0.14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0.6113</v>
      </c>
      <c r="BK28" s="24" cm="1">
        <f t="array" ref="BK28">1+$B$13+VLOOKUP($Q28,武学奇术!$A:$ZZ,18,FALSE)+SUM(_xlfn.XLOOKUP(R28:AF28,增益!$A:$A,增益!$R:$R,0))</f>
        <v>1.994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0.1371</v>
      </c>
      <c r="BM28" s="24" cm="1">
        <f t="array" ref="BM28">1+$B$14+VLOOKUP($Q28,武学奇术!$A:$ZZ,20,FALSE)+SUM(_xlfn.XLOOKUP(R28:AF28,增益!$A:$A,增益!$T:$T,0))</f>
        <v>1.35</v>
      </c>
      <c r="BN28" s="24">
        <f t="shared" si="11"/>
        <v>0.6113</v>
      </c>
      <c r="BO28" s="24">
        <f t="shared" si="10"/>
        <v>0.2516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0.11</v>
      </c>
    </row>
    <row r="29" spans="1:69">
      <c r="A29" s="4" t="s">
        <v>149</v>
      </c>
      <c r="B29" s="4">
        <v>1.66</v>
      </c>
      <c r="C29" s="37"/>
      <c r="E29">
        <v>60</v>
      </c>
      <c r="K29" s="36">
        <f t="shared" si="0"/>
        <v>664451.440432305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675880.12892735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636046.975828542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322769.880099021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174393.8521769</v>
      </c>
      <c r="P29" s="37">
        <v>2</v>
      </c>
      <c r="Q29" s="38" t="s">
        <v>96</v>
      </c>
      <c r="R29" s="38" t="s">
        <v>92</v>
      </c>
      <c r="S29" s="38" t="s">
        <v>108</v>
      </c>
      <c r="T29" s="38" t="s">
        <v>72</v>
      </c>
      <c r="U29" s="38" t="s">
        <v>103</v>
      </c>
      <c r="V29" s="38" t="s">
        <v>139</v>
      </c>
      <c r="W29" s="38" t="s">
        <v>71</v>
      </c>
      <c r="X29" s="38" t="s">
        <v>118</v>
      </c>
      <c r="Y29" s="38" t="s">
        <v>71</v>
      </c>
      <c r="Z29" s="38" t="s">
        <v>71</v>
      </c>
      <c r="AA29" s="38" t="s">
        <v>71</v>
      </c>
      <c r="AB29" s="38" t="s">
        <v>71</v>
      </c>
      <c r="AC29" s="38" t="s">
        <v>71</v>
      </c>
      <c r="AD29" s="38" t="s">
        <v>71</v>
      </c>
      <c r="AE29" s="38" t="s">
        <v>74</v>
      </c>
      <c r="AF29" s="38" t="s">
        <v>98</v>
      </c>
      <c r="AG29" t="str">
        <f>VLOOKUP($Q29,武学奇术!$A:$ZZ,25,FALSE)</f>
        <v>陌刀</v>
      </c>
      <c r="AH29" s="24">
        <f>VLOOKUP($Q29,武学奇术!$A:$ZZ,26,FALSE)</f>
        <v>7.2368</v>
      </c>
      <c r="AI29" s="25">
        <f>VLOOKUP($Q29,武学奇术!$A:$ZZ,27,FALSE)*(1+IF(OR($AG29=$F$4,$AG29=$F$5),$B$22,0))</f>
        <v>2802.8</v>
      </c>
      <c r="AJ29" s="24">
        <f>VLOOKUP($Q29,武学奇术!$A:$ZZ,28,FALSE)</f>
        <v>10.8553</v>
      </c>
      <c r="AK29" s="25">
        <f>VLOOKUP($Q29,武学奇术!$A:$ZZ,29,FALSE)*(1+IF(OR($AG29=$F$4,$AG29=$F$5),$B$22,0))</f>
        <v>1526</v>
      </c>
      <c r="AL29" s="24" cm="1">
        <f t="array" ref="AL29">$G$3+IFERROR(VLOOKUP($AG29,$F$4:$G$7,2,FALSE),0)+VLOOKUP($Q29,武学奇术!$A:$ZZ,2,FALSE)+SUM(_xlfn.XLOOKUP($R29:$AF29,增益!$A:$A,增益!$B:$B,0))</f>
        <v>1.0041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1481.6</v>
      </c>
      <c r="AO29" cm="1">
        <f t="array" ref="AO29">$E$10*(1+$AM29)+VLOOKUP($Q29,武学奇术!$A:$ZZ,4,FALSE)+SUM(_xlfn.XLOOKUP($R29:$AF29,增益!$A:$A,增益!$D:$D,0))-$I$2</f>
        <v>5853.7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0.367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-0.14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576.6</v>
      </c>
      <c r="AX29">
        <f t="shared" si="4"/>
        <v>1088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0.14</v>
      </c>
      <c r="AZ29" s="30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-0.14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-0.14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0.846</v>
      </c>
      <c r="BK29" s="24" cm="1">
        <f t="array" ref="BK29">1+$B$13+VLOOKUP($Q29,武学奇术!$A:$ZZ,18,FALSE)+SUM(_xlfn.XLOOKUP(R29:AF29,增益!$A:$A,增益!$R:$R,0))</f>
        <v>2.094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0.1371</v>
      </c>
      <c r="BM29" s="24" cm="1">
        <f t="array" ref="BM29">1+$B$14+VLOOKUP($Q29,武学奇术!$A:$ZZ,20,FALSE)+SUM(_xlfn.XLOOKUP(R29:AF29,增益!$A:$A,增益!$T:$T,0))</f>
        <v>1.35</v>
      </c>
      <c r="BN29" s="24">
        <f t="shared" si="11"/>
        <v>0.846</v>
      </c>
      <c r="BO29" s="24">
        <f t="shared" si="10"/>
        <v>0.0168999999999999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0.11</v>
      </c>
    </row>
    <row r="30" spans="1:69">
      <c r="A30" s="4" t="s">
        <v>150</v>
      </c>
      <c r="B30" s="4">
        <v>1.33</v>
      </c>
      <c r="C30" s="37"/>
      <c r="E30">
        <v>81</v>
      </c>
      <c r="K30" s="36">
        <f t="shared" si="0"/>
        <v>406504.386185465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414807.32210227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381529.45622435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193473.564413372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104332.716808708</v>
      </c>
      <c r="P30" s="37">
        <v>2</v>
      </c>
      <c r="Q30" s="38" t="s">
        <v>102</v>
      </c>
      <c r="R30" s="38" t="s">
        <v>92</v>
      </c>
      <c r="S30" s="38" t="s">
        <v>108</v>
      </c>
      <c r="T30" s="38" t="s">
        <v>72</v>
      </c>
      <c r="U30" s="38" t="s">
        <v>103</v>
      </c>
      <c r="V30" s="38" t="s">
        <v>139</v>
      </c>
      <c r="W30" s="38" t="s">
        <v>71</v>
      </c>
      <c r="X30" s="38" t="s">
        <v>121</v>
      </c>
      <c r="Y30" s="38" t="s">
        <v>71</v>
      </c>
      <c r="Z30" s="38" t="s">
        <v>71</v>
      </c>
      <c r="AA30" s="38" t="s">
        <v>71</v>
      </c>
      <c r="AB30" s="38" t="s">
        <v>71</v>
      </c>
      <c r="AC30" s="38" t="s">
        <v>71</v>
      </c>
      <c r="AD30" s="38" t="s">
        <v>71</v>
      </c>
      <c r="AE30" s="38" t="s">
        <v>74</v>
      </c>
      <c r="AF30" s="38" t="s">
        <v>98</v>
      </c>
      <c r="AG30" t="str">
        <f>VLOOKUP($Q30,武学奇术!$A:$ZZ,25,FALSE)</f>
        <v>陌刀</v>
      </c>
      <c r="AH30" s="24">
        <f>VLOOKUP($Q30,武学奇术!$A:$ZZ,26,FALSE)</f>
        <v>4.2807</v>
      </c>
      <c r="AI30" s="25">
        <f>VLOOKUP($Q30,武学奇术!$A:$ZZ,27,FALSE)*(1+IF(OR($AG30=$F$4,$AG30=$F$5),$B$22,0))</f>
        <v>1657.6</v>
      </c>
      <c r="AJ30" s="24">
        <f>VLOOKUP($Q30,武学奇术!$A:$ZZ,28,FALSE)</f>
        <v>6.421</v>
      </c>
      <c r="AK30" s="25">
        <f>VLOOKUP($Q30,武学奇术!$A:$ZZ,29,FALSE)*(1+IF(OR($AG30=$F$4,$AG30=$F$5),$B$22,0))</f>
        <v>903</v>
      </c>
      <c r="AL30" s="24" cm="1">
        <f t="array" ref="AL30">$G$3+IFERROR(VLOOKUP($AG30,$F$4:$G$7,2,FALSE),0)+VLOOKUP($Q30,武学奇术!$A:$ZZ,2,FALSE)+SUM(_xlfn.XLOOKUP($R30:$AF30,增益!$A:$A,增益!$B:$B,0))</f>
        <v>1.0041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1481.6</v>
      </c>
      <c r="AO30" cm="1">
        <f t="array" ref="AO30">$E$10*(1+$AM30)+VLOOKUP($Q30,武学奇术!$A:$ZZ,4,FALSE)+SUM(_xlfn.XLOOKUP($R30:$AF30,增益!$A:$A,增益!$D:$D,0))-$I$2</f>
        <v>5853.7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0.392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-0.14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576.6</v>
      </c>
      <c r="AX30">
        <f t="shared" si="4"/>
        <v>1088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0.14</v>
      </c>
      <c r="AZ30" s="30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-0.14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-0.14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0.846</v>
      </c>
      <c r="BK30" s="24" cm="1">
        <f t="array" ref="BK30">1+$B$13+VLOOKUP($Q30,武学奇术!$A:$ZZ,18,FALSE)+SUM(_xlfn.XLOOKUP(R30:AF30,增益!$A:$A,增益!$R:$R,0))</f>
        <v>2.144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0.1371</v>
      </c>
      <c r="BM30" s="24" cm="1">
        <f t="array" ref="BM30">1+$B$14+VLOOKUP($Q30,武学奇术!$A:$ZZ,20,FALSE)+SUM(_xlfn.XLOOKUP(R30:AF30,增益!$A:$A,增益!$T:$T,0))</f>
        <v>1.35</v>
      </c>
      <c r="BN30" s="24">
        <f t="shared" si="11"/>
        <v>0.846</v>
      </c>
      <c r="BO30" s="24">
        <f t="shared" si="10"/>
        <v>0.0168999999999999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0.11</v>
      </c>
    </row>
    <row r="31" spans="1:69">
      <c r="A31" s="4" t="s">
        <v>69</v>
      </c>
      <c r="B31" s="4">
        <v>0.5</v>
      </c>
      <c r="C31" s="37"/>
      <c r="K31" s="36">
        <f t="shared" si="0"/>
        <v>9157.97100652137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10497.184796926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10332.0389094838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5264.38555512837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2875.40895508359</v>
      </c>
      <c r="P31" s="37">
        <v>1</v>
      </c>
      <c r="Q31" s="38" t="s">
        <v>105</v>
      </c>
      <c r="R31" s="38" t="s">
        <v>92</v>
      </c>
      <c r="S31" s="38" t="s">
        <v>71</v>
      </c>
      <c r="T31" s="38" t="s">
        <v>72</v>
      </c>
      <c r="U31" s="38" t="s">
        <v>71</v>
      </c>
      <c r="V31" s="38" t="s">
        <v>139</v>
      </c>
      <c r="W31" s="38" t="s">
        <v>71</v>
      </c>
      <c r="X31" s="38" t="s">
        <v>118</v>
      </c>
      <c r="Y31" s="38" t="s">
        <v>71</v>
      </c>
      <c r="Z31" s="38" t="s">
        <v>71</v>
      </c>
      <c r="AA31" s="38" t="s">
        <v>71</v>
      </c>
      <c r="AB31" s="38" t="s">
        <v>71</v>
      </c>
      <c r="AC31" s="38" t="s">
        <v>71</v>
      </c>
      <c r="AD31" s="38" t="s">
        <v>71</v>
      </c>
      <c r="AE31" s="38" t="s">
        <v>74</v>
      </c>
      <c r="AF31" s="38" t="s">
        <v>71</v>
      </c>
      <c r="AG31" t="str">
        <f>VLOOKUP($Q31,武学奇术!$A:$ZZ,25,FALSE)</f>
        <v>枪</v>
      </c>
      <c r="AH31" s="24">
        <f>VLOOKUP($Q31,武学奇术!$A:$ZZ,26,FALSE)</f>
        <v>0.4843</v>
      </c>
      <c r="AI31" s="25">
        <f>VLOOKUP($Q31,武学奇术!$A:$ZZ,27,FALSE)*(1+IF(OR($AG31=$F$4,$AG31=$F$5),$B$22,0))</f>
        <v>187.6</v>
      </c>
      <c r="AJ31" s="24">
        <f>VLOOKUP($Q31,武学奇术!$A:$ZZ,28,FALSE)</f>
        <v>0.7264</v>
      </c>
      <c r="AK31" s="25">
        <f>VLOOKUP($Q31,武学奇术!$A:$ZZ,29,FALSE)*(1+IF(OR($AG31=$F$4,$AG31=$F$5),$B$22,0))</f>
        <v>102.2</v>
      </c>
      <c r="AL31" s="24" cm="1">
        <f t="array" ref="AL31">$G$3+IFERROR(VLOOKUP($AG31,$F$4:$G$7,2,FALSE),0)+VLOOKUP($Q31,武学奇术!$A:$ZZ,2,FALSE)+SUM(_xlfn.XLOOKUP($R31:$AF31,增益!$A:$A,增益!$B:$B,0))</f>
        <v>0.3389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1481.6</v>
      </c>
      <c r="AO31" cm="1">
        <f t="array" ref="AO31">$E$10*(1+$AM31)+VLOOKUP($Q31,武学奇术!$A:$ZZ,4,FALSE)+SUM(_xlfn.XLOOKUP($R31:$AF31,增益!$A:$A,增益!$D:$D,0))-$I$2</f>
        <v>5653.7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0.367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576.6</v>
      </c>
      <c r="AX31">
        <f t="shared" si="4"/>
        <v>1088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0.06</v>
      </c>
      <c r="AZ31" s="30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0.6113</v>
      </c>
      <c r="BK31" s="24" cm="1">
        <f t="array" ref="BK31">1+$B$13+VLOOKUP($Q31,武学奇术!$A:$ZZ,18,FALSE)+SUM(_xlfn.XLOOKUP(R31:AF31,增益!$A:$A,增益!$R:$R,0))</f>
        <v>1.994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0.1371</v>
      </c>
      <c r="BM31" s="24" cm="1">
        <f t="array" ref="BM31">1+$B$14+VLOOKUP($Q31,武学奇术!$A:$ZZ,20,FALSE)+SUM(_xlfn.XLOOKUP(R31:AF31,增益!$A:$A,增益!$T:$T,0))</f>
        <v>1.35</v>
      </c>
      <c r="BN31" s="24">
        <f t="shared" si="11"/>
        <v>0.6113</v>
      </c>
      <c r="BO31" s="24">
        <f t="shared" si="10"/>
        <v>0.2516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0.11</v>
      </c>
    </row>
    <row r="32" spans="1:69">
      <c r="A32" s="4" t="s">
        <v>151</v>
      </c>
      <c r="B32" s="4">
        <v>1.4</v>
      </c>
      <c r="C32" s="37"/>
      <c r="K32" s="36">
        <f t="shared" si="0"/>
        <v>305958.15563355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307785.362122539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312881.350822036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158325.803560977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84887.6435500752</v>
      </c>
      <c r="P32" s="37">
        <v>1</v>
      </c>
      <c r="Q32" s="38" t="s">
        <v>96</v>
      </c>
      <c r="R32" s="38" t="s">
        <v>92</v>
      </c>
      <c r="S32" s="38" t="s">
        <v>108</v>
      </c>
      <c r="T32" s="38" t="s">
        <v>71</v>
      </c>
      <c r="U32" s="38" t="s">
        <v>71</v>
      </c>
      <c r="V32" s="38" t="s">
        <v>139</v>
      </c>
      <c r="W32" s="38" t="s">
        <v>71</v>
      </c>
      <c r="X32" s="38" t="s">
        <v>118</v>
      </c>
      <c r="Y32" s="38" t="s">
        <v>71</v>
      </c>
      <c r="Z32" s="38" t="s">
        <v>71</v>
      </c>
      <c r="AA32" s="38" t="s">
        <v>71</v>
      </c>
      <c r="AB32" s="38" t="s">
        <v>71</v>
      </c>
      <c r="AC32" s="38" t="s">
        <v>71</v>
      </c>
      <c r="AD32" s="38" t="s">
        <v>71</v>
      </c>
      <c r="AE32" s="38" t="s">
        <v>74</v>
      </c>
      <c r="AF32" s="38" t="s">
        <v>98</v>
      </c>
      <c r="AG32" t="str">
        <f>VLOOKUP($Q32,武学奇术!$A:$ZZ,25,FALSE)</f>
        <v>陌刀</v>
      </c>
      <c r="AH32" s="24">
        <f>VLOOKUP($Q32,武学奇术!$A:$ZZ,26,FALSE)</f>
        <v>7.2368</v>
      </c>
      <c r="AI32" s="25">
        <f>VLOOKUP($Q32,武学奇术!$A:$ZZ,27,FALSE)*(1+IF(OR($AG32=$F$4,$AG32=$F$5),$B$22,0))</f>
        <v>2802.8</v>
      </c>
      <c r="AJ32" s="24">
        <f>VLOOKUP($Q32,武学奇术!$A:$ZZ,28,FALSE)</f>
        <v>10.8553</v>
      </c>
      <c r="AK32" s="25">
        <f>VLOOKUP($Q32,武学奇术!$A:$ZZ,29,FALSE)*(1+IF(OR($AG32=$F$4,$AG32=$F$5),$B$22,0))</f>
        <v>1526</v>
      </c>
      <c r="AL32" s="24" cm="1">
        <f t="array" ref="AL32">$G$3+IFERROR(VLOOKUP($AG32,$F$4:$G$7,2,FALSE),0)+VLOOKUP($Q32,武学奇术!$A:$ZZ,2,FALSE)+SUM(_xlfn.XLOOKUP($R32:$AF32,增益!$A:$A,增益!$B:$B,0))</f>
        <v>1.0041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1481.6</v>
      </c>
      <c r="AO32" cm="1">
        <f t="array" ref="AO32">$E$10*(1+$AM32)+VLOOKUP($Q32,武学奇术!$A:$ZZ,4,FALSE)+SUM(_xlfn.XLOOKUP($R32:$AF32,增益!$A:$A,增益!$D:$D,0))-$I$2</f>
        <v>5853.7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0.367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576.6</v>
      </c>
      <c r="AX32">
        <f t="shared" si="4"/>
        <v>1088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0.06</v>
      </c>
      <c r="AZ32" s="30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0.846</v>
      </c>
      <c r="BK32" s="24" cm="1">
        <f t="array" ref="BK32">1+$B$13+VLOOKUP($Q32,武学奇术!$A:$ZZ,18,FALSE)+SUM(_xlfn.XLOOKUP(R32:AF32,增益!$A:$A,增益!$R:$R,0))</f>
        <v>1.944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0.1371</v>
      </c>
      <c r="BM32" s="24" cm="1">
        <f t="array" ref="BM32">1+$B$14+VLOOKUP($Q32,武学奇术!$A:$ZZ,20,FALSE)+SUM(_xlfn.XLOOKUP(R32:AF32,增益!$A:$A,增益!$T:$T,0))</f>
        <v>1.35</v>
      </c>
      <c r="BN32" s="24">
        <f t="shared" si="11"/>
        <v>0.846</v>
      </c>
      <c r="BO32" s="24">
        <f t="shared" si="10"/>
        <v>0.0168999999999999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0.11</v>
      </c>
    </row>
    <row r="33" spans="1:69">
      <c r="A33" s="4" t="s">
        <v>149</v>
      </c>
      <c r="B33" s="4">
        <v>1.66</v>
      </c>
      <c r="C33" s="37"/>
      <c r="K33" s="36">
        <f t="shared" si="0"/>
        <v>187475.938106516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189284.701982086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187722.915334134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94927.1323882078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50800.2534177981</v>
      </c>
      <c r="P33" s="37">
        <v>1</v>
      </c>
      <c r="Q33" s="38" t="s">
        <v>102</v>
      </c>
      <c r="R33" s="38" t="s">
        <v>92</v>
      </c>
      <c r="S33" s="38" t="s">
        <v>108</v>
      </c>
      <c r="T33" s="38" t="s">
        <v>71</v>
      </c>
      <c r="U33" s="38" t="s">
        <v>71</v>
      </c>
      <c r="V33" s="38" t="s">
        <v>139</v>
      </c>
      <c r="W33" s="38" t="s">
        <v>71</v>
      </c>
      <c r="X33" s="38" t="s">
        <v>121</v>
      </c>
      <c r="Y33" s="38" t="s">
        <v>71</v>
      </c>
      <c r="Z33" s="38" t="s">
        <v>71</v>
      </c>
      <c r="AA33" s="38" t="s">
        <v>71</v>
      </c>
      <c r="AB33" s="38" t="s">
        <v>71</v>
      </c>
      <c r="AC33" s="38" t="s">
        <v>71</v>
      </c>
      <c r="AD33" s="38" t="s">
        <v>71</v>
      </c>
      <c r="AE33" s="38" t="s">
        <v>74</v>
      </c>
      <c r="AF33" s="38" t="s">
        <v>98</v>
      </c>
      <c r="AG33" t="str">
        <f>VLOOKUP($Q33,武学奇术!$A:$ZZ,25,FALSE)</f>
        <v>陌刀</v>
      </c>
      <c r="AH33" s="24">
        <f>VLOOKUP($Q33,武学奇术!$A:$ZZ,26,FALSE)</f>
        <v>4.2807</v>
      </c>
      <c r="AI33" s="25">
        <f>VLOOKUP($Q33,武学奇术!$A:$ZZ,27,FALSE)*(1+IF(OR($AG33=$F$4,$AG33=$F$5),$B$22,0))</f>
        <v>1657.6</v>
      </c>
      <c r="AJ33" s="24">
        <f>VLOOKUP($Q33,武学奇术!$A:$ZZ,28,FALSE)</f>
        <v>6.421</v>
      </c>
      <c r="AK33" s="25">
        <f>VLOOKUP($Q33,武学奇术!$A:$ZZ,29,FALSE)*(1+IF(OR($AG33=$F$4,$AG33=$F$5),$B$22,0))</f>
        <v>903</v>
      </c>
      <c r="AL33" s="24" cm="1">
        <f t="array" ref="AL33">$G$3+IFERROR(VLOOKUP($AG33,$F$4:$G$7,2,FALSE),0)+VLOOKUP($Q33,武学奇术!$A:$ZZ,2,FALSE)+SUM(_xlfn.XLOOKUP($R33:$AF33,增益!$A:$A,增益!$B:$B,0))</f>
        <v>1.0041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1481.6</v>
      </c>
      <c r="AO33" cm="1">
        <f t="array" ref="AO33">$E$10*(1+$AM33)+VLOOKUP($Q33,武学奇术!$A:$ZZ,4,FALSE)+SUM(_xlfn.XLOOKUP($R33:$AF33,增益!$A:$A,增益!$D:$D,0))-$I$2</f>
        <v>5853.7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0.392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576.6</v>
      </c>
      <c r="AX33">
        <f t="shared" si="4"/>
        <v>1088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0.06</v>
      </c>
      <c r="AZ33" s="30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0.846</v>
      </c>
      <c r="BK33" s="24" cm="1">
        <f t="array" ref="BK33">1+$B$13+VLOOKUP($Q33,武学奇术!$A:$ZZ,18,FALSE)+SUM(_xlfn.XLOOKUP(R33:AF33,增益!$A:$A,增益!$R:$R,0))</f>
        <v>1.994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0.1371</v>
      </c>
      <c r="BM33" s="24" cm="1">
        <f t="array" ref="BM33">1+$B$14+VLOOKUP($Q33,武学奇术!$A:$ZZ,20,FALSE)+SUM(_xlfn.XLOOKUP(R33:AF33,增益!$A:$A,增益!$T:$T,0))</f>
        <v>1.35</v>
      </c>
      <c r="BN33" s="24">
        <f t="shared" si="11"/>
        <v>0.846</v>
      </c>
      <c r="BO33" s="24">
        <f t="shared" si="10"/>
        <v>0.0168999999999999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0.11</v>
      </c>
    </row>
    <row r="34" spans="1:69">
      <c r="A34" s="4" t="s">
        <v>150</v>
      </c>
      <c r="B34" s="4">
        <v>1.33</v>
      </c>
      <c r="C34" s="37"/>
      <c r="K34" s="36">
        <f t="shared" si="0"/>
        <v>311745.971323869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313732.323456248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318023.487914271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161384.94004951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87196.9260884499</v>
      </c>
      <c r="P34" s="37">
        <v>1</v>
      </c>
      <c r="Q34" s="38" t="s">
        <v>96</v>
      </c>
      <c r="R34" s="38" t="s">
        <v>92</v>
      </c>
      <c r="S34" s="38" t="s">
        <v>108</v>
      </c>
      <c r="T34" s="38" t="s">
        <v>71</v>
      </c>
      <c r="U34" s="38" t="s">
        <v>103</v>
      </c>
      <c r="V34" s="38" t="s">
        <v>139</v>
      </c>
      <c r="W34" s="38" t="s">
        <v>71</v>
      </c>
      <c r="X34" s="38" t="s">
        <v>118</v>
      </c>
      <c r="Y34" s="38" t="s">
        <v>71</v>
      </c>
      <c r="Z34" s="38" t="s">
        <v>71</v>
      </c>
      <c r="AA34" s="38" t="s">
        <v>71</v>
      </c>
      <c r="AB34" s="38" t="s">
        <v>71</v>
      </c>
      <c r="AC34" s="38" t="s">
        <v>71</v>
      </c>
      <c r="AD34" s="38" t="s">
        <v>71</v>
      </c>
      <c r="AE34" s="38" t="s">
        <v>74</v>
      </c>
      <c r="AF34" s="38" t="s">
        <v>98</v>
      </c>
      <c r="AG34" t="str">
        <f>VLOOKUP($Q34,武学奇术!$A:$ZZ,25,FALSE)</f>
        <v>陌刀</v>
      </c>
      <c r="AH34" s="24">
        <f>VLOOKUP($Q34,武学奇术!$A:$ZZ,26,FALSE)</f>
        <v>7.2368</v>
      </c>
      <c r="AI34" s="25">
        <f>VLOOKUP($Q34,武学奇术!$A:$ZZ,27,FALSE)*(1+IF(OR($AG34=$F$4,$AG34=$F$5),$B$22,0))</f>
        <v>2802.8</v>
      </c>
      <c r="AJ34" s="24">
        <f>VLOOKUP($Q34,武学奇术!$A:$ZZ,28,FALSE)</f>
        <v>10.8553</v>
      </c>
      <c r="AK34" s="25">
        <f>VLOOKUP($Q34,武学奇术!$A:$ZZ,29,FALSE)*(1+IF(OR($AG34=$F$4,$AG34=$F$5),$B$22,0))</f>
        <v>1526</v>
      </c>
      <c r="AL34" s="24" cm="1">
        <f t="array" ref="AL34">$G$3+IFERROR(VLOOKUP($AG34,$F$4:$G$7,2,FALSE),0)+VLOOKUP($Q34,武学奇术!$A:$ZZ,2,FALSE)+SUM(_xlfn.XLOOKUP($R34:$AF34,增益!$A:$A,增益!$B:$B,0))</f>
        <v>1.0041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1481.6</v>
      </c>
      <c r="AO34" cm="1">
        <f t="array" ref="AO34">$E$10*(1+$AM34)+VLOOKUP($Q34,武学奇术!$A:$ZZ,4,FALSE)+SUM(_xlfn.XLOOKUP($R34:$AF34,增益!$A:$A,增益!$D:$D,0))-$I$2</f>
        <v>5853.7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0.367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576.6</v>
      </c>
      <c r="AX34">
        <f t="shared" si="4"/>
        <v>1088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0.14</v>
      </c>
      <c r="AZ34" s="30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0.846</v>
      </c>
      <c r="BK34" s="24" cm="1">
        <f t="array" ref="BK34">1+$B$13+VLOOKUP($Q34,武学奇术!$A:$ZZ,18,FALSE)+SUM(_xlfn.XLOOKUP(R34:AF34,增益!$A:$A,增益!$R:$R,0))</f>
        <v>1.944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0.1371</v>
      </c>
      <c r="BM34" s="24" cm="1">
        <f t="array" ref="BM34">1+$B$14+VLOOKUP($Q34,武学奇术!$A:$ZZ,20,FALSE)+SUM(_xlfn.XLOOKUP(R34:AF34,增益!$A:$A,增益!$T:$T,0))</f>
        <v>1.35</v>
      </c>
      <c r="BN34" s="24">
        <f t="shared" si="11"/>
        <v>0.846</v>
      </c>
      <c r="BO34" s="24">
        <f t="shared" si="10"/>
        <v>0.0168999999999999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0.11</v>
      </c>
    </row>
    <row r="35" spans="1:69">
      <c r="A35" s="4" t="s">
        <v>144</v>
      </c>
      <c r="B35" s="4">
        <v>1.2</v>
      </c>
      <c r="C35" s="37"/>
      <c r="K35" s="36">
        <f t="shared" ref="K35:K60" si="12">($L35*$BN35+$M35*$BL35+$N35*$BO35+$O35*$BP35)</f>
        <v>190976.295430704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192893.143720132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190764.728112175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96736.7822066862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52166.3584043539</v>
      </c>
      <c r="P35" s="37">
        <v>1</v>
      </c>
      <c r="Q35" s="38" t="s">
        <v>102</v>
      </c>
      <c r="R35" s="38" t="s">
        <v>92</v>
      </c>
      <c r="S35" s="38" t="s">
        <v>108</v>
      </c>
      <c r="T35" s="38" t="s">
        <v>71</v>
      </c>
      <c r="U35" s="38" t="s">
        <v>103</v>
      </c>
      <c r="V35" s="38" t="s">
        <v>139</v>
      </c>
      <c r="W35" s="38" t="s">
        <v>71</v>
      </c>
      <c r="X35" s="38" t="s">
        <v>121</v>
      </c>
      <c r="Y35" s="38" t="s">
        <v>71</v>
      </c>
      <c r="Z35" s="38" t="s">
        <v>71</v>
      </c>
      <c r="AA35" s="38" t="s">
        <v>71</v>
      </c>
      <c r="AB35" s="38" t="s">
        <v>71</v>
      </c>
      <c r="AC35" s="38" t="s">
        <v>71</v>
      </c>
      <c r="AD35" s="38" t="s">
        <v>71</v>
      </c>
      <c r="AE35" s="38" t="s">
        <v>74</v>
      </c>
      <c r="AF35" s="38" t="s">
        <v>98</v>
      </c>
      <c r="AG35" t="str">
        <f>VLOOKUP($Q35,武学奇术!$A:$ZZ,25,FALSE)</f>
        <v>陌刀</v>
      </c>
      <c r="AH35" s="24">
        <f>VLOOKUP($Q35,武学奇术!$A:$ZZ,26,FALSE)</f>
        <v>4.2807</v>
      </c>
      <c r="AI35" s="25">
        <f>VLOOKUP($Q35,武学奇术!$A:$ZZ,27,FALSE)*(1+IF(OR($AG35=$F$4,$AG35=$F$5),$B$22,0))</f>
        <v>1657.6</v>
      </c>
      <c r="AJ35" s="24">
        <f>VLOOKUP($Q35,武学奇术!$A:$ZZ,28,FALSE)</f>
        <v>6.421</v>
      </c>
      <c r="AK35" s="25">
        <f>VLOOKUP($Q35,武学奇术!$A:$ZZ,29,FALSE)*(1+IF(OR($AG35=$F$4,$AG35=$F$5),$B$22,0))</f>
        <v>903</v>
      </c>
      <c r="AL35" s="24" cm="1">
        <f t="array" ref="AL35">$G$3+IFERROR(VLOOKUP($AG35,$F$4:$G$7,2,FALSE),0)+VLOOKUP($Q35,武学奇术!$A:$ZZ,2,FALSE)+SUM(_xlfn.XLOOKUP($R35:$AF35,增益!$A:$A,增益!$B:$B,0))</f>
        <v>1.0041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1481.6</v>
      </c>
      <c r="AO35" cm="1">
        <f t="array" ref="AO35">$E$10*(1+$AM35)+VLOOKUP($Q35,武学奇术!$A:$ZZ,4,FALSE)+SUM(_xlfn.XLOOKUP($R35:$AF35,增益!$A:$A,增益!$D:$D,0))-$I$2</f>
        <v>5853.7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0.392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576.6</v>
      </c>
      <c r="AX35">
        <f t="shared" si="4"/>
        <v>1088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0.14</v>
      </c>
      <c r="AZ35" s="30" cm="1">
        <f t="array" ref="AZ35">$G$12+VLOOKUP($Q35,武学奇术!$A:$ZZ,12,FALSE)+SUM(_xlfn.XLOOKUP(R35:AF35,增益!$A:$A,增益!$L:$L,0))</f>
        <v>0.15</v>
      </c>
      <c r="BA35">
        <f t="shared" ref="BA35:BA60" si="13">$D$13*(1+$AR35)</f>
        <v>0</v>
      </c>
      <c r="BB35">
        <f t="shared" ref="BB35:BB60" si="14">$E$13*(1+$AR35)</f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0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0.846</v>
      </c>
      <c r="BK35" s="24" cm="1">
        <f t="array" ref="BK35">1+$B$13+VLOOKUP($Q35,武学奇术!$A:$ZZ,18,FALSE)+SUM(_xlfn.XLOOKUP(R35:AF35,增益!$A:$A,增益!$R:$R,0))</f>
        <v>1.994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0.1371</v>
      </c>
      <c r="BM35" s="24" cm="1">
        <f t="array" ref="BM35">1+$B$14+VLOOKUP($Q35,武学奇术!$A:$ZZ,20,FALSE)+SUM(_xlfn.XLOOKUP(R35:AF35,增益!$A:$A,增益!$T:$T,0))</f>
        <v>1.35</v>
      </c>
      <c r="BN35" s="24">
        <f t="shared" si="11"/>
        <v>0.846</v>
      </c>
      <c r="BO35" s="24">
        <f t="shared" ref="BO35:BO66" si="17">1-BL35-BN35-BP35</f>
        <v>0.0168999999999999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0.11</v>
      </c>
    </row>
    <row r="36" spans="1:69">
      <c r="A36" s="4" t="s">
        <v>69</v>
      </c>
      <c r="B36" s="4">
        <v>0.5</v>
      </c>
      <c r="C36" s="37"/>
      <c r="K36" s="36">
        <f t="shared" si="12"/>
        <v>332225.720216152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337940.064463675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318023.487914271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161384.94004951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87196.9260884499</v>
      </c>
      <c r="P36" s="37">
        <v>1</v>
      </c>
      <c r="Q36" s="38" t="s">
        <v>96</v>
      </c>
      <c r="R36" s="38" t="s">
        <v>92</v>
      </c>
      <c r="S36" s="38" t="s">
        <v>108</v>
      </c>
      <c r="T36" s="38" t="s">
        <v>72</v>
      </c>
      <c r="U36" s="38" t="s">
        <v>103</v>
      </c>
      <c r="V36" s="38" t="s">
        <v>139</v>
      </c>
      <c r="W36" s="38" t="s">
        <v>71</v>
      </c>
      <c r="X36" s="38" t="s">
        <v>118</v>
      </c>
      <c r="Y36" s="38" t="s">
        <v>71</v>
      </c>
      <c r="Z36" s="38" t="s">
        <v>71</v>
      </c>
      <c r="AA36" s="38" t="s">
        <v>71</v>
      </c>
      <c r="AB36" s="38" t="s">
        <v>71</v>
      </c>
      <c r="AC36" s="38" t="s">
        <v>71</v>
      </c>
      <c r="AD36" s="38" t="s">
        <v>71</v>
      </c>
      <c r="AE36" s="38" t="s">
        <v>74</v>
      </c>
      <c r="AF36" s="38" t="s">
        <v>98</v>
      </c>
      <c r="AG36" t="str">
        <f>VLOOKUP($Q36,武学奇术!$A:$ZZ,25,FALSE)</f>
        <v>陌刀</v>
      </c>
      <c r="AH36" s="24">
        <f>VLOOKUP($Q36,武学奇术!$A:$ZZ,26,FALSE)</f>
        <v>7.2368</v>
      </c>
      <c r="AI36" s="25">
        <f>VLOOKUP($Q36,武学奇术!$A:$ZZ,27,FALSE)*(1+IF(OR($AG36=$F$4,$AG36=$F$5),$B$22,0))</f>
        <v>2802.8</v>
      </c>
      <c r="AJ36" s="24">
        <f>VLOOKUP($Q36,武学奇术!$A:$ZZ,28,FALSE)</f>
        <v>10.8553</v>
      </c>
      <c r="AK36" s="25">
        <f>VLOOKUP($Q36,武学奇术!$A:$ZZ,29,FALSE)*(1+IF(OR($AG36=$F$4,$AG36=$F$5),$B$22,0))</f>
        <v>1526</v>
      </c>
      <c r="AL36" s="24" cm="1">
        <f t="array" ref="AL36">$G$3+IFERROR(VLOOKUP($AG36,$F$4:$G$7,2,FALSE),0)+VLOOKUP($Q36,武学奇术!$A:$ZZ,2,FALSE)+SUM(_xlfn.XLOOKUP($R36:$AF36,增益!$A:$A,增益!$B:$B,0))</f>
        <v>1.0041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1481.6</v>
      </c>
      <c r="AO36" cm="1">
        <f t="array" ref="AO36">$E$10*(1+$AM36)+VLOOKUP($Q36,武学奇术!$A:$ZZ,4,FALSE)+SUM(_xlfn.XLOOKUP($R36:$AF36,增益!$A:$A,增益!$D:$D,0))-$I$2</f>
        <v>5853.7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0.367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576.6</v>
      </c>
      <c r="AX36">
        <f t="shared" si="4"/>
        <v>1088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0.14</v>
      </c>
      <c r="AZ36" s="30" cm="1">
        <f t="array" ref="AZ36">$G$12+VLOOKUP($Q36,武学奇术!$A:$ZZ,12,FALSE)+SUM(_xlfn.XLOOKUP(R36:AF36,增益!$A:$A,增益!$L:$L,0))</f>
        <v>0.15</v>
      </c>
      <c r="BA36">
        <f t="shared" si="13"/>
        <v>0</v>
      </c>
      <c r="BB36">
        <f t="shared" si="14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0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0.846</v>
      </c>
      <c r="BK36" s="24" cm="1">
        <f t="array" ref="BK36">1+$B$13+VLOOKUP($Q36,武学奇术!$A:$ZZ,18,FALSE)+SUM(_xlfn.XLOOKUP(R36:AF36,增益!$A:$A,增益!$R:$R,0))</f>
        <v>2.094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0.1371</v>
      </c>
      <c r="BM36" s="24" cm="1">
        <f t="array" ref="BM36">1+$B$14+VLOOKUP($Q36,武学奇术!$A:$ZZ,20,FALSE)+SUM(_xlfn.XLOOKUP(R36:AF36,增益!$A:$A,增益!$T:$T,0))</f>
        <v>1.35</v>
      </c>
      <c r="BN36" s="24">
        <f t="shared" si="11"/>
        <v>0.846</v>
      </c>
      <c r="BO36" s="24">
        <f t="shared" si="17"/>
        <v>0.0168999999999999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0.11</v>
      </c>
    </row>
    <row r="37" spans="1:69">
      <c r="A37" s="4" t="s">
        <v>149</v>
      </c>
      <c r="B37" s="4">
        <v>1.66</v>
      </c>
      <c r="C37" s="37"/>
      <c r="K37" s="36">
        <f t="shared" si="12"/>
        <v>203252.193092733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207403.661051135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190764.728112175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96736.7822066862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52166.3584043539</v>
      </c>
      <c r="P37" s="37">
        <v>1</v>
      </c>
      <c r="Q37" s="38" t="s">
        <v>102</v>
      </c>
      <c r="R37" s="38" t="s">
        <v>92</v>
      </c>
      <c r="S37" s="38" t="s">
        <v>108</v>
      </c>
      <c r="T37" s="38" t="s">
        <v>72</v>
      </c>
      <c r="U37" s="38" t="s">
        <v>103</v>
      </c>
      <c r="V37" s="38" t="s">
        <v>139</v>
      </c>
      <c r="W37" s="38" t="s">
        <v>71</v>
      </c>
      <c r="X37" s="38" t="s">
        <v>121</v>
      </c>
      <c r="Y37" s="38" t="s">
        <v>71</v>
      </c>
      <c r="Z37" s="38" t="s">
        <v>71</v>
      </c>
      <c r="AA37" s="38" t="s">
        <v>71</v>
      </c>
      <c r="AB37" s="38" t="s">
        <v>71</v>
      </c>
      <c r="AC37" s="38" t="s">
        <v>71</v>
      </c>
      <c r="AD37" s="38" t="s">
        <v>71</v>
      </c>
      <c r="AE37" s="38" t="s">
        <v>74</v>
      </c>
      <c r="AF37" s="38" t="s">
        <v>98</v>
      </c>
      <c r="AG37" t="str">
        <f>VLOOKUP($Q37,武学奇术!$A:$ZZ,25,FALSE)</f>
        <v>陌刀</v>
      </c>
      <c r="AH37" s="24">
        <f>VLOOKUP($Q37,武学奇术!$A:$ZZ,26,FALSE)</f>
        <v>4.2807</v>
      </c>
      <c r="AI37" s="25">
        <f>VLOOKUP($Q37,武学奇术!$A:$ZZ,27,FALSE)*(1+IF(OR($AG37=$F$4,$AG37=$F$5),$B$22,0))</f>
        <v>1657.6</v>
      </c>
      <c r="AJ37" s="24">
        <f>VLOOKUP($Q37,武学奇术!$A:$ZZ,28,FALSE)</f>
        <v>6.421</v>
      </c>
      <c r="AK37" s="25">
        <f>VLOOKUP($Q37,武学奇术!$A:$ZZ,29,FALSE)*(1+IF(OR($AG37=$F$4,$AG37=$F$5),$B$22,0))</f>
        <v>903</v>
      </c>
      <c r="AL37" s="24" cm="1">
        <f t="array" ref="AL37">$G$3+IFERROR(VLOOKUP($AG37,$F$4:$G$7,2,FALSE),0)+VLOOKUP($Q37,武学奇术!$A:$ZZ,2,FALSE)+SUM(_xlfn.XLOOKUP($R37:$AF37,增益!$A:$A,增益!$B:$B,0))</f>
        <v>1.0041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1481.6</v>
      </c>
      <c r="AO37" cm="1">
        <f t="array" ref="AO37">$E$10*(1+$AM37)+VLOOKUP($Q37,武学奇术!$A:$ZZ,4,FALSE)+SUM(_xlfn.XLOOKUP($R37:$AF37,增益!$A:$A,增益!$D:$D,0))-$I$2</f>
        <v>5853.7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0.392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576.6</v>
      </c>
      <c r="AX37">
        <f t="shared" si="4"/>
        <v>1088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0.14</v>
      </c>
      <c r="AZ37" s="30" cm="1">
        <f t="array" ref="AZ37">$G$12+VLOOKUP($Q37,武学奇术!$A:$ZZ,12,FALSE)+SUM(_xlfn.XLOOKUP(R37:AF37,增益!$A:$A,增益!$L:$L,0))</f>
        <v>0.15</v>
      </c>
      <c r="BA37">
        <f t="shared" si="13"/>
        <v>0</v>
      </c>
      <c r="BB37">
        <f t="shared" si="14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0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0.846</v>
      </c>
      <c r="BK37" s="24" cm="1">
        <f t="array" ref="BK37">1+$B$13+VLOOKUP($Q37,武学奇术!$A:$ZZ,18,FALSE)+SUM(_xlfn.XLOOKUP(R37:AF37,增益!$A:$A,增益!$R:$R,0))</f>
        <v>2.144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0.1371</v>
      </c>
      <c r="BM37" s="24" cm="1">
        <f t="array" ref="BM37">1+$B$14+VLOOKUP($Q37,武学奇术!$A:$ZZ,20,FALSE)+SUM(_xlfn.XLOOKUP(R37:AF37,增益!$A:$A,增益!$T:$T,0))</f>
        <v>1.35</v>
      </c>
      <c r="BN37" s="24">
        <f t="shared" si="11"/>
        <v>0.846</v>
      </c>
      <c r="BO37" s="24">
        <f t="shared" si="17"/>
        <v>0.0168999999999999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0.11</v>
      </c>
    </row>
    <row r="38" spans="1:69">
      <c r="A38" s="4" t="s">
        <v>150</v>
      </c>
      <c r="B38" s="4">
        <v>1.33</v>
      </c>
      <c r="C38" s="37"/>
      <c r="K38" s="36">
        <f t="shared" si="12"/>
        <v>9334.23334113404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10703.8113385251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10506.2161180659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5368.00969835765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2953.63708703688</v>
      </c>
      <c r="P38" s="37">
        <v>1</v>
      </c>
      <c r="Q38" s="38" t="s">
        <v>105</v>
      </c>
      <c r="R38" s="38" t="s">
        <v>92</v>
      </c>
      <c r="S38" s="38" t="s">
        <v>71</v>
      </c>
      <c r="T38" s="38" t="s">
        <v>72</v>
      </c>
      <c r="U38" s="38" t="s">
        <v>103</v>
      </c>
      <c r="V38" s="38" t="s">
        <v>139</v>
      </c>
      <c r="W38" s="38" t="s">
        <v>71</v>
      </c>
      <c r="X38" s="38" t="s">
        <v>118</v>
      </c>
      <c r="Y38" s="38" t="s">
        <v>71</v>
      </c>
      <c r="Z38" s="38" t="s">
        <v>71</v>
      </c>
      <c r="AA38" s="38" t="s">
        <v>71</v>
      </c>
      <c r="AB38" s="38" t="s">
        <v>71</v>
      </c>
      <c r="AC38" s="38" t="s">
        <v>71</v>
      </c>
      <c r="AD38" s="38" t="s">
        <v>71</v>
      </c>
      <c r="AE38" s="38" t="s">
        <v>74</v>
      </c>
      <c r="AF38" s="38" t="s">
        <v>71</v>
      </c>
      <c r="AG38" t="str">
        <f>VLOOKUP($Q38,武学奇术!$A:$ZZ,25,FALSE)</f>
        <v>枪</v>
      </c>
      <c r="AH38" s="24">
        <f>VLOOKUP($Q38,武学奇术!$A:$ZZ,26,FALSE)</f>
        <v>0.4843</v>
      </c>
      <c r="AI38" s="25">
        <f>VLOOKUP($Q38,武学奇术!$A:$ZZ,27,FALSE)*(1+IF(OR($AG38=$F$4,$AG38=$F$5),$B$22,0))</f>
        <v>187.6</v>
      </c>
      <c r="AJ38" s="24">
        <f>VLOOKUP($Q38,武学奇术!$A:$ZZ,28,FALSE)</f>
        <v>0.7264</v>
      </c>
      <c r="AK38" s="25">
        <f>VLOOKUP($Q38,武学奇术!$A:$ZZ,29,FALSE)*(1+IF(OR($AG38=$F$4,$AG38=$F$5),$B$22,0))</f>
        <v>102.2</v>
      </c>
      <c r="AL38" s="24" cm="1">
        <f t="array" ref="AL38">$G$3+IFERROR(VLOOKUP($AG38,$F$4:$G$7,2,FALSE),0)+VLOOKUP($Q38,武学奇术!$A:$ZZ,2,FALSE)+SUM(_xlfn.XLOOKUP($R38:$AF38,增益!$A:$A,增益!$B:$B,0))</f>
        <v>0.3389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1481.6</v>
      </c>
      <c r="AO38" cm="1">
        <f t="array" ref="AO38">$E$10*(1+$AM38)+VLOOKUP($Q38,武学奇术!$A:$ZZ,4,FALSE)+SUM(_xlfn.XLOOKUP($R38:$AF38,增益!$A:$A,增益!$D:$D,0))-$I$2</f>
        <v>5653.7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0.367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576.6</v>
      </c>
      <c r="AX38">
        <f t="shared" si="4"/>
        <v>1088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0.14</v>
      </c>
      <c r="AZ38" s="30" cm="1">
        <f t="array" ref="AZ38">$G$12+VLOOKUP($Q38,武学奇术!$A:$ZZ,12,FALSE)+SUM(_xlfn.XLOOKUP(R38:AF38,增益!$A:$A,增益!$L:$L,0))</f>
        <v>0.15</v>
      </c>
      <c r="BA38">
        <f t="shared" si="13"/>
        <v>0</v>
      </c>
      <c r="BB38">
        <f t="shared" si="14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0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0.6113</v>
      </c>
      <c r="BK38" s="24" cm="1">
        <f t="array" ref="BK38">1+$B$13+VLOOKUP($Q38,武学奇术!$A:$ZZ,18,FALSE)+SUM(_xlfn.XLOOKUP(R38:AF38,增益!$A:$A,增益!$R:$R,0))</f>
        <v>1.994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0.1371</v>
      </c>
      <c r="BM38" s="24" cm="1">
        <f t="array" ref="BM38">1+$B$14+VLOOKUP($Q38,武学奇术!$A:$ZZ,20,FALSE)+SUM(_xlfn.XLOOKUP(R38:AF38,增益!$A:$A,增益!$T:$T,0))</f>
        <v>1.35</v>
      </c>
      <c r="BN38" s="24">
        <f t="shared" si="11"/>
        <v>0.6113</v>
      </c>
      <c r="BO38" s="24">
        <f t="shared" si="17"/>
        <v>0.2516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0.11</v>
      </c>
    </row>
    <row r="39" spans="1:69">
      <c r="A39" s="4" t="s">
        <v>149</v>
      </c>
      <c r="B39" s="4">
        <v>1.66</v>
      </c>
      <c r="C39" s="37"/>
      <c r="E39" s="4"/>
      <c r="F39" s="4"/>
      <c r="K39" s="36">
        <f t="shared" si="12"/>
        <v>332225.720216152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337940.064463675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318023.487914271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161384.94004951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87196.9260884499</v>
      </c>
      <c r="P39" s="37">
        <v>1</v>
      </c>
      <c r="Q39" s="38" t="s">
        <v>96</v>
      </c>
      <c r="R39" s="38" t="s">
        <v>92</v>
      </c>
      <c r="S39" s="38" t="s">
        <v>108</v>
      </c>
      <c r="T39" s="38" t="s">
        <v>72</v>
      </c>
      <c r="U39" s="38" t="s">
        <v>103</v>
      </c>
      <c r="V39" s="38" t="s">
        <v>139</v>
      </c>
      <c r="W39" s="38" t="s">
        <v>71</v>
      </c>
      <c r="X39" s="38" t="s">
        <v>118</v>
      </c>
      <c r="Y39" s="38" t="s">
        <v>71</v>
      </c>
      <c r="Z39" s="38" t="s">
        <v>71</v>
      </c>
      <c r="AA39" s="38" t="s">
        <v>71</v>
      </c>
      <c r="AB39" s="38" t="s">
        <v>71</v>
      </c>
      <c r="AC39" s="38" t="s">
        <v>71</v>
      </c>
      <c r="AD39" s="38" t="s">
        <v>71</v>
      </c>
      <c r="AE39" s="38" t="s">
        <v>74</v>
      </c>
      <c r="AF39" s="38" t="s">
        <v>98</v>
      </c>
      <c r="AG39" t="str">
        <f>VLOOKUP($Q39,武学奇术!$A:$ZZ,25,FALSE)</f>
        <v>陌刀</v>
      </c>
      <c r="AH39" s="24">
        <f>VLOOKUP($Q39,武学奇术!$A:$ZZ,26,FALSE)</f>
        <v>7.2368</v>
      </c>
      <c r="AI39" s="25">
        <f>VLOOKUP($Q39,武学奇术!$A:$ZZ,27,FALSE)*(1+IF(OR($AG39=$F$4,$AG39=$F$5),$B$22,0))</f>
        <v>2802.8</v>
      </c>
      <c r="AJ39" s="24">
        <f>VLOOKUP($Q39,武学奇术!$A:$ZZ,28,FALSE)</f>
        <v>10.8553</v>
      </c>
      <c r="AK39" s="25">
        <f>VLOOKUP($Q39,武学奇术!$A:$ZZ,29,FALSE)*(1+IF(OR($AG39=$F$4,$AG39=$F$5),$B$22,0))</f>
        <v>1526</v>
      </c>
      <c r="AL39" s="24" cm="1">
        <f t="array" ref="AL39">$G$3+IFERROR(VLOOKUP($AG39,$F$4:$G$7,2,FALSE),0)+VLOOKUP($Q39,武学奇术!$A:$ZZ,2,FALSE)+SUM(_xlfn.XLOOKUP($R39:$AF39,增益!$A:$A,增益!$B:$B,0))</f>
        <v>1.0041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1481.6</v>
      </c>
      <c r="AO39" cm="1">
        <f t="array" ref="AO39">$E$10*(1+$AM39)+VLOOKUP($Q39,武学奇术!$A:$ZZ,4,FALSE)+SUM(_xlfn.XLOOKUP($R39:$AF39,增益!$A:$A,增益!$D:$D,0))-$I$2</f>
        <v>5853.7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0.367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576.6</v>
      </c>
      <c r="AX39">
        <f t="shared" si="4"/>
        <v>1088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0.14</v>
      </c>
      <c r="AZ39" s="30" cm="1">
        <f t="array" ref="AZ39">$G$12+VLOOKUP($Q39,武学奇术!$A:$ZZ,12,FALSE)+SUM(_xlfn.XLOOKUP(R39:AF39,增益!$A:$A,增益!$L:$L,0))</f>
        <v>0.15</v>
      </c>
      <c r="BA39">
        <f t="shared" si="13"/>
        <v>0</v>
      </c>
      <c r="BB39">
        <f t="shared" si="14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0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0.846</v>
      </c>
      <c r="BK39" s="24" cm="1">
        <f t="array" ref="BK39">1+$B$13+VLOOKUP($Q39,武学奇术!$A:$ZZ,18,FALSE)+SUM(_xlfn.XLOOKUP(R39:AF39,增益!$A:$A,增益!$R:$R,0))</f>
        <v>2.094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0.1371</v>
      </c>
      <c r="BM39" s="24" cm="1">
        <f t="array" ref="BM39">1+$B$14+VLOOKUP($Q39,武学奇术!$A:$ZZ,20,FALSE)+SUM(_xlfn.XLOOKUP(R39:AF39,增益!$A:$A,增益!$T:$T,0))</f>
        <v>1.35</v>
      </c>
      <c r="BN39" s="24">
        <f t="shared" si="11"/>
        <v>0.846</v>
      </c>
      <c r="BO39" s="24">
        <f t="shared" si="17"/>
        <v>0.0168999999999999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0.11</v>
      </c>
    </row>
    <row r="40" spans="1:69">
      <c r="A40" s="4" t="s">
        <v>150</v>
      </c>
      <c r="B40" s="4">
        <v>1.33</v>
      </c>
      <c r="C40" s="37"/>
      <c r="K40" s="36">
        <f t="shared" si="12"/>
        <v>203252.193092733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207403.661051135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190764.728112175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96736.7822066862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52166.3584043539</v>
      </c>
      <c r="P40" s="37">
        <v>1</v>
      </c>
      <c r="Q40" s="38" t="s">
        <v>102</v>
      </c>
      <c r="R40" s="38" t="s">
        <v>92</v>
      </c>
      <c r="S40" s="38" t="s">
        <v>108</v>
      </c>
      <c r="T40" s="38" t="s">
        <v>72</v>
      </c>
      <c r="U40" s="38" t="s">
        <v>103</v>
      </c>
      <c r="V40" s="38" t="s">
        <v>139</v>
      </c>
      <c r="W40" s="38" t="s">
        <v>71</v>
      </c>
      <c r="X40" s="38" t="s">
        <v>121</v>
      </c>
      <c r="Y40" s="38" t="s">
        <v>71</v>
      </c>
      <c r="Z40" s="38" t="s">
        <v>71</v>
      </c>
      <c r="AA40" s="38" t="s">
        <v>71</v>
      </c>
      <c r="AB40" s="38" t="s">
        <v>71</v>
      </c>
      <c r="AC40" s="38" t="s">
        <v>71</v>
      </c>
      <c r="AD40" s="38" t="s">
        <v>71</v>
      </c>
      <c r="AE40" s="38" t="s">
        <v>74</v>
      </c>
      <c r="AF40" s="38" t="s">
        <v>98</v>
      </c>
      <c r="AG40" t="str">
        <f>VLOOKUP($Q40,武学奇术!$A:$ZZ,25,FALSE)</f>
        <v>陌刀</v>
      </c>
      <c r="AH40" s="24">
        <f>VLOOKUP($Q40,武学奇术!$A:$ZZ,26,FALSE)</f>
        <v>4.2807</v>
      </c>
      <c r="AI40" s="25">
        <f>VLOOKUP($Q40,武学奇术!$A:$ZZ,27,FALSE)*(1+IF(OR($AG40=$F$4,$AG40=$F$5),$B$22,0))</f>
        <v>1657.6</v>
      </c>
      <c r="AJ40" s="24">
        <f>VLOOKUP($Q40,武学奇术!$A:$ZZ,28,FALSE)</f>
        <v>6.421</v>
      </c>
      <c r="AK40" s="25">
        <f>VLOOKUP($Q40,武学奇术!$A:$ZZ,29,FALSE)*(1+IF(OR($AG40=$F$4,$AG40=$F$5),$B$22,0))</f>
        <v>903</v>
      </c>
      <c r="AL40" s="24" cm="1">
        <f t="array" ref="AL40">$G$3+IFERROR(VLOOKUP($AG40,$F$4:$G$7,2,FALSE),0)+VLOOKUP($Q40,武学奇术!$A:$ZZ,2,FALSE)+SUM(_xlfn.XLOOKUP($R40:$AF40,增益!$A:$A,增益!$B:$B,0))</f>
        <v>1.0041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1481.6</v>
      </c>
      <c r="AO40" cm="1">
        <f t="array" ref="AO40">$E$10*(1+$AM40)+VLOOKUP($Q40,武学奇术!$A:$ZZ,4,FALSE)+SUM(_xlfn.XLOOKUP($R40:$AF40,增益!$A:$A,增益!$D:$D,0))-$I$2</f>
        <v>5853.7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0.392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576.6</v>
      </c>
      <c r="AX40">
        <f t="shared" si="4"/>
        <v>1088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0.14</v>
      </c>
      <c r="AZ40" s="30" cm="1">
        <f t="array" ref="AZ40">$G$12+VLOOKUP($Q40,武学奇术!$A:$ZZ,12,FALSE)+SUM(_xlfn.XLOOKUP(R40:AF40,增益!$A:$A,增益!$L:$L,0))</f>
        <v>0.15</v>
      </c>
      <c r="BA40">
        <f t="shared" si="13"/>
        <v>0</v>
      </c>
      <c r="BB40">
        <f t="shared" si="14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0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0.846</v>
      </c>
      <c r="BK40" s="24" cm="1">
        <f t="array" ref="BK40">1+$B$13+VLOOKUP($Q40,武学奇术!$A:$ZZ,18,FALSE)+SUM(_xlfn.XLOOKUP(R40:AF40,增益!$A:$A,增益!$R:$R,0))</f>
        <v>2.144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0.1371</v>
      </c>
      <c r="BM40" s="24" cm="1">
        <f t="array" ref="BM40">1+$B$14+VLOOKUP($Q40,武学奇术!$A:$ZZ,20,FALSE)+SUM(_xlfn.XLOOKUP(R40:AF40,增益!$A:$A,增益!$T:$T,0))</f>
        <v>1.35</v>
      </c>
      <c r="BN40" s="24">
        <f t="shared" si="11"/>
        <v>0.846</v>
      </c>
      <c r="BO40" s="24">
        <f t="shared" si="17"/>
        <v>0.0168999999999999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0.11</v>
      </c>
    </row>
    <row r="41" spans="1:69">
      <c r="A41" s="4" t="s">
        <v>146</v>
      </c>
      <c r="B41" s="4">
        <v>2</v>
      </c>
      <c r="K41" s="36">
        <f t="shared" si="12"/>
        <v>326049.700105438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331534.232656686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312881.350822036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158325.803560977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84887.6435500752</v>
      </c>
      <c r="P41" s="37">
        <v>1</v>
      </c>
      <c r="Q41" s="38" t="s">
        <v>96</v>
      </c>
      <c r="R41" s="38" t="s">
        <v>92</v>
      </c>
      <c r="S41" s="38" t="s">
        <v>108</v>
      </c>
      <c r="T41" s="38" t="s">
        <v>72</v>
      </c>
      <c r="U41" s="38" t="s">
        <v>71</v>
      </c>
      <c r="V41" s="38" t="s">
        <v>139</v>
      </c>
      <c r="W41" s="38" t="s">
        <v>71</v>
      </c>
      <c r="X41" s="38" t="s">
        <v>118</v>
      </c>
      <c r="Y41" s="38" t="s">
        <v>71</v>
      </c>
      <c r="Z41" s="38" t="s">
        <v>71</v>
      </c>
      <c r="AA41" s="38" t="s">
        <v>71</v>
      </c>
      <c r="AB41" s="38" t="s">
        <v>71</v>
      </c>
      <c r="AC41" s="38" t="s">
        <v>71</v>
      </c>
      <c r="AD41" s="38" t="s">
        <v>71</v>
      </c>
      <c r="AE41" s="38" t="s">
        <v>74</v>
      </c>
      <c r="AF41" s="38" t="s">
        <v>98</v>
      </c>
      <c r="AG41" t="str">
        <f>VLOOKUP($Q41,武学奇术!$A:$ZZ,25,FALSE)</f>
        <v>陌刀</v>
      </c>
      <c r="AH41" s="24">
        <f>VLOOKUP($Q41,武学奇术!$A:$ZZ,26,FALSE)</f>
        <v>7.2368</v>
      </c>
      <c r="AI41" s="25">
        <f>VLOOKUP($Q41,武学奇术!$A:$ZZ,27,FALSE)*(1+IF(OR($AG41=$F$4,$AG41=$F$5),$B$22,0))</f>
        <v>2802.8</v>
      </c>
      <c r="AJ41" s="24">
        <f>VLOOKUP($Q41,武学奇术!$A:$ZZ,28,FALSE)</f>
        <v>10.8553</v>
      </c>
      <c r="AK41" s="25">
        <f>VLOOKUP($Q41,武学奇术!$A:$ZZ,29,FALSE)*(1+IF(OR($AG41=$F$4,$AG41=$F$5),$B$22,0))</f>
        <v>1526</v>
      </c>
      <c r="AL41" s="24" cm="1">
        <f t="array" ref="AL41">$G$3+IFERROR(VLOOKUP($AG41,$F$4:$G$7,2,FALSE),0)+VLOOKUP($Q41,武学奇术!$A:$ZZ,2,FALSE)+SUM(_xlfn.XLOOKUP($R41:$AF41,增益!$A:$A,增益!$B:$B,0))</f>
        <v>1.0041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1481.6</v>
      </c>
      <c r="AO41" cm="1">
        <f t="array" ref="AO41">$E$10*(1+$AM41)+VLOOKUP($Q41,武学奇术!$A:$ZZ,4,FALSE)+SUM(_xlfn.XLOOKUP($R41:$AF41,增益!$A:$A,增益!$D:$D,0))-$I$2</f>
        <v>5853.7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0.367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576.6</v>
      </c>
      <c r="AX41">
        <f t="shared" si="4"/>
        <v>1088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0.06</v>
      </c>
      <c r="AZ41" s="30" cm="1">
        <f t="array" ref="AZ41">$G$12+VLOOKUP($Q41,武学奇术!$A:$ZZ,12,FALSE)+SUM(_xlfn.XLOOKUP(R41:AF41,增益!$A:$A,增益!$L:$L,0))</f>
        <v>0.15</v>
      </c>
      <c r="BA41">
        <f t="shared" si="13"/>
        <v>0</v>
      </c>
      <c r="BB41">
        <f t="shared" si="14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0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0.846</v>
      </c>
      <c r="BK41" s="24" cm="1">
        <f t="array" ref="BK41">1+$B$13+VLOOKUP($Q41,武学奇术!$A:$ZZ,18,FALSE)+SUM(_xlfn.XLOOKUP(R41:AF41,增益!$A:$A,增益!$R:$R,0))</f>
        <v>2.094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0.1371</v>
      </c>
      <c r="BM41" s="24" cm="1">
        <f t="array" ref="BM41">1+$B$14+VLOOKUP($Q41,武学奇术!$A:$ZZ,20,FALSE)+SUM(_xlfn.XLOOKUP(R41:AF41,增益!$A:$A,增益!$T:$T,0))</f>
        <v>1.35</v>
      </c>
      <c r="BN41" s="24">
        <f t="shared" si="11"/>
        <v>0.846</v>
      </c>
      <c r="BO41" s="24">
        <f t="shared" si="17"/>
        <v>0.0168999999999999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0.11</v>
      </c>
    </row>
    <row r="42" spans="1:69">
      <c r="A42" s="4" t="s">
        <v>149</v>
      </c>
      <c r="B42" s="4">
        <v>1.66</v>
      </c>
      <c r="K42" s="36">
        <f t="shared" si="12"/>
        <v>199522.191206579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203523.771840317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187722.915334134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94927.1323882078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50800.2534177981</v>
      </c>
      <c r="P42" s="37">
        <v>1</v>
      </c>
      <c r="Q42" s="38" t="s">
        <v>102</v>
      </c>
      <c r="R42" s="38" t="s">
        <v>92</v>
      </c>
      <c r="S42" s="38" t="s">
        <v>108</v>
      </c>
      <c r="T42" s="38" t="s">
        <v>72</v>
      </c>
      <c r="U42" s="38" t="s">
        <v>71</v>
      </c>
      <c r="V42" s="38" t="s">
        <v>139</v>
      </c>
      <c r="W42" s="38" t="s">
        <v>71</v>
      </c>
      <c r="X42" s="38" t="s">
        <v>121</v>
      </c>
      <c r="Y42" s="38" t="s">
        <v>71</v>
      </c>
      <c r="Z42" s="38" t="s">
        <v>71</v>
      </c>
      <c r="AA42" s="38" t="s">
        <v>71</v>
      </c>
      <c r="AB42" s="38" t="s">
        <v>71</v>
      </c>
      <c r="AC42" s="38" t="s">
        <v>71</v>
      </c>
      <c r="AD42" s="38" t="s">
        <v>71</v>
      </c>
      <c r="AE42" s="38" t="s">
        <v>74</v>
      </c>
      <c r="AF42" s="38" t="s">
        <v>98</v>
      </c>
      <c r="AG42" t="str">
        <f>VLOOKUP($Q42,武学奇术!$A:$ZZ,25,FALSE)</f>
        <v>陌刀</v>
      </c>
      <c r="AH42" s="24">
        <f>VLOOKUP($Q42,武学奇术!$A:$ZZ,26,FALSE)</f>
        <v>4.2807</v>
      </c>
      <c r="AI42" s="25">
        <f>VLOOKUP($Q42,武学奇术!$A:$ZZ,27,FALSE)*(1+IF(OR($AG42=$F$4,$AG42=$F$5),$B$22,0))</f>
        <v>1657.6</v>
      </c>
      <c r="AJ42" s="24">
        <f>VLOOKUP($Q42,武学奇术!$A:$ZZ,28,FALSE)</f>
        <v>6.421</v>
      </c>
      <c r="AK42" s="25">
        <f>VLOOKUP($Q42,武学奇术!$A:$ZZ,29,FALSE)*(1+IF(OR($AG42=$F$4,$AG42=$F$5),$B$22,0))</f>
        <v>903</v>
      </c>
      <c r="AL42" s="24" cm="1">
        <f t="array" ref="AL42">$G$3+IFERROR(VLOOKUP($AG42,$F$4:$G$7,2,FALSE),0)+VLOOKUP($Q42,武学奇术!$A:$ZZ,2,FALSE)+SUM(_xlfn.XLOOKUP($R42:$AF42,增益!$A:$A,增益!$B:$B,0))</f>
        <v>1.0041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1481.6</v>
      </c>
      <c r="AO42" cm="1">
        <f t="array" ref="AO42">$E$10*(1+$AM42)+VLOOKUP($Q42,武学奇术!$A:$ZZ,4,FALSE)+SUM(_xlfn.XLOOKUP($R42:$AF42,增益!$A:$A,增益!$D:$D,0))-$I$2</f>
        <v>5853.7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0.392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576.6</v>
      </c>
      <c r="AX42">
        <f t="shared" si="4"/>
        <v>1088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0.06</v>
      </c>
      <c r="AZ42" s="30" cm="1">
        <f t="array" ref="AZ42">$G$12+VLOOKUP($Q42,武学奇术!$A:$ZZ,12,FALSE)+SUM(_xlfn.XLOOKUP(R42:AF42,增益!$A:$A,增益!$L:$L,0))</f>
        <v>0.15</v>
      </c>
      <c r="BA42">
        <f t="shared" si="13"/>
        <v>0</v>
      </c>
      <c r="BB42">
        <f t="shared" si="14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0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0.846</v>
      </c>
      <c r="BK42" s="24" cm="1">
        <f t="array" ref="BK42">1+$B$13+VLOOKUP($Q42,武学奇术!$A:$ZZ,18,FALSE)+SUM(_xlfn.XLOOKUP(R42:AF42,增益!$A:$A,增益!$R:$R,0))</f>
        <v>2.144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0.1371</v>
      </c>
      <c r="BM42" s="24" cm="1">
        <f t="array" ref="BM42">1+$B$14+VLOOKUP($Q42,武学奇术!$A:$ZZ,20,FALSE)+SUM(_xlfn.XLOOKUP(R42:AF42,增益!$A:$A,增益!$T:$T,0))</f>
        <v>1.35</v>
      </c>
      <c r="BN42" s="24">
        <f t="shared" si="11"/>
        <v>0.846</v>
      </c>
      <c r="BO42" s="24">
        <f t="shared" si="17"/>
        <v>0.0168999999999999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0.11</v>
      </c>
    </row>
    <row r="43" spans="1:69">
      <c r="A43" s="4" t="s">
        <v>150</v>
      </c>
      <c r="B43" s="4">
        <v>1.33</v>
      </c>
      <c r="K43" s="36">
        <f t="shared" si="12"/>
        <v>332225.720216152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337940.064463675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318023.487914271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161384.94004951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87196.9260884499</v>
      </c>
      <c r="P43" s="37">
        <v>1</v>
      </c>
      <c r="Q43" s="38" t="s">
        <v>96</v>
      </c>
      <c r="R43" s="38" t="s">
        <v>92</v>
      </c>
      <c r="S43" s="38" t="s">
        <v>108</v>
      </c>
      <c r="T43" s="38" t="s">
        <v>72</v>
      </c>
      <c r="U43" s="38" t="s">
        <v>103</v>
      </c>
      <c r="V43" s="38" t="s">
        <v>139</v>
      </c>
      <c r="W43" s="38" t="s">
        <v>71</v>
      </c>
      <c r="X43" s="38" t="s">
        <v>118</v>
      </c>
      <c r="Y43" s="38" t="s">
        <v>71</v>
      </c>
      <c r="Z43" s="38" t="s">
        <v>71</v>
      </c>
      <c r="AA43" s="38" t="s">
        <v>71</v>
      </c>
      <c r="AB43" s="38" t="s">
        <v>71</v>
      </c>
      <c r="AC43" s="38" t="s">
        <v>71</v>
      </c>
      <c r="AD43" s="38" t="s">
        <v>71</v>
      </c>
      <c r="AE43" s="38" t="s">
        <v>74</v>
      </c>
      <c r="AF43" s="38" t="s">
        <v>98</v>
      </c>
      <c r="AG43" t="str">
        <f>VLOOKUP($Q43,武学奇术!$A:$ZZ,25,FALSE)</f>
        <v>陌刀</v>
      </c>
      <c r="AH43" s="24">
        <f>VLOOKUP($Q43,武学奇术!$A:$ZZ,26,FALSE)</f>
        <v>7.2368</v>
      </c>
      <c r="AI43" s="25">
        <f>VLOOKUP($Q43,武学奇术!$A:$ZZ,27,FALSE)*(1+IF(OR($AG43=$F$4,$AG43=$F$5),$B$22,0))</f>
        <v>2802.8</v>
      </c>
      <c r="AJ43" s="24">
        <f>VLOOKUP($Q43,武学奇术!$A:$ZZ,28,FALSE)</f>
        <v>10.8553</v>
      </c>
      <c r="AK43" s="25">
        <f>VLOOKUP($Q43,武学奇术!$A:$ZZ,29,FALSE)*(1+IF(OR($AG43=$F$4,$AG43=$F$5),$B$22,0))</f>
        <v>1526</v>
      </c>
      <c r="AL43" s="24" cm="1">
        <f t="array" ref="AL43">$G$3+IFERROR(VLOOKUP($AG43,$F$4:$G$7,2,FALSE),0)+VLOOKUP($Q43,武学奇术!$A:$ZZ,2,FALSE)+SUM(_xlfn.XLOOKUP($R43:$AF43,增益!$A:$A,增益!$B:$B,0))</f>
        <v>1.0041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1481.6</v>
      </c>
      <c r="AO43" cm="1">
        <f t="array" ref="AO43">$E$10*(1+$AM43)+VLOOKUP($Q43,武学奇术!$A:$ZZ,4,FALSE)+SUM(_xlfn.XLOOKUP($R43:$AF43,增益!$A:$A,增益!$D:$D,0))-$I$2</f>
        <v>5853.7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0.367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576.6</v>
      </c>
      <c r="AX43">
        <f t="shared" si="4"/>
        <v>1088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0.14</v>
      </c>
      <c r="AZ43" s="30" cm="1">
        <f t="array" ref="AZ43">$G$12+VLOOKUP($Q43,武学奇术!$A:$ZZ,12,FALSE)+SUM(_xlfn.XLOOKUP(R43:AF43,增益!$A:$A,增益!$L:$L,0))</f>
        <v>0.15</v>
      </c>
      <c r="BA43">
        <f t="shared" si="13"/>
        <v>0</v>
      </c>
      <c r="BB43">
        <f t="shared" si="14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-0.14</v>
      </c>
      <c r="BD43" s="30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-0.14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0.846</v>
      </c>
      <c r="BK43" s="24" cm="1">
        <f t="array" ref="BK43">1+$B$13+VLOOKUP($Q43,武学奇术!$A:$ZZ,18,FALSE)+SUM(_xlfn.XLOOKUP(R43:AF43,增益!$A:$A,增益!$R:$R,0))</f>
        <v>2.094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0.1371</v>
      </c>
      <c r="BM43" s="24" cm="1">
        <f t="array" ref="BM43">1+$B$14+VLOOKUP($Q43,武学奇术!$A:$ZZ,20,FALSE)+SUM(_xlfn.XLOOKUP(R43:AF43,增益!$A:$A,增益!$T:$T,0))</f>
        <v>1.35</v>
      </c>
      <c r="BN43" s="24">
        <f t="shared" si="11"/>
        <v>0.846</v>
      </c>
      <c r="BO43" s="24">
        <f t="shared" si="17"/>
        <v>0.0168999999999999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0.11</v>
      </c>
    </row>
    <row r="44" spans="1:69">
      <c r="A44" s="4" t="s">
        <v>69</v>
      </c>
      <c r="B44" s="4">
        <v>0.5</v>
      </c>
      <c r="K44" s="36">
        <f t="shared" si="12"/>
        <v>203252.193092733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207403.661051135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190764.728112175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96736.7822066862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52166.3584043539</v>
      </c>
      <c r="P44" s="37">
        <v>1</v>
      </c>
      <c r="Q44" s="38" t="s">
        <v>102</v>
      </c>
      <c r="R44" s="38" t="s">
        <v>92</v>
      </c>
      <c r="S44" s="38" t="s">
        <v>108</v>
      </c>
      <c r="T44" s="38" t="s">
        <v>72</v>
      </c>
      <c r="U44" s="38" t="s">
        <v>103</v>
      </c>
      <c r="V44" s="38" t="s">
        <v>139</v>
      </c>
      <c r="W44" s="38" t="s">
        <v>71</v>
      </c>
      <c r="X44" s="38" t="s">
        <v>121</v>
      </c>
      <c r="Y44" s="38" t="s">
        <v>71</v>
      </c>
      <c r="Z44" s="38" t="s">
        <v>71</v>
      </c>
      <c r="AA44" s="38" t="s">
        <v>71</v>
      </c>
      <c r="AB44" s="38" t="s">
        <v>71</v>
      </c>
      <c r="AC44" s="38" t="s">
        <v>71</v>
      </c>
      <c r="AD44" s="38" t="s">
        <v>71</v>
      </c>
      <c r="AE44" s="38" t="s">
        <v>74</v>
      </c>
      <c r="AF44" s="38" t="s">
        <v>98</v>
      </c>
      <c r="AG44" t="str">
        <f>VLOOKUP($Q44,武学奇术!$A:$ZZ,25,FALSE)</f>
        <v>陌刀</v>
      </c>
      <c r="AH44" s="24">
        <f>VLOOKUP($Q44,武学奇术!$A:$ZZ,26,FALSE)</f>
        <v>4.2807</v>
      </c>
      <c r="AI44" s="25">
        <f>VLOOKUP($Q44,武学奇术!$A:$ZZ,27,FALSE)*(1+IF(OR($AG44=$F$4,$AG44=$F$5),$B$22,0))</f>
        <v>1657.6</v>
      </c>
      <c r="AJ44" s="24">
        <f>VLOOKUP($Q44,武学奇术!$A:$ZZ,28,FALSE)</f>
        <v>6.421</v>
      </c>
      <c r="AK44" s="25">
        <f>VLOOKUP($Q44,武学奇术!$A:$ZZ,29,FALSE)*(1+IF(OR($AG44=$F$4,$AG44=$F$5),$B$22,0))</f>
        <v>903</v>
      </c>
      <c r="AL44" s="24" cm="1">
        <f t="array" ref="AL44">$G$3+IFERROR(VLOOKUP($AG44,$F$4:$G$7,2,FALSE),0)+VLOOKUP($Q44,武学奇术!$A:$ZZ,2,FALSE)+SUM(_xlfn.XLOOKUP($R44:$AF44,增益!$A:$A,增益!$B:$B,0))</f>
        <v>1.0041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1481.6</v>
      </c>
      <c r="AO44" cm="1">
        <f t="array" ref="AO44">$E$10*(1+$AM44)+VLOOKUP($Q44,武学奇术!$A:$ZZ,4,FALSE)+SUM(_xlfn.XLOOKUP($R44:$AF44,增益!$A:$A,增益!$D:$D,0))-$I$2</f>
        <v>5853.7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0.392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576.6</v>
      </c>
      <c r="AX44">
        <f t="shared" ref="AX44:AX60" si="21">$E$12*(1+$AR44)</f>
        <v>1088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0.14</v>
      </c>
      <c r="AZ44" s="30" cm="1">
        <f t="array" ref="AZ44">$G$12+VLOOKUP($Q44,武学奇术!$A:$ZZ,12,FALSE)+SUM(_xlfn.XLOOKUP(R44:AF44,增益!$A:$A,增益!$L:$L,0))</f>
        <v>0.15</v>
      </c>
      <c r="BA44">
        <f t="shared" si="13"/>
        <v>0</v>
      </c>
      <c r="BB44">
        <f t="shared" si="14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0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-0.14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0.846</v>
      </c>
      <c r="BK44" s="24" cm="1">
        <f t="array" ref="BK44">1+$B$13+VLOOKUP($Q44,武学奇术!$A:$ZZ,18,FALSE)+SUM(_xlfn.XLOOKUP(R44:AF44,增益!$A:$A,增益!$R:$R,0))</f>
        <v>2.144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0.1371</v>
      </c>
      <c r="BM44" s="24" cm="1">
        <f t="array" ref="BM44">1+$B$14+VLOOKUP($Q44,武学奇术!$A:$ZZ,20,FALSE)+SUM(_xlfn.XLOOKUP(R44:AF44,增益!$A:$A,增益!$T:$T,0))</f>
        <v>1.35</v>
      </c>
      <c r="BN44" s="24">
        <f t="shared" si="11"/>
        <v>0.846</v>
      </c>
      <c r="BO44" s="24">
        <f t="shared" si="17"/>
        <v>0.0168999999999999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0.11</v>
      </c>
    </row>
    <row r="45" spans="1:69">
      <c r="A45" s="4" t="s">
        <v>144</v>
      </c>
      <c r="B45" s="4">
        <v>1.2</v>
      </c>
      <c r="K45" s="36">
        <f t="shared" si="12"/>
        <v>10449.6843341742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11982.9283854771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11761.7203221816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6009.49267075082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3306.59991766344</v>
      </c>
      <c r="P45" s="37">
        <v>1</v>
      </c>
      <c r="Q45" s="38" t="s">
        <v>105</v>
      </c>
      <c r="R45" s="38" t="s">
        <v>92</v>
      </c>
      <c r="S45" s="38" t="s">
        <v>108</v>
      </c>
      <c r="T45" s="38" t="s">
        <v>72</v>
      </c>
      <c r="U45" s="38" t="s">
        <v>103</v>
      </c>
      <c r="V45" s="38" t="s">
        <v>139</v>
      </c>
      <c r="W45" s="38" t="s">
        <v>71</v>
      </c>
      <c r="X45" s="38" t="s">
        <v>118</v>
      </c>
      <c r="Y45" s="38" t="s">
        <v>71</v>
      </c>
      <c r="Z45" s="38" t="s">
        <v>71</v>
      </c>
      <c r="AA45" s="38" t="s">
        <v>71</v>
      </c>
      <c r="AB45" s="38" t="s">
        <v>71</v>
      </c>
      <c r="AC45" s="38" t="s">
        <v>71</v>
      </c>
      <c r="AD45" s="38" t="s">
        <v>71</v>
      </c>
      <c r="AE45" s="38" t="s">
        <v>74</v>
      </c>
      <c r="AF45" s="38" t="s">
        <v>71</v>
      </c>
      <c r="AG45" t="str">
        <f>VLOOKUP($Q45,武学奇术!$A:$ZZ,25,FALSE)</f>
        <v>枪</v>
      </c>
      <c r="AH45" s="24">
        <f>VLOOKUP($Q45,武学奇术!$A:$ZZ,26,FALSE)</f>
        <v>0.4843</v>
      </c>
      <c r="AI45" s="25">
        <f>VLOOKUP($Q45,武学奇术!$A:$ZZ,27,FALSE)*(1+IF(OR($AG45=$F$4,$AG45=$F$5),$B$22,0))</f>
        <v>187.6</v>
      </c>
      <c r="AJ45" s="24">
        <f>VLOOKUP($Q45,武学奇术!$A:$ZZ,28,FALSE)</f>
        <v>0.7264</v>
      </c>
      <c r="AK45" s="25">
        <f>VLOOKUP($Q45,武学奇术!$A:$ZZ,29,FALSE)*(1+IF(OR($AG45=$F$4,$AG45=$F$5),$B$22,0))</f>
        <v>102.2</v>
      </c>
      <c r="AL45" s="24" cm="1">
        <f t="array" ref="AL45">$G$3+IFERROR(VLOOKUP($AG45,$F$4:$G$7,2,FALSE),0)+VLOOKUP($Q45,武学奇术!$A:$ZZ,2,FALSE)+SUM(_xlfn.XLOOKUP($R45:$AF45,增益!$A:$A,增益!$B:$B,0))</f>
        <v>0.4989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1481.6</v>
      </c>
      <c r="AO45" cm="1">
        <f t="array" ref="AO45">$E$10*(1+$AM45)+VLOOKUP($Q45,武学奇术!$A:$ZZ,4,FALSE)+SUM(_xlfn.XLOOKUP($R45:$AF45,增益!$A:$A,增益!$D:$D,0))-$I$2</f>
        <v>5653.7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0.367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576.6</v>
      </c>
      <c r="AX45">
        <f t="shared" si="21"/>
        <v>1088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0.14</v>
      </c>
      <c r="AZ45" s="30" cm="1">
        <f t="array" ref="AZ45">$G$12+VLOOKUP($Q45,武学奇术!$A:$ZZ,12,FALSE)+SUM(_xlfn.XLOOKUP(R45:AF45,增益!$A:$A,增益!$L:$L,0))</f>
        <v>0.15</v>
      </c>
      <c r="BA45">
        <f t="shared" si="13"/>
        <v>0</v>
      </c>
      <c r="BB45">
        <f t="shared" si="14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0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0.6113</v>
      </c>
      <c r="BK45" s="24" cm="1">
        <f t="array" ref="BK45">1+$B$13+VLOOKUP($Q45,武学奇术!$A:$ZZ,18,FALSE)+SUM(_xlfn.XLOOKUP(R45:AF45,增益!$A:$A,增益!$R:$R,0))</f>
        <v>1.994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0.1371</v>
      </c>
      <c r="BM45" s="24" cm="1">
        <f t="array" ref="BM45">1+$B$14+VLOOKUP($Q45,武学奇术!$A:$ZZ,20,FALSE)+SUM(_xlfn.XLOOKUP(R45:AF45,增益!$A:$A,增益!$T:$T,0))</f>
        <v>1.35</v>
      </c>
      <c r="BN45" s="24">
        <f t="shared" si="11"/>
        <v>0.6113</v>
      </c>
      <c r="BO45" s="24">
        <f t="shared" si="17"/>
        <v>0.2516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0.11</v>
      </c>
    </row>
    <row r="46" spans="1:69">
      <c r="A46" s="4" t="s">
        <v>151</v>
      </c>
      <c r="B46" s="4">
        <v>1.4</v>
      </c>
      <c r="C46" s="37" t="s">
        <v>147</v>
      </c>
      <c r="K46" s="36">
        <f t="shared" si="12"/>
        <v>392086.210345189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398830.166168842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375325.017268194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190463.307625999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102908.083942225</v>
      </c>
      <c r="P46" s="37">
        <v>1</v>
      </c>
      <c r="Q46" s="38" t="s">
        <v>96</v>
      </c>
      <c r="R46" s="38" t="s">
        <v>92</v>
      </c>
      <c r="S46" s="38" t="s">
        <v>108</v>
      </c>
      <c r="T46" s="38" t="s">
        <v>72</v>
      </c>
      <c r="U46" s="38" t="s">
        <v>103</v>
      </c>
      <c r="V46" s="38" t="s">
        <v>139</v>
      </c>
      <c r="W46" s="38" t="s">
        <v>71</v>
      </c>
      <c r="X46" s="38" t="s">
        <v>118</v>
      </c>
      <c r="Y46" s="38" t="s">
        <v>141</v>
      </c>
      <c r="Z46" s="38" t="s">
        <v>142</v>
      </c>
      <c r="AA46" s="38" t="s">
        <v>71</v>
      </c>
      <c r="AB46" s="38" t="s">
        <v>71</v>
      </c>
      <c r="AC46" s="38" t="s">
        <v>71</v>
      </c>
      <c r="AD46" s="38" t="s">
        <v>71</v>
      </c>
      <c r="AE46" s="38" t="s">
        <v>74</v>
      </c>
      <c r="AF46" s="38" t="s">
        <v>98</v>
      </c>
      <c r="AG46" t="str">
        <f>VLOOKUP($Q46,武学奇术!$A:$ZZ,25,FALSE)</f>
        <v>陌刀</v>
      </c>
      <c r="AH46" s="24">
        <f>VLOOKUP($Q46,武学奇术!$A:$ZZ,26,FALSE)</f>
        <v>7.2368</v>
      </c>
      <c r="AI46" s="25">
        <f>VLOOKUP($Q46,武学奇术!$A:$ZZ,27,FALSE)*(1+IF(OR($AG46=$F$4,$AG46=$F$5),$B$22,0))</f>
        <v>2802.8</v>
      </c>
      <c r="AJ46" s="24">
        <f>VLOOKUP($Q46,武学奇术!$A:$ZZ,28,FALSE)</f>
        <v>10.8553</v>
      </c>
      <c r="AK46" s="25">
        <f>VLOOKUP($Q46,武学奇术!$A:$ZZ,29,FALSE)*(1+IF(OR($AG46=$F$4,$AG46=$F$5),$B$22,0))</f>
        <v>1526</v>
      </c>
      <c r="AL46" s="24" cm="1">
        <f t="array" ref="AL46">$G$3+IFERROR(VLOOKUP($AG46,$F$4:$G$7,2,FALSE),0)+VLOOKUP($Q46,武学奇术!$A:$ZZ,2,FALSE)+SUM(_xlfn.XLOOKUP($R46:$AF46,增益!$A:$A,增益!$B:$B,0))</f>
        <v>1.0041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1481.6</v>
      </c>
      <c r="AO46" cm="1">
        <f t="array" ref="AO46">$E$10*(1+$AM46)+VLOOKUP($Q46,武学奇术!$A:$ZZ,4,FALSE)+SUM(_xlfn.XLOOKUP($R46:$AF46,增益!$A:$A,增益!$D:$D,0))-$I$2</f>
        <v>5853.7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0.367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0" cm="1">
        <f t="array" ref="AV46">$G$11+VLOOKUP($Q46,武学奇术!$A:$ZZ,10,FALSE)+SUM(_xlfn.XLOOKUP(R46:AF46,增益!$A:$A,增益!$J:$J,0))</f>
        <v>0.1</v>
      </c>
      <c r="AW46">
        <f t="shared" si="20"/>
        <v>576.6</v>
      </c>
      <c r="AX46">
        <f t="shared" si="21"/>
        <v>1088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0.14</v>
      </c>
      <c r="AZ46" s="30" cm="1">
        <f t="array" ref="AZ46">$G$12+VLOOKUP($Q46,武学奇术!$A:$ZZ,12,FALSE)+SUM(_xlfn.XLOOKUP(R46:AF46,增益!$A:$A,增益!$L:$L,0))</f>
        <v>0.15</v>
      </c>
      <c r="BA46">
        <f t="shared" si="13"/>
        <v>0</v>
      </c>
      <c r="BB46">
        <f t="shared" si="14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0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0.846</v>
      </c>
      <c r="BK46" s="24" cm="1">
        <f t="array" ref="BK46">1+$B$13+VLOOKUP($Q46,武学奇术!$A:$ZZ,18,FALSE)+SUM(_xlfn.XLOOKUP(R46:AF46,增益!$A:$A,增益!$R:$R,0))</f>
        <v>2.094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0.1371</v>
      </c>
      <c r="BM46" s="24" cm="1">
        <f t="array" ref="BM46">1+$B$14+VLOOKUP($Q46,武学奇术!$A:$ZZ,20,FALSE)+SUM(_xlfn.XLOOKUP(R46:AF46,增益!$A:$A,增益!$T:$T,0))</f>
        <v>1.35</v>
      </c>
      <c r="BN46" s="24">
        <f t="shared" si="11"/>
        <v>0.846</v>
      </c>
      <c r="BO46" s="24">
        <f t="shared" si="17"/>
        <v>0.0168999999999999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0.31</v>
      </c>
    </row>
    <row r="47" spans="1:69">
      <c r="A47" s="4" t="s">
        <v>149</v>
      </c>
      <c r="B47" s="4">
        <v>1.66</v>
      </c>
      <c r="C47" s="37"/>
      <c r="K47" s="36">
        <f t="shared" si="12"/>
        <v>719622.629598594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734321.070208073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675410.253586349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342500.499164213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184697.106782983</v>
      </c>
      <c r="P47" s="37">
        <v>3</v>
      </c>
      <c r="Q47" s="38" t="s">
        <v>102</v>
      </c>
      <c r="R47" s="38" t="s">
        <v>92</v>
      </c>
      <c r="S47" s="38" t="s">
        <v>108</v>
      </c>
      <c r="T47" s="38" t="s">
        <v>72</v>
      </c>
      <c r="U47" s="38" t="s">
        <v>103</v>
      </c>
      <c r="V47" s="38" t="s">
        <v>139</v>
      </c>
      <c r="W47" s="38" t="s">
        <v>71</v>
      </c>
      <c r="X47" s="38" t="s">
        <v>121</v>
      </c>
      <c r="Y47" s="38" t="s">
        <v>141</v>
      </c>
      <c r="Z47" s="38" t="s">
        <v>142</v>
      </c>
      <c r="AA47" s="38" t="s">
        <v>71</v>
      </c>
      <c r="AB47" s="38" t="s">
        <v>71</v>
      </c>
      <c r="AC47" s="38" t="s">
        <v>71</v>
      </c>
      <c r="AD47" s="38" t="s">
        <v>71</v>
      </c>
      <c r="AE47" s="38" t="s">
        <v>74</v>
      </c>
      <c r="AF47" s="38" t="s">
        <v>98</v>
      </c>
      <c r="AG47" t="str">
        <f>VLOOKUP($Q47,武学奇术!$A:$ZZ,25,FALSE)</f>
        <v>陌刀</v>
      </c>
      <c r="AH47" s="24">
        <f>VLOOKUP($Q47,武学奇术!$A:$ZZ,26,FALSE)</f>
        <v>4.2807</v>
      </c>
      <c r="AI47" s="25">
        <f>VLOOKUP($Q47,武学奇术!$A:$ZZ,27,FALSE)*(1+IF(OR($AG47=$F$4,$AG47=$F$5),$B$22,0))</f>
        <v>1657.6</v>
      </c>
      <c r="AJ47" s="24">
        <f>VLOOKUP($Q47,武学奇术!$A:$ZZ,28,FALSE)</f>
        <v>6.421</v>
      </c>
      <c r="AK47" s="25">
        <f>VLOOKUP($Q47,武学奇术!$A:$ZZ,29,FALSE)*(1+IF(OR($AG47=$F$4,$AG47=$F$5),$B$22,0))</f>
        <v>903</v>
      </c>
      <c r="AL47" s="24" cm="1">
        <f t="array" ref="AL47">$G$3+IFERROR(VLOOKUP($AG47,$F$4:$G$7,2,FALSE),0)+VLOOKUP($Q47,武学奇术!$A:$ZZ,2,FALSE)+SUM(_xlfn.XLOOKUP($R47:$AF47,增益!$A:$A,增益!$B:$B,0))</f>
        <v>1.0041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1481.6</v>
      </c>
      <c r="AO47" cm="1">
        <f t="array" ref="AO47">$E$10*(1+$AM47)+VLOOKUP($Q47,武学奇术!$A:$ZZ,4,FALSE)+SUM(_xlfn.XLOOKUP($R47:$AF47,增益!$A:$A,增益!$D:$D,0))-$I$2</f>
        <v>5853.7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0.392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0" cm="1">
        <f t="array" ref="AV47">$G$11+VLOOKUP($Q47,武学奇术!$A:$ZZ,10,FALSE)+SUM(_xlfn.XLOOKUP(R47:AF47,增益!$A:$A,增益!$J:$J,0))</f>
        <v>0.1</v>
      </c>
      <c r="AW47">
        <f t="shared" si="20"/>
        <v>576.6</v>
      </c>
      <c r="AX47">
        <f t="shared" si="21"/>
        <v>1088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0.14</v>
      </c>
      <c r="AZ47" s="30" cm="1">
        <f t="array" ref="AZ47">$G$12+VLOOKUP($Q47,武学奇术!$A:$ZZ,12,FALSE)+SUM(_xlfn.XLOOKUP(R47:AF47,增益!$A:$A,增益!$L:$L,0))</f>
        <v>0.15</v>
      </c>
      <c r="BA47">
        <f t="shared" si="13"/>
        <v>0</v>
      </c>
      <c r="BB47">
        <f t="shared" si="14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0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0.846</v>
      </c>
      <c r="BK47" s="24" cm="1">
        <f t="array" ref="BK47">1+$B$13+VLOOKUP($Q47,武学奇术!$A:$ZZ,18,FALSE)+SUM(_xlfn.XLOOKUP(R47:AF47,增益!$A:$A,增益!$R:$R,0))</f>
        <v>2.144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0.1371</v>
      </c>
      <c r="BM47" s="24" cm="1">
        <f t="array" ref="BM47">1+$B$14+VLOOKUP($Q47,武学奇术!$A:$ZZ,20,FALSE)+SUM(_xlfn.XLOOKUP(R47:AF47,增益!$A:$A,增益!$T:$T,0))</f>
        <v>1.35</v>
      </c>
      <c r="BN47" s="24">
        <f t="shared" si="11"/>
        <v>0.846</v>
      </c>
      <c r="BO47" s="24">
        <f t="shared" si="17"/>
        <v>0.0168999999999999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0.31</v>
      </c>
    </row>
    <row r="48" spans="1:69">
      <c r="A48" s="4" t="s">
        <v>150</v>
      </c>
      <c r="B48" s="4">
        <v>1.33</v>
      </c>
      <c r="C48" s="37"/>
      <c r="K48" s="36">
        <f t="shared" si="12"/>
        <v>153058.101347283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174602.207605094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177189.795543105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87563.7951881116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43875.8899739232</v>
      </c>
      <c r="P48" s="37">
        <v>1</v>
      </c>
      <c r="Q48" s="38" t="s">
        <v>152</v>
      </c>
      <c r="R48" s="38" t="s">
        <v>92</v>
      </c>
      <c r="S48" s="38" t="s">
        <v>108</v>
      </c>
      <c r="T48" s="38" t="s">
        <v>72</v>
      </c>
      <c r="U48" s="38" t="s">
        <v>71</v>
      </c>
      <c r="V48" s="38" t="s">
        <v>139</v>
      </c>
      <c r="W48" s="38" t="s">
        <v>71</v>
      </c>
      <c r="X48" s="38" t="s">
        <v>118</v>
      </c>
      <c r="Y48" s="38" t="s">
        <v>141</v>
      </c>
      <c r="Z48" s="38" t="s">
        <v>142</v>
      </c>
      <c r="AA48" s="38" t="s">
        <v>71</v>
      </c>
      <c r="AB48" s="38" t="s">
        <v>71</v>
      </c>
      <c r="AC48" s="38" t="s">
        <v>71</v>
      </c>
      <c r="AD48" s="38" t="s">
        <v>71</v>
      </c>
      <c r="AE48" s="38" t="s">
        <v>74</v>
      </c>
      <c r="AF48" s="38" t="s">
        <v>71</v>
      </c>
      <c r="AG48" t="str">
        <f>VLOOKUP($Q48,武学奇术!$A:$ZZ,25,FALSE)</f>
        <v>单体奇术</v>
      </c>
      <c r="AH48" s="24">
        <f>VLOOKUP($Q48,武学奇术!$A:$ZZ,26,FALSE)</f>
        <v>7.1074</v>
      </c>
      <c r="AI48" s="25">
        <f>VLOOKUP($Q48,武学奇术!$A:$ZZ,27,FALSE)*(1+IF(OR($AG48=$F$4,$AG48=$F$5),$B$22,0))</f>
        <v>1320</v>
      </c>
      <c r="AJ48" s="24">
        <f>VLOOKUP($Q48,武学奇术!$A:$ZZ,28,FALSE)</f>
        <v>10.6596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0.4137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1481.6</v>
      </c>
      <c r="AO48" cm="1">
        <f t="array" ref="AO48">$E$10*(1+$AM48)+VLOOKUP($Q48,武学奇术!$A:$ZZ,4,FALSE)+SUM(_xlfn.XLOOKUP($R48:$AF48,增益!$A:$A,增益!$D:$D,0))-$I$2</f>
        <v>5653.7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0.367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0.1</v>
      </c>
      <c r="AW48">
        <f t="shared" si="20"/>
        <v>576.6</v>
      </c>
      <c r="AX48">
        <f t="shared" si="21"/>
        <v>1088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0.06</v>
      </c>
      <c r="AZ48" s="30" cm="1">
        <f t="array" ref="AZ48">$G$12+VLOOKUP($Q48,武学奇术!$A:$ZZ,12,FALSE)+SUM(_xlfn.XLOOKUP(R48:AF48,增益!$A:$A,增益!$L:$L,0))</f>
        <v>0.15</v>
      </c>
      <c r="BA48">
        <f t="shared" si="13"/>
        <v>0</v>
      </c>
      <c r="BB48">
        <f t="shared" si="14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0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0.6113</v>
      </c>
      <c r="BK48" s="24" cm="1">
        <f t="array" ref="BK48">1+$B$13+VLOOKUP($Q48,武学奇术!$A:$ZZ,18,FALSE)+SUM(_xlfn.XLOOKUP(R48:AF48,增益!$A:$A,增益!$R:$R,0))</f>
        <v>1.994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0.1371</v>
      </c>
      <c r="BM48" s="24" cm="1">
        <f t="array" ref="BM48">1+$B$14+VLOOKUP($Q48,武学奇术!$A:$ZZ,20,FALSE)+SUM(_xlfn.XLOOKUP(R48:AF48,增益!$A:$A,增益!$T:$T,0))</f>
        <v>1.35</v>
      </c>
      <c r="BN48" s="24">
        <f t="shared" si="11"/>
        <v>0.6113</v>
      </c>
      <c r="BO48" s="24">
        <f t="shared" si="17"/>
        <v>0.2516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0.31</v>
      </c>
    </row>
    <row r="49" spans="1:69">
      <c r="A49" s="4" t="s">
        <v>69</v>
      </c>
      <c r="B49" s="4">
        <v>0.5</v>
      </c>
      <c r="C49" s="37"/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71</v>
      </c>
      <c r="R49" s="38" t="s">
        <v>71</v>
      </c>
      <c r="S49" s="38" t="s">
        <v>71</v>
      </c>
      <c r="T49" s="38" t="s">
        <v>71</v>
      </c>
      <c r="U49" s="38" t="s">
        <v>71</v>
      </c>
      <c r="V49" s="38" t="s">
        <v>71</v>
      </c>
      <c r="W49" s="38" t="s">
        <v>71</v>
      </c>
      <c r="X49" s="38" t="s">
        <v>71</v>
      </c>
      <c r="Y49" s="38" t="s">
        <v>71</v>
      </c>
      <c r="Z49" s="38" t="s">
        <v>71</v>
      </c>
      <c r="AA49" s="38" t="s">
        <v>71</v>
      </c>
      <c r="AB49" s="38" t="s">
        <v>71</v>
      </c>
      <c r="AC49" s="38" t="s">
        <v>71</v>
      </c>
      <c r="AD49" s="38" t="s">
        <v>71</v>
      </c>
      <c r="AE49" s="38" t="s">
        <v>74</v>
      </c>
      <c r="AF49" s="38" t="s">
        <v>71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0.2037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1481.6</v>
      </c>
      <c r="AO49" cm="1">
        <f t="array" ref="AO49">$E$10*(1+$AM49)+VLOOKUP($Q49,武学奇术!$A:$ZZ,4,FALSE)+SUM(_xlfn.XLOOKUP($R49:$AF49,增益!$A:$A,增益!$D:$D,0))-$I$2</f>
        <v>5653.7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0.267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576.6</v>
      </c>
      <c r="AX49">
        <f t="shared" si="21"/>
        <v>1088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0.06</v>
      </c>
      <c r="AZ49" s="30" cm="1">
        <f t="array" ref="AZ49">$G$12+VLOOKUP($Q49,武学奇术!$A:$ZZ,12,FALSE)+SUM(_xlfn.XLOOKUP(R49:AF49,增益!$A:$A,增益!$L:$L,0))</f>
        <v>0.15</v>
      </c>
      <c r="BA49">
        <f t="shared" si="13"/>
        <v>0</v>
      </c>
      <c r="BB49">
        <f t="shared" si="14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0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0.6113</v>
      </c>
      <c r="BK49" s="24" cm="1">
        <f t="array" ref="BK49">1+$B$13+VLOOKUP($Q49,武学奇术!$A:$ZZ,18,FALSE)+SUM(_xlfn.XLOOKUP(R49:AF49,增益!$A:$A,增益!$R:$R,0))</f>
        <v>1.644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0.1371</v>
      </c>
      <c r="BM49" s="24" cm="1">
        <f t="array" ref="BM49">1+$B$14+VLOOKUP($Q49,武学奇术!$A:$ZZ,20,FALSE)+SUM(_xlfn.XLOOKUP(R49:AF49,增益!$A:$A,增益!$T:$T,0))</f>
        <v>1.35</v>
      </c>
      <c r="BN49" s="24">
        <f t="shared" si="11"/>
        <v>0.6113</v>
      </c>
      <c r="BO49" s="24">
        <f t="shared" si="17"/>
        <v>0.2516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0.11</v>
      </c>
    </row>
    <row r="50" spans="1:69">
      <c r="A50" s="4" t="s">
        <v>149</v>
      </c>
      <c r="B50" s="4">
        <v>1.66</v>
      </c>
      <c r="C50" s="37"/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71</v>
      </c>
      <c r="R50" s="38" t="s">
        <v>71</v>
      </c>
      <c r="S50" s="38" t="s">
        <v>71</v>
      </c>
      <c r="T50" s="38" t="s">
        <v>71</v>
      </c>
      <c r="U50" s="38" t="s">
        <v>71</v>
      </c>
      <c r="V50" s="38" t="s">
        <v>71</v>
      </c>
      <c r="W50" s="38" t="s">
        <v>71</v>
      </c>
      <c r="X50" s="38" t="s">
        <v>71</v>
      </c>
      <c r="Y50" s="38" t="s">
        <v>71</v>
      </c>
      <c r="Z50" s="38" t="s">
        <v>71</v>
      </c>
      <c r="AA50" s="38" t="s">
        <v>71</v>
      </c>
      <c r="AB50" s="38" t="s">
        <v>71</v>
      </c>
      <c r="AC50" s="38" t="s">
        <v>71</v>
      </c>
      <c r="AD50" s="38" t="s">
        <v>71</v>
      </c>
      <c r="AE50" s="38" t="s">
        <v>74</v>
      </c>
      <c r="AF50" s="38" t="s">
        <v>71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0.2037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1481.6</v>
      </c>
      <c r="AO50" cm="1">
        <f t="array" ref="AO50">$E$10*(1+$AM50)+VLOOKUP($Q50,武学奇术!$A:$ZZ,4,FALSE)+SUM(_xlfn.XLOOKUP($R50:$AF50,增益!$A:$A,增益!$D:$D,0))-$I$2</f>
        <v>5653.7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0.267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576.6</v>
      </c>
      <c r="AX50">
        <f t="shared" si="21"/>
        <v>1088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0.06</v>
      </c>
      <c r="AZ50" s="30" cm="1">
        <f t="array" ref="AZ50">$G$12+VLOOKUP($Q50,武学奇术!$A:$ZZ,12,FALSE)+SUM(_xlfn.XLOOKUP(R50:AF50,增益!$A:$A,增益!$L:$L,0))</f>
        <v>0.15</v>
      </c>
      <c r="BA50">
        <f t="shared" si="13"/>
        <v>0</v>
      </c>
      <c r="BB50">
        <f t="shared" si="14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-0.3</v>
      </c>
      <c r="BD50" s="30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0.6113</v>
      </c>
      <c r="BK50" s="24" cm="1">
        <f t="array" ref="BK50">1+$B$13+VLOOKUP($Q50,武学奇术!$A:$ZZ,18,FALSE)+SUM(_xlfn.XLOOKUP(R50:AF50,增益!$A:$A,增益!$R:$R,0))</f>
        <v>1.644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0.1371</v>
      </c>
      <c r="BM50" s="24" cm="1">
        <f t="array" ref="BM50">1+$B$14+VLOOKUP($Q50,武学奇术!$A:$ZZ,20,FALSE)+SUM(_xlfn.XLOOKUP(R50:AF50,增益!$A:$A,增益!$T:$T,0))</f>
        <v>1.35</v>
      </c>
      <c r="BN50" s="24">
        <f t="shared" si="11"/>
        <v>0.6113</v>
      </c>
      <c r="BO50" s="24">
        <f t="shared" si="17"/>
        <v>0.2516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0.11</v>
      </c>
    </row>
    <row r="51" spans="1:69">
      <c r="A51" s="4" t="s">
        <v>150</v>
      </c>
      <c r="B51" s="4">
        <v>1.33</v>
      </c>
      <c r="C51" s="37"/>
      <c r="D51" t="s">
        <v>153</v>
      </c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71</v>
      </c>
      <c r="R51" s="38" t="s">
        <v>71</v>
      </c>
      <c r="S51" s="38" t="s">
        <v>71</v>
      </c>
      <c r="T51" s="38" t="s">
        <v>71</v>
      </c>
      <c r="U51" s="38" t="s">
        <v>71</v>
      </c>
      <c r="V51" s="38" t="s">
        <v>71</v>
      </c>
      <c r="W51" s="38" t="s">
        <v>71</v>
      </c>
      <c r="X51" s="38" t="s">
        <v>71</v>
      </c>
      <c r="Y51" s="38" t="s">
        <v>71</v>
      </c>
      <c r="Z51" s="38" t="s">
        <v>71</v>
      </c>
      <c r="AA51" s="38" t="s">
        <v>71</v>
      </c>
      <c r="AB51" s="38" t="s">
        <v>71</v>
      </c>
      <c r="AC51" s="38" t="s">
        <v>71</v>
      </c>
      <c r="AD51" s="38" t="s">
        <v>71</v>
      </c>
      <c r="AE51" s="38" t="s">
        <v>74</v>
      </c>
      <c r="AF51" s="38" t="s">
        <v>71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0.2037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1481.6</v>
      </c>
      <c r="AO51" cm="1">
        <f t="array" ref="AO51">$E$10*(1+$AM51)+VLOOKUP($Q51,武学奇术!$A:$ZZ,4,FALSE)+SUM(_xlfn.XLOOKUP($R51:$AF51,增益!$A:$A,增益!$D:$D,0))-$I$2</f>
        <v>5653.7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0.267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576.6</v>
      </c>
      <c r="AX51">
        <f t="shared" si="21"/>
        <v>1088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0.06</v>
      </c>
      <c r="AZ51" s="30" cm="1">
        <f t="array" ref="AZ51">$G$12+VLOOKUP($Q51,武学奇术!$A:$ZZ,12,FALSE)+SUM(_xlfn.XLOOKUP(R51:AF51,增益!$A:$A,增益!$L:$L,0))</f>
        <v>0.15</v>
      </c>
      <c r="BA51">
        <f t="shared" si="13"/>
        <v>0</v>
      </c>
      <c r="BB51">
        <f t="shared" si="14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-0.3</v>
      </c>
      <c r="BD51" s="30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0.6113</v>
      </c>
      <c r="BK51" s="24" cm="1">
        <f t="array" ref="BK51">1+$B$13+VLOOKUP($Q51,武学奇术!$A:$ZZ,18,FALSE)+SUM(_xlfn.XLOOKUP(R51:AF51,增益!$A:$A,增益!$R:$R,0))</f>
        <v>1.644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0.1371</v>
      </c>
      <c r="BM51" s="24" cm="1">
        <f t="array" ref="BM51">1+$B$14+VLOOKUP($Q51,武学奇术!$A:$ZZ,20,FALSE)+SUM(_xlfn.XLOOKUP(R51:AF51,增益!$A:$A,增益!$T:$T,0))</f>
        <v>1.35</v>
      </c>
      <c r="BN51" s="24">
        <f t="shared" ref="BN51:BN82" si="22">MIN((1-BL51)*BI51,BI51*BJ51)</f>
        <v>0.6113</v>
      </c>
      <c r="BO51" s="24">
        <f t="shared" si="17"/>
        <v>0.2516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0.11</v>
      </c>
    </row>
    <row r="52" spans="1:69">
      <c r="A52" s="4" t="s">
        <v>150</v>
      </c>
      <c r="B52" s="4">
        <v>1.33</v>
      </c>
      <c r="C52" s="37"/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71</v>
      </c>
      <c r="R52" s="38" t="s">
        <v>71</v>
      </c>
      <c r="S52" s="38" t="s">
        <v>71</v>
      </c>
      <c r="T52" s="38" t="s">
        <v>71</v>
      </c>
      <c r="U52" s="38" t="s">
        <v>71</v>
      </c>
      <c r="V52" s="38" t="s">
        <v>71</v>
      </c>
      <c r="W52" s="38" t="s">
        <v>71</v>
      </c>
      <c r="X52" s="38" t="s">
        <v>71</v>
      </c>
      <c r="Y52" s="38" t="s">
        <v>71</v>
      </c>
      <c r="Z52" s="38" t="s">
        <v>71</v>
      </c>
      <c r="AA52" s="38" t="s">
        <v>71</v>
      </c>
      <c r="AB52" s="38" t="s">
        <v>71</v>
      </c>
      <c r="AC52" s="38" t="s">
        <v>71</v>
      </c>
      <c r="AD52" s="38" t="s">
        <v>71</v>
      </c>
      <c r="AE52" s="38" t="s">
        <v>74</v>
      </c>
      <c r="AF52" s="38" t="s">
        <v>71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0.2037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1481.6</v>
      </c>
      <c r="AO52" cm="1">
        <f t="array" ref="AO52">$E$10*(1+$AM52)+VLOOKUP($Q52,武学奇术!$A:$ZZ,4,FALSE)+SUM(_xlfn.XLOOKUP($R52:$AF52,增益!$A:$A,增益!$D:$D,0))-$I$2</f>
        <v>5653.7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0.267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576.6</v>
      </c>
      <c r="AX52">
        <f t="shared" si="21"/>
        <v>1088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0.06</v>
      </c>
      <c r="AZ52" s="30" cm="1">
        <f t="array" ref="AZ52">$G$12+VLOOKUP($Q52,武学奇术!$A:$ZZ,12,FALSE)+SUM(_xlfn.XLOOKUP(R52:AF52,增益!$A:$A,增益!$L:$L,0))</f>
        <v>0.15</v>
      </c>
      <c r="BA52">
        <f t="shared" si="13"/>
        <v>0</v>
      </c>
      <c r="BB52">
        <f t="shared" si="14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-0.3</v>
      </c>
      <c r="BD52" s="30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0.6113</v>
      </c>
      <c r="BK52" s="24" cm="1">
        <f t="array" ref="BK52">1+$B$13+VLOOKUP($Q52,武学奇术!$A:$ZZ,18,FALSE)+SUM(_xlfn.XLOOKUP(R52:AF52,增益!$A:$A,增益!$R:$R,0))</f>
        <v>1.644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0.1371</v>
      </c>
      <c r="BM52" s="24" cm="1">
        <f t="array" ref="BM52">1+$B$14+VLOOKUP($Q52,武学奇术!$A:$ZZ,20,FALSE)+SUM(_xlfn.XLOOKUP(R52:AF52,增益!$A:$A,增益!$T:$T,0))</f>
        <v>1.35</v>
      </c>
      <c r="BN52" s="24">
        <f t="shared" si="22"/>
        <v>0.6113</v>
      </c>
      <c r="BO52" s="24">
        <f t="shared" si="17"/>
        <v>0.2516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0.11</v>
      </c>
    </row>
    <row r="53" spans="1:69">
      <c r="A53" s="4" t="s">
        <v>150</v>
      </c>
      <c r="B53" s="4">
        <v>1.33</v>
      </c>
      <c r="C53" s="37"/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71</v>
      </c>
      <c r="R53" s="38" t="s">
        <v>71</v>
      </c>
      <c r="S53" s="38" t="s">
        <v>71</v>
      </c>
      <c r="T53" s="38" t="s">
        <v>71</v>
      </c>
      <c r="U53" s="38" t="s">
        <v>71</v>
      </c>
      <c r="V53" s="38" t="s">
        <v>71</v>
      </c>
      <c r="W53" s="38" t="s">
        <v>71</v>
      </c>
      <c r="X53" s="38" t="s">
        <v>71</v>
      </c>
      <c r="Y53" s="38" t="s">
        <v>71</v>
      </c>
      <c r="Z53" s="38" t="s">
        <v>71</v>
      </c>
      <c r="AA53" s="38" t="s">
        <v>71</v>
      </c>
      <c r="AB53" s="38" t="s">
        <v>71</v>
      </c>
      <c r="AC53" s="38" t="s">
        <v>71</v>
      </c>
      <c r="AD53" s="38" t="s">
        <v>71</v>
      </c>
      <c r="AE53" s="38" t="s">
        <v>74</v>
      </c>
      <c r="AF53" s="38" t="s">
        <v>71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0.2037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1481.6</v>
      </c>
      <c r="AO53" cm="1">
        <f t="array" ref="AO53">$E$10*(1+$AM53)+VLOOKUP($Q53,武学奇术!$A:$ZZ,4,FALSE)+SUM(_xlfn.XLOOKUP($R53:$AF53,增益!$A:$A,增益!$D:$D,0))-$I$2</f>
        <v>5653.7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0.267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576.6</v>
      </c>
      <c r="AX53">
        <f t="shared" si="21"/>
        <v>1088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0.06</v>
      </c>
      <c r="AZ53" s="30" cm="1">
        <f t="array" ref="AZ53">$G$12+VLOOKUP($Q53,武学奇术!$A:$ZZ,12,FALSE)+SUM(_xlfn.XLOOKUP(R53:AF53,增益!$A:$A,增益!$L:$L,0))</f>
        <v>0.15</v>
      </c>
      <c r="BA53">
        <f t="shared" si="13"/>
        <v>0</v>
      </c>
      <c r="BB53">
        <f t="shared" si="14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0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0.6113</v>
      </c>
      <c r="BK53" s="24" cm="1">
        <f t="array" ref="BK53">1+$B$13+VLOOKUP($Q53,武学奇术!$A:$ZZ,18,FALSE)+SUM(_xlfn.XLOOKUP(R53:AF53,增益!$A:$A,增益!$R:$R,0))</f>
        <v>1.644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0.1371</v>
      </c>
      <c r="BM53" s="24" cm="1">
        <f t="array" ref="BM53">1+$B$14+VLOOKUP($Q53,武学奇术!$A:$ZZ,20,FALSE)+SUM(_xlfn.XLOOKUP(R53:AF53,增益!$A:$A,增益!$T:$T,0))</f>
        <v>1.35</v>
      </c>
      <c r="BN53" s="24">
        <f t="shared" si="22"/>
        <v>0.6113</v>
      </c>
      <c r="BO53" s="24">
        <f t="shared" si="17"/>
        <v>0.2516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0.11</v>
      </c>
    </row>
    <row r="54" spans="1:69">
      <c r="A54" s="4" t="s">
        <v>149</v>
      </c>
      <c r="B54" s="4">
        <v>1.66</v>
      </c>
      <c r="C54" s="37"/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71</v>
      </c>
      <c r="R54" s="38" t="s">
        <v>71</v>
      </c>
      <c r="S54" s="38" t="s">
        <v>71</v>
      </c>
      <c r="T54" s="38" t="s">
        <v>71</v>
      </c>
      <c r="U54" s="38" t="s">
        <v>71</v>
      </c>
      <c r="V54" s="38" t="s">
        <v>71</v>
      </c>
      <c r="W54" s="38" t="s">
        <v>71</v>
      </c>
      <c r="X54" s="38" t="s">
        <v>71</v>
      </c>
      <c r="Y54" s="38" t="s">
        <v>71</v>
      </c>
      <c r="Z54" s="38" t="s">
        <v>71</v>
      </c>
      <c r="AA54" s="38" t="s">
        <v>71</v>
      </c>
      <c r="AB54" s="38" t="s">
        <v>71</v>
      </c>
      <c r="AC54" s="38" t="s">
        <v>71</v>
      </c>
      <c r="AD54" s="38" t="s">
        <v>71</v>
      </c>
      <c r="AE54" s="38" t="s">
        <v>74</v>
      </c>
      <c r="AF54" s="38" t="s">
        <v>71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0.2037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1481.6</v>
      </c>
      <c r="AO54" cm="1">
        <f t="array" ref="AO54">$E$10*(1+$AM54)+VLOOKUP($Q54,武学奇术!$A:$ZZ,4,FALSE)+SUM(_xlfn.XLOOKUP($R54:$AF54,增益!$A:$A,增益!$D:$D,0))-$I$2</f>
        <v>5653.7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0.267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576.6</v>
      </c>
      <c r="AX54">
        <f t="shared" si="21"/>
        <v>1088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0.06</v>
      </c>
      <c r="AZ54" s="30" cm="1">
        <f t="array" ref="AZ54">$G$12+VLOOKUP($Q54,武学奇术!$A:$ZZ,12,FALSE)+SUM(_xlfn.XLOOKUP(R54:AF54,增益!$A:$A,增益!$L:$L,0))</f>
        <v>0.15</v>
      </c>
      <c r="BA54">
        <f t="shared" si="13"/>
        <v>0</v>
      </c>
      <c r="BB54">
        <f t="shared" si="14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0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0.6113</v>
      </c>
      <c r="BK54" s="24" cm="1">
        <f t="array" ref="BK54">1+$B$13+VLOOKUP($Q54,武学奇术!$A:$ZZ,18,FALSE)+SUM(_xlfn.XLOOKUP(R54:AF54,增益!$A:$A,增益!$R:$R,0))</f>
        <v>1.644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0.1371</v>
      </c>
      <c r="BM54" s="24" cm="1">
        <f t="array" ref="BM54">1+$B$14+VLOOKUP($Q54,武学奇术!$A:$ZZ,20,FALSE)+SUM(_xlfn.XLOOKUP(R54:AF54,增益!$A:$A,增益!$T:$T,0))</f>
        <v>1.35</v>
      </c>
      <c r="BN54" s="24">
        <f t="shared" si="22"/>
        <v>0.6113</v>
      </c>
      <c r="BO54" s="24">
        <f t="shared" si="17"/>
        <v>0.2516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0.11</v>
      </c>
    </row>
    <row r="55" spans="1:69">
      <c r="A55" s="4" t="s">
        <v>150</v>
      </c>
      <c r="B55" s="4">
        <v>1.33</v>
      </c>
      <c r="C55" s="37"/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71</v>
      </c>
      <c r="R55" s="38" t="s">
        <v>71</v>
      </c>
      <c r="S55" s="38" t="s">
        <v>71</v>
      </c>
      <c r="T55" s="38" t="s">
        <v>71</v>
      </c>
      <c r="U55" s="38" t="s">
        <v>71</v>
      </c>
      <c r="V55" s="38" t="s">
        <v>71</v>
      </c>
      <c r="W55" s="38" t="s">
        <v>71</v>
      </c>
      <c r="X55" s="38" t="s">
        <v>71</v>
      </c>
      <c r="Y55" s="38" t="s">
        <v>71</v>
      </c>
      <c r="Z55" s="38" t="s">
        <v>71</v>
      </c>
      <c r="AA55" s="38" t="s">
        <v>71</v>
      </c>
      <c r="AB55" s="38" t="s">
        <v>71</v>
      </c>
      <c r="AC55" s="38" t="s">
        <v>71</v>
      </c>
      <c r="AD55" s="38" t="s">
        <v>71</v>
      </c>
      <c r="AE55" s="38" t="s">
        <v>74</v>
      </c>
      <c r="AF55" s="38" t="s">
        <v>71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0.2037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1481.6</v>
      </c>
      <c r="AO55" cm="1">
        <f t="array" ref="AO55">$E$10*(1+$AM55)+VLOOKUP($Q55,武学奇术!$A:$ZZ,4,FALSE)+SUM(_xlfn.XLOOKUP($R55:$AF55,增益!$A:$A,增益!$D:$D,0))-$I$2</f>
        <v>5653.7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0.267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576.6</v>
      </c>
      <c r="AX55">
        <f t="shared" si="21"/>
        <v>1088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0.06</v>
      </c>
      <c r="AZ55" s="30" cm="1">
        <f t="array" ref="AZ55">$G$12+VLOOKUP($Q55,武学奇术!$A:$ZZ,12,FALSE)+SUM(_xlfn.XLOOKUP(R55:AF55,增益!$A:$A,增益!$L:$L,0))</f>
        <v>0.15</v>
      </c>
      <c r="BA55">
        <f t="shared" si="13"/>
        <v>0</v>
      </c>
      <c r="BB55">
        <f t="shared" si="14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0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0.6113</v>
      </c>
      <c r="BK55" s="24" cm="1">
        <f t="array" ref="BK55">1+$B$13+VLOOKUP($Q55,武学奇术!$A:$ZZ,18,FALSE)+SUM(_xlfn.XLOOKUP(R55:AF55,增益!$A:$A,增益!$R:$R,0))</f>
        <v>1.644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0.1371</v>
      </c>
      <c r="BM55" s="24" cm="1">
        <f t="array" ref="BM55">1+$B$14+VLOOKUP($Q55,武学奇术!$A:$ZZ,20,FALSE)+SUM(_xlfn.XLOOKUP(R55:AF55,增益!$A:$A,增益!$T:$T,0))</f>
        <v>1.35</v>
      </c>
      <c r="BN55" s="24">
        <f t="shared" si="22"/>
        <v>0.6113</v>
      </c>
      <c r="BO55" s="24">
        <f t="shared" si="17"/>
        <v>0.2516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0.11</v>
      </c>
    </row>
    <row r="56" spans="1:69">
      <c r="A56" s="4" t="s">
        <v>144</v>
      </c>
      <c r="B56" s="4">
        <v>1.2</v>
      </c>
      <c r="C56" s="37"/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71</v>
      </c>
      <c r="R56" s="38" t="s">
        <v>71</v>
      </c>
      <c r="S56" s="38" t="s">
        <v>71</v>
      </c>
      <c r="T56" s="38" t="s">
        <v>71</v>
      </c>
      <c r="U56" s="38" t="s">
        <v>71</v>
      </c>
      <c r="V56" s="38" t="s">
        <v>71</v>
      </c>
      <c r="W56" s="38" t="s">
        <v>71</v>
      </c>
      <c r="X56" s="38" t="s">
        <v>71</v>
      </c>
      <c r="Y56" s="38" t="s">
        <v>71</v>
      </c>
      <c r="Z56" s="38" t="s">
        <v>71</v>
      </c>
      <c r="AA56" s="38" t="s">
        <v>71</v>
      </c>
      <c r="AB56" s="38" t="s">
        <v>71</v>
      </c>
      <c r="AC56" s="38" t="s">
        <v>71</v>
      </c>
      <c r="AD56" s="38" t="s">
        <v>71</v>
      </c>
      <c r="AE56" s="38" t="s">
        <v>74</v>
      </c>
      <c r="AF56" s="38" t="s">
        <v>71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0.2037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1481.6</v>
      </c>
      <c r="AO56" cm="1">
        <f t="array" ref="AO56">$E$10*(1+$AM56)+VLOOKUP($Q56,武学奇术!$A:$ZZ,4,FALSE)+SUM(_xlfn.XLOOKUP($R56:$AF56,增益!$A:$A,增益!$D:$D,0))-$I$2</f>
        <v>5653.7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0.267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576.6</v>
      </c>
      <c r="AX56">
        <f t="shared" si="21"/>
        <v>1088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0.06</v>
      </c>
      <c r="AZ56" s="30" cm="1">
        <f t="array" ref="AZ56">$G$12+VLOOKUP($Q56,武学奇术!$A:$ZZ,12,FALSE)+SUM(_xlfn.XLOOKUP(R56:AF56,增益!$A:$A,增益!$L:$L,0))</f>
        <v>0.15</v>
      </c>
      <c r="BA56">
        <f t="shared" si="13"/>
        <v>0</v>
      </c>
      <c r="BB56">
        <f t="shared" si="14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0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0.6113</v>
      </c>
      <c r="BK56" s="24" cm="1">
        <f t="array" ref="BK56">1+$B$13+VLOOKUP($Q56,武学奇术!$A:$ZZ,18,FALSE)+SUM(_xlfn.XLOOKUP(R56:AF56,增益!$A:$A,增益!$R:$R,0))</f>
        <v>1.644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0.1371</v>
      </c>
      <c r="BM56" s="24" cm="1">
        <f t="array" ref="BM56">1+$B$14+VLOOKUP($Q56,武学奇术!$A:$ZZ,20,FALSE)+SUM(_xlfn.XLOOKUP(R56:AF56,增益!$A:$A,增益!$T:$T,0))</f>
        <v>1.35</v>
      </c>
      <c r="BN56" s="24">
        <f t="shared" si="22"/>
        <v>0.6113</v>
      </c>
      <c r="BO56" s="24">
        <f t="shared" si="17"/>
        <v>0.2516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0.11</v>
      </c>
    </row>
    <row r="57" spans="1:69">
      <c r="A57" s="4" t="s">
        <v>151</v>
      </c>
      <c r="B57" s="4">
        <v>1.4</v>
      </c>
      <c r="C57" s="37"/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71</v>
      </c>
      <c r="R57" s="38" t="s">
        <v>71</v>
      </c>
      <c r="S57" s="38" t="s">
        <v>71</v>
      </c>
      <c r="T57" s="38" t="s">
        <v>71</v>
      </c>
      <c r="U57" s="38" t="s">
        <v>71</v>
      </c>
      <c r="V57" s="38" t="s">
        <v>71</v>
      </c>
      <c r="W57" s="38" t="s">
        <v>71</v>
      </c>
      <c r="X57" s="38" t="s">
        <v>71</v>
      </c>
      <c r="Y57" s="38" t="s">
        <v>71</v>
      </c>
      <c r="Z57" s="38" t="s">
        <v>71</v>
      </c>
      <c r="AA57" s="38" t="s">
        <v>71</v>
      </c>
      <c r="AB57" s="38" t="s">
        <v>71</v>
      </c>
      <c r="AC57" s="38" t="s">
        <v>71</v>
      </c>
      <c r="AD57" s="38" t="s">
        <v>71</v>
      </c>
      <c r="AE57" s="38" t="s">
        <v>74</v>
      </c>
      <c r="AF57" s="38" t="s">
        <v>71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0.2037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1481.6</v>
      </c>
      <c r="AO57" cm="1">
        <f t="array" ref="AO57">$E$10*(1+$AM57)+VLOOKUP($Q57,武学奇术!$A:$ZZ,4,FALSE)+SUM(_xlfn.XLOOKUP($R57:$AF57,增益!$A:$A,增益!$D:$D,0))-$I$2</f>
        <v>5653.7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0.267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576.6</v>
      </c>
      <c r="AX57">
        <f t="shared" si="21"/>
        <v>1088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0.06</v>
      </c>
      <c r="AZ57" s="30" cm="1">
        <f t="array" ref="AZ57">$G$12+VLOOKUP($Q57,武学奇术!$A:$ZZ,12,FALSE)+SUM(_xlfn.XLOOKUP(R57:AF57,增益!$A:$A,增益!$L:$L,0))</f>
        <v>0.15</v>
      </c>
      <c r="BA57">
        <f t="shared" si="13"/>
        <v>0</v>
      </c>
      <c r="BB57">
        <f t="shared" si="14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0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0.6113</v>
      </c>
      <c r="BK57" s="24" cm="1">
        <f t="array" ref="BK57">1+$B$13+VLOOKUP($Q57,武学奇术!$A:$ZZ,18,FALSE)+SUM(_xlfn.XLOOKUP(R57:AF57,增益!$A:$A,增益!$R:$R,0))</f>
        <v>1.644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0.1371</v>
      </c>
      <c r="BM57" s="24" cm="1">
        <f t="array" ref="BM57">1+$B$14+VLOOKUP($Q57,武学奇术!$A:$ZZ,20,FALSE)+SUM(_xlfn.XLOOKUP(R57:AF57,增益!$A:$A,增益!$T:$T,0))</f>
        <v>1.35</v>
      </c>
      <c r="BN57" s="24">
        <f t="shared" si="22"/>
        <v>0.6113</v>
      </c>
      <c r="BO57" s="24">
        <f t="shared" si="17"/>
        <v>0.2516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0.11</v>
      </c>
    </row>
    <row r="58" spans="1:69">
      <c r="A58" s="4" t="s">
        <v>146</v>
      </c>
      <c r="B58" s="4">
        <v>2</v>
      </c>
      <c r="C58" s="37"/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71</v>
      </c>
      <c r="R58" s="38" t="s">
        <v>71</v>
      </c>
      <c r="S58" s="38" t="s">
        <v>71</v>
      </c>
      <c r="T58" s="38" t="s">
        <v>71</v>
      </c>
      <c r="U58" s="38" t="s">
        <v>71</v>
      </c>
      <c r="V58" s="38" t="s">
        <v>71</v>
      </c>
      <c r="W58" s="38" t="s">
        <v>71</v>
      </c>
      <c r="X58" s="38" t="s">
        <v>71</v>
      </c>
      <c r="Y58" s="38" t="s">
        <v>71</v>
      </c>
      <c r="Z58" s="38" t="s">
        <v>71</v>
      </c>
      <c r="AA58" s="38" t="s">
        <v>71</v>
      </c>
      <c r="AB58" s="38" t="s">
        <v>71</v>
      </c>
      <c r="AC58" s="38" t="s">
        <v>71</v>
      </c>
      <c r="AD58" s="38" t="s">
        <v>71</v>
      </c>
      <c r="AE58" s="38" t="s">
        <v>74</v>
      </c>
      <c r="AF58" s="38" t="s">
        <v>71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0.2037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1481.6</v>
      </c>
      <c r="AO58" cm="1">
        <f t="array" ref="AO58">$E$10*(1+$AM58)+VLOOKUP($Q58,武学奇术!$A:$ZZ,4,FALSE)+SUM(_xlfn.XLOOKUP($R58:$AF58,增益!$A:$A,增益!$D:$D,0))-$I$2</f>
        <v>5653.7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0.267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576.6</v>
      </c>
      <c r="AX58">
        <f t="shared" si="21"/>
        <v>1088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0.06</v>
      </c>
      <c r="AZ58" s="30" cm="1">
        <f t="array" ref="AZ58">$G$12+VLOOKUP($Q58,武学奇术!$A:$ZZ,12,FALSE)+SUM(_xlfn.XLOOKUP(R58:AF58,增益!$A:$A,增益!$L:$L,0))</f>
        <v>0.15</v>
      </c>
      <c r="BA58">
        <f t="shared" si="13"/>
        <v>0</v>
      </c>
      <c r="BB58">
        <f t="shared" si="14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0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0.6113</v>
      </c>
      <c r="BK58" s="24" cm="1">
        <f t="array" ref="BK58">1+$B$13+VLOOKUP($Q58,武学奇术!$A:$ZZ,18,FALSE)+SUM(_xlfn.XLOOKUP(R58:AF58,增益!$A:$A,增益!$R:$R,0))</f>
        <v>1.644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0.1371</v>
      </c>
      <c r="BM58" s="24" cm="1">
        <f t="array" ref="BM58">1+$B$14+VLOOKUP($Q58,武学奇术!$A:$ZZ,20,FALSE)+SUM(_xlfn.XLOOKUP(R58:AF58,增益!$A:$A,增益!$T:$T,0))</f>
        <v>1.35</v>
      </c>
      <c r="BN58" s="24">
        <f t="shared" si="22"/>
        <v>0.6113</v>
      </c>
      <c r="BO58" s="24">
        <f t="shared" si="17"/>
        <v>0.2516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0.11</v>
      </c>
    </row>
    <row r="59" spans="1:69">
      <c r="A59" s="4" t="s">
        <v>149</v>
      </c>
      <c r="B59" s="4">
        <v>1.66</v>
      </c>
      <c r="C59" s="37"/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71</v>
      </c>
      <c r="R59" s="38" t="s">
        <v>71</v>
      </c>
      <c r="S59" s="38" t="s">
        <v>71</v>
      </c>
      <c r="T59" s="38" t="s">
        <v>71</v>
      </c>
      <c r="U59" s="38" t="s">
        <v>71</v>
      </c>
      <c r="V59" s="38" t="s">
        <v>71</v>
      </c>
      <c r="W59" s="38" t="s">
        <v>71</v>
      </c>
      <c r="X59" s="38" t="s">
        <v>71</v>
      </c>
      <c r="Y59" s="38" t="s">
        <v>71</v>
      </c>
      <c r="Z59" s="38" t="s">
        <v>71</v>
      </c>
      <c r="AA59" s="38" t="s">
        <v>71</v>
      </c>
      <c r="AB59" s="38" t="s">
        <v>71</v>
      </c>
      <c r="AC59" s="38" t="s">
        <v>71</v>
      </c>
      <c r="AD59" s="38" t="s">
        <v>71</v>
      </c>
      <c r="AE59" s="38" t="s">
        <v>74</v>
      </c>
      <c r="AF59" s="38" t="s">
        <v>71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0.2037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1481.6</v>
      </c>
      <c r="AO59" cm="1">
        <f t="array" ref="AO59">$E$10*(1+$AM59)+VLOOKUP($Q59,武学奇术!$A:$ZZ,4,FALSE)+SUM(_xlfn.XLOOKUP($R59:$AF59,增益!$A:$A,增益!$D:$D,0))-$I$2</f>
        <v>5653.7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0.267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576.6</v>
      </c>
      <c r="AX59">
        <f t="shared" si="21"/>
        <v>1088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0.06</v>
      </c>
      <c r="AZ59" s="30" cm="1">
        <f t="array" ref="AZ59">$G$12+VLOOKUP($Q59,武学奇术!$A:$ZZ,12,FALSE)+SUM(_xlfn.XLOOKUP(R59:AF59,增益!$A:$A,增益!$L:$L,0))</f>
        <v>0.15</v>
      </c>
      <c r="BA59">
        <f t="shared" si="13"/>
        <v>0</v>
      </c>
      <c r="BB59">
        <f t="shared" si="14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0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0.6113</v>
      </c>
      <c r="BK59" s="24" cm="1">
        <f t="array" ref="BK59">1+$B$13+VLOOKUP($Q59,武学奇术!$A:$ZZ,18,FALSE)+SUM(_xlfn.XLOOKUP(R59:AF59,增益!$A:$A,增益!$R:$R,0))</f>
        <v>1.644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0.1371</v>
      </c>
      <c r="BM59" s="24" cm="1">
        <f t="array" ref="BM59">1+$B$14+VLOOKUP($Q59,武学奇术!$A:$ZZ,20,FALSE)+SUM(_xlfn.XLOOKUP(R59:AF59,增益!$A:$A,增益!$T:$T,0))</f>
        <v>1.35</v>
      </c>
      <c r="BN59" s="24">
        <f t="shared" si="22"/>
        <v>0.6113</v>
      </c>
      <c r="BO59" s="24">
        <f t="shared" si="17"/>
        <v>0.2516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0.11</v>
      </c>
    </row>
    <row r="60" spans="1:69">
      <c r="A60" s="4" t="s">
        <v>150</v>
      </c>
      <c r="B60" s="4">
        <v>1.33</v>
      </c>
      <c r="C60" s="37"/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71</v>
      </c>
      <c r="R60" s="38" t="s">
        <v>71</v>
      </c>
      <c r="S60" s="38" t="s">
        <v>71</v>
      </c>
      <c r="T60" s="38" t="s">
        <v>71</v>
      </c>
      <c r="U60" s="38" t="s">
        <v>71</v>
      </c>
      <c r="V60" s="38" t="s">
        <v>71</v>
      </c>
      <c r="W60" s="38" t="s">
        <v>71</v>
      </c>
      <c r="X60" s="38" t="s">
        <v>71</v>
      </c>
      <c r="Y60" s="38" t="s">
        <v>71</v>
      </c>
      <c r="Z60" s="38" t="s">
        <v>71</v>
      </c>
      <c r="AA60" s="38" t="s">
        <v>71</v>
      </c>
      <c r="AB60" s="38" t="s">
        <v>71</v>
      </c>
      <c r="AC60" s="38" t="s">
        <v>71</v>
      </c>
      <c r="AD60" s="38" t="s">
        <v>71</v>
      </c>
      <c r="AE60" s="38" t="s">
        <v>74</v>
      </c>
      <c r="AF60" s="38" t="s">
        <v>71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0.2037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1481.6</v>
      </c>
      <c r="AO60" cm="1">
        <f t="array" ref="AO60">$E$10*(1+$AM60)+VLOOKUP($Q60,武学奇术!$A:$ZZ,4,FALSE)+SUM(_xlfn.XLOOKUP($R60:$AF60,增益!$A:$A,增益!$D:$D,0))-$I$2</f>
        <v>5653.7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576.6</v>
      </c>
      <c r="AX60">
        <f t="shared" si="21"/>
        <v>1088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0.06</v>
      </c>
      <c r="AZ60" s="30" cm="1">
        <f t="array" ref="AZ60">$G$12+VLOOKUP($Q60,武学奇术!$A:$ZZ,12,FALSE)+SUM(_xlfn.XLOOKUP(R60:AF60,增益!$A:$A,增益!$L:$L,0))</f>
        <v>0.15</v>
      </c>
      <c r="BA60">
        <f t="shared" si="13"/>
        <v>0</v>
      </c>
      <c r="BB60">
        <f t="shared" si="14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0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0.6113</v>
      </c>
      <c r="BK60" s="24" cm="1">
        <f t="array" ref="BK60">1+$B$13+VLOOKUP($Q60,武学奇术!$A:$ZZ,18,FALSE)+SUM(_xlfn.XLOOKUP(R60:AF60,增益!$A:$A,增益!$R:$R,0))</f>
        <v>1.644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0.1371</v>
      </c>
      <c r="BM60" s="24" cm="1">
        <f t="array" ref="BM60">1+$B$14+VLOOKUP($Q60,武学奇术!$A:$ZZ,20,FALSE)+SUM(_xlfn.XLOOKUP(R60:AF60,增益!$A:$A,增益!$T:$T,0))</f>
        <v>1.35</v>
      </c>
      <c r="BN60" s="24">
        <f t="shared" si="22"/>
        <v>0.6113</v>
      </c>
      <c r="BO60" s="24">
        <f t="shared" si="17"/>
        <v>0.2516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0.11</v>
      </c>
    </row>
    <row r="61" spans="1:69">
      <c r="A61" s="4" t="s">
        <v>154</v>
      </c>
      <c r="B61" s="4">
        <v>1.5</v>
      </c>
      <c r="C61" s="37"/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71</v>
      </c>
      <c r="R61" s="38" t="s">
        <v>71</v>
      </c>
      <c r="S61" s="38" t="s">
        <v>71</v>
      </c>
      <c r="T61" s="38" t="s">
        <v>71</v>
      </c>
      <c r="U61" s="38" t="s">
        <v>71</v>
      </c>
      <c r="V61" s="38" t="s">
        <v>71</v>
      </c>
      <c r="W61" s="38" t="s">
        <v>71</v>
      </c>
      <c r="X61" s="38" t="s">
        <v>71</v>
      </c>
      <c r="Y61" s="38" t="s">
        <v>71</v>
      </c>
      <c r="Z61" s="38" t="s">
        <v>71</v>
      </c>
      <c r="AA61" s="38" t="s">
        <v>71</v>
      </c>
      <c r="AB61" s="38" t="s">
        <v>71</v>
      </c>
      <c r="AC61" s="38" t="s">
        <v>71</v>
      </c>
      <c r="AD61" s="38" t="s">
        <v>71</v>
      </c>
      <c r="AE61" s="38" t="s">
        <v>74</v>
      </c>
      <c r="AF61" s="38" t="s">
        <v>71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0.2037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1481.6</v>
      </c>
      <c r="AO61" cm="1">
        <f t="array" ref="AO61">$E$10*(1+$AM61)+VLOOKUP($Q61,武学奇术!$A:$ZZ,4,FALSE)+SUM(_xlfn.XLOOKUP($R61:$AF61,增益!$A:$A,增益!$D:$D,0))-$I$2</f>
        <v>5653.7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0.267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576.6</v>
      </c>
      <c r="AX61">
        <f t="shared" ref="AX61:AX73" si="27">$E$12*(1+$AR61)</f>
        <v>1088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0.06</v>
      </c>
      <c r="AZ61" s="30" cm="1">
        <f t="array" ref="AZ61">$G$12+VLOOKUP($Q61,武学奇术!$A:$ZZ,12,FALSE)+SUM(_xlfn.XLOOKUP(R61:AF61,增益!$A:$A,增益!$L:$L,0))</f>
        <v>0.15</v>
      </c>
      <c r="BA61">
        <f t="shared" ref="BA61:BA73" si="28">$D$13*(1+$AR61)</f>
        <v>0</v>
      </c>
      <c r="BB61">
        <f t="shared" ref="BB61:BB73" si="29">$E$13*(1+$AR61)</f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0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0.6113</v>
      </c>
      <c r="BK61" s="24" cm="1">
        <f t="array" ref="BK61">1+$B$13+VLOOKUP($Q61,武学奇术!$A:$ZZ,18,FALSE)+SUM(_xlfn.XLOOKUP(R61:AF61,增益!$A:$A,增益!$R:$R,0))</f>
        <v>1.644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0.1371</v>
      </c>
      <c r="BM61" s="24" cm="1">
        <f t="array" ref="BM61">1+$B$14+VLOOKUP($Q61,武学奇术!$A:$ZZ,20,FALSE)+SUM(_xlfn.XLOOKUP(R61:AF61,增益!$A:$A,增益!$T:$T,0))</f>
        <v>1.35</v>
      </c>
      <c r="BN61" s="24">
        <f t="shared" si="22"/>
        <v>0.6113</v>
      </c>
      <c r="BO61" s="24">
        <f t="shared" si="17"/>
        <v>0.2516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0.11</v>
      </c>
    </row>
    <row r="62" spans="1:69">
      <c r="A62" s="4" t="s">
        <v>146</v>
      </c>
      <c r="B62" s="4">
        <v>2</v>
      </c>
      <c r="C62" s="37"/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71</v>
      </c>
      <c r="R62" s="38" t="s">
        <v>71</v>
      </c>
      <c r="S62" s="38" t="s">
        <v>71</v>
      </c>
      <c r="T62" s="38" t="s">
        <v>71</v>
      </c>
      <c r="U62" s="38" t="s">
        <v>71</v>
      </c>
      <c r="V62" s="38" t="s">
        <v>71</v>
      </c>
      <c r="W62" s="38" t="s">
        <v>71</v>
      </c>
      <c r="X62" s="38" t="s">
        <v>71</v>
      </c>
      <c r="Y62" s="38" t="s">
        <v>71</v>
      </c>
      <c r="Z62" s="38" t="s">
        <v>71</v>
      </c>
      <c r="AA62" s="38" t="s">
        <v>71</v>
      </c>
      <c r="AB62" s="38" t="s">
        <v>71</v>
      </c>
      <c r="AC62" s="38" t="s">
        <v>71</v>
      </c>
      <c r="AD62" s="38" t="s">
        <v>71</v>
      </c>
      <c r="AE62" s="38" t="s">
        <v>74</v>
      </c>
      <c r="AF62" s="38" t="s">
        <v>71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0.2037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1481.6</v>
      </c>
      <c r="AO62" cm="1">
        <f t="array" ref="AO62">$E$10*(1+$AM62)+VLOOKUP($Q62,武学奇术!$A:$ZZ,4,FALSE)+SUM(_xlfn.XLOOKUP($R62:$AF62,增益!$A:$A,增益!$D:$D,0))-$I$2</f>
        <v>5653.7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0.267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576.6</v>
      </c>
      <c r="AX62">
        <f t="shared" si="27"/>
        <v>1088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0.06</v>
      </c>
      <c r="AZ62" s="30" cm="1">
        <f t="array" ref="AZ62">$G$12+VLOOKUP($Q62,武学奇术!$A:$ZZ,12,FALSE)+SUM(_xlfn.XLOOKUP(R62:AF62,增益!$A:$A,增益!$L:$L,0))</f>
        <v>0.15</v>
      </c>
      <c r="BA62">
        <f t="shared" si="28"/>
        <v>0</v>
      </c>
      <c r="BB62">
        <f t="shared" si="29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0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0.6113</v>
      </c>
      <c r="BK62" s="24" cm="1">
        <f t="array" ref="BK62">1+$B$13+VLOOKUP($Q62,武学奇术!$A:$ZZ,18,FALSE)+SUM(_xlfn.XLOOKUP(R62:AF62,增益!$A:$A,增益!$R:$R,0))</f>
        <v>1.644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0.1371</v>
      </c>
      <c r="BM62" s="24" cm="1">
        <f t="array" ref="BM62">1+$B$14+VLOOKUP($Q62,武学奇术!$A:$ZZ,20,FALSE)+SUM(_xlfn.XLOOKUP(R62:AF62,增益!$A:$A,增益!$T:$T,0))</f>
        <v>1.35</v>
      </c>
      <c r="BN62" s="24">
        <f t="shared" si="22"/>
        <v>0.6113</v>
      </c>
      <c r="BO62" s="24">
        <f t="shared" si="17"/>
        <v>0.2516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0.11</v>
      </c>
    </row>
    <row r="63" spans="1:69">
      <c r="A63" s="4" t="s">
        <v>149</v>
      </c>
      <c r="B63" s="4">
        <v>1.66</v>
      </c>
      <c r="C63" s="37"/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71</v>
      </c>
      <c r="R63" s="38" t="s">
        <v>71</v>
      </c>
      <c r="S63" s="38" t="s">
        <v>71</v>
      </c>
      <c r="T63" s="38" t="s">
        <v>71</v>
      </c>
      <c r="U63" s="38" t="s">
        <v>71</v>
      </c>
      <c r="V63" s="38" t="s">
        <v>71</v>
      </c>
      <c r="W63" s="38" t="s">
        <v>71</v>
      </c>
      <c r="X63" s="38" t="s">
        <v>71</v>
      </c>
      <c r="Y63" s="38" t="s">
        <v>71</v>
      </c>
      <c r="Z63" s="38" t="s">
        <v>71</v>
      </c>
      <c r="AA63" s="38" t="s">
        <v>71</v>
      </c>
      <c r="AB63" s="38" t="s">
        <v>71</v>
      </c>
      <c r="AC63" s="38" t="s">
        <v>71</v>
      </c>
      <c r="AD63" s="38" t="s">
        <v>71</v>
      </c>
      <c r="AE63" s="38" t="s">
        <v>74</v>
      </c>
      <c r="AF63" s="38" t="s">
        <v>71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0.2037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1481.6</v>
      </c>
      <c r="AO63" cm="1">
        <f t="array" ref="AO63">$E$10*(1+$AM63)+VLOOKUP($Q63,武学奇术!$A:$ZZ,4,FALSE)+SUM(_xlfn.XLOOKUP($R63:$AF63,增益!$A:$A,增益!$D:$D,0))-$I$2</f>
        <v>5653.7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0.267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576.6</v>
      </c>
      <c r="AX63">
        <f t="shared" si="27"/>
        <v>1088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0.06</v>
      </c>
      <c r="AZ63" s="30" cm="1">
        <f t="array" ref="AZ63">$G$12+VLOOKUP($Q63,武学奇术!$A:$ZZ,12,FALSE)+SUM(_xlfn.XLOOKUP(R63:AF63,增益!$A:$A,增益!$L:$L,0))</f>
        <v>0.15</v>
      </c>
      <c r="BA63">
        <f t="shared" si="28"/>
        <v>0</v>
      </c>
      <c r="BB63">
        <f t="shared" si="29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-0.3</v>
      </c>
      <c r="BD63" s="30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0.6113</v>
      </c>
      <c r="BK63" s="24" cm="1">
        <f t="array" ref="BK63">1+$B$13+VLOOKUP($Q63,武学奇术!$A:$ZZ,18,FALSE)+SUM(_xlfn.XLOOKUP(R63:AF63,增益!$A:$A,增益!$R:$R,0))</f>
        <v>1.644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0.1371</v>
      </c>
      <c r="BM63" s="24" cm="1">
        <f t="array" ref="BM63">1+$B$14+VLOOKUP($Q63,武学奇术!$A:$ZZ,20,FALSE)+SUM(_xlfn.XLOOKUP(R63:AF63,增益!$A:$A,增益!$T:$T,0))</f>
        <v>1.35</v>
      </c>
      <c r="BN63" s="24">
        <f t="shared" si="22"/>
        <v>0.6113</v>
      </c>
      <c r="BO63" s="24">
        <f t="shared" si="17"/>
        <v>0.2516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0.11</v>
      </c>
    </row>
    <row r="64" spans="1:69">
      <c r="A64" s="4" t="s">
        <v>150</v>
      </c>
      <c r="B64" s="4">
        <v>1.33</v>
      </c>
      <c r="C64" s="37"/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71</v>
      </c>
      <c r="R64" s="38" t="s">
        <v>71</v>
      </c>
      <c r="S64" s="38" t="s">
        <v>71</v>
      </c>
      <c r="T64" s="38" t="s">
        <v>71</v>
      </c>
      <c r="U64" s="38" t="s">
        <v>71</v>
      </c>
      <c r="V64" s="38" t="s">
        <v>71</v>
      </c>
      <c r="W64" s="38" t="s">
        <v>71</v>
      </c>
      <c r="X64" s="38" t="s">
        <v>71</v>
      </c>
      <c r="Y64" s="38" t="s">
        <v>71</v>
      </c>
      <c r="Z64" s="38" t="s">
        <v>71</v>
      </c>
      <c r="AA64" s="38" t="s">
        <v>71</v>
      </c>
      <c r="AB64" s="38" t="s">
        <v>71</v>
      </c>
      <c r="AC64" s="38" t="s">
        <v>71</v>
      </c>
      <c r="AD64" s="38" t="s">
        <v>71</v>
      </c>
      <c r="AE64" s="38" t="s">
        <v>74</v>
      </c>
      <c r="AF64" s="38" t="s">
        <v>71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0.2037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1481.6</v>
      </c>
      <c r="AO64" cm="1">
        <f t="array" ref="AO64">$E$10*(1+$AM64)+VLOOKUP($Q64,武学奇术!$A:$ZZ,4,FALSE)+SUM(_xlfn.XLOOKUP($R64:$AF64,增益!$A:$A,增益!$D:$D,0))-$I$2</f>
        <v>5653.7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0.267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576.6</v>
      </c>
      <c r="AX64">
        <f t="shared" si="27"/>
        <v>1088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0.06</v>
      </c>
      <c r="AZ64" s="30" cm="1">
        <f t="array" ref="AZ64">$G$12+VLOOKUP($Q64,武学奇术!$A:$ZZ,12,FALSE)+SUM(_xlfn.XLOOKUP(R64:AF64,增益!$A:$A,增益!$L:$L,0))</f>
        <v>0.15</v>
      </c>
      <c r="BA64">
        <f t="shared" si="28"/>
        <v>0</v>
      </c>
      <c r="BB64">
        <f t="shared" si="29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-0.3</v>
      </c>
      <c r="BD64" s="30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0.6113</v>
      </c>
      <c r="BK64" s="24" cm="1">
        <f t="array" ref="BK64">1+$B$13+VLOOKUP($Q64,武学奇术!$A:$ZZ,18,FALSE)+SUM(_xlfn.XLOOKUP(R64:AF64,增益!$A:$A,增益!$R:$R,0))</f>
        <v>1.644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0.1371</v>
      </c>
      <c r="BM64" s="24" cm="1">
        <f t="array" ref="BM64">1+$B$14+VLOOKUP($Q64,武学奇术!$A:$ZZ,20,FALSE)+SUM(_xlfn.XLOOKUP(R64:AF64,增益!$A:$A,增益!$T:$T,0))</f>
        <v>1.35</v>
      </c>
      <c r="BN64" s="24">
        <f t="shared" si="22"/>
        <v>0.6113</v>
      </c>
      <c r="BO64" s="24">
        <f t="shared" si="17"/>
        <v>0.2516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0.11</v>
      </c>
    </row>
    <row r="65" spans="1:69">
      <c r="A65" s="4" t="s">
        <v>144</v>
      </c>
      <c r="B65" s="4">
        <v>1.2</v>
      </c>
      <c r="C65" s="37"/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71</v>
      </c>
      <c r="R65" s="38" t="s">
        <v>71</v>
      </c>
      <c r="S65" s="38" t="s">
        <v>71</v>
      </c>
      <c r="T65" s="38" t="s">
        <v>71</v>
      </c>
      <c r="U65" s="38" t="s">
        <v>71</v>
      </c>
      <c r="V65" s="38" t="s">
        <v>71</v>
      </c>
      <c r="W65" s="38" t="s">
        <v>71</v>
      </c>
      <c r="X65" s="38" t="s">
        <v>71</v>
      </c>
      <c r="Y65" s="38" t="s">
        <v>71</v>
      </c>
      <c r="Z65" s="38" t="s">
        <v>71</v>
      </c>
      <c r="AA65" s="38" t="s">
        <v>71</v>
      </c>
      <c r="AB65" s="38" t="s">
        <v>71</v>
      </c>
      <c r="AC65" s="38" t="s">
        <v>71</v>
      </c>
      <c r="AD65" s="38" t="s">
        <v>71</v>
      </c>
      <c r="AE65" s="38" t="s">
        <v>74</v>
      </c>
      <c r="AF65" s="38" t="s">
        <v>71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0.2037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1481.6</v>
      </c>
      <c r="AO65" cm="1">
        <f t="array" ref="AO65">$E$10*(1+$AM65)+VLOOKUP($Q65,武学奇术!$A:$ZZ,4,FALSE)+SUM(_xlfn.XLOOKUP($R65:$AF65,增益!$A:$A,增益!$D:$D,0))-$I$2</f>
        <v>5653.7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0.267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576.6</v>
      </c>
      <c r="AX65">
        <f t="shared" si="27"/>
        <v>1088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0.06</v>
      </c>
      <c r="AZ65" s="30" cm="1">
        <f t="array" ref="AZ65">$G$12+VLOOKUP($Q65,武学奇术!$A:$ZZ,12,FALSE)+SUM(_xlfn.XLOOKUP(R65:AF65,增益!$A:$A,增益!$L:$L,0))</f>
        <v>0.15</v>
      </c>
      <c r="BA65">
        <f t="shared" si="28"/>
        <v>0</v>
      </c>
      <c r="BB65">
        <f t="shared" si="29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0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0.6113</v>
      </c>
      <c r="BK65" s="24" cm="1">
        <f t="array" ref="BK65">1+$B$13+VLOOKUP($Q65,武学奇术!$A:$ZZ,18,FALSE)+SUM(_xlfn.XLOOKUP(R65:AF65,增益!$A:$A,增益!$R:$R,0))</f>
        <v>1.644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0.1371</v>
      </c>
      <c r="BM65" s="24" cm="1">
        <f t="array" ref="BM65">1+$B$14+VLOOKUP($Q65,武学奇术!$A:$ZZ,20,FALSE)+SUM(_xlfn.XLOOKUP(R65:AF65,增益!$A:$A,增益!$T:$T,0))</f>
        <v>1.35</v>
      </c>
      <c r="BN65" s="24">
        <f t="shared" si="22"/>
        <v>0.6113</v>
      </c>
      <c r="BO65" s="24">
        <f t="shared" si="17"/>
        <v>0.2516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0.11</v>
      </c>
    </row>
    <row r="66" spans="1:69">
      <c r="A66" s="4" t="s">
        <v>69</v>
      </c>
      <c r="B66" s="4">
        <v>0.5</v>
      </c>
      <c r="C66" s="37"/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71</v>
      </c>
      <c r="R66" s="38" t="s">
        <v>71</v>
      </c>
      <c r="S66" s="38" t="s">
        <v>71</v>
      </c>
      <c r="T66" s="38" t="s">
        <v>71</v>
      </c>
      <c r="U66" s="38" t="s">
        <v>71</v>
      </c>
      <c r="V66" s="38" t="s">
        <v>71</v>
      </c>
      <c r="W66" s="38" t="s">
        <v>71</v>
      </c>
      <c r="X66" s="38" t="s">
        <v>71</v>
      </c>
      <c r="Y66" s="38" t="s">
        <v>71</v>
      </c>
      <c r="Z66" s="38" t="s">
        <v>71</v>
      </c>
      <c r="AA66" s="38" t="s">
        <v>71</v>
      </c>
      <c r="AB66" s="38" t="s">
        <v>71</v>
      </c>
      <c r="AC66" s="38" t="s">
        <v>71</v>
      </c>
      <c r="AD66" s="38" t="s">
        <v>71</v>
      </c>
      <c r="AE66" s="38" t="s">
        <v>74</v>
      </c>
      <c r="AF66" s="38" t="s">
        <v>71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0.2037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1481.6</v>
      </c>
      <c r="AO66" cm="1">
        <f t="array" ref="AO66">$E$10*(1+$AM66)+VLOOKUP($Q66,武学奇术!$A:$ZZ,4,FALSE)+SUM(_xlfn.XLOOKUP($R66:$AF66,增益!$A:$A,增益!$D:$D,0))-$I$2</f>
        <v>5653.7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576.6</v>
      </c>
      <c r="AX66">
        <f t="shared" si="27"/>
        <v>1088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0.06</v>
      </c>
      <c r="AZ66" s="30" cm="1">
        <f t="array" ref="AZ66">$G$12+VLOOKUP($Q66,武学奇术!$A:$ZZ,12,FALSE)+SUM(_xlfn.XLOOKUP(R66:AF66,增益!$A:$A,增益!$L:$L,0))</f>
        <v>0.15</v>
      </c>
      <c r="BA66">
        <f t="shared" si="28"/>
        <v>0</v>
      </c>
      <c r="BB66">
        <f t="shared" si="29"/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0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0.6113</v>
      </c>
      <c r="BK66" s="24" cm="1">
        <f t="array" ref="BK66">1+$B$13+VLOOKUP($Q66,武学奇术!$A:$ZZ,18,FALSE)+SUM(_xlfn.XLOOKUP(R66:AF66,增益!$A:$A,增益!$R:$R,0))</f>
        <v>1.644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0.1371</v>
      </c>
      <c r="BM66" s="24" cm="1">
        <f t="array" ref="BM66">1+$B$14+VLOOKUP($Q66,武学奇术!$A:$ZZ,20,FALSE)+SUM(_xlfn.XLOOKUP(R66:AF66,增益!$A:$A,增益!$T:$T,0))</f>
        <v>1.35</v>
      </c>
      <c r="BN66" s="24">
        <f t="shared" si="22"/>
        <v>0.6113</v>
      </c>
      <c r="BO66" s="24">
        <f t="shared" si="17"/>
        <v>0.2516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0.11</v>
      </c>
    </row>
    <row r="67" spans="1:69">
      <c r="A67" s="4" t="s">
        <v>149</v>
      </c>
      <c r="B67" s="4">
        <v>1.66</v>
      </c>
      <c r="C67" s="37"/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71</v>
      </c>
      <c r="R67" s="38" t="s">
        <v>71</v>
      </c>
      <c r="S67" s="38" t="s">
        <v>71</v>
      </c>
      <c r="T67" s="38" t="s">
        <v>71</v>
      </c>
      <c r="U67" s="38" t="s">
        <v>71</v>
      </c>
      <c r="V67" s="38" t="s">
        <v>71</v>
      </c>
      <c r="W67" s="38" t="s">
        <v>71</v>
      </c>
      <c r="X67" s="38" t="s">
        <v>71</v>
      </c>
      <c r="Y67" s="38" t="s">
        <v>71</v>
      </c>
      <c r="Z67" s="38" t="s">
        <v>71</v>
      </c>
      <c r="AA67" s="38" t="s">
        <v>71</v>
      </c>
      <c r="AB67" s="38" t="s">
        <v>71</v>
      </c>
      <c r="AC67" s="38" t="s">
        <v>71</v>
      </c>
      <c r="AD67" s="38" t="s">
        <v>71</v>
      </c>
      <c r="AE67" s="38" t="s">
        <v>74</v>
      </c>
      <c r="AF67" s="38" t="s">
        <v>71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0.2037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1481.6</v>
      </c>
      <c r="AO67" cm="1">
        <f t="array" ref="AO67">$E$10*(1+$AM67)+VLOOKUP($Q67,武学奇术!$A:$ZZ,4,FALSE)+SUM(_xlfn.XLOOKUP($R67:$AF67,增益!$A:$A,增益!$D:$D,0))-$I$2</f>
        <v>5653.7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0.267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576.6</v>
      </c>
      <c r="AX67">
        <f t="shared" si="27"/>
        <v>1088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0.06</v>
      </c>
      <c r="AZ67" s="30" cm="1">
        <f t="array" ref="AZ67">$G$12+VLOOKUP($Q67,武学奇术!$A:$ZZ,12,FALSE)+SUM(_xlfn.XLOOKUP(R67:AF67,增益!$A:$A,增益!$L:$L,0))</f>
        <v>0.15</v>
      </c>
      <c r="BA67">
        <f t="shared" si="28"/>
        <v>0</v>
      </c>
      <c r="BB67">
        <f t="shared" si="29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0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0.6113</v>
      </c>
      <c r="BK67" s="24" cm="1">
        <f t="array" ref="BK67">1+$B$13+VLOOKUP($Q67,武学奇术!$A:$ZZ,18,FALSE)+SUM(_xlfn.XLOOKUP(R67:AF67,增益!$A:$A,增益!$R:$R,0))</f>
        <v>1.644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0.1371</v>
      </c>
      <c r="BM67" s="24" cm="1">
        <f t="array" ref="BM67">1+$B$14+VLOOKUP($Q67,武学奇术!$A:$ZZ,20,FALSE)+SUM(_xlfn.XLOOKUP(R67:AF67,增益!$A:$A,增益!$T:$T,0))</f>
        <v>1.35</v>
      </c>
      <c r="BN67" s="24">
        <f t="shared" si="22"/>
        <v>0.6113</v>
      </c>
      <c r="BO67" s="24">
        <f t="shared" ref="BO67:BO101" si="32">1-BL67-BN67-BP67</f>
        <v>0.2516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0.11</v>
      </c>
    </row>
    <row r="68" spans="1:69">
      <c r="A68" s="4" t="s">
        <v>150</v>
      </c>
      <c r="B68" s="4">
        <v>1.33</v>
      </c>
      <c r="C68" s="37"/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71</v>
      </c>
      <c r="R68" s="38" t="s">
        <v>71</v>
      </c>
      <c r="S68" s="38" t="s">
        <v>71</v>
      </c>
      <c r="T68" s="38" t="s">
        <v>71</v>
      </c>
      <c r="U68" s="38" t="s">
        <v>71</v>
      </c>
      <c r="V68" s="38" t="s">
        <v>71</v>
      </c>
      <c r="W68" s="38" t="s">
        <v>71</v>
      </c>
      <c r="X68" s="38" t="s">
        <v>71</v>
      </c>
      <c r="Y68" s="38" t="s">
        <v>71</v>
      </c>
      <c r="Z68" s="38" t="s">
        <v>71</v>
      </c>
      <c r="AA68" s="38" t="s">
        <v>71</v>
      </c>
      <c r="AB68" s="38" t="s">
        <v>71</v>
      </c>
      <c r="AC68" s="38" t="s">
        <v>71</v>
      </c>
      <c r="AD68" s="38" t="s">
        <v>71</v>
      </c>
      <c r="AE68" s="38" t="s">
        <v>74</v>
      </c>
      <c r="AF68" s="38" t="s">
        <v>71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0.2037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1481.6</v>
      </c>
      <c r="AO68" cm="1">
        <f t="array" ref="AO68">$E$10*(1+$AM68)+VLOOKUP($Q68,武学奇术!$A:$ZZ,4,FALSE)+SUM(_xlfn.XLOOKUP($R68:$AF68,增益!$A:$A,增益!$D:$D,0))-$I$2</f>
        <v>5653.7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576.6</v>
      </c>
      <c r="AX68">
        <f t="shared" si="27"/>
        <v>1088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0.06</v>
      </c>
      <c r="AZ68" s="30" cm="1">
        <f t="array" ref="AZ68">$G$12+VLOOKUP($Q68,武学奇术!$A:$ZZ,12,FALSE)+SUM(_xlfn.XLOOKUP(R68:AF68,增益!$A:$A,增益!$L:$L,0))</f>
        <v>0.15</v>
      </c>
      <c r="BA68">
        <f t="shared" si="28"/>
        <v>0</v>
      </c>
      <c r="BB68">
        <f t="shared" si="29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-0.3</v>
      </c>
      <c r="BD68" s="30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0.6113</v>
      </c>
      <c r="BK68" s="24" cm="1">
        <f t="array" ref="BK68">1+$B$13+VLOOKUP($Q68,武学奇术!$A:$ZZ,18,FALSE)+SUM(_xlfn.XLOOKUP(R68:AF68,增益!$A:$A,增益!$R:$R,0))</f>
        <v>1.644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0.1371</v>
      </c>
      <c r="BM68" s="24" cm="1">
        <f t="array" ref="BM68">1+$B$14+VLOOKUP($Q68,武学奇术!$A:$ZZ,20,FALSE)+SUM(_xlfn.XLOOKUP(R68:AF68,增益!$A:$A,增益!$T:$T,0))</f>
        <v>1.35</v>
      </c>
      <c r="BN68" s="24">
        <f t="shared" si="22"/>
        <v>0.6113</v>
      </c>
      <c r="BO68" s="24">
        <f t="shared" si="32"/>
        <v>0.2516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0.11</v>
      </c>
    </row>
    <row r="69" spans="1:69">
      <c r="A69" s="4" t="s">
        <v>151</v>
      </c>
      <c r="B69" s="4">
        <v>1.4</v>
      </c>
      <c r="C69" s="37"/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71</v>
      </c>
      <c r="R69" s="38" t="s">
        <v>71</v>
      </c>
      <c r="S69" s="38" t="s">
        <v>71</v>
      </c>
      <c r="T69" s="38" t="s">
        <v>71</v>
      </c>
      <c r="U69" s="38" t="s">
        <v>71</v>
      </c>
      <c r="V69" s="38" t="s">
        <v>71</v>
      </c>
      <c r="W69" s="38" t="s">
        <v>71</v>
      </c>
      <c r="X69" s="38" t="s">
        <v>71</v>
      </c>
      <c r="Y69" s="38" t="s">
        <v>71</v>
      </c>
      <c r="Z69" s="38" t="s">
        <v>71</v>
      </c>
      <c r="AA69" s="38" t="s">
        <v>71</v>
      </c>
      <c r="AB69" s="38" t="s">
        <v>71</v>
      </c>
      <c r="AC69" s="38" t="s">
        <v>71</v>
      </c>
      <c r="AD69" s="38" t="s">
        <v>71</v>
      </c>
      <c r="AE69" s="38" t="s">
        <v>74</v>
      </c>
      <c r="AF69" s="38" t="s">
        <v>71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0.2037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1481.6</v>
      </c>
      <c r="AO69" cm="1">
        <f t="array" ref="AO69">$E$10*(1+$AM69)+VLOOKUP($Q69,武学奇术!$A:$ZZ,4,FALSE)+SUM(_xlfn.XLOOKUP($R69:$AF69,增益!$A:$A,增益!$D:$D,0))-$I$2</f>
        <v>5653.7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576.6</v>
      </c>
      <c r="AX69">
        <f t="shared" si="27"/>
        <v>1088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0.06</v>
      </c>
      <c r="AZ69" s="30" cm="1">
        <f t="array" ref="AZ69">$G$12+VLOOKUP($Q69,武学奇术!$A:$ZZ,12,FALSE)+SUM(_xlfn.XLOOKUP(R69:AF69,增益!$A:$A,增益!$L:$L,0))</f>
        <v>0.15</v>
      </c>
      <c r="BA69">
        <f t="shared" si="28"/>
        <v>0</v>
      </c>
      <c r="BB69">
        <f t="shared" si="29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-0.3</v>
      </c>
      <c r="BD69" s="30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0.6113</v>
      </c>
      <c r="BK69" s="24" cm="1">
        <f t="array" ref="BK69">1+$B$13+VLOOKUP($Q69,武学奇术!$A:$ZZ,18,FALSE)+SUM(_xlfn.XLOOKUP(R69:AF69,增益!$A:$A,增益!$R:$R,0))</f>
        <v>1.644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0.1371</v>
      </c>
      <c r="BM69" s="24" cm="1">
        <f t="array" ref="BM69">1+$B$14+VLOOKUP($Q69,武学奇术!$A:$ZZ,20,FALSE)+SUM(_xlfn.XLOOKUP(R69:AF69,增益!$A:$A,增益!$T:$T,0))</f>
        <v>1.35</v>
      </c>
      <c r="BN69" s="24">
        <f t="shared" si="22"/>
        <v>0.6113</v>
      </c>
      <c r="BO69" s="24">
        <f t="shared" si="32"/>
        <v>0.2516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0.11</v>
      </c>
    </row>
    <row r="70" spans="1:69">
      <c r="A70" s="4" t="s">
        <v>69</v>
      </c>
      <c r="B70" s="4">
        <v>0.5</v>
      </c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71</v>
      </c>
      <c r="R70" s="38" t="s">
        <v>71</v>
      </c>
      <c r="S70" s="38" t="s">
        <v>71</v>
      </c>
      <c r="T70" s="38" t="s">
        <v>71</v>
      </c>
      <c r="U70" s="38" t="s">
        <v>71</v>
      </c>
      <c r="V70" s="38" t="s">
        <v>71</v>
      </c>
      <c r="W70" s="38" t="s">
        <v>71</v>
      </c>
      <c r="X70" s="38" t="s">
        <v>71</v>
      </c>
      <c r="Y70" s="38" t="s">
        <v>71</v>
      </c>
      <c r="Z70" s="38" t="s">
        <v>71</v>
      </c>
      <c r="AA70" s="38" t="s">
        <v>71</v>
      </c>
      <c r="AB70" s="38" t="s">
        <v>71</v>
      </c>
      <c r="AC70" s="38" t="s">
        <v>71</v>
      </c>
      <c r="AD70" s="38" t="s">
        <v>71</v>
      </c>
      <c r="AE70" s="38" t="s">
        <v>74</v>
      </c>
      <c r="AF70" s="38" t="s">
        <v>71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0.2037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1481.6</v>
      </c>
      <c r="AO70" cm="1">
        <f t="array" ref="AO70">$E$10*(1+$AM70)+VLOOKUP($Q70,武学奇术!$A:$ZZ,4,FALSE)+SUM(_xlfn.XLOOKUP($R70:$AF70,增益!$A:$A,增益!$D:$D,0))-$I$2</f>
        <v>5653.7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0.267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576.6</v>
      </c>
      <c r="AX70">
        <f t="shared" si="27"/>
        <v>1088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0.06</v>
      </c>
      <c r="AZ70" s="30" cm="1">
        <f t="array" ref="AZ70">$G$12+VLOOKUP($Q70,武学奇术!$A:$ZZ,12,FALSE)+SUM(_xlfn.XLOOKUP(R70:AF70,增益!$A:$A,增益!$L:$L,0))</f>
        <v>0.15</v>
      </c>
      <c r="BA70">
        <f t="shared" si="28"/>
        <v>0</v>
      </c>
      <c r="BB70">
        <f t="shared" si="29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0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0.6113</v>
      </c>
      <c r="BK70" s="24" cm="1">
        <f t="array" ref="BK70">1+$B$13+VLOOKUP($Q70,武学奇术!$A:$ZZ,18,FALSE)+SUM(_xlfn.XLOOKUP(R70:AF70,增益!$A:$A,增益!$R:$R,0))</f>
        <v>1.644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0.1371</v>
      </c>
      <c r="BM70" s="24" cm="1">
        <f t="array" ref="BM70">1+$B$14+VLOOKUP($Q70,武学奇术!$A:$ZZ,20,FALSE)+SUM(_xlfn.XLOOKUP(R70:AF70,增益!$A:$A,增益!$T:$T,0))</f>
        <v>1.35</v>
      </c>
      <c r="BN70" s="24">
        <f t="shared" si="22"/>
        <v>0.6113</v>
      </c>
      <c r="BO70" s="24">
        <f t="shared" si="32"/>
        <v>0.2516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0.11</v>
      </c>
    </row>
    <row r="71" spans="1:69">
      <c r="A71" s="4" t="s">
        <v>149</v>
      </c>
      <c r="B71" s="4">
        <v>1.66</v>
      </c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71</v>
      </c>
      <c r="R71" s="38" t="s">
        <v>71</v>
      </c>
      <c r="S71" s="38" t="s">
        <v>71</v>
      </c>
      <c r="T71" s="38" t="s">
        <v>71</v>
      </c>
      <c r="U71" s="38" t="s">
        <v>71</v>
      </c>
      <c r="V71" s="38" t="s">
        <v>71</v>
      </c>
      <c r="W71" s="38" t="s">
        <v>71</v>
      </c>
      <c r="X71" s="38" t="s">
        <v>71</v>
      </c>
      <c r="Y71" s="38" t="s">
        <v>71</v>
      </c>
      <c r="Z71" s="38" t="s">
        <v>71</v>
      </c>
      <c r="AA71" s="38" t="s">
        <v>71</v>
      </c>
      <c r="AB71" s="38" t="s">
        <v>71</v>
      </c>
      <c r="AC71" s="38" t="s">
        <v>71</v>
      </c>
      <c r="AD71" s="38" t="s">
        <v>71</v>
      </c>
      <c r="AE71" s="38" t="s">
        <v>74</v>
      </c>
      <c r="AF71" s="38" t="s">
        <v>71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0.2037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1481.6</v>
      </c>
      <c r="AO71" cm="1">
        <f t="array" ref="AO71">$E$10*(1+$AM71)+VLOOKUP($Q71,武学奇术!$A:$ZZ,4,FALSE)+SUM(_xlfn.XLOOKUP($R71:$AF71,增益!$A:$A,增益!$D:$D,0))-$I$2</f>
        <v>5653.7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0.267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576.6</v>
      </c>
      <c r="AX71">
        <f t="shared" si="27"/>
        <v>1088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0.06</v>
      </c>
      <c r="AZ71" s="30" cm="1">
        <f t="array" ref="AZ71">$G$12+VLOOKUP($Q71,武学奇术!$A:$ZZ,12,FALSE)+SUM(_xlfn.XLOOKUP(R71:AF71,增益!$A:$A,增益!$L:$L,0))</f>
        <v>0.15</v>
      </c>
      <c r="BA71">
        <f t="shared" si="28"/>
        <v>0</v>
      </c>
      <c r="BB71">
        <f t="shared" si="29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-0.3</v>
      </c>
      <c r="BD71" s="30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0.6113</v>
      </c>
      <c r="BK71" s="24" cm="1">
        <f t="array" ref="BK71">1+$B$13+VLOOKUP($Q71,武学奇术!$A:$ZZ,18,FALSE)+SUM(_xlfn.XLOOKUP(R71:AF71,增益!$A:$A,增益!$R:$R,0))</f>
        <v>1.644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0.1371</v>
      </c>
      <c r="BM71" s="24" cm="1">
        <f t="array" ref="BM71">1+$B$14+VLOOKUP($Q71,武学奇术!$A:$ZZ,20,FALSE)+SUM(_xlfn.XLOOKUP(R71:AF71,增益!$A:$A,增益!$T:$T,0))</f>
        <v>1.35</v>
      </c>
      <c r="BN71" s="24">
        <f t="shared" si="22"/>
        <v>0.6113</v>
      </c>
      <c r="BO71" s="24">
        <f t="shared" si="32"/>
        <v>0.2516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0.11</v>
      </c>
    </row>
    <row r="72" spans="1:69">
      <c r="A72" s="4" t="s">
        <v>150</v>
      </c>
      <c r="B72" s="4">
        <v>1.33</v>
      </c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71</v>
      </c>
      <c r="R72" s="38" t="s">
        <v>71</v>
      </c>
      <c r="S72" s="38" t="s">
        <v>71</v>
      </c>
      <c r="T72" s="38" t="s">
        <v>71</v>
      </c>
      <c r="U72" s="38" t="s">
        <v>71</v>
      </c>
      <c r="V72" s="38" t="s">
        <v>71</v>
      </c>
      <c r="W72" s="38" t="s">
        <v>71</v>
      </c>
      <c r="X72" s="38" t="s">
        <v>71</v>
      </c>
      <c r="Y72" s="38" t="s">
        <v>71</v>
      </c>
      <c r="Z72" s="38" t="s">
        <v>71</v>
      </c>
      <c r="AA72" s="38" t="s">
        <v>71</v>
      </c>
      <c r="AB72" s="38" t="s">
        <v>71</v>
      </c>
      <c r="AC72" s="38" t="s">
        <v>71</v>
      </c>
      <c r="AD72" s="38" t="s">
        <v>71</v>
      </c>
      <c r="AE72" s="38" t="s">
        <v>74</v>
      </c>
      <c r="AF72" s="38" t="s">
        <v>71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0.2037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1481.6</v>
      </c>
      <c r="AO72" cm="1">
        <f t="array" ref="AO72">$E$10*(1+$AM72)+VLOOKUP($Q72,武学奇术!$A:$ZZ,4,FALSE)+SUM(_xlfn.XLOOKUP($R72:$AF72,增益!$A:$A,增益!$D:$D,0))-$I$2</f>
        <v>5653.7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0.267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576.6</v>
      </c>
      <c r="AX72">
        <f t="shared" si="27"/>
        <v>1088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0.06</v>
      </c>
      <c r="AZ72" s="30" cm="1">
        <f t="array" ref="AZ72">$G$12+VLOOKUP($Q72,武学奇术!$A:$ZZ,12,FALSE)+SUM(_xlfn.XLOOKUP(R72:AF72,增益!$A:$A,增益!$L:$L,0))</f>
        <v>0.15</v>
      </c>
      <c r="BA72">
        <f t="shared" si="28"/>
        <v>0</v>
      </c>
      <c r="BB72">
        <f t="shared" si="29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0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0.6113</v>
      </c>
      <c r="BK72" s="24" cm="1">
        <f t="array" ref="BK72">1+$B$13+VLOOKUP($Q72,武学奇术!$A:$ZZ,18,FALSE)+SUM(_xlfn.XLOOKUP(R72:AF72,增益!$A:$A,增益!$R:$R,0))</f>
        <v>1.644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0.1371</v>
      </c>
      <c r="BM72" s="24" cm="1">
        <f t="array" ref="BM72">1+$B$14+VLOOKUP($Q72,武学奇术!$A:$ZZ,20,FALSE)+SUM(_xlfn.XLOOKUP(R72:AF72,增益!$A:$A,增益!$T:$T,0))</f>
        <v>1.35</v>
      </c>
      <c r="BN72" s="24">
        <f t="shared" si="22"/>
        <v>0.6113</v>
      </c>
      <c r="BO72" s="24">
        <f t="shared" si="32"/>
        <v>0.2516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0.11</v>
      </c>
    </row>
    <row r="73" spans="1:69">
      <c r="A73" s="4" t="s">
        <v>146</v>
      </c>
      <c r="B73" s="4">
        <v>2</v>
      </c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71</v>
      </c>
      <c r="R73" s="38" t="s">
        <v>71</v>
      </c>
      <c r="S73" s="38" t="s">
        <v>71</v>
      </c>
      <c r="T73" s="38" t="s">
        <v>71</v>
      </c>
      <c r="U73" s="38" t="s">
        <v>71</v>
      </c>
      <c r="V73" s="38" t="s">
        <v>71</v>
      </c>
      <c r="W73" s="38" t="s">
        <v>71</v>
      </c>
      <c r="X73" s="38" t="s">
        <v>71</v>
      </c>
      <c r="Y73" s="38" t="s">
        <v>71</v>
      </c>
      <c r="Z73" s="38" t="s">
        <v>71</v>
      </c>
      <c r="AA73" s="38" t="s">
        <v>71</v>
      </c>
      <c r="AB73" s="38" t="s">
        <v>71</v>
      </c>
      <c r="AC73" s="38" t="s">
        <v>71</v>
      </c>
      <c r="AD73" s="38" t="s">
        <v>71</v>
      </c>
      <c r="AE73" s="38" t="s">
        <v>74</v>
      </c>
      <c r="AF73" s="38" t="s">
        <v>71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0.2037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1481.6</v>
      </c>
      <c r="AO73" cm="1">
        <f t="array" ref="AO73">$E$10*(1+$AM73)+VLOOKUP($Q73,武学奇术!$A:$ZZ,4,FALSE)+SUM(_xlfn.XLOOKUP($R73:$AF73,增益!$A:$A,增益!$D:$D,0))-$I$2</f>
        <v>5653.7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576.6</v>
      </c>
      <c r="AX73">
        <f t="shared" si="27"/>
        <v>1088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0.06</v>
      </c>
      <c r="AZ73" s="30" cm="1">
        <f t="array" ref="AZ73">$G$12+VLOOKUP($Q73,武学奇术!$A:$ZZ,12,FALSE)+SUM(_xlfn.XLOOKUP(R73:AF73,增益!$A:$A,增益!$L:$L,0))</f>
        <v>0.15</v>
      </c>
      <c r="BA73">
        <f t="shared" si="28"/>
        <v>0</v>
      </c>
      <c r="BB73">
        <f t="shared" si="29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0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0.6113</v>
      </c>
      <c r="BK73" s="24" cm="1">
        <f t="array" ref="BK73">1+$B$13+VLOOKUP($Q73,武学奇术!$A:$ZZ,18,FALSE)+SUM(_xlfn.XLOOKUP(R73:AF73,增益!$A:$A,增益!$R:$R,0))</f>
        <v>1.644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0.1371</v>
      </c>
      <c r="BM73" s="24" cm="1">
        <f t="array" ref="BM73">1+$B$14+VLOOKUP($Q73,武学奇术!$A:$ZZ,20,FALSE)+SUM(_xlfn.XLOOKUP(R73:AF73,增益!$A:$A,增益!$T:$T,0))</f>
        <v>1.35</v>
      </c>
      <c r="BN73" s="24">
        <f t="shared" si="22"/>
        <v>0.6113</v>
      </c>
      <c r="BO73" s="24">
        <f t="shared" si="32"/>
        <v>0.2516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0.11</v>
      </c>
    </row>
    <row r="74" spans="1:69">
      <c r="A74" s="4" t="s">
        <v>149</v>
      </c>
      <c r="B74" s="4">
        <v>1.66</v>
      </c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71</v>
      </c>
      <c r="R74" s="38" t="s">
        <v>71</v>
      </c>
      <c r="S74" s="38" t="s">
        <v>71</v>
      </c>
      <c r="T74" s="38" t="s">
        <v>71</v>
      </c>
      <c r="U74" s="38" t="s">
        <v>71</v>
      </c>
      <c r="V74" s="38" t="s">
        <v>71</v>
      </c>
      <c r="W74" s="38" t="s">
        <v>71</v>
      </c>
      <c r="X74" s="38" t="s">
        <v>71</v>
      </c>
      <c r="Y74" s="38" t="s">
        <v>71</v>
      </c>
      <c r="Z74" s="38" t="s">
        <v>71</v>
      </c>
      <c r="AA74" s="38" t="s">
        <v>71</v>
      </c>
      <c r="AB74" s="38" t="s">
        <v>71</v>
      </c>
      <c r="AC74" s="38" t="s">
        <v>71</v>
      </c>
      <c r="AD74" s="38" t="s">
        <v>71</v>
      </c>
      <c r="AE74" s="38" t="s">
        <v>74</v>
      </c>
      <c r="AF74" s="38" t="s">
        <v>71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0.2037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1481.6</v>
      </c>
      <c r="AO74" cm="1">
        <f t="array" ref="AO74">$E$10*(1+$AM74)+VLOOKUP($Q74,武学奇术!$A:$ZZ,4,FALSE)+SUM(_xlfn.XLOOKUP($R74:$AF74,增益!$A:$A,增益!$D:$D,0))-$I$2</f>
        <v>5653.7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576.6</v>
      </c>
      <c r="AX74">
        <f t="shared" ref="AX74:AX86" si="37">$E$12*(1+$AR74)</f>
        <v>1088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0.06</v>
      </c>
      <c r="AZ74" s="30" cm="1">
        <f t="array" ref="AZ74">$G$12+VLOOKUP($Q74,武学奇术!$A:$ZZ,12,FALSE)+SUM(_xlfn.XLOOKUP(R74:AF74,增益!$A:$A,增益!$L:$L,0))</f>
        <v>0.15</v>
      </c>
      <c r="BA74">
        <f t="shared" ref="BA74:BA86" si="38">$D$13*(1+$AR74)</f>
        <v>0</v>
      </c>
      <c r="BB74">
        <f t="shared" ref="BB74:BB86" si="39">$E$13*(1+$AR74)</f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0" cm="1">
        <f t="array" ref="BD74">$G$13+VLOOKUP($Q74,武学奇术!$A:$ZZ,14,FALSE)+SUM(_xlfn.XLOOKUP(R74:AF74,增益!$A:$A,增益!$N:$N,0))</f>
        <v>0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0.6113</v>
      </c>
      <c r="BK74" s="24" cm="1">
        <f t="array" ref="BK74">1+$B$13+VLOOKUP($Q74,武学奇术!$A:$ZZ,18,FALSE)+SUM(_xlfn.XLOOKUP(R74:AF74,增益!$A:$A,增益!$R:$R,0))</f>
        <v>1.644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0.1371</v>
      </c>
      <c r="BM74" s="24" cm="1">
        <f t="array" ref="BM74">1+$B$14+VLOOKUP($Q74,武学奇术!$A:$ZZ,20,FALSE)+SUM(_xlfn.XLOOKUP(R74:AF74,增益!$A:$A,增益!$T:$T,0))</f>
        <v>1.35</v>
      </c>
      <c r="BN74" s="24">
        <f t="shared" si="22"/>
        <v>0.6113</v>
      </c>
      <c r="BO74" s="24">
        <f t="shared" si="32"/>
        <v>0.2516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0.11</v>
      </c>
    </row>
    <row r="75" spans="1:69">
      <c r="A75" s="4" t="s">
        <v>150</v>
      </c>
      <c r="B75" s="4">
        <v>1.33</v>
      </c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71</v>
      </c>
      <c r="R75" s="38" t="s">
        <v>71</v>
      </c>
      <c r="S75" s="38" t="s">
        <v>71</v>
      </c>
      <c r="T75" s="38" t="s">
        <v>71</v>
      </c>
      <c r="U75" s="38" t="s">
        <v>71</v>
      </c>
      <c r="V75" s="38" t="s">
        <v>71</v>
      </c>
      <c r="W75" s="38" t="s">
        <v>71</v>
      </c>
      <c r="X75" s="38" t="s">
        <v>71</v>
      </c>
      <c r="Y75" s="38" t="s">
        <v>71</v>
      </c>
      <c r="Z75" s="38" t="s">
        <v>71</v>
      </c>
      <c r="AA75" s="38" t="s">
        <v>71</v>
      </c>
      <c r="AB75" s="38" t="s">
        <v>71</v>
      </c>
      <c r="AC75" s="38" t="s">
        <v>71</v>
      </c>
      <c r="AD75" s="38" t="s">
        <v>71</v>
      </c>
      <c r="AE75" s="38" t="s">
        <v>74</v>
      </c>
      <c r="AF75" s="38" t="s">
        <v>71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0.2037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1481.6</v>
      </c>
      <c r="AO75" cm="1">
        <f t="array" ref="AO75">$E$10*(1+$AM75)+VLOOKUP($Q75,武学奇术!$A:$ZZ,4,FALSE)+SUM(_xlfn.XLOOKUP($R75:$AF75,增益!$A:$A,增益!$D:$D,0))-$I$2</f>
        <v>5653.7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576.6</v>
      </c>
      <c r="AX75">
        <f t="shared" si="37"/>
        <v>1088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0.06</v>
      </c>
      <c r="AZ75" s="30" cm="1">
        <f t="array" ref="AZ75">$G$12+VLOOKUP($Q75,武学奇术!$A:$ZZ,12,FALSE)+SUM(_xlfn.XLOOKUP(R75:AF75,增益!$A:$A,增益!$L:$L,0))</f>
        <v>0.15</v>
      </c>
      <c r="BA75">
        <f t="shared" si="38"/>
        <v>0</v>
      </c>
      <c r="BB75">
        <f t="shared" si="39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0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0.6113</v>
      </c>
      <c r="BK75" s="24" cm="1">
        <f t="array" ref="BK75">1+$B$13+VLOOKUP($Q75,武学奇术!$A:$ZZ,18,FALSE)+SUM(_xlfn.XLOOKUP(R75:AF75,增益!$A:$A,增益!$R:$R,0))</f>
        <v>1.644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0.1371</v>
      </c>
      <c r="BM75" s="24" cm="1">
        <f t="array" ref="BM75">1+$B$14+VLOOKUP($Q75,武学奇术!$A:$ZZ,20,FALSE)+SUM(_xlfn.XLOOKUP(R75:AF75,增益!$A:$A,增益!$T:$T,0))</f>
        <v>1.35</v>
      </c>
      <c r="BN75" s="24">
        <f t="shared" si="22"/>
        <v>0.6113</v>
      </c>
      <c r="BO75" s="24">
        <f t="shared" si="32"/>
        <v>0.2516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0.11</v>
      </c>
    </row>
    <row r="76" spans="1:69">
      <c r="A76" s="4" t="s">
        <v>69</v>
      </c>
      <c r="B76" s="4">
        <v>0.5</v>
      </c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71</v>
      </c>
      <c r="R76" s="38" t="s">
        <v>71</v>
      </c>
      <c r="S76" s="38" t="s">
        <v>71</v>
      </c>
      <c r="T76" s="38" t="s">
        <v>71</v>
      </c>
      <c r="U76" s="38" t="s">
        <v>71</v>
      </c>
      <c r="V76" s="38" t="s">
        <v>71</v>
      </c>
      <c r="W76" s="38" t="s">
        <v>71</v>
      </c>
      <c r="X76" s="38" t="s">
        <v>71</v>
      </c>
      <c r="Y76" s="38" t="s">
        <v>71</v>
      </c>
      <c r="Z76" s="38" t="s">
        <v>71</v>
      </c>
      <c r="AA76" s="38" t="s">
        <v>71</v>
      </c>
      <c r="AB76" s="38" t="s">
        <v>71</v>
      </c>
      <c r="AC76" s="38" t="s">
        <v>71</v>
      </c>
      <c r="AD76" s="38" t="s">
        <v>71</v>
      </c>
      <c r="AE76" s="38" t="s">
        <v>74</v>
      </c>
      <c r="AF76" s="38" t="s">
        <v>71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0.2037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1481.6</v>
      </c>
      <c r="AO76" cm="1">
        <f t="array" ref="AO76">$E$10*(1+$AM76)+VLOOKUP($Q76,武学奇术!$A:$ZZ,4,FALSE)+SUM(_xlfn.XLOOKUP($R76:$AF76,增益!$A:$A,增益!$D:$D,0))-$I$2</f>
        <v>5653.7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576.6</v>
      </c>
      <c r="AX76">
        <f t="shared" si="37"/>
        <v>1088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0.06</v>
      </c>
      <c r="AZ76" s="30" cm="1">
        <f t="array" ref="AZ76">$G$12+VLOOKUP($Q76,武学奇术!$A:$ZZ,12,FALSE)+SUM(_xlfn.XLOOKUP(R76:AF76,增益!$A:$A,增益!$L:$L,0))</f>
        <v>0.15</v>
      </c>
      <c r="BA76">
        <f t="shared" si="38"/>
        <v>0</v>
      </c>
      <c r="BB76">
        <f t="shared" si="39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0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0.6113</v>
      </c>
      <c r="BK76" s="24" cm="1">
        <f t="array" ref="BK76">1+$B$13+VLOOKUP($Q76,武学奇术!$A:$ZZ,18,FALSE)+SUM(_xlfn.XLOOKUP(R76:AF76,增益!$A:$A,增益!$R:$R,0))</f>
        <v>1.644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0.1371</v>
      </c>
      <c r="BM76" s="24" cm="1">
        <f t="array" ref="BM76">1+$B$14+VLOOKUP($Q76,武学奇术!$A:$ZZ,20,FALSE)+SUM(_xlfn.XLOOKUP(R76:AF76,增益!$A:$A,增益!$T:$T,0))</f>
        <v>1.35</v>
      </c>
      <c r="BN76" s="24">
        <f t="shared" si="22"/>
        <v>0.6113</v>
      </c>
      <c r="BO76" s="24">
        <f t="shared" si="32"/>
        <v>0.2516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0.11</v>
      </c>
    </row>
    <row r="77" spans="1:69">
      <c r="A77" s="4" t="s">
        <v>144</v>
      </c>
      <c r="B77" s="4">
        <v>1.2</v>
      </c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71</v>
      </c>
      <c r="R77" s="38" t="s">
        <v>71</v>
      </c>
      <c r="S77" s="38" t="s">
        <v>71</v>
      </c>
      <c r="T77" s="38" t="s">
        <v>71</v>
      </c>
      <c r="U77" s="38" t="s">
        <v>71</v>
      </c>
      <c r="V77" s="38" t="s">
        <v>71</v>
      </c>
      <c r="W77" s="38" t="s">
        <v>71</v>
      </c>
      <c r="X77" s="38" t="s">
        <v>71</v>
      </c>
      <c r="Y77" s="38" t="s">
        <v>71</v>
      </c>
      <c r="Z77" s="38" t="s">
        <v>71</v>
      </c>
      <c r="AA77" s="38" t="s">
        <v>71</v>
      </c>
      <c r="AB77" s="38" t="s">
        <v>71</v>
      </c>
      <c r="AC77" s="38" t="s">
        <v>71</v>
      </c>
      <c r="AD77" s="38" t="s">
        <v>71</v>
      </c>
      <c r="AE77" s="38" t="s">
        <v>74</v>
      </c>
      <c r="AF77" s="38" t="s">
        <v>71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0.2037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1481.6</v>
      </c>
      <c r="AO77" cm="1">
        <f t="array" ref="AO77">$E$10*(1+$AM77)+VLOOKUP($Q77,武学奇术!$A:$ZZ,4,FALSE)+SUM(_xlfn.XLOOKUP($R77:$AF77,增益!$A:$A,增益!$D:$D,0))-$I$2</f>
        <v>5653.7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576.6</v>
      </c>
      <c r="AX77">
        <f t="shared" si="37"/>
        <v>1088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0.06</v>
      </c>
      <c r="AZ77" s="30" cm="1">
        <f t="array" ref="AZ77">$G$12+VLOOKUP($Q77,武学奇术!$A:$ZZ,12,FALSE)+SUM(_xlfn.XLOOKUP(R77:AF77,增益!$A:$A,增益!$L:$L,0))</f>
        <v>0.15</v>
      </c>
      <c r="BA77">
        <f t="shared" si="38"/>
        <v>0</v>
      </c>
      <c r="BB77">
        <f t="shared" si="39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0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0.6113</v>
      </c>
      <c r="BK77" s="24" cm="1">
        <f t="array" ref="BK77">1+$B$13+VLOOKUP($Q77,武学奇术!$A:$ZZ,18,FALSE)+SUM(_xlfn.XLOOKUP(R77:AF77,增益!$A:$A,增益!$R:$R,0))</f>
        <v>1.644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0.1371</v>
      </c>
      <c r="BM77" s="24" cm="1">
        <f t="array" ref="BM77">1+$B$14+VLOOKUP($Q77,武学奇术!$A:$ZZ,20,FALSE)+SUM(_xlfn.XLOOKUP(R77:AF77,增益!$A:$A,增益!$T:$T,0))</f>
        <v>1.35</v>
      </c>
      <c r="BN77" s="24">
        <f t="shared" si="22"/>
        <v>0.6113</v>
      </c>
      <c r="BO77" s="24">
        <f t="shared" si="32"/>
        <v>0.2516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0.11</v>
      </c>
    </row>
    <row r="78" spans="1:69">
      <c r="A78" s="4" t="s">
        <v>155</v>
      </c>
      <c r="B78" s="4">
        <v>1</v>
      </c>
      <c r="C78" s="37" t="s">
        <v>147</v>
      </c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71</v>
      </c>
      <c r="R78" s="38" t="s">
        <v>71</v>
      </c>
      <c r="S78" s="38" t="s">
        <v>71</v>
      </c>
      <c r="T78" s="38" t="s">
        <v>71</v>
      </c>
      <c r="U78" s="38" t="s">
        <v>71</v>
      </c>
      <c r="V78" s="38" t="s">
        <v>71</v>
      </c>
      <c r="W78" s="38" t="s">
        <v>71</v>
      </c>
      <c r="X78" s="38" t="s">
        <v>71</v>
      </c>
      <c r="Y78" s="38" t="s">
        <v>71</v>
      </c>
      <c r="Z78" s="38" t="s">
        <v>71</v>
      </c>
      <c r="AA78" s="38" t="s">
        <v>71</v>
      </c>
      <c r="AB78" s="38" t="s">
        <v>71</v>
      </c>
      <c r="AC78" s="38" t="s">
        <v>71</v>
      </c>
      <c r="AD78" s="38" t="s">
        <v>71</v>
      </c>
      <c r="AE78" s="38" t="s">
        <v>74</v>
      </c>
      <c r="AF78" s="38" t="s">
        <v>71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0.2037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1481.6</v>
      </c>
      <c r="AO78" cm="1">
        <f t="array" ref="AO78">$E$10*(1+$AM78)+VLOOKUP($Q78,武学奇术!$A:$ZZ,4,FALSE)+SUM(_xlfn.XLOOKUP($R78:$AF78,增益!$A:$A,增益!$D:$D,0))-$I$2</f>
        <v>5653.7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0.267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576.6</v>
      </c>
      <c r="AX78">
        <f t="shared" si="37"/>
        <v>1088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0.06</v>
      </c>
      <c r="AZ78" s="30" cm="1">
        <f t="array" ref="AZ78">$G$12+VLOOKUP($Q78,武学奇术!$A:$ZZ,12,FALSE)+SUM(_xlfn.XLOOKUP(R78:AF78,增益!$A:$A,增益!$L:$L,0))</f>
        <v>0.15</v>
      </c>
      <c r="BA78">
        <f t="shared" si="38"/>
        <v>0</v>
      </c>
      <c r="BB78">
        <f t="shared" si="39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0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0.6113</v>
      </c>
      <c r="BK78" s="24" cm="1">
        <f t="array" ref="BK78">1+$B$13+VLOOKUP($Q78,武学奇术!$A:$ZZ,18,FALSE)+SUM(_xlfn.XLOOKUP(R78:AF78,增益!$A:$A,增益!$R:$R,0))</f>
        <v>1.644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0.1371</v>
      </c>
      <c r="BM78" s="24" cm="1">
        <f t="array" ref="BM78">1+$B$14+VLOOKUP($Q78,武学奇术!$A:$ZZ,20,FALSE)+SUM(_xlfn.XLOOKUP(R78:AF78,增益!$A:$A,增益!$T:$T,0))</f>
        <v>1.35</v>
      </c>
      <c r="BN78" s="24">
        <f t="shared" si="22"/>
        <v>0.6113</v>
      </c>
      <c r="BO78" s="24">
        <f t="shared" si="32"/>
        <v>0.2516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0.11</v>
      </c>
    </row>
    <row r="79" spans="1:69">
      <c r="A79" s="4" t="s">
        <v>149</v>
      </c>
      <c r="B79" s="4">
        <v>1.66</v>
      </c>
      <c r="C79" s="37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71</v>
      </c>
      <c r="R79" s="38" t="s">
        <v>71</v>
      </c>
      <c r="S79" s="38" t="s">
        <v>71</v>
      </c>
      <c r="T79" s="38" t="s">
        <v>71</v>
      </c>
      <c r="U79" s="38" t="s">
        <v>71</v>
      </c>
      <c r="V79" s="38" t="s">
        <v>71</v>
      </c>
      <c r="W79" s="38" t="s">
        <v>71</v>
      </c>
      <c r="X79" s="38" t="s">
        <v>71</v>
      </c>
      <c r="Y79" s="38" t="s">
        <v>71</v>
      </c>
      <c r="Z79" s="38" t="s">
        <v>71</v>
      </c>
      <c r="AA79" s="38" t="s">
        <v>71</v>
      </c>
      <c r="AB79" s="38" t="s">
        <v>71</v>
      </c>
      <c r="AC79" s="38" t="s">
        <v>71</v>
      </c>
      <c r="AD79" s="38" t="s">
        <v>71</v>
      </c>
      <c r="AE79" s="38" t="s">
        <v>74</v>
      </c>
      <c r="AF79" s="38" t="s">
        <v>71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0.2037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1481.6</v>
      </c>
      <c r="AO79" cm="1">
        <f t="array" ref="AO79">$E$10*(1+$AM79)+VLOOKUP($Q79,武学奇术!$A:$ZZ,4,FALSE)+SUM(_xlfn.XLOOKUP($R79:$AF79,增益!$A:$A,增益!$D:$D,0))-$I$2</f>
        <v>5653.7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576.6</v>
      </c>
      <c r="AX79">
        <f t="shared" si="37"/>
        <v>1088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0.06</v>
      </c>
      <c r="AZ79" s="30" cm="1">
        <f t="array" ref="AZ79">$G$12+VLOOKUP($Q79,武学奇术!$A:$ZZ,12,FALSE)+SUM(_xlfn.XLOOKUP(R79:AF79,增益!$A:$A,增益!$L:$L,0))</f>
        <v>0.15</v>
      </c>
      <c r="BA79">
        <f t="shared" si="38"/>
        <v>0</v>
      </c>
      <c r="BB79">
        <f t="shared" si="39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0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0.6113</v>
      </c>
      <c r="BK79" s="24" cm="1">
        <f t="array" ref="BK79">1+$B$13+VLOOKUP($Q79,武学奇术!$A:$ZZ,18,FALSE)+SUM(_xlfn.XLOOKUP(R79:AF79,增益!$A:$A,增益!$R:$R,0))</f>
        <v>1.644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0.1371</v>
      </c>
      <c r="BM79" s="24" cm="1">
        <f t="array" ref="BM79">1+$B$14+VLOOKUP($Q79,武学奇术!$A:$ZZ,20,FALSE)+SUM(_xlfn.XLOOKUP(R79:AF79,增益!$A:$A,增益!$T:$T,0))</f>
        <v>1.35</v>
      </c>
      <c r="BN79" s="24">
        <f t="shared" si="22"/>
        <v>0.6113</v>
      </c>
      <c r="BO79" s="24">
        <f t="shared" si="32"/>
        <v>0.2516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0.11</v>
      </c>
    </row>
    <row r="80" spans="1:69">
      <c r="A80" s="4" t="s">
        <v>150</v>
      </c>
      <c r="B80" s="4">
        <v>1.33</v>
      </c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71</v>
      </c>
      <c r="R80" s="38" t="s">
        <v>71</v>
      </c>
      <c r="S80" s="38" t="s">
        <v>71</v>
      </c>
      <c r="T80" s="38" t="s">
        <v>71</v>
      </c>
      <c r="U80" s="38" t="s">
        <v>71</v>
      </c>
      <c r="V80" s="38" t="s">
        <v>71</v>
      </c>
      <c r="W80" s="38" t="s">
        <v>71</v>
      </c>
      <c r="X80" s="38" t="s">
        <v>71</v>
      </c>
      <c r="Y80" s="38" t="s">
        <v>71</v>
      </c>
      <c r="Z80" s="38" t="s">
        <v>71</v>
      </c>
      <c r="AA80" s="38" t="s">
        <v>71</v>
      </c>
      <c r="AB80" s="38" t="s">
        <v>71</v>
      </c>
      <c r="AC80" s="38" t="s">
        <v>71</v>
      </c>
      <c r="AD80" s="38" t="s">
        <v>71</v>
      </c>
      <c r="AE80" s="38" t="s">
        <v>74</v>
      </c>
      <c r="AF80" s="38" t="s">
        <v>71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0.2037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1481.6</v>
      </c>
      <c r="AO80" cm="1">
        <f t="array" ref="AO80">$E$10*(1+$AM80)+VLOOKUP($Q80,武学奇术!$A:$ZZ,4,FALSE)+SUM(_xlfn.XLOOKUP($R80:$AF80,增益!$A:$A,增益!$D:$D,0))-$I$2</f>
        <v>5653.7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576.6</v>
      </c>
      <c r="AX80">
        <f t="shared" si="37"/>
        <v>1088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0.06</v>
      </c>
      <c r="AZ80" s="30" cm="1">
        <f t="array" ref="AZ80">$G$12+VLOOKUP($Q80,武学奇术!$A:$ZZ,12,FALSE)+SUM(_xlfn.XLOOKUP(R80:AF80,增益!$A:$A,增益!$L:$L,0))</f>
        <v>0.15</v>
      </c>
      <c r="BA80">
        <f t="shared" si="38"/>
        <v>0</v>
      </c>
      <c r="BB80">
        <f t="shared" si="39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0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0.6113</v>
      </c>
      <c r="BK80" s="24" cm="1">
        <f t="array" ref="BK80">1+$B$13+VLOOKUP($Q80,武学奇术!$A:$ZZ,18,FALSE)+SUM(_xlfn.XLOOKUP(R80:AF80,增益!$A:$A,增益!$R:$R,0))</f>
        <v>1.644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0.1371</v>
      </c>
      <c r="BM80" s="24" cm="1">
        <f t="array" ref="BM80">1+$B$14+VLOOKUP($Q80,武学奇术!$A:$ZZ,20,FALSE)+SUM(_xlfn.XLOOKUP(R80:AF80,增益!$A:$A,增益!$T:$T,0))</f>
        <v>1.35</v>
      </c>
      <c r="BN80" s="24">
        <f t="shared" si="22"/>
        <v>0.6113</v>
      </c>
      <c r="BO80" s="24">
        <f t="shared" si="32"/>
        <v>0.2516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0.11</v>
      </c>
    </row>
    <row r="81" spans="1:69">
      <c r="A81" s="4" t="s">
        <v>69</v>
      </c>
      <c r="B81" s="4">
        <v>0.5</v>
      </c>
      <c r="C81" s="37"/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71</v>
      </c>
      <c r="R81" s="38" t="s">
        <v>71</v>
      </c>
      <c r="S81" s="38" t="s">
        <v>71</v>
      </c>
      <c r="T81" s="38" t="s">
        <v>71</v>
      </c>
      <c r="U81" s="38" t="s">
        <v>71</v>
      </c>
      <c r="V81" s="38" t="s">
        <v>71</v>
      </c>
      <c r="W81" s="38" t="s">
        <v>71</v>
      </c>
      <c r="X81" s="38" t="s">
        <v>71</v>
      </c>
      <c r="Y81" s="38" t="s">
        <v>71</v>
      </c>
      <c r="Z81" s="38" t="s">
        <v>71</v>
      </c>
      <c r="AA81" s="38" t="s">
        <v>71</v>
      </c>
      <c r="AB81" s="38" t="s">
        <v>71</v>
      </c>
      <c r="AC81" s="38" t="s">
        <v>71</v>
      </c>
      <c r="AD81" s="38" t="s">
        <v>71</v>
      </c>
      <c r="AE81" s="38" t="s">
        <v>74</v>
      </c>
      <c r="AF81" s="38" t="s">
        <v>71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0.2037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1481.6</v>
      </c>
      <c r="AO81" cm="1">
        <f t="array" ref="AO81">$E$10*(1+$AM81)+VLOOKUP($Q81,武学奇术!$A:$ZZ,4,FALSE)+SUM(_xlfn.XLOOKUP($R81:$AF81,增益!$A:$A,增益!$D:$D,0))-$I$2</f>
        <v>5653.7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576.6</v>
      </c>
      <c r="AX81">
        <f t="shared" si="37"/>
        <v>1088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0.06</v>
      </c>
      <c r="AZ81" s="30" cm="1">
        <f t="array" ref="AZ81">$G$12+VLOOKUP($Q81,武学奇术!$A:$ZZ,12,FALSE)+SUM(_xlfn.XLOOKUP(R81:AF81,增益!$A:$A,增益!$L:$L,0))</f>
        <v>0.15</v>
      </c>
      <c r="BA81">
        <f t="shared" si="38"/>
        <v>0</v>
      </c>
      <c r="BB81">
        <f t="shared" si="39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0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0.6113</v>
      </c>
      <c r="BK81" s="24" cm="1">
        <f t="array" ref="BK81">1+$B$13+VLOOKUP($Q81,武学奇术!$A:$ZZ,18,FALSE)+SUM(_xlfn.XLOOKUP(R81:AF81,增益!$A:$A,增益!$R:$R,0))</f>
        <v>1.644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0.1371</v>
      </c>
      <c r="BM81" s="24" cm="1">
        <f t="array" ref="BM81">1+$B$14+VLOOKUP($Q81,武学奇术!$A:$ZZ,20,FALSE)+SUM(_xlfn.XLOOKUP(R81:AF81,增益!$A:$A,增益!$T:$T,0))</f>
        <v>1.35</v>
      </c>
      <c r="BN81" s="24">
        <f t="shared" si="22"/>
        <v>0.6113</v>
      </c>
      <c r="BO81" s="24">
        <f t="shared" si="32"/>
        <v>0.2516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0.11</v>
      </c>
    </row>
    <row r="82" spans="1:69">
      <c r="A82" s="4" t="s">
        <v>151</v>
      </c>
      <c r="B82" s="4">
        <v>1.4</v>
      </c>
      <c r="C82" s="37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71</v>
      </c>
      <c r="R82" s="38" t="s">
        <v>71</v>
      </c>
      <c r="S82" s="38" t="s">
        <v>71</v>
      </c>
      <c r="T82" s="38" t="s">
        <v>71</v>
      </c>
      <c r="U82" s="38" t="s">
        <v>71</v>
      </c>
      <c r="V82" s="38" t="s">
        <v>71</v>
      </c>
      <c r="W82" s="38" t="s">
        <v>71</v>
      </c>
      <c r="X82" s="38" t="s">
        <v>71</v>
      </c>
      <c r="Y82" s="38" t="s">
        <v>71</v>
      </c>
      <c r="Z82" s="38" t="s">
        <v>71</v>
      </c>
      <c r="AA82" s="38" t="s">
        <v>71</v>
      </c>
      <c r="AB82" s="38" t="s">
        <v>71</v>
      </c>
      <c r="AC82" s="38" t="s">
        <v>71</v>
      </c>
      <c r="AD82" s="38" t="s">
        <v>71</v>
      </c>
      <c r="AE82" s="38" t="s">
        <v>74</v>
      </c>
      <c r="AF82" s="38" t="s">
        <v>71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0.2037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1481.6</v>
      </c>
      <c r="AO82" cm="1">
        <f t="array" ref="AO82">$E$10*(1+$AM82)+VLOOKUP($Q82,武学奇术!$A:$ZZ,4,FALSE)+SUM(_xlfn.XLOOKUP($R82:$AF82,增益!$A:$A,增益!$D:$D,0))-$I$2</f>
        <v>5653.7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576.6</v>
      </c>
      <c r="AX82">
        <f t="shared" si="37"/>
        <v>1088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0.06</v>
      </c>
      <c r="AZ82" s="30" cm="1">
        <f t="array" ref="AZ82">$G$12+VLOOKUP($Q82,武学奇术!$A:$ZZ,12,FALSE)+SUM(_xlfn.XLOOKUP(R82:AF82,增益!$A:$A,增益!$L:$L,0))</f>
        <v>0.15</v>
      </c>
      <c r="BA82">
        <f t="shared" si="38"/>
        <v>0</v>
      </c>
      <c r="BB82">
        <f t="shared" si="39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0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0.6113</v>
      </c>
      <c r="BK82" s="24" cm="1">
        <f t="array" ref="BK82">1+$B$13+VLOOKUP($Q82,武学奇术!$A:$ZZ,18,FALSE)+SUM(_xlfn.XLOOKUP(R82:AF82,增益!$A:$A,增益!$R:$R,0))</f>
        <v>1.644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0.1371</v>
      </c>
      <c r="BM82" s="24" cm="1">
        <f t="array" ref="BM82">1+$B$14+VLOOKUP($Q82,武学奇术!$A:$ZZ,20,FALSE)+SUM(_xlfn.XLOOKUP(R82:AF82,增益!$A:$A,增益!$T:$T,0))</f>
        <v>1.35</v>
      </c>
      <c r="BN82" s="24">
        <f t="shared" si="22"/>
        <v>0.6113</v>
      </c>
      <c r="BO82" s="24">
        <f t="shared" si="32"/>
        <v>0.2516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0.11</v>
      </c>
    </row>
    <row r="83" spans="1:69">
      <c r="A83" s="4" t="s">
        <v>149</v>
      </c>
      <c r="B83" s="4">
        <v>1.66</v>
      </c>
      <c r="C83" s="37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71</v>
      </c>
      <c r="R83" s="38" t="s">
        <v>71</v>
      </c>
      <c r="S83" s="38" t="s">
        <v>71</v>
      </c>
      <c r="T83" s="38" t="s">
        <v>71</v>
      </c>
      <c r="U83" s="38" t="s">
        <v>71</v>
      </c>
      <c r="V83" s="38" t="s">
        <v>71</v>
      </c>
      <c r="W83" s="38" t="s">
        <v>71</v>
      </c>
      <c r="X83" s="38" t="s">
        <v>71</v>
      </c>
      <c r="Y83" s="38" t="s">
        <v>71</v>
      </c>
      <c r="Z83" s="38" t="s">
        <v>71</v>
      </c>
      <c r="AA83" s="38" t="s">
        <v>71</v>
      </c>
      <c r="AB83" s="38" t="s">
        <v>71</v>
      </c>
      <c r="AC83" s="38" t="s">
        <v>71</v>
      </c>
      <c r="AD83" s="38" t="s">
        <v>71</v>
      </c>
      <c r="AE83" s="38" t="s">
        <v>74</v>
      </c>
      <c r="AF83" s="38" t="s">
        <v>71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0.2037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1481.6</v>
      </c>
      <c r="AO83" cm="1">
        <f t="array" ref="AO83">$E$10*(1+$AM83)+VLOOKUP($Q83,武学奇术!$A:$ZZ,4,FALSE)+SUM(_xlfn.XLOOKUP($R83:$AF83,增益!$A:$A,增益!$D:$D,0))-$I$2</f>
        <v>5653.7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0.267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576.6</v>
      </c>
      <c r="AX83">
        <f t="shared" si="37"/>
        <v>1088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0.06</v>
      </c>
      <c r="AZ83" s="30" cm="1">
        <f t="array" ref="AZ83">$G$12+VLOOKUP($Q83,武学奇术!$A:$ZZ,12,FALSE)+SUM(_xlfn.XLOOKUP(R83:AF83,增益!$A:$A,增益!$L:$L,0))</f>
        <v>0.15</v>
      </c>
      <c r="BA83">
        <f t="shared" si="38"/>
        <v>0</v>
      </c>
      <c r="BB83">
        <f t="shared" si="39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0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0.6113</v>
      </c>
      <c r="BK83" s="24" cm="1">
        <f t="array" ref="BK83">1+$B$13+VLOOKUP($Q83,武学奇术!$A:$ZZ,18,FALSE)+SUM(_xlfn.XLOOKUP(R83:AF83,增益!$A:$A,增益!$R:$R,0))</f>
        <v>1.644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0.1371</v>
      </c>
      <c r="BM83" s="24" cm="1">
        <f t="array" ref="BM83">1+$B$14+VLOOKUP($Q83,武学奇术!$A:$ZZ,20,FALSE)+SUM(_xlfn.XLOOKUP(R83:AF83,增益!$A:$A,增益!$T:$T,0))</f>
        <v>1.35</v>
      </c>
      <c r="BN83" s="24">
        <f t="shared" ref="BN83:BN101" si="42">MIN((1-BL83)*BI83,BI83*BJ83)</f>
        <v>0.6113</v>
      </c>
      <c r="BO83" s="24">
        <f t="shared" si="32"/>
        <v>0.2516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0.11</v>
      </c>
    </row>
    <row r="84" spans="1:69">
      <c r="A84" s="4" t="s">
        <v>150</v>
      </c>
      <c r="B84" s="4">
        <v>1.33</v>
      </c>
      <c r="C84" s="37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71</v>
      </c>
      <c r="R84" s="38" t="s">
        <v>71</v>
      </c>
      <c r="S84" s="38" t="s">
        <v>71</v>
      </c>
      <c r="T84" s="38" t="s">
        <v>71</v>
      </c>
      <c r="U84" s="38" t="s">
        <v>71</v>
      </c>
      <c r="V84" s="38" t="s">
        <v>71</v>
      </c>
      <c r="W84" s="38" t="s">
        <v>71</v>
      </c>
      <c r="X84" s="38" t="s">
        <v>71</v>
      </c>
      <c r="Y84" s="38" t="s">
        <v>71</v>
      </c>
      <c r="Z84" s="38" t="s">
        <v>71</v>
      </c>
      <c r="AA84" s="38" t="s">
        <v>71</v>
      </c>
      <c r="AB84" s="38" t="s">
        <v>71</v>
      </c>
      <c r="AC84" s="38" t="s">
        <v>71</v>
      </c>
      <c r="AD84" s="38" t="s">
        <v>71</v>
      </c>
      <c r="AE84" s="38" t="s">
        <v>74</v>
      </c>
      <c r="AF84" s="38" t="s">
        <v>71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0.2037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1481.6</v>
      </c>
      <c r="AO84" cm="1">
        <f t="array" ref="AO84">$E$10*(1+$AM84)+VLOOKUP($Q84,武学奇术!$A:$ZZ,4,FALSE)+SUM(_xlfn.XLOOKUP($R84:$AF84,增益!$A:$A,增益!$D:$D,0))-$I$2</f>
        <v>5653.7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576.6</v>
      </c>
      <c r="AX84">
        <f t="shared" si="37"/>
        <v>1088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0.06</v>
      </c>
      <c r="AZ84" s="30" cm="1">
        <f t="array" ref="AZ84">$G$12+VLOOKUP($Q84,武学奇术!$A:$ZZ,12,FALSE)+SUM(_xlfn.XLOOKUP(R84:AF84,增益!$A:$A,增益!$L:$L,0))</f>
        <v>0.15</v>
      </c>
      <c r="BA84">
        <f t="shared" si="38"/>
        <v>0</v>
      </c>
      <c r="BB84">
        <f t="shared" si="39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-0.3</v>
      </c>
      <c r="BD84" s="30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0.6113</v>
      </c>
      <c r="BK84" s="24" cm="1">
        <f t="array" ref="BK84">1+$B$13+VLOOKUP($Q84,武学奇术!$A:$ZZ,18,FALSE)+SUM(_xlfn.XLOOKUP(R84:AF84,增益!$A:$A,增益!$R:$R,0))</f>
        <v>1.644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0.1371</v>
      </c>
      <c r="BM84" s="24" cm="1">
        <f t="array" ref="BM84">1+$B$14+VLOOKUP($Q84,武学奇术!$A:$ZZ,20,FALSE)+SUM(_xlfn.XLOOKUP(R84:AF84,增益!$A:$A,增益!$T:$T,0))</f>
        <v>1.35</v>
      </c>
      <c r="BN84" s="24">
        <f t="shared" si="42"/>
        <v>0.6113</v>
      </c>
      <c r="BO84" s="24">
        <f t="shared" si="32"/>
        <v>0.2516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0.11</v>
      </c>
    </row>
    <row r="85" spans="1:69">
      <c r="A85" s="4" t="s">
        <v>69</v>
      </c>
      <c r="B85" s="4">
        <v>0.5</v>
      </c>
      <c r="C85" s="37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71</v>
      </c>
      <c r="R85" s="38" t="s">
        <v>71</v>
      </c>
      <c r="S85" s="38" t="s">
        <v>71</v>
      </c>
      <c r="T85" s="38" t="s">
        <v>71</v>
      </c>
      <c r="U85" s="38" t="s">
        <v>71</v>
      </c>
      <c r="V85" s="38" t="s">
        <v>71</v>
      </c>
      <c r="W85" s="38" t="s">
        <v>71</v>
      </c>
      <c r="X85" s="38" t="s">
        <v>71</v>
      </c>
      <c r="Y85" s="38" t="s">
        <v>71</v>
      </c>
      <c r="Z85" s="38" t="s">
        <v>71</v>
      </c>
      <c r="AA85" s="38" t="s">
        <v>71</v>
      </c>
      <c r="AB85" s="38" t="s">
        <v>71</v>
      </c>
      <c r="AC85" s="38" t="s">
        <v>71</v>
      </c>
      <c r="AD85" s="38" t="s">
        <v>71</v>
      </c>
      <c r="AE85" s="38" t="s">
        <v>74</v>
      </c>
      <c r="AF85" s="38" t="s">
        <v>71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0.2037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1481.6</v>
      </c>
      <c r="AO85" cm="1">
        <f t="array" ref="AO85">$E$10*(1+$AM85)+VLOOKUP($Q85,武学奇术!$A:$ZZ,4,FALSE)+SUM(_xlfn.XLOOKUP($R85:$AF85,增益!$A:$A,增益!$D:$D,0))-$I$2</f>
        <v>5653.7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0.267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576.6</v>
      </c>
      <c r="AX85">
        <f t="shared" si="37"/>
        <v>1088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0.06</v>
      </c>
      <c r="AZ85" s="30" cm="1">
        <f t="array" ref="AZ85">$G$12+VLOOKUP($Q85,武学奇术!$A:$ZZ,12,FALSE)+SUM(_xlfn.XLOOKUP(R85:AF85,增益!$A:$A,增益!$L:$L,0))</f>
        <v>0.15</v>
      </c>
      <c r="BA85">
        <f t="shared" si="38"/>
        <v>0</v>
      </c>
      <c r="BB85">
        <f t="shared" si="39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-0.3</v>
      </c>
      <c r="BD85" s="30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0.6113</v>
      </c>
      <c r="BK85" s="24" cm="1">
        <f t="array" ref="BK85">1+$B$13+VLOOKUP($Q85,武学奇术!$A:$ZZ,18,FALSE)+SUM(_xlfn.XLOOKUP(R85:AF85,增益!$A:$A,增益!$R:$R,0))</f>
        <v>1.644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0.1371</v>
      </c>
      <c r="BM85" s="24" cm="1">
        <f t="array" ref="BM85">1+$B$14+VLOOKUP($Q85,武学奇术!$A:$ZZ,20,FALSE)+SUM(_xlfn.XLOOKUP(R85:AF85,增益!$A:$A,增益!$T:$T,0))</f>
        <v>1.35</v>
      </c>
      <c r="BN85" s="24">
        <f t="shared" si="42"/>
        <v>0.6113</v>
      </c>
      <c r="BO85" s="24">
        <f t="shared" si="32"/>
        <v>0.2516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0.11</v>
      </c>
    </row>
    <row r="86" spans="1:69">
      <c r="A86" s="4" t="s">
        <v>149</v>
      </c>
      <c r="B86" s="4">
        <v>1.66</v>
      </c>
      <c r="C86" s="37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71</v>
      </c>
      <c r="R86" s="38" t="s">
        <v>71</v>
      </c>
      <c r="S86" s="38" t="s">
        <v>71</v>
      </c>
      <c r="T86" s="38" t="s">
        <v>71</v>
      </c>
      <c r="U86" s="38" t="s">
        <v>71</v>
      </c>
      <c r="V86" s="38" t="s">
        <v>71</v>
      </c>
      <c r="W86" s="38" t="s">
        <v>71</v>
      </c>
      <c r="X86" s="38" t="s">
        <v>71</v>
      </c>
      <c r="Y86" s="38" t="s">
        <v>71</v>
      </c>
      <c r="Z86" s="38" t="s">
        <v>71</v>
      </c>
      <c r="AA86" s="38" t="s">
        <v>71</v>
      </c>
      <c r="AB86" s="38" t="s">
        <v>71</v>
      </c>
      <c r="AC86" s="38" t="s">
        <v>71</v>
      </c>
      <c r="AD86" s="38" t="s">
        <v>71</v>
      </c>
      <c r="AE86" s="38" t="s">
        <v>74</v>
      </c>
      <c r="AF86" s="38" t="s">
        <v>71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0.2037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1481.6</v>
      </c>
      <c r="AO86" cm="1">
        <f t="array" ref="AO86">$E$10*(1+$AM86)+VLOOKUP($Q86,武学奇术!$A:$ZZ,4,FALSE)+SUM(_xlfn.XLOOKUP($R86:$AF86,增益!$A:$A,增益!$D:$D,0))-$I$2</f>
        <v>5653.7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0.267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576.6</v>
      </c>
      <c r="AX86">
        <f t="shared" si="37"/>
        <v>1088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0.06</v>
      </c>
      <c r="AZ86" s="30" cm="1">
        <f t="array" ref="AZ86">$G$12+VLOOKUP($Q86,武学奇术!$A:$ZZ,12,FALSE)+SUM(_xlfn.XLOOKUP(R86:AF86,增益!$A:$A,增益!$L:$L,0))</f>
        <v>0.15</v>
      </c>
      <c r="BA86">
        <f t="shared" si="38"/>
        <v>0</v>
      </c>
      <c r="BB86">
        <f t="shared" si="39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0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0.6113</v>
      </c>
      <c r="BK86" s="24" cm="1">
        <f t="array" ref="BK86">1+$B$13+VLOOKUP($Q86,武学奇术!$A:$ZZ,18,FALSE)+SUM(_xlfn.XLOOKUP(R86:AF86,增益!$A:$A,增益!$R:$R,0))</f>
        <v>1.644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0.1371</v>
      </c>
      <c r="BM86" s="24" cm="1">
        <f t="array" ref="BM86">1+$B$14+VLOOKUP($Q86,武学奇术!$A:$ZZ,20,FALSE)+SUM(_xlfn.XLOOKUP(R86:AF86,增益!$A:$A,增益!$T:$T,0))</f>
        <v>1.35</v>
      </c>
      <c r="BN86" s="24">
        <f t="shared" si="42"/>
        <v>0.6113</v>
      </c>
      <c r="BO86" s="24">
        <f t="shared" si="32"/>
        <v>0.2516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0.11</v>
      </c>
    </row>
    <row r="87" spans="1:69">
      <c r="A87" s="4" t="s">
        <v>150</v>
      </c>
      <c r="B87" s="4">
        <v>1.33</v>
      </c>
      <c r="C87" s="37"/>
      <c r="K87" s="36">
        <f t="shared" ref="K87:K101" si="43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71</v>
      </c>
      <c r="R87" s="38" t="s">
        <v>71</v>
      </c>
      <c r="S87" s="38" t="s">
        <v>71</v>
      </c>
      <c r="T87" s="38" t="s">
        <v>71</v>
      </c>
      <c r="U87" s="38" t="s">
        <v>71</v>
      </c>
      <c r="V87" s="38" t="s">
        <v>71</v>
      </c>
      <c r="W87" s="38" t="s">
        <v>71</v>
      </c>
      <c r="X87" s="38" t="s">
        <v>71</v>
      </c>
      <c r="Y87" s="38" t="s">
        <v>71</v>
      </c>
      <c r="Z87" s="38" t="s">
        <v>71</v>
      </c>
      <c r="AA87" s="38" t="s">
        <v>71</v>
      </c>
      <c r="AB87" s="38" t="s">
        <v>71</v>
      </c>
      <c r="AC87" s="38" t="s">
        <v>71</v>
      </c>
      <c r="AD87" s="38" t="s">
        <v>71</v>
      </c>
      <c r="AE87" s="38" t="s">
        <v>74</v>
      </c>
      <c r="AF87" s="38" t="s">
        <v>71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0.2037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1481.6</v>
      </c>
      <c r="AO87" cm="1">
        <f t="array" ref="AO87">$E$10*(1+$AM87)+VLOOKUP($Q87,武学奇术!$A:$ZZ,4,FALSE)+SUM(_xlfn.XLOOKUP($R87:$AF87,增益!$A:$A,增益!$D:$D,0))-$I$2</f>
        <v>5653.7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ref="AS87:AS101" si="44">$D$11*(1+$AR87)</f>
        <v>0</v>
      </c>
      <c r="AT87">
        <f t="shared" ref="AT87:AT101" si="45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6">$D$12*(1+$AR87)</f>
        <v>576.6</v>
      </c>
      <c r="AX87">
        <f t="shared" ref="AX87:AX101" si="47">$E$12*(1+$AR87)</f>
        <v>1088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0.06</v>
      </c>
      <c r="AZ87" s="30" cm="1">
        <f t="array" ref="AZ87">$G$12+VLOOKUP($Q87,武学奇术!$A:$ZZ,12,FALSE)+SUM(_xlfn.XLOOKUP(R87:AF87,增益!$A:$A,增益!$L:$L,0))</f>
        <v>0.15</v>
      </c>
      <c r="BA87">
        <f t="shared" ref="BA87:BA101" si="48">$D$13*(1+$AR87)</f>
        <v>0</v>
      </c>
      <c r="BB87">
        <f t="shared" ref="BB87:BB101" si="49">$E$13*(1+$AR87)</f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0" cm="1">
        <f t="array" ref="BD87">$G$13+VLOOKUP($Q87,武学奇术!$A:$ZZ,14,FALSE)+SUM(_xlfn.XLOOKUP(R87:AF87,增益!$A:$A,增益!$N:$N,0))</f>
        <v>0</v>
      </c>
      <c r="BE87">
        <f t="shared" ref="BE87:BE101" si="50">$D$14*(1+$AR87)</f>
        <v>0</v>
      </c>
      <c r="BF87">
        <f t="shared" ref="BF87:BF101" si="51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0.6113</v>
      </c>
      <c r="BK87" s="24" cm="1">
        <f t="array" ref="BK87">1+$B$13+VLOOKUP($Q87,武学奇术!$A:$ZZ,18,FALSE)+SUM(_xlfn.XLOOKUP(R87:AF87,增益!$A:$A,增益!$R:$R,0))</f>
        <v>1.644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0.1371</v>
      </c>
      <c r="BM87" s="24" cm="1">
        <f t="array" ref="BM87">1+$B$14+VLOOKUP($Q87,武学奇术!$A:$ZZ,20,FALSE)+SUM(_xlfn.XLOOKUP(R87:AF87,增益!$A:$A,增益!$T:$T,0))</f>
        <v>1.35</v>
      </c>
      <c r="BN87" s="24">
        <f t="shared" si="42"/>
        <v>0.6113</v>
      </c>
      <c r="BO87" s="24">
        <f t="shared" si="32"/>
        <v>0.2516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0.11</v>
      </c>
    </row>
    <row r="88" spans="1:69">
      <c r="A88" s="4" t="s">
        <v>69</v>
      </c>
      <c r="B88" s="4">
        <v>0.5</v>
      </c>
      <c r="C88" s="37"/>
      <c r="K88" s="36">
        <f t="shared" si="43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71</v>
      </c>
      <c r="R88" s="38" t="s">
        <v>71</v>
      </c>
      <c r="S88" s="38" t="s">
        <v>71</v>
      </c>
      <c r="T88" s="38" t="s">
        <v>71</v>
      </c>
      <c r="U88" s="38" t="s">
        <v>71</v>
      </c>
      <c r="V88" s="38" t="s">
        <v>71</v>
      </c>
      <c r="W88" s="38" t="s">
        <v>71</v>
      </c>
      <c r="X88" s="38" t="s">
        <v>71</v>
      </c>
      <c r="Y88" s="38" t="s">
        <v>71</v>
      </c>
      <c r="Z88" s="38" t="s">
        <v>71</v>
      </c>
      <c r="AA88" s="38" t="s">
        <v>71</v>
      </c>
      <c r="AB88" s="38" t="s">
        <v>71</v>
      </c>
      <c r="AC88" s="38" t="s">
        <v>71</v>
      </c>
      <c r="AD88" s="38" t="s">
        <v>71</v>
      </c>
      <c r="AE88" s="38" t="s">
        <v>74</v>
      </c>
      <c r="AF88" s="38" t="s">
        <v>71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0.2037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1481.6</v>
      </c>
      <c r="AO88" cm="1">
        <f t="array" ref="AO88">$E$10*(1+$AM88)+VLOOKUP($Q88,武学奇术!$A:$ZZ,4,FALSE)+SUM(_xlfn.XLOOKUP($R88:$AF88,增益!$A:$A,增益!$D:$D,0))-$I$2</f>
        <v>5653.7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44"/>
        <v>0</v>
      </c>
      <c r="AT88">
        <f t="shared" si="45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46"/>
        <v>576.6</v>
      </c>
      <c r="AX88">
        <f t="shared" si="47"/>
        <v>1088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0.06</v>
      </c>
      <c r="AZ88" s="30" cm="1">
        <f t="array" ref="AZ88">$G$12+VLOOKUP($Q88,武学奇术!$A:$ZZ,12,FALSE)+SUM(_xlfn.XLOOKUP(R88:AF88,增益!$A:$A,增益!$L:$L,0))</f>
        <v>0.15</v>
      </c>
      <c r="BA88">
        <f t="shared" si="48"/>
        <v>0</v>
      </c>
      <c r="BB88">
        <f t="shared" si="49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0" cm="1">
        <f t="array" ref="BD88">$G$13+VLOOKUP($Q88,武学奇术!$A:$ZZ,14,FALSE)+SUM(_xlfn.XLOOKUP(R88:AF88,增益!$A:$A,增益!$N:$N,0))</f>
        <v>0</v>
      </c>
      <c r="BE88">
        <f t="shared" si="50"/>
        <v>0</v>
      </c>
      <c r="BF88">
        <f t="shared" si="51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0.6113</v>
      </c>
      <c r="BK88" s="24" cm="1">
        <f t="array" ref="BK88">1+$B$13+VLOOKUP($Q88,武学奇术!$A:$ZZ,18,FALSE)+SUM(_xlfn.XLOOKUP(R88:AF88,增益!$A:$A,增益!$R:$R,0))</f>
        <v>1.644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0.1371</v>
      </c>
      <c r="BM88" s="24" cm="1">
        <f t="array" ref="BM88">1+$B$14+VLOOKUP($Q88,武学奇术!$A:$ZZ,20,FALSE)+SUM(_xlfn.XLOOKUP(R88:AF88,增益!$A:$A,增益!$T:$T,0))</f>
        <v>1.35</v>
      </c>
      <c r="BN88" s="24">
        <f t="shared" si="42"/>
        <v>0.6113</v>
      </c>
      <c r="BO88" s="24">
        <f t="shared" si="32"/>
        <v>0.2516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0.11</v>
      </c>
    </row>
    <row r="89" spans="1:69">
      <c r="A89" s="4" t="s">
        <v>144</v>
      </c>
      <c r="B89" s="4">
        <v>1.2</v>
      </c>
      <c r="C89" s="37"/>
      <c r="K89" s="36">
        <f t="shared" si="43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71</v>
      </c>
      <c r="R89" s="38" t="s">
        <v>71</v>
      </c>
      <c r="S89" s="38" t="s">
        <v>71</v>
      </c>
      <c r="T89" s="38" t="s">
        <v>71</v>
      </c>
      <c r="U89" s="38" t="s">
        <v>71</v>
      </c>
      <c r="V89" s="38" t="s">
        <v>71</v>
      </c>
      <c r="W89" s="38" t="s">
        <v>71</v>
      </c>
      <c r="X89" s="38" t="s">
        <v>71</v>
      </c>
      <c r="Y89" s="38" t="s">
        <v>71</v>
      </c>
      <c r="Z89" s="38" t="s">
        <v>71</v>
      </c>
      <c r="AA89" s="38" t="s">
        <v>71</v>
      </c>
      <c r="AB89" s="38" t="s">
        <v>71</v>
      </c>
      <c r="AC89" s="38" t="s">
        <v>71</v>
      </c>
      <c r="AD89" s="38" t="s">
        <v>71</v>
      </c>
      <c r="AE89" s="38" t="s">
        <v>74</v>
      </c>
      <c r="AF89" s="38" t="s">
        <v>71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0.2037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1481.6</v>
      </c>
      <c r="AO89" cm="1">
        <f t="array" ref="AO89">$E$10*(1+$AM89)+VLOOKUP($Q89,武学奇术!$A:$ZZ,4,FALSE)+SUM(_xlfn.XLOOKUP($R89:$AF89,增益!$A:$A,增益!$D:$D,0))-$I$2</f>
        <v>5653.7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44"/>
        <v>0</v>
      </c>
      <c r="AT89">
        <f t="shared" si="45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46"/>
        <v>576.6</v>
      </c>
      <c r="AX89">
        <f t="shared" si="47"/>
        <v>1088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0.06</v>
      </c>
      <c r="AZ89" s="30" cm="1">
        <f t="array" ref="AZ89">$G$12+VLOOKUP($Q89,武学奇术!$A:$ZZ,12,FALSE)+SUM(_xlfn.XLOOKUP(R89:AF89,增益!$A:$A,增益!$L:$L,0))</f>
        <v>0.15</v>
      </c>
      <c r="BA89">
        <f t="shared" si="48"/>
        <v>0</v>
      </c>
      <c r="BB89">
        <f t="shared" si="49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-0.3</v>
      </c>
      <c r="BD89" s="30" cm="1">
        <f t="array" ref="BD89">$G$13+VLOOKUP($Q89,武学奇术!$A:$ZZ,14,FALSE)+SUM(_xlfn.XLOOKUP(R89:AF89,增益!$A:$A,增益!$N:$N,0))</f>
        <v>0</v>
      </c>
      <c r="BE89">
        <f t="shared" si="50"/>
        <v>0</v>
      </c>
      <c r="BF89">
        <f t="shared" si="51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0.6113</v>
      </c>
      <c r="BK89" s="24" cm="1">
        <f t="array" ref="BK89">1+$B$13+VLOOKUP($Q89,武学奇术!$A:$ZZ,18,FALSE)+SUM(_xlfn.XLOOKUP(R89:AF89,增益!$A:$A,增益!$R:$R,0))</f>
        <v>1.644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0.1371</v>
      </c>
      <c r="BM89" s="24" cm="1">
        <f t="array" ref="BM89">1+$B$14+VLOOKUP($Q89,武学奇术!$A:$ZZ,20,FALSE)+SUM(_xlfn.XLOOKUP(R89:AF89,增益!$A:$A,增益!$T:$T,0))</f>
        <v>1.35</v>
      </c>
      <c r="BN89" s="24">
        <f t="shared" si="42"/>
        <v>0.6113</v>
      </c>
      <c r="BO89" s="24">
        <f t="shared" si="32"/>
        <v>0.2516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0.11</v>
      </c>
    </row>
    <row r="90" spans="1:69">
      <c r="A90" s="4" t="s">
        <v>149</v>
      </c>
      <c r="B90" s="4">
        <v>1.66</v>
      </c>
      <c r="C90" s="37"/>
      <c r="K90" s="36">
        <f t="shared" si="43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71</v>
      </c>
      <c r="R90" s="38" t="s">
        <v>71</v>
      </c>
      <c r="S90" s="38" t="s">
        <v>71</v>
      </c>
      <c r="T90" s="38" t="s">
        <v>71</v>
      </c>
      <c r="U90" s="38" t="s">
        <v>71</v>
      </c>
      <c r="V90" s="38" t="s">
        <v>71</v>
      </c>
      <c r="W90" s="38" t="s">
        <v>71</v>
      </c>
      <c r="X90" s="38" t="s">
        <v>71</v>
      </c>
      <c r="Y90" s="38" t="s">
        <v>71</v>
      </c>
      <c r="Z90" s="38" t="s">
        <v>71</v>
      </c>
      <c r="AA90" s="38" t="s">
        <v>71</v>
      </c>
      <c r="AB90" s="38" t="s">
        <v>71</v>
      </c>
      <c r="AC90" s="38" t="s">
        <v>71</v>
      </c>
      <c r="AD90" s="38" t="s">
        <v>71</v>
      </c>
      <c r="AE90" s="38" t="s">
        <v>74</v>
      </c>
      <c r="AF90" s="38" t="s">
        <v>71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0.2037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1481.6</v>
      </c>
      <c r="AO90" cm="1">
        <f t="array" ref="AO90">$E$10*(1+$AM90)+VLOOKUP($Q90,武学奇术!$A:$ZZ,4,FALSE)+SUM(_xlfn.XLOOKUP($R90:$AF90,增益!$A:$A,增益!$D:$D,0))-$I$2</f>
        <v>5653.7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44"/>
        <v>0</v>
      </c>
      <c r="AT90">
        <f t="shared" si="45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46"/>
        <v>576.6</v>
      </c>
      <c r="AX90">
        <f t="shared" si="47"/>
        <v>1088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0.06</v>
      </c>
      <c r="AZ90" s="30" cm="1">
        <f t="array" ref="AZ90">$G$12+VLOOKUP($Q90,武学奇术!$A:$ZZ,12,FALSE)+SUM(_xlfn.XLOOKUP(R90:AF90,增益!$A:$A,增益!$L:$L,0))</f>
        <v>0.15</v>
      </c>
      <c r="BA90">
        <f t="shared" si="48"/>
        <v>0</v>
      </c>
      <c r="BB90">
        <f t="shared" si="49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0" cm="1">
        <f t="array" ref="BD90">$G$13+VLOOKUP($Q90,武学奇术!$A:$ZZ,14,FALSE)+SUM(_xlfn.XLOOKUP(R90:AF90,增益!$A:$A,增益!$N:$N,0))</f>
        <v>0</v>
      </c>
      <c r="BE90">
        <f t="shared" si="50"/>
        <v>0</v>
      </c>
      <c r="BF90">
        <f t="shared" si="51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0.6113</v>
      </c>
      <c r="BK90" s="24" cm="1">
        <f t="array" ref="BK90">1+$B$13+VLOOKUP($Q90,武学奇术!$A:$ZZ,18,FALSE)+SUM(_xlfn.XLOOKUP(R90:AF90,增益!$A:$A,增益!$R:$R,0))</f>
        <v>1.644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0.1371</v>
      </c>
      <c r="BM90" s="24" cm="1">
        <f t="array" ref="BM90">1+$B$14+VLOOKUP($Q90,武学奇术!$A:$ZZ,20,FALSE)+SUM(_xlfn.XLOOKUP(R90:AF90,增益!$A:$A,增益!$T:$T,0))</f>
        <v>1.35</v>
      </c>
      <c r="BN90" s="24">
        <f t="shared" si="42"/>
        <v>0.6113</v>
      </c>
      <c r="BO90" s="24">
        <f t="shared" si="32"/>
        <v>0.2516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0.11</v>
      </c>
    </row>
    <row r="91" spans="1:69">
      <c r="A91" s="4" t="s">
        <v>150</v>
      </c>
      <c r="B91" s="4">
        <v>1.33</v>
      </c>
      <c r="C91" s="37"/>
      <c r="K91" s="36">
        <f t="shared" si="43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71</v>
      </c>
      <c r="R91" s="38" t="s">
        <v>71</v>
      </c>
      <c r="S91" s="38" t="s">
        <v>71</v>
      </c>
      <c r="T91" s="38" t="s">
        <v>71</v>
      </c>
      <c r="U91" s="38" t="s">
        <v>71</v>
      </c>
      <c r="V91" s="38" t="s">
        <v>71</v>
      </c>
      <c r="W91" s="38" t="s">
        <v>71</v>
      </c>
      <c r="X91" s="38" t="s">
        <v>71</v>
      </c>
      <c r="Y91" s="38" t="s">
        <v>71</v>
      </c>
      <c r="Z91" s="38" t="s">
        <v>71</v>
      </c>
      <c r="AA91" s="38" t="s">
        <v>71</v>
      </c>
      <c r="AB91" s="38" t="s">
        <v>71</v>
      </c>
      <c r="AC91" s="38" t="s">
        <v>71</v>
      </c>
      <c r="AD91" s="38" t="s">
        <v>71</v>
      </c>
      <c r="AE91" s="38" t="s">
        <v>74</v>
      </c>
      <c r="AF91" s="38" t="s">
        <v>71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0.2037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1481.6</v>
      </c>
      <c r="AO91" cm="1">
        <f t="array" ref="AO91">$E$10*(1+$AM91)+VLOOKUP($Q91,武学奇术!$A:$ZZ,4,FALSE)+SUM(_xlfn.XLOOKUP($R91:$AF91,增益!$A:$A,增益!$D:$D,0))-$I$2</f>
        <v>5653.7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44"/>
        <v>0</v>
      </c>
      <c r="AT91">
        <f t="shared" si="45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46"/>
        <v>576.6</v>
      </c>
      <c r="AX91">
        <f t="shared" si="47"/>
        <v>1088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0.06</v>
      </c>
      <c r="AZ91" s="30" cm="1">
        <f t="array" ref="AZ91">$G$12+VLOOKUP($Q91,武学奇术!$A:$ZZ,12,FALSE)+SUM(_xlfn.XLOOKUP(R91:AF91,增益!$A:$A,增益!$L:$L,0))</f>
        <v>0.15</v>
      </c>
      <c r="BA91">
        <f t="shared" si="48"/>
        <v>0</v>
      </c>
      <c r="BB91">
        <f t="shared" si="49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0" cm="1">
        <f t="array" ref="BD91">$G$13+VLOOKUP($Q91,武学奇术!$A:$ZZ,14,FALSE)+SUM(_xlfn.XLOOKUP(R91:AF91,增益!$A:$A,增益!$N:$N,0))</f>
        <v>0</v>
      </c>
      <c r="BE91">
        <f t="shared" si="50"/>
        <v>0</v>
      </c>
      <c r="BF91">
        <f t="shared" si="51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0.6113</v>
      </c>
      <c r="BK91" s="24" cm="1">
        <f t="array" ref="BK91">1+$B$13+VLOOKUP($Q91,武学奇术!$A:$ZZ,18,FALSE)+SUM(_xlfn.XLOOKUP(R91:AF91,增益!$A:$A,增益!$R:$R,0))</f>
        <v>1.644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0.1371</v>
      </c>
      <c r="BM91" s="24" cm="1">
        <f t="array" ref="BM91">1+$B$14+VLOOKUP($Q91,武学奇术!$A:$ZZ,20,FALSE)+SUM(_xlfn.XLOOKUP(R91:AF91,增益!$A:$A,增益!$T:$T,0))</f>
        <v>1.35</v>
      </c>
      <c r="BN91" s="24">
        <f t="shared" si="42"/>
        <v>0.6113</v>
      </c>
      <c r="BO91" s="24">
        <f t="shared" si="32"/>
        <v>0.2516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0.11</v>
      </c>
    </row>
    <row r="92" spans="1:69">
      <c r="A92" s="4" t="s">
        <v>151</v>
      </c>
      <c r="B92" s="4">
        <v>1.4</v>
      </c>
      <c r="C92" s="37"/>
      <c r="K92" s="36">
        <f t="shared" si="43"/>
        <v>16043.6941509429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17975.5433787715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19547.0811286186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9440.93664851445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4402.5539424966</v>
      </c>
      <c r="P92" s="37">
        <v>1</v>
      </c>
      <c r="Q92" s="38" t="s">
        <v>156</v>
      </c>
      <c r="R92" s="38" t="s">
        <v>92</v>
      </c>
      <c r="S92" s="38" t="s">
        <v>108</v>
      </c>
      <c r="T92" s="38" t="s">
        <v>72</v>
      </c>
      <c r="U92" s="38" t="s">
        <v>103</v>
      </c>
      <c r="V92" s="38" t="s">
        <v>88</v>
      </c>
      <c r="W92" s="38" t="s">
        <v>73</v>
      </c>
      <c r="X92" s="38" t="s">
        <v>89</v>
      </c>
      <c r="Y92" s="38" t="s">
        <v>71</v>
      </c>
      <c r="Z92" s="38" t="s">
        <v>71</v>
      </c>
      <c r="AA92" s="38" t="s">
        <v>71</v>
      </c>
      <c r="AB92" s="38" t="s">
        <v>71</v>
      </c>
      <c r="AC92" s="38" t="s">
        <v>71</v>
      </c>
      <c r="AD92" s="38" t="s">
        <v>71</v>
      </c>
      <c r="AE92" s="38" t="s">
        <v>74</v>
      </c>
      <c r="AF92" s="38" t="s">
        <v>71</v>
      </c>
      <c r="AG92" t="str">
        <f>VLOOKUP($Q92,武学奇术!$A:$ZZ,25,FALSE)</f>
        <v>心法</v>
      </c>
      <c r="AH92" s="24">
        <f>VLOOKUP($Q92,武学奇术!$A:$ZZ,26,FALSE)</f>
        <v>1</v>
      </c>
      <c r="AI92" s="25">
        <f>VLOOKUP($Q92,武学奇术!$A:$ZZ,27,FALSE)*(1+IF(OR($AG92=$F$4,$AG92=$F$5),$B$22,0))</f>
        <v>0</v>
      </c>
      <c r="AJ92" s="24">
        <f>VLOOKUP($Q92,武学奇术!$A:$ZZ,28,FALSE)</f>
        <v>1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0.4337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1481.6</v>
      </c>
      <c r="AO92" cm="1">
        <f t="array" ref="AO92">$E$10*(1+$AM92)+VLOOKUP($Q92,武学奇术!$A:$ZZ,4,FALSE)+SUM(_xlfn.XLOOKUP($R92:$AF92,增益!$A:$A,增益!$D:$D,0))-$I$2</f>
        <v>5653.7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0.357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44"/>
        <v>0</v>
      </c>
      <c r="AT92">
        <f t="shared" si="45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-0.14</v>
      </c>
      <c r="AV92" s="30" cm="1">
        <f t="array" ref="AV92">$G$11+VLOOKUP($Q92,武学奇术!$A:$ZZ,10,FALSE)+SUM(_xlfn.XLOOKUP(R92:AF92,增益!$A:$A,增益!$J:$J,0))</f>
        <v>0</v>
      </c>
      <c r="AW92">
        <f t="shared" si="46"/>
        <v>576.6</v>
      </c>
      <c r="AX92">
        <f t="shared" si="47"/>
        <v>1088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0.14</v>
      </c>
      <c r="AZ92" s="30" cm="1">
        <f t="array" ref="AZ92">$G$12+VLOOKUP($Q92,武学奇术!$A:$ZZ,12,FALSE)+SUM(_xlfn.XLOOKUP(R92:AF92,增益!$A:$A,增益!$L:$L,0))</f>
        <v>0.15</v>
      </c>
      <c r="BA92">
        <f t="shared" si="48"/>
        <v>0</v>
      </c>
      <c r="BB92">
        <f t="shared" si="49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-0.14</v>
      </c>
      <c r="BD92" s="30" cm="1">
        <f t="array" ref="BD92">$G$13+VLOOKUP($Q92,武学奇术!$A:$ZZ,14,FALSE)+SUM(_xlfn.XLOOKUP(R92:AF92,增益!$A:$A,增益!$N:$N,0))</f>
        <v>0</v>
      </c>
      <c r="BE92">
        <f t="shared" si="50"/>
        <v>0</v>
      </c>
      <c r="BF92">
        <f t="shared" si="51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-0.14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0.6113</v>
      </c>
      <c r="BK92" s="24" cm="1">
        <f t="array" ref="BK92">1+$B$13+VLOOKUP($Q92,武学奇术!$A:$ZZ,18,FALSE)+SUM(_xlfn.XLOOKUP(R92:AF92,增益!$A:$A,增益!$R:$R,0))</f>
        <v>1.904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0.1371</v>
      </c>
      <c r="BM92" s="24" cm="1">
        <f t="array" ref="BM92">1+$B$14+VLOOKUP($Q92,武学奇术!$A:$ZZ,20,FALSE)+SUM(_xlfn.XLOOKUP(R92:AF92,增益!$A:$A,增益!$T:$T,0))</f>
        <v>1.35</v>
      </c>
      <c r="BN92" s="24">
        <f t="shared" si="42"/>
        <v>0.6113</v>
      </c>
      <c r="BO92" s="24">
        <f t="shared" si="32"/>
        <v>0.2516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0.11</v>
      </c>
    </row>
    <row r="93" spans="1:69">
      <c r="A93" s="4" t="s">
        <v>146</v>
      </c>
      <c r="B93" s="4">
        <v>2</v>
      </c>
      <c r="C93" s="37"/>
      <c r="K93" s="36">
        <f t="shared" si="43"/>
        <v>14196.7906768289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15366.2574924837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18583.2760172998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8965.14439468125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4164.8991469182</v>
      </c>
      <c r="P93" s="37">
        <v>1</v>
      </c>
      <c r="Q93" s="38" t="s">
        <v>156</v>
      </c>
      <c r="R93" s="38" t="s">
        <v>92</v>
      </c>
      <c r="S93" s="38" t="s">
        <v>108</v>
      </c>
      <c r="T93" s="38" t="s">
        <v>71</v>
      </c>
      <c r="U93" s="38" t="s">
        <v>71</v>
      </c>
      <c r="V93" s="38" t="s">
        <v>126</v>
      </c>
      <c r="W93" s="38" t="s">
        <v>71</v>
      </c>
      <c r="X93" s="38" t="s">
        <v>71</v>
      </c>
      <c r="Y93" s="38" t="s">
        <v>71</v>
      </c>
      <c r="Z93" s="38" t="s">
        <v>71</v>
      </c>
      <c r="AA93" s="38" t="s">
        <v>71</v>
      </c>
      <c r="AB93" s="38" t="s">
        <v>71</v>
      </c>
      <c r="AC93" s="38" t="s">
        <v>71</v>
      </c>
      <c r="AD93" s="38" t="s">
        <v>71</v>
      </c>
      <c r="AE93" s="38" t="s">
        <v>74</v>
      </c>
      <c r="AF93" s="38" t="s">
        <v>71</v>
      </c>
      <c r="AG93" t="str">
        <f>VLOOKUP($Q93,武学奇术!$A:$ZZ,25,FALSE)</f>
        <v>心法</v>
      </c>
      <c r="AH93" s="24">
        <f>VLOOKUP($Q93,武学奇术!$A:$ZZ,26,FALSE)</f>
        <v>1</v>
      </c>
      <c r="AI93" s="25">
        <f>VLOOKUP($Q93,武学奇术!$A:$ZZ,27,FALSE)*(1+IF(OR($AG93=$F$4,$AG93=$F$5),$B$22,0))</f>
        <v>0</v>
      </c>
      <c r="AJ93" s="24">
        <f>VLOOKUP($Q93,武学奇术!$A:$ZZ,28,FALSE)</f>
        <v>1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0.4137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1481.6</v>
      </c>
      <c r="AO93" cm="1">
        <f t="array" ref="AO93">$E$10*(1+$AM93)+VLOOKUP($Q93,武学奇术!$A:$ZZ,4,FALSE)+SUM(_xlfn.XLOOKUP($R93:$AF93,增益!$A:$A,增益!$D:$D,0))-$I$2</f>
        <v>5653.7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44"/>
        <v>0</v>
      </c>
      <c r="AT93">
        <f t="shared" si="45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46"/>
        <v>576.6</v>
      </c>
      <c r="AX93">
        <f t="shared" si="47"/>
        <v>1088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0.06</v>
      </c>
      <c r="AZ93" s="30" cm="1">
        <f t="array" ref="AZ93">$G$12+VLOOKUP($Q93,武学奇术!$A:$ZZ,12,FALSE)+SUM(_xlfn.XLOOKUP(R93:AF93,增益!$A:$A,增益!$L:$L,0))</f>
        <v>0.15</v>
      </c>
      <c r="BA93">
        <f t="shared" si="48"/>
        <v>0</v>
      </c>
      <c r="BB93">
        <f t="shared" si="49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0" cm="1">
        <f t="array" ref="BD93">$G$13+VLOOKUP($Q93,武学奇术!$A:$ZZ,14,FALSE)+SUM(_xlfn.XLOOKUP(R93:AF93,增益!$A:$A,增益!$N:$N,0))</f>
        <v>0</v>
      </c>
      <c r="BE93">
        <f t="shared" si="50"/>
        <v>0</v>
      </c>
      <c r="BF93">
        <f t="shared" si="51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0.6113</v>
      </c>
      <c r="BK93" s="24" cm="1">
        <f t="array" ref="BK93">1+$B$13+VLOOKUP($Q93,武学奇术!$A:$ZZ,18,FALSE)+SUM(_xlfn.XLOOKUP(R93:AF93,增益!$A:$A,增益!$R:$R,0))</f>
        <v>1.714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0.1371</v>
      </c>
      <c r="BM93" s="24" cm="1">
        <f t="array" ref="BM93">1+$B$14+VLOOKUP($Q93,武学奇术!$A:$ZZ,20,FALSE)+SUM(_xlfn.XLOOKUP(R93:AF93,增益!$A:$A,增益!$T:$T,0))</f>
        <v>1.35</v>
      </c>
      <c r="BN93" s="24">
        <f t="shared" si="42"/>
        <v>0.6113</v>
      </c>
      <c r="BO93" s="24">
        <f t="shared" si="32"/>
        <v>0.2516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0.11</v>
      </c>
    </row>
    <row r="94" spans="1:69">
      <c r="A94" s="4" t="s">
        <v>149</v>
      </c>
      <c r="B94" s="4">
        <v>1.66</v>
      </c>
      <c r="C94" s="37"/>
      <c r="D94" t="s">
        <v>153</v>
      </c>
      <c r="K94" s="36">
        <f t="shared" si="43"/>
        <v>18153.156268555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20308.021563095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22181.8668957661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10722.2922719615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5013.5720285406</v>
      </c>
      <c r="P94" s="37">
        <v>1</v>
      </c>
      <c r="Q94" s="38" t="s">
        <v>156</v>
      </c>
      <c r="R94" s="38" t="s">
        <v>92</v>
      </c>
      <c r="S94" s="38" t="s">
        <v>108</v>
      </c>
      <c r="T94" s="38" t="s">
        <v>72</v>
      </c>
      <c r="U94" s="38" t="s">
        <v>103</v>
      </c>
      <c r="V94" s="38" t="s">
        <v>139</v>
      </c>
      <c r="W94" s="38" t="s">
        <v>71</v>
      </c>
      <c r="X94" s="38" t="s">
        <v>71</v>
      </c>
      <c r="Y94" s="38" t="s">
        <v>141</v>
      </c>
      <c r="Z94" s="38" t="s">
        <v>142</v>
      </c>
      <c r="AA94" s="38" t="s">
        <v>71</v>
      </c>
      <c r="AB94" s="38" t="s">
        <v>71</v>
      </c>
      <c r="AC94" s="38" t="s">
        <v>71</v>
      </c>
      <c r="AD94" s="38" t="s">
        <v>71</v>
      </c>
      <c r="AE94" s="38" t="s">
        <v>74</v>
      </c>
      <c r="AF94" s="38" t="s">
        <v>71</v>
      </c>
      <c r="AG94" t="str">
        <f>VLOOKUP($Q94,武学奇术!$A:$ZZ,25,FALSE)</f>
        <v>心法</v>
      </c>
      <c r="AH94" s="24">
        <f>VLOOKUP($Q94,武学奇术!$A:$ZZ,26,FALSE)</f>
        <v>1</v>
      </c>
      <c r="AI94" s="25">
        <f>VLOOKUP($Q94,武学奇术!$A:$ZZ,27,FALSE)*(1+IF(OR($AG94=$F$4,$AG94=$F$5),$B$22,0))</f>
        <v>0</v>
      </c>
      <c r="AJ94" s="24">
        <f>VLOOKUP($Q94,武学奇术!$A:$ZZ,28,FALSE)</f>
        <v>1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0.4137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1481.6</v>
      </c>
      <c r="AO94" cm="1">
        <f t="array" ref="AO94">$E$10*(1+$AM94)+VLOOKUP($Q94,武学奇术!$A:$ZZ,4,FALSE)+SUM(_xlfn.XLOOKUP($R94:$AF94,增益!$A:$A,增益!$D:$D,0))-$I$2</f>
        <v>5653.7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0.317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44"/>
        <v>0</v>
      </c>
      <c r="AT94">
        <f t="shared" si="45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-0.14</v>
      </c>
      <c r="AV94" s="30" cm="1">
        <f t="array" ref="AV94">$G$11+VLOOKUP($Q94,武学奇术!$A:$ZZ,10,FALSE)+SUM(_xlfn.XLOOKUP(R94:AF94,增益!$A:$A,增益!$J:$J,0))</f>
        <v>0.1</v>
      </c>
      <c r="AW94">
        <f t="shared" si="46"/>
        <v>576.6</v>
      </c>
      <c r="AX94">
        <f t="shared" si="47"/>
        <v>1088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0.14</v>
      </c>
      <c r="AZ94" s="30" cm="1">
        <f t="array" ref="AZ94">$G$12+VLOOKUP($Q94,武学奇术!$A:$ZZ,12,FALSE)+SUM(_xlfn.XLOOKUP(R94:AF94,增益!$A:$A,增益!$L:$L,0))</f>
        <v>0.15</v>
      </c>
      <c r="BA94">
        <f t="shared" si="48"/>
        <v>0</v>
      </c>
      <c r="BB94">
        <f t="shared" si="49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-0.14</v>
      </c>
      <c r="BD94" s="30" cm="1">
        <f t="array" ref="BD94">$G$13+VLOOKUP($Q94,武学奇术!$A:$ZZ,14,FALSE)+SUM(_xlfn.XLOOKUP(R94:AF94,增益!$A:$A,增益!$N:$N,0))</f>
        <v>0</v>
      </c>
      <c r="BE94">
        <f t="shared" si="50"/>
        <v>0</v>
      </c>
      <c r="BF94">
        <f t="shared" si="51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-0.14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0.6113</v>
      </c>
      <c r="BK94" s="24" cm="1">
        <f t="array" ref="BK94">1+$B$13+VLOOKUP($Q94,武学奇术!$A:$ZZ,18,FALSE)+SUM(_xlfn.XLOOKUP(R94:AF94,增益!$A:$A,增益!$R:$R,0))</f>
        <v>1.894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0.1371</v>
      </c>
      <c r="BM94" s="24" cm="1">
        <f t="array" ref="BM94">1+$B$14+VLOOKUP($Q94,武学奇术!$A:$ZZ,20,FALSE)+SUM(_xlfn.XLOOKUP(R94:AF94,增益!$A:$A,增益!$T:$T,0))</f>
        <v>1.35</v>
      </c>
      <c r="BN94" s="24">
        <f t="shared" si="42"/>
        <v>0.6113</v>
      </c>
      <c r="BO94" s="24">
        <f t="shared" si="32"/>
        <v>0.2516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0.31</v>
      </c>
    </row>
    <row r="95" spans="1:69">
      <c r="A95" s="4" t="s">
        <v>150</v>
      </c>
      <c r="B95" s="4">
        <v>1.33</v>
      </c>
      <c r="C95" s="37"/>
      <c r="K95" s="36">
        <f t="shared" si="43"/>
        <v>15183.2613751532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16979.9834835263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18583.2760172998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8965.14439468125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4164.8991469182</v>
      </c>
      <c r="P95" s="37">
        <v>1</v>
      </c>
      <c r="Q95" s="38" t="s">
        <v>156</v>
      </c>
      <c r="R95" s="38" t="s">
        <v>92</v>
      </c>
      <c r="S95" s="38" t="s">
        <v>108</v>
      </c>
      <c r="T95" s="38" t="s">
        <v>72</v>
      </c>
      <c r="U95" s="38" t="s">
        <v>71</v>
      </c>
      <c r="V95" s="38" t="s">
        <v>139</v>
      </c>
      <c r="W95" s="38" t="s">
        <v>71</v>
      </c>
      <c r="X95" s="38" t="s">
        <v>71</v>
      </c>
      <c r="Y95" s="38" t="s">
        <v>71</v>
      </c>
      <c r="Z95" s="38" t="s">
        <v>71</v>
      </c>
      <c r="AA95" s="38" t="s">
        <v>71</v>
      </c>
      <c r="AB95" s="38" t="s">
        <v>71</v>
      </c>
      <c r="AC95" s="38" t="s">
        <v>71</v>
      </c>
      <c r="AD95" s="38" t="s">
        <v>71</v>
      </c>
      <c r="AE95" s="38" t="s">
        <v>74</v>
      </c>
      <c r="AF95" s="38" t="s">
        <v>71</v>
      </c>
      <c r="AG95" t="str">
        <f>VLOOKUP($Q95,武学奇术!$A:$ZZ,25,FALSE)</f>
        <v>心法</v>
      </c>
      <c r="AH95" s="24">
        <f>VLOOKUP($Q95,武学奇术!$A:$ZZ,26,FALSE)</f>
        <v>1</v>
      </c>
      <c r="AI95" s="25">
        <f>VLOOKUP($Q95,武学奇术!$A:$ZZ,27,FALSE)*(1+IF(OR($AG95=$F$4,$AG95=$F$5),$B$22,0))</f>
        <v>0</v>
      </c>
      <c r="AJ95" s="24">
        <f>VLOOKUP($Q95,武学奇术!$A:$ZZ,28,FALSE)</f>
        <v>1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0.4137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1481.6</v>
      </c>
      <c r="AO95" cm="1">
        <f t="array" ref="AO95">$E$10*(1+$AM95)+VLOOKUP($Q95,武学奇术!$A:$ZZ,4,FALSE)+SUM(_xlfn.XLOOKUP($R95:$AF95,增益!$A:$A,增益!$D:$D,0))-$I$2</f>
        <v>5653.7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0.317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44"/>
        <v>0</v>
      </c>
      <c r="AT95">
        <f t="shared" si="45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46"/>
        <v>576.6</v>
      </c>
      <c r="AX95">
        <f t="shared" si="47"/>
        <v>1088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0.06</v>
      </c>
      <c r="AZ95" s="30" cm="1">
        <f t="array" ref="AZ95">$G$12+VLOOKUP($Q95,武学奇术!$A:$ZZ,12,FALSE)+SUM(_xlfn.XLOOKUP(R95:AF95,增益!$A:$A,增益!$L:$L,0))</f>
        <v>0.15</v>
      </c>
      <c r="BA95">
        <f t="shared" si="48"/>
        <v>0</v>
      </c>
      <c r="BB95">
        <f t="shared" si="49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0" cm="1">
        <f t="array" ref="BD95">$G$13+VLOOKUP($Q95,武学奇术!$A:$ZZ,14,FALSE)+SUM(_xlfn.XLOOKUP(R95:AF95,增益!$A:$A,增益!$N:$N,0))</f>
        <v>0</v>
      </c>
      <c r="BE95">
        <f t="shared" si="50"/>
        <v>0</v>
      </c>
      <c r="BF95">
        <f t="shared" si="51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0.6113</v>
      </c>
      <c r="BK95" s="24" cm="1">
        <f t="array" ref="BK95">1+$B$13+VLOOKUP($Q95,武学奇术!$A:$ZZ,18,FALSE)+SUM(_xlfn.XLOOKUP(R95:AF95,增益!$A:$A,增益!$R:$R,0))</f>
        <v>1.894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0.1371</v>
      </c>
      <c r="BM95" s="24" cm="1">
        <f t="array" ref="BM95">1+$B$14+VLOOKUP($Q95,武学奇术!$A:$ZZ,20,FALSE)+SUM(_xlfn.XLOOKUP(R95:AF95,增益!$A:$A,增益!$T:$T,0))</f>
        <v>1.35</v>
      </c>
      <c r="BN95" s="24">
        <f t="shared" si="42"/>
        <v>0.6113</v>
      </c>
      <c r="BO95" s="24">
        <f t="shared" si="32"/>
        <v>0.2516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0.11</v>
      </c>
    </row>
    <row r="96" spans="1:69">
      <c r="A96" s="4" t="s">
        <v>150</v>
      </c>
      <c r="B96" s="4">
        <v>1.33</v>
      </c>
      <c r="C96" s="37"/>
      <c r="K96" s="36">
        <f t="shared" si="43"/>
        <v>15599.2908856853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17451.0003103006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19061.2248898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9213.83332117245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4308.2407980486</v>
      </c>
      <c r="P96" s="37">
        <v>1</v>
      </c>
      <c r="Q96" s="38" t="s">
        <v>156</v>
      </c>
      <c r="R96" s="38" t="s">
        <v>92</v>
      </c>
      <c r="S96" s="38" t="s">
        <v>108</v>
      </c>
      <c r="T96" s="38" t="s">
        <v>72</v>
      </c>
      <c r="U96" s="38" t="s">
        <v>103</v>
      </c>
      <c r="V96" s="38" t="s">
        <v>139</v>
      </c>
      <c r="W96" s="38" t="s">
        <v>73</v>
      </c>
      <c r="X96" s="38" t="s">
        <v>71</v>
      </c>
      <c r="Y96" s="38" t="s">
        <v>71</v>
      </c>
      <c r="Z96" s="38" t="s">
        <v>71</v>
      </c>
      <c r="AA96" s="38" t="s">
        <v>71</v>
      </c>
      <c r="AB96" s="38" t="s">
        <v>71</v>
      </c>
      <c r="AC96" s="38" t="s">
        <v>71</v>
      </c>
      <c r="AD96" s="38" t="s">
        <v>71</v>
      </c>
      <c r="AE96" s="38" t="s">
        <v>74</v>
      </c>
      <c r="AF96" s="38" t="s">
        <v>71</v>
      </c>
      <c r="AG96" t="str">
        <f>VLOOKUP($Q96,武学奇术!$A:$ZZ,25,FALSE)</f>
        <v>心法</v>
      </c>
      <c r="AH96" s="24">
        <f>VLOOKUP($Q96,武学奇术!$A:$ZZ,26,FALSE)</f>
        <v>1</v>
      </c>
      <c r="AI96" s="25">
        <f>VLOOKUP($Q96,武学奇术!$A:$ZZ,27,FALSE)*(1+IF(OR($AG96=$F$4,$AG96=$F$5),$B$22,0))</f>
        <v>0</v>
      </c>
      <c r="AJ96" s="24">
        <f>VLOOKUP($Q96,武学奇术!$A:$ZZ,28,FALSE)</f>
        <v>1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0.4337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1481.6</v>
      </c>
      <c r="AO96" cm="1">
        <f t="array" ref="AO96">$E$10*(1+$AM96)+VLOOKUP($Q96,武学奇术!$A:$ZZ,4,FALSE)+SUM(_xlfn.XLOOKUP($R96:$AF96,增益!$A:$A,增益!$D:$D,0))-$I$2</f>
        <v>5653.7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0.317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44"/>
        <v>0</v>
      </c>
      <c r="AT96">
        <f t="shared" si="45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-0.14</v>
      </c>
      <c r="AV96" s="30" cm="1">
        <f t="array" ref="AV96">$G$11+VLOOKUP($Q96,武学奇术!$A:$ZZ,10,FALSE)+SUM(_xlfn.XLOOKUP(R96:AF96,增益!$A:$A,增益!$J:$J,0))</f>
        <v>0</v>
      </c>
      <c r="AW96">
        <f t="shared" si="46"/>
        <v>576.6</v>
      </c>
      <c r="AX96">
        <f t="shared" si="47"/>
        <v>1088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0.14</v>
      </c>
      <c r="AZ96" s="30" cm="1">
        <f t="array" ref="AZ96">$G$12+VLOOKUP($Q96,武学奇术!$A:$ZZ,12,FALSE)+SUM(_xlfn.XLOOKUP(R96:AF96,增益!$A:$A,增益!$L:$L,0))</f>
        <v>0.15</v>
      </c>
      <c r="BA96">
        <f t="shared" si="48"/>
        <v>0</v>
      </c>
      <c r="BB96">
        <f t="shared" si="49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-0.14</v>
      </c>
      <c r="BD96" s="30" cm="1">
        <f t="array" ref="BD96">$G$13+VLOOKUP($Q96,武学奇术!$A:$ZZ,14,FALSE)+SUM(_xlfn.XLOOKUP(R96:AF96,增益!$A:$A,增益!$N:$N,0))</f>
        <v>0</v>
      </c>
      <c r="BE96">
        <f t="shared" si="50"/>
        <v>0</v>
      </c>
      <c r="BF96">
        <f t="shared" si="51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-0.14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0.6113</v>
      </c>
      <c r="BK96" s="24" cm="1">
        <f t="array" ref="BK96">1+$B$13+VLOOKUP($Q96,武学奇术!$A:$ZZ,18,FALSE)+SUM(_xlfn.XLOOKUP(R96:AF96,增益!$A:$A,增益!$R:$R,0))</f>
        <v>1.894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0.1371</v>
      </c>
      <c r="BM96" s="24" cm="1">
        <f t="array" ref="BM96">1+$B$14+VLOOKUP($Q96,武学奇术!$A:$ZZ,20,FALSE)+SUM(_xlfn.XLOOKUP(R96:AF96,增益!$A:$A,增益!$T:$T,0))</f>
        <v>1.35</v>
      </c>
      <c r="BN96" s="24">
        <f t="shared" si="42"/>
        <v>0.6113</v>
      </c>
      <c r="BO96" s="24">
        <f t="shared" si="32"/>
        <v>0.2516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0.11</v>
      </c>
    </row>
    <row r="97" spans="1:69">
      <c r="A97" s="4" t="s">
        <v>150</v>
      </c>
      <c r="B97" s="4">
        <v>1.33</v>
      </c>
      <c r="C97" s="37"/>
      <c r="K97" s="36">
        <f t="shared" si="43"/>
        <v>14361.2024598829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15635.2118243241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18583.2760172998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8965.14439468125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4164.8991469182</v>
      </c>
      <c r="P97" s="37">
        <v>1</v>
      </c>
      <c r="Q97" s="38" t="s">
        <v>156</v>
      </c>
      <c r="R97" s="38" t="s">
        <v>92</v>
      </c>
      <c r="S97" s="38" t="s">
        <v>108</v>
      </c>
      <c r="T97" s="38" t="s">
        <v>71</v>
      </c>
      <c r="U97" s="38" t="s">
        <v>71</v>
      </c>
      <c r="V97" s="38" t="s">
        <v>139</v>
      </c>
      <c r="W97" s="38" t="s">
        <v>71</v>
      </c>
      <c r="X97" s="38" t="s">
        <v>71</v>
      </c>
      <c r="Y97" s="38" t="s">
        <v>71</v>
      </c>
      <c r="Z97" s="38" t="s">
        <v>71</v>
      </c>
      <c r="AA97" s="38" t="s">
        <v>71</v>
      </c>
      <c r="AB97" s="38" t="s">
        <v>71</v>
      </c>
      <c r="AC97" s="38" t="s">
        <v>71</v>
      </c>
      <c r="AD97" s="38" t="s">
        <v>71</v>
      </c>
      <c r="AE97" s="38" t="s">
        <v>74</v>
      </c>
      <c r="AF97" s="38" t="s">
        <v>71</v>
      </c>
      <c r="AG97" t="str">
        <f>VLOOKUP($Q97,武学奇术!$A:$ZZ,25,FALSE)</f>
        <v>心法</v>
      </c>
      <c r="AH97" s="24">
        <f>VLOOKUP($Q97,武学奇术!$A:$ZZ,26,FALSE)</f>
        <v>1</v>
      </c>
      <c r="AI97" s="25">
        <f>VLOOKUP($Q97,武学奇术!$A:$ZZ,27,FALSE)*(1+IF(OR($AG97=$F$4,$AG97=$F$5),$B$22,0))</f>
        <v>0</v>
      </c>
      <c r="AJ97" s="24">
        <f>VLOOKUP($Q97,武学奇术!$A:$ZZ,28,FALSE)</f>
        <v>1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0.4137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1481.6</v>
      </c>
      <c r="AO97" cm="1">
        <f t="array" ref="AO97">$E$10*(1+$AM97)+VLOOKUP($Q97,武学奇术!$A:$ZZ,4,FALSE)+SUM(_xlfn.XLOOKUP($R97:$AF97,增益!$A:$A,增益!$D:$D,0))-$I$2</f>
        <v>5653.7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0.317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44"/>
        <v>0</v>
      </c>
      <c r="AT97">
        <f t="shared" si="45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46"/>
        <v>576.6</v>
      </c>
      <c r="AX97">
        <f t="shared" si="47"/>
        <v>1088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0.06</v>
      </c>
      <c r="AZ97" s="30" cm="1">
        <f t="array" ref="AZ97">$G$12+VLOOKUP($Q97,武学奇术!$A:$ZZ,12,FALSE)+SUM(_xlfn.XLOOKUP(R97:AF97,增益!$A:$A,增益!$L:$L,0))</f>
        <v>0.15</v>
      </c>
      <c r="BA97">
        <f t="shared" si="48"/>
        <v>0</v>
      </c>
      <c r="BB97">
        <f t="shared" si="49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0" cm="1">
        <f t="array" ref="BD97">$G$13+VLOOKUP($Q97,武学奇术!$A:$ZZ,14,FALSE)+SUM(_xlfn.XLOOKUP(R97:AF97,增益!$A:$A,增益!$N:$N,0))</f>
        <v>0</v>
      </c>
      <c r="BE97">
        <f t="shared" si="50"/>
        <v>0</v>
      </c>
      <c r="BF97">
        <f t="shared" si="51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0.6113</v>
      </c>
      <c r="BK97" s="24" cm="1">
        <f t="array" ref="BK97">1+$B$13+VLOOKUP($Q97,武学奇术!$A:$ZZ,18,FALSE)+SUM(_xlfn.XLOOKUP(R97:AF97,增益!$A:$A,增益!$R:$R,0))</f>
        <v>1.744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0.1371</v>
      </c>
      <c r="BM97" s="24" cm="1">
        <f t="array" ref="BM97">1+$B$14+VLOOKUP($Q97,武学奇术!$A:$ZZ,20,FALSE)+SUM(_xlfn.XLOOKUP(R97:AF97,增益!$A:$A,增益!$T:$T,0))</f>
        <v>1.35</v>
      </c>
      <c r="BN97" s="24">
        <f t="shared" si="42"/>
        <v>0.6113</v>
      </c>
      <c r="BO97" s="24">
        <f t="shared" si="32"/>
        <v>0.2516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0.11</v>
      </c>
    </row>
    <row r="98" spans="1:69">
      <c r="A98" s="4" t="s">
        <v>157</v>
      </c>
      <c r="B98" s="4">
        <v>2</v>
      </c>
      <c r="C98" s="37"/>
      <c r="K98" s="36">
        <f t="shared" si="43"/>
        <v>15381.682029081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17207.5602557522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18795.322331527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9085.30108540245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4248.1411844886</v>
      </c>
      <c r="P98" s="37">
        <v>1</v>
      </c>
      <c r="Q98" s="38" t="s">
        <v>156</v>
      </c>
      <c r="R98" s="38" t="s">
        <v>92</v>
      </c>
      <c r="S98" s="38" t="s">
        <v>108</v>
      </c>
      <c r="T98" s="38" t="s">
        <v>72</v>
      </c>
      <c r="U98" s="38" t="s">
        <v>103</v>
      </c>
      <c r="V98" s="38" t="s">
        <v>139</v>
      </c>
      <c r="W98" s="38" t="s">
        <v>71</v>
      </c>
      <c r="X98" s="38" t="s">
        <v>71</v>
      </c>
      <c r="Y98" s="38" t="s">
        <v>71</v>
      </c>
      <c r="Z98" s="38" t="s">
        <v>71</v>
      </c>
      <c r="AA98" s="38" t="s">
        <v>71</v>
      </c>
      <c r="AB98" s="38" t="s">
        <v>71</v>
      </c>
      <c r="AC98" s="38" t="s">
        <v>71</v>
      </c>
      <c r="AD98" s="38" t="s">
        <v>71</v>
      </c>
      <c r="AE98" s="38" t="s">
        <v>74</v>
      </c>
      <c r="AF98" s="38" t="s">
        <v>71</v>
      </c>
      <c r="AG98" t="str">
        <f>VLOOKUP($Q98,武学奇术!$A:$ZZ,25,FALSE)</f>
        <v>心法</v>
      </c>
      <c r="AH98" s="24">
        <f>VLOOKUP($Q98,武学奇术!$A:$ZZ,26,FALSE)</f>
        <v>1</v>
      </c>
      <c r="AI98" s="25">
        <f>VLOOKUP($Q98,武学奇术!$A:$ZZ,27,FALSE)*(1+IF(OR($AG98=$F$4,$AG98=$F$5),$B$22,0))</f>
        <v>0</v>
      </c>
      <c r="AJ98" s="24">
        <f>VLOOKUP($Q98,武学奇术!$A:$ZZ,28,FALSE)</f>
        <v>1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0.4137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1481.6</v>
      </c>
      <c r="AO98" cm="1">
        <f t="array" ref="AO98">$E$10*(1+$AM98)+VLOOKUP($Q98,武学奇术!$A:$ZZ,4,FALSE)+SUM(_xlfn.XLOOKUP($R98:$AF98,增益!$A:$A,增益!$D:$D,0))-$I$2</f>
        <v>5653.7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0.317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44"/>
        <v>0</v>
      </c>
      <c r="AT98">
        <f t="shared" si="45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0" cm="1">
        <f t="array" ref="AV98">$G$11+VLOOKUP($Q98,武学奇术!$A:$ZZ,10,FALSE)+SUM(_xlfn.XLOOKUP(R98:AF98,增益!$A:$A,增益!$J:$J,0))</f>
        <v>0</v>
      </c>
      <c r="AW98">
        <f t="shared" si="46"/>
        <v>576.6</v>
      </c>
      <c r="AX98">
        <f t="shared" si="47"/>
        <v>1088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0.14</v>
      </c>
      <c r="AZ98" s="30" cm="1">
        <f t="array" ref="AZ98">$G$12+VLOOKUP($Q98,武学奇术!$A:$ZZ,12,FALSE)+SUM(_xlfn.XLOOKUP(R98:AF98,增益!$A:$A,增益!$L:$L,0))</f>
        <v>0.15</v>
      </c>
      <c r="BA98">
        <f t="shared" si="48"/>
        <v>0</v>
      </c>
      <c r="BB98">
        <f t="shared" si="49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-0.14</v>
      </c>
      <c r="BD98" s="30" cm="1">
        <f t="array" ref="BD98">$G$13+VLOOKUP($Q98,武学奇术!$A:$ZZ,14,FALSE)+SUM(_xlfn.XLOOKUP(R98:AF98,增益!$A:$A,增益!$N:$N,0))</f>
        <v>0</v>
      </c>
      <c r="BE98">
        <f t="shared" si="50"/>
        <v>0</v>
      </c>
      <c r="BF98">
        <f t="shared" si="51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-0.14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0.6113</v>
      </c>
      <c r="BK98" s="24" cm="1">
        <f t="array" ref="BK98">1+$B$13+VLOOKUP($Q98,武学奇术!$A:$ZZ,18,FALSE)+SUM(_xlfn.XLOOKUP(R98:AF98,增益!$A:$A,增益!$R:$R,0))</f>
        <v>1.894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0.1371</v>
      </c>
      <c r="BM98" s="24" cm="1">
        <f t="array" ref="BM98">1+$B$14+VLOOKUP($Q98,武学奇术!$A:$ZZ,20,FALSE)+SUM(_xlfn.XLOOKUP(R98:AF98,增益!$A:$A,增益!$T:$T,0))</f>
        <v>1.35</v>
      </c>
      <c r="BN98" s="24">
        <f t="shared" si="42"/>
        <v>0.6113</v>
      </c>
      <c r="BO98" s="24">
        <f t="shared" si="32"/>
        <v>0.2516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0.11</v>
      </c>
    </row>
    <row r="99" spans="1:69">
      <c r="A99" s="4"/>
      <c r="B99" s="4"/>
      <c r="C99" s="37"/>
      <c r="K99" s="36">
        <f t="shared" si="43"/>
        <v>15183.2613751532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16979.9834835263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18583.2760172998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8965.14439468125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4164.8991469182</v>
      </c>
      <c r="P99" s="37">
        <v>1</v>
      </c>
      <c r="Q99" s="38" t="s">
        <v>156</v>
      </c>
      <c r="R99" s="38" t="s">
        <v>92</v>
      </c>
      <c r="S99" s="38" t="s">
        <v>108</v>
      </c>
      <c r="T99" s="38" t="s">
        <v>72</v>
      </c>
      <c r="U99" s="38" t="s">
        <v>71</v>
      </c>
      <c r="V99" s="38" t="s">
        <v>139</v>
      </c>
      <c r="W99" s="38" t="s">
        <v>71</v>
      </c>
      <c r="X99" s="38" t="s">
        <v>71</v>
      </c>
      <c r="Y99" s="38" t="s">
        <v>71</v>
      </c>
      <c r="Z99" s="38" t="s">
        <v>71</v>
      </c>
      <c r="AA99" s="38" t="s">
        <v>71</v>
      </c>
      <c r="AB99" s="38" t="s">
        <v>71</v>
      </c>
      <c r="AC99" s="38" t="s">
        <v>71</v>
      </c>
      <c r="AD99" s="38" t="s">
        <v>71</v>
      </c>
      <c r="AE99" s="38" t="s">
        <v>74</v>
      </c>
      <c r="AF99" s="38" t="s">
        <v>71</v>
      </c>
      <c r="AG99" t="str">
        <f>VLOOKUP($Q99,武学奇术!$A:$ZZ,25,FALSE)</f>
        <v>心法</v>
      </c>
      <c r="AH99" s="24">
        <f>VLOOKUP($Q99,武学奇术!$A:$ZZ,26,FALSE)</f>
        <v>1</v>
      </c>
      <c r="AI99" s="25">
        <f>VLOOKUP($Q99,武学奇术!$A:$ZZ,27,FALSE)*(1+IF(OR($AG99=$F$4,$AG99=$F$5),$B$22,0))</f>
        <v>0</v>
      </c>
      <c r="AJ99" s="24">
        <f>VLOOKUP($Q99,武学奇术!$A:$ZZ,28,FALSE)</f>
        <v>1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0.4137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1481.6</v>
      </c>
      <c r="AO99" cm="1">
        <f t="array" ref="AO99">$E$10*(1+$AM99)+VLOOKUP($Q99,武学奇术!$A:$ZZ,4,FALSE)+SUM(_xlfn.XLOOKUP($R99:$AF99,增益!$A:$A,增益!$D:$D,0))-$I$2</f>
        <v>5653.7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0.317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44"/>
        <v>0</v>
      </c>
      <c r="AT99">
        <f t="shared" si="45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46"/>
        <v>576.6</v>
      </c>
      <c r="AX99">
        <f t="shared" si="47"/>
        <v>1088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0.06</v>
      </c>
      <c r="AZ99" s="30" cm="1">
        <f t="array" ref="AZ99">$G$12+VLOOKUP($Q99,武学奇术!$A:$ZZ,12,FALSE)+SUM(_xlfn.XLOOKUP(R99:AF99,增益!$A:$A,增益!$L:$L,0))</f>
        <v>0.15</v>
      </c>
      <c r="BA99">
        <f t="shared" si="48"/>
        <v>0</v>
      </c>
      <c r="BB99">
        <f t="shared" si="49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0" cm="1">
        <f t="array" ref="BD99">$G$13+VLOOKUP($Q99,武学奇术!$A:$ZZ,14,FALSE)+SUM(_xlfn.XLOOKUP(R99:AF99,增益!$A:$A,增益!$N:$N,0))</f>
        <v>0</v>
      </c>
      <c r="BE99">
        <f t="shared" si="50"/>
        <v>0</v>
      </c>
      <c r="BF99">
        <f t="shared" si="51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0.6113</v>
      </c>
      <c r="BK99" s="24" cm="1">
        <f t="array" ref="BK99">1+$B$13+VLOOKUP($Q99,武学奇术!$A:$ZZ,18,FALSE)+SUM(_xlfn.XLOOKUP(R99:AF99,增益!$A:$A,增益!$R:$R,0))</f>
        <v>1.894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0.1371</v>
      </c>
      <c r="BM99" s="24" cm="1">
        <f t="array" ref="BM99">1+$B$14+VLOOKUP($Q99,武学奇术!$A:$ZZ,20,FALSE)+SUM(_xlfn.XLOOKUP(R99:AF99,增益!$A:$A,增益!$T:$T,0))</f>
        <v>1.35</v>
      </c>
      <c r="BN99" s="24">
        <f t="shared" si="42"/>
        <v>0.6113</v>
      </c>
      <c r="BO99" s="24">
        <f t="shared" si="32"/>
        <v>0.2516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0.11</v>
      </c>
    </row>
    <row r="100" spans="1:69">
      <c r="A100" s="4"/>
      <c r="B100" s="4"/>
      <c r="C100" s="37"/>
      <c r="K100" s="36">
        <f t="shared" si="43"/>
        <v>18409.9739281512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20595.324690535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22495.6798248991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10873.9834691314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5084.5004013006</v>
      </c>
      <c r="P100" s="37">
        <v>1</v>
      </c>
      <c r="Q100" s="38" t="s">
        <v>156</v>
      </c>
      <c r="R100" s="38" t="s">
        <v>92</v>
      </c>
      <c r="S100" s="38" t="s">
        <v>108</v>
      </c>
      <c r="T100" s="38" t="s">
        <v>72</v>
      </c>
      <c r="U100" s="38" t="s">
        <v>103</v>
      </c>
      <c r="V100" s="38" t="s">
        <v>139</v>
      </c>
      <c r="W100" s="38" t="s">
        <v>73</v>
      </c>
      <c r="X100" s="38" t="s">
        <v>71</v>
      </c>
      <c r="Y100" s="38" t="s">
        <v>141</v>
      </c>
      <c r="Z100" s="38" t="s">
        <v>142</v>
      </c>
      <c r="AA100" s="38" t="s">
        <v>71</v>
      </c>
      <c r="AB100" s="38" t="s">
        <v>71</v>
      </c>
      <c r="AC100" s="38" t="s">
        <v>71</v>
      </c>
      <c r="AD100" s="38" t="s">
        <v>71</v>
      </c>
      <c r="AE100" s="38" t="s">
        <v>74</v>
      </c>
      <c r="AF100" s="38" t="s">
        <v>71</v>
      </c>
      <c r="AG100" t="str">
        <f>VLOOKUP($Q100,武学奇术!$A:$ZZ,25,FALSE)</f>
        <v>心法</v>
      </c>
      <c r="AH100" s="24">
        <f>VLOOKUP($Q100,武学奇术!$A:$ZZ,26,FALSE)</f>
        <v>1</v>
      </c>
      <c r="AI100" s="25">
        <f>VLOOKUP($Q100,武学奇术!$A:$ZZ,27,FALSE)*(1+IF(OR($AG100=$F$4,$AG100=$F$5),$B$22,0))</f>
        <v>0</v>
      </c>
      <c r="AJ100" s="24">
        <f>VLOOKUP($Q100,武学奇术!$A:$ZZ,28,FALSE)</f>
        <v>1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0.4337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1481.6</v>
      </c>
      <c r="AO100" cm="1">
        <f t="array" ref="AO100">$E$10*(1+$AM100)+VLOOKUP($Q100,武学奇术!$A:$ZZ,4,FALSE)+SUM(_xlfn.XLOOKUP($R100:$AF100,增益!$A:$A,增益!$D:$D,0))-$I$2</f>
        <v>5653.7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0.317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44"/>
        <v>0</v>
      </c>
      <c r="AT100">
        <f t="shared" si="45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0" cm="1">
        <f t="array" ref="AV100">$G$11+VLOOKUP($Q100,武学奇术!$A:$ZZ,10,FALSE)+SUM(_xlfn.XLOOKUP(R100:AF100,增益!$A:$A,增益!$J:$J,0))</f>
        <v>0.1</v>
      </c>
      <c r="AW100">
        <f t="shared" si="46"/>
        <v>576.6</v>
      </c>
      <c r="AX100">
        <f t="shared" si="47"/>
        <v>1088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0.14</v>
      </c>
      <c r="AZ100" s="30" cm="1">
        <f t="array" ref="AZ100">$G$12+VLOOKUP($Q100,武学奇术!$A:$ZZ,12,FALSE)+SUM(_xlfn.XLOOKUP(R100:AF100,增益!$A:$A,增益!$L:$L,0))</f>
        <v>0.15</v>
      </c>
      <c r="BA100">
        <f t="shared" si="48"/>
        <v>0</v>
      </c>
      <c r="BB100">
        <f t="shared" si="49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0" cm="1">
        <f t="array" ref="BD100">$G$13+VLOOKUP($Q100,武学奇术!$A:$ZZ,14,FALSE)+SUM(_xlfn.XLOOKUP(R100:AF100,增益!$A:$A,增益!$N:$N,0))</f>
        <v>0</v>
      </c>
      <c r="BE100">
        <f t="shared" si="50"/>
        <v>0</v>
      </c>
      <c r="BF100">
        <f t="shared" si="51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0.6113</v>
      </c>
      <c r="BK100" s="24" cm="1">
        <f t="array" ref="BK100">1+$B$13+VLOOKUP($Q100,武学奇术!$A:$ZZ,18,FALSE)+SUM(_xlfn.XLOOKUP(R100:AF100,增益!$A:$A,增益!$R:$R,0))</f>
        <v>1.894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0.1371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42"/>
        <v>0.6113</v>
      </c>
      <c r="BO100" s="24">
        <f t="shared" si="32"/>
        <v>0.2516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0.31</v>
      </c>
    </row>
    <row r="101" spans="1:69">
      <c r="A101" s="4"/>
      <c r="B101" s="4"/>
      <c r="C101" s="37"/>
      <c r="K101" s="36">
        <f t="shared" si="43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71</v>
      </c>
      <c r="R101" s="38" t="s">
        <v>71</v>
      </c>
      <c r="S101" s="38" t="s">
        <v>71</v>
      </c>
      <c r="T101" s="38" t="s">
        <v>71</v>
      </c>
      <c r="U101" s="38" t="s">
        <v>71</v>
      </c>
      <c r="V101" s="38" t="s">
        <v>71</v>
      </c>
      <c r="W101" s="38" t="s">
        <v>71</v>
      </c>
      <c r="X101" s="38" t="s">
        <v>71</v>
      </c>
      <c r="Y101" s="38" t="s">
        <v>71</v>
      </c>
      <c r="Z101" s="38" t="s">
        <v>71</v>
      </c>
      <c r="AA101" s="38" t="s">
        <v>71</v>
      </c>
      <c r="AB101" s="38" t="s">
        <v>71</v>
      </c>
      <c r="AC101" s="38" t="s">
        <v>71</v>
      </c>
      <c r="AD101" s="38" t="s">
        <v>71</v>
      </c>
      <c r="AE101" s="38" t="s">
        <v>74</v>
      </c>
      <c r="AF101" s="38" t="s">
        <v>71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0.2037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1481.6</v>
      </c>
      <c r="AO101" cm="1">
        <f t="array" ref="AO101">$E$10*(1+$AM101)+VLOOKUP($Q101,武学奇术!$A:$ZZ,4,FALSE)+SUM(_xlfn.XLOOKUP($R101:$AF101,增益!$A:$A,增益!$D:$D,0))-$I$2</f>
        <v>5653.7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44"/>
        <v>0</v>
      </c>
      <c r="AT101">
        <f t="shared" si="45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46"/>
        <v>576.6</v>
      </c>
      <c r="AX101">
        <f t="shared" si="47"/>
        <v>1088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0.06</v>
      </c>
      <c r="AZ101" s="30" cm="1">
        <f t="array" ref="AZ101">$G$12+VLOOKUP($Q101,武学奇术!$A:$ZZ,12,FALSE)+SUM(_xlfn.XLOOKUP(R101:AF101,增益!$A:$A,增益!$L:$L,0))</f>
        <v>0.15</v>
      </c>
      <c r="BA101">
        <f t="shared" si="48"/>
        <v>0</v>
      </c>
      <c r="BB101">
        <f t="shared" si="49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0" cm="1">
        <f t="array" ref="BD101">$G$13+VLOOKUP($Q101,武学奇术!$A:$ZZ,14,FALSE)+SUM(_xlfn.XLOOKUP(R101:AF101,增益!$A:$A,增益!$N:$N,0))</f>
        <v>0</v>
      </c>
      <c r="BE101">
        <f t="shared" si="50"/>
        <v>0</v>
      </c>
      <c r="BF101">
        <f t="shared" si="51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0.6113</v>
      </c>
      <c r="BK101" s="24" cm="1">
        <f t="array" ref="BK101">1+$B$13+VLOOKUP($Q101,武学奇术!$A:$ZZ,18,FALSE)+SUM(_xlfn.XLOOKUP(R101:AF101,增益!$A:$A,增益!$R:$R,0))</f>
        <v>1.644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0.1371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42"/>
        <v>0.6113</v>
      </c>
      <c r="BO101" s="24">
        <f t="shared" si="32"/>
        <v>0.2516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0.11</v>
      </c>
    </row>
    <row r="102" spans="1:69">
      <c r="A102" s="4"/>
      <c r="B102" s="4"/>
      <c r="C102" s="37"/>
    </row>
    <row r="103" spans="1:69">
      <c r="A103" s="4"/>
      <c r="B103" s="4"/>
      <c r="C103" s="37"/>
    </row>
    <row r="104" spans="1:69">
      <c r="A104" s="4"/>
      <c r="B104" s="4"/>
      <c r="C104" s="37"/>
    </row>
    <row r="105" spans="1:69">
      <c r="A105" s="4"/>
      <c r="B105" s="4"/>
      <c r="C105" s="37"/>
    </row>
    <row r="106" spans="1:69">
      <c r="A106" s="4"/>
      <c r="B106" s="4"/>
      <c r="C106" s="37"/>
    </row>
    <row r="107" spans="1:69">
      <c r="A107" s="4"/>
      <c r="B107" s="4"/>
      <c r="C107" s="37"/>
    </row>
  </sheetData>
  <mergeCells count="17">
    <mergeCell ref="H1:I1"/>
    <mergeCell ref="C8:G8"/>
    <mergeCell ref="C15:D15"/>
    <mergeCell ref="A23:A24"/>
    <mergeCell ref="C28:C40"/>
    <mergeCell ref="C46:C69"/>
    <mergeCell ref="C78:C107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2:AD2 AF2 AE2:AE101 AF3:AF101 R3:AD101">
      <formula1>增益!$A:$A</formula1>
    </dataValidation>
    <dataValidation type="list" allowBlank="1" showInputMessage="1" showErrorMessage="1" sqref="D17:D19 F15:F19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7"/>
  <sheetViews>
    <sheetView workbookViewId="0">
      <selection activeCell="H37" sqref="H37"/>
    </sheetView>
  </sheetViews>
  <sheetFormatPr defaultColWidth="9" defaultRowHeight="13.5"/>
  <cols>
    <col min="1" max="1" width="12.875" customWidth="1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/>
      <c r="C2" s="29"/>
      <c r="D2" s="29"/>
      <c r="E2" s="40"/>
      <c r="F2" s="41" t="s">
        <v>67</v>
      </c>
      <c r="G2" s="42" t="s">
        <v>68</v>
      </c>
      <c r="H2" s="43" t="s">
        <v>69</v>
      </c>
      <c r="I2" s="11">
        <f>620*IF(F17="√",0.94,1)</f>
        <v>620</v>
      </c>
      <c r="K2" s="36">
        <f t="shared" ref="K2:K65" si="0">($L2*$BN2+$M2*$BL2+$N2*$BO2+$O2*$BP2)</f>
        <v>19494.486347753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21536.0557783848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24136.875752562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12004.4904004375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6129.81357675494</v>
      </c>
      <c r="P2" s="37">
        <v>1</v>
      </c>
      <c r="Q2" s="38" t="s">
        <v>70</v>
      </c>
      <c r="R2" s="38" t="s">
        <v>71</v>
      </c>
      <c r="S2" s="38" t="s">
        <v>71</v>
      </c>
      <c r="T2" s="38" t="s">
        <v>72</v>
      </c>
      <c r="U2" s="38" t="s">
        <v>71</v>
      </c>
      <c r="V2" s="38" t="s">
        <v>71</v>
      </c>
      <c r="W2" s="38" t="s">
        <v>73</v>
      </c>
      <c r="X2" s="38" t="s">
        <v>71</v>
      </c>
      <c r="Y2" s="38" t="s">
        <v>71</v>
      </c>
      <c r="Z2" s="38" t="s">
        <v>71</v>
      </c>
      <c r="AA2" s="38" t="s">
        <v>71</v>
      </c>
      <c r="AB2" s="38" t="s">
        <v>71</v>
      </c>
      <c r="AC2" s="38" t="s">
        <v>71</v>
      </c>
      <c r="AD2" s="38" t="s">
        <v>71</v>
      </c>
      <c r="AE2" s="38" t="s">
        <v>74</v>
      </c>
      <c r="AF2" s="38" t="s">
        <v>71</v>
      </c>
      <c r="AG2" t="str">
        <f>VLOOKUP($Q2,武学奇术!$A:$ZZ,25,FALSE)</f>
        <v>群体奇术</v>
      </c>
      <c r="AH2" s="24">
        <f>VLOOKUP($Q2,武学奇术!$A:$ZZ,26,FALSE)</f>
        <v>1.4904</v>
      </c>
      <c r="AI2" s="25">
        <f>VLOOKUP($Q2,武学奇术!$A:$ZZ,27,FALSE)*(1+IF(OR($AG2=$F$4,$AG2=$F$5),$B$22,0))</f>
        <v>368</v>
      </c>
      <c r="AJ2" s="24">
        <f>VLOOKUP($Q2,武学奇术!$A:$ZZ,28,FALSE)</f>
        <v>2.2353</v>
      </c>
      <c r="AK2" s="25">
        <f>VLOOKUP($Q2,武学奇术!$A:$ZZ,29,FALSE)*(1+IF(OR($AG2=$F$4,$AG2=$F$5),$B$22,0))</f>
        <v>0</v>
      </c>
      <c r="AL2" s="24" cm="1">
        <f t="array" ref="AL2">$G$3+VLOOKUP($AG2,$F$4:$G$7,2,FALSE)+VLOOKUP($Q2,武学奇术!$A:$ZZ,2,FALSE)+SUM(_xlfn.XLOOKUP($R2:$AF2,增益!$A:$A,增益!$B:$B,0))</f>
        <v>0.2237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1444.4</v>
      </c>
      <c r="AO2" cm="1">
        <f t="array" ref="AO2">$E$10*(1+$AM2)+VLOOKUP($Q2,武学奇术!$A:$ZZ,4,FALSE)+SUM(_xlfn.XLOOKUP($R2:$AF2,增益!$A:$A,增益!$D:$D,0))-$I$2</f>
        <v>5616.5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0.167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576.6</v>
      </c>
      <c r="AX2">
        <f t="shared" ref="AX2:AX65" si="4">$E$12*(1+$AR2)</f>
        <v>1088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0.06</v>
      </c>
      <c r="AZ2" s="30" cm="1">
        <f t="array" ref="AZ2">$G$12+VLOOKUP($Q2,武学奇术!$A:$ZZ,12,FALSE)+SUM(_xlfn.XLOOKUP(R2:AF2,增益!$A:$A,增益!$L:$L,0))</f>
        <v>0.15</v>
      </c>
      <c r="BA2">
        <f t="shared" ref="BA2:BA65" si="5">$D$13*(1+$AR2)</f>
        <v>0</v>
      </c>
      <c r="BB2">
        <f t="shared" ref="BB2:BB65" si="6"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0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0.6113</v>
      </c>
      <c r="BK2" s="24" cm="1">
        <f t="array" ref="BK2">1+$B$13+VLOOKUP($Q2,武学奇术!$A:$ZZ,18,FALSE)+SUM(_xlfn.XLOOKUP(R2:AF2,增益!$A:$A,增益!$R:$R,0))</f>
        <v>1.794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0.1371</v>
      </c>
      <c r="BM2" s="24" cm="1">
        <f t="array" ref="BM2">1+$B$14+VLOOKUP($Q2,武学奇术!$A:$ZZ,20,FALSE)+SUM(_xlfn.XLOOKUP(R2:AF2,增益!$A:$A,增益!$T:$T,0))</f>
        <v>1.35</v>
      </c>
      <c r="BN2" s="24">
        <f t="shared" ref="BN2:BN65" si="9">MIN((1-BL2)*BI2,BI2*BJ2)</f>
        <v>0.6113</v>
      </c>
      <c r="BO2" s="24">
        <f t="shared" ref="BO2:BO65" si="10">1-BL2-BN2-BP2</f>
        <v>0.2516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75</v>
      </c>
      <c r="B3" s="45"/>
      <c r="C3" s="45"/>
      <c r="D3" s="45"/>
      <c r="E3" s="46"/>
      <c r="F3" s="43" t="s">
        <v>34</v>
      </c>
      <c r="G3" s="47">
        <f>B16+1.5%+IF($F$19="√",10%,0)</f>
        <v>0.2037</v>
      </c>
      <c r="H3" s="43" t="s">
        <v>76</v>
      </c>
      <c r="I3" s="11">
        <f>25-IF(D17="√",10,0)-IF(F17="√",10,0)</f>
        <v>25</v>
      </c>
      <c r="K3" s="36">
        <f t="shared" si="0"/>
        <v>20703.9810431393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23071.332255921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25182.8228185212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12511.5684685038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6369.19410847338</v>
      </c>
      <c r="P3" s="37">
        <v>1</v>
      </c>
      <c r="Q3" s="38" t="s">
        <v>70</v>
      </c>
      <c r="R3" s="38" t="s">
        <v>77</v>
      </c>
      <c r="S3" s="38" t="s">
        <v>71</v>
      </c>
      <c r="T3" s="38" t="s">
        <v>72</v>
      </c>
      <c r="U3" s="38" t="s">
        <v>71</v>
      </c>
      <c r="V3" s="38" t="s">
        <v>78</v>
      </c>
      <c r="W3" s="38" t="s">
        <v>73</v>
      </c>
      <c r="X3" s="38" t="s">
        <v>79</v>
      </c>
      <c r="Y3" s="38" t="s">
        <v>71</v>
      </c>
      <c r="Z3" s="38" t="s">
        <v>71</v>
      </c>
      <c r="AA3" s="38" t="s">
        <v>71</v>
      </c>
      <c r="AB3" s="38" t="s">
        <v>71</v>
      </c>
      <c r="AC3" s="38" t="s">
        <v>71</v>
      </c>
      <c r="AD3" s="38" t="s">
        <v>71</v>
      </c>
      <c r="AE3" s="38" t="s">
        <v>74</v>
      </c>
      <c r="AF3" s="38" t="s">
        <v>71</v>
      </c>
      <c r="AG3" t="str">
        <f>VLOOKUP($Q3,武学奇术!$A:$ZZ,25,FALSE)</f>
        <v>群体奇术</v>
      </c>
      <c r="AH3" s="24">
        <f>VLOOKUP($Q3,武学奇术!$A:$ZZ,26,FALSE)</f>
        <v>1.4904</v>
      </c>
      <c r="AI3" s="25">
        <f>VLOOKUP($Q3,武学奇术!$A:$ZZ,27,FALSE)*(1+IF(OR($AG3=$F$4,$AG3=$F$5),$B$22,0))</f>
        <v>368</v>
      </c>
      <c r="AJ3" s="24">
        <f>VLOOKUP($Q3,武学奇术!$A:$ZZ,28,FALSE)</f>
        <v>2.2353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0.2437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1444.4</v>
      </c>
      <c r="AO3" cm="1">
        <f t="array" ref="AO3">$E$10*(1+$AM3)+VLOOKUP($Q3,武学奇术!$A:$ZZ,4,FALSE)+SUM(_xlfn.XLOOKUP($R3:$AF3,增益!$A:$A,增益!$D:$D,0))-$I$2</f>
        <v>5616.5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0.207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0" cm="1">
        <f t="array" ref="AV3">$G$11+VLOOKUP($Q3,武学奇术!$A:$ZZ,10,FALSE)+SUM(_xlfn.XLOOKUP(R3:AF3,增益!$A:$A,增益!$J:$J,0))</f>
        <v>0</v>
      </c>
      <c r="AW3">
        <f t="shared" si="3"/>
        <v>576.6</v>
      </c>
      <c r="AX3">
        <f t="shared" si="4"/>
        <v>1088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0.06</v>
      </c>
      <c r="AZ3" s="30" cm="1">
        <f t="array" ref="AZ3">$G$12+VLOOKUP($Q3,武学奇术!$A:$ZZ,12,FALSE)+SUM(_xlfn.XLOOKUP(R3:AF3,增益!$A:$A,增益!$L:$L,0))</f>
        <v>0.15</v>
      </c>
      <c r="BA3">
        <f t="shared" si="5"/>
        <v>0</v>
      </c>
      <c r="BB3">
        <f t="shared" si="6"/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0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0.6113</v>
      </c>
      <c r="BK3" s="24" cm="1">
        <f t="array" ref="BK3">1+$B$13+VLOOKUP($Q3,武学奇术!$A:$ZZ,18,FALSE)+SUM(_xlfn.XLOOKUP(R3:AF3,增益!$A:$A,增益!$R:$R,0))</f>
        <v>1.844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0.1371</v>
      </c>
      <c r="BM3" s="24" cm="1">
        <f t="array" ref="BM3">1+$B$14+VLOOKUP($Q3,武学奇术!$A:$ZZ,20,FALSE)+SUM(_xlfn.XLOOKUP(R3:AF3,增益!$A:$A,增益!$T:$T,0))</f>
        <v>1.35</v>
      </c>
      <c r="BN3" s="24">
        <f t="shared" si="9"/>
        <v>0.6113</v>
      </c>
      <c r="BO3" s="24">
        <f t="shared" si="10"/>
        <v>0.2516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5</v>
      </c>
      <c r="B4" s="49"/>
      <c r="C4" s="49"/>
      <c r="D4" s="49"/>
      <c r="E4" s="50"/>
      <c r="F4" s="43" t="s">
        <v>80</v>
      </c>
      <c r="G4" s="47">
        <f>B15+B17</f>
        <v>0.1704</v>
      </c>
      <c r="H4" s="51" t="s">
        <v>81</v>
      </c>
      <c r="I4" s="14">
        <f>30</f>
        <v>30</v>
      </c>
      <c r="K4" s="36">
        <f t="shared" si="0"/>
        <v>21078.5614717803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23528.2101526448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25549.4796754362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12690.5124879422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6455.48447556124</v>
      </c>
      <c r="P4" s="37">
        <v>1</v>
      </c>
      <c r="Q4" s="38" t="s">
        <v>70</v>
      </c>
      <c r="R4" s="38" t="s">
        <v>82</v>
      </c>
      <c r="S4" s="38" t="s">
        <v>71</v>
      </c>
      <c r="T4" s="38" t="s">
        <v>72</v>
      </c>
      <c r="U4" s="38" t="s">
        <v>71</v>
      </c>
      <c r="V4" s="38" t="s">
        <v>83</v>
      </c>
      <c r="W4" s="38" t="s">
        <v>73</v>
      </c>
      <c r="X4" s="38" t="s">
        <v>79</v>
      </c>
      <c r="Y4" s="38" t="s">
        <v>71</v>
      </c>
      <c r="Z4" s="38" t="s">
        <v>71</v>
      </c>
      <c r="AA4" s="38" t="s">
        <v>71</v>
      </c>
      <c r="AB4" s="38" t="s">
        <v>71</v>
      </c>
      <c r="AC4" s="38" t="s">
        <v>71</v>
      </c>
      <c r="AD4" s="38" t="s">
        <v>71</v>
      </c>
      <c r="AE4" s="38" t="s">
        <v>74</v>
      </c>
      <c r="AF4" s="38" t="s">
        <v>71</v>
      </c>
      <c r="AG4" t="str">
        <f>VLOOKUP($Q4,武学奇术!$A:$ZZ,25,FALSE)</f>
        <v>群体奇术</v>
      </c>
      <c r="AH4" s="24">
        <f>VLOOKUP($Q4,武学奇术!$A:$ZZ,26,FALSE)</f>
        <v>1.4904</v>
      </c>
      <c r="AI4" s="25">
        <f>VLOOKUP($Q4,武学奇术!$A:$ZZ,27,FALSE)*(1+IF(OR($AG4=$F$4,$AG4=$F$5),$B$22,0))</f>
        <v>368</v>
      </c>
      <c r="AJ4" s="24">
        <f>VLOOKUP($Q4,武学奇术!$A:$ZZ,28,FALSE)</f>
        <v>2.2353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0.2537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1444.4</v>
      </c>
      <c r="AO4" cm="1">
        <f t="array" ref="AO4">$E$10*(1+$AM4)+VLOOKUP($Q4,武学奇术!$A:$ZZ,4,FALSE)+SUM(_xlfn.XLOOKUP($R4:$AF4,增益!$A:$A,增益!$D:$D,0))-$I$2</f>
        <v>5616.5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0.217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0" cm="1">
        <f t="array" ref="AV4">$G$11+VLOOKUP($Q4,武学奇术!$A:$ZZ,10,FALSE)+SUM(_xlfn.XLOOKUP(R4:AF4,增益!$A:$A,增益!$J:$J,0))</f>
        <v>0</v>
      </c>
      <c r="AW4">
        <f t="shared" si="3"/>
        <v>576.6</v>
      </c>
      <c r="AX4">
        <f t="shared" si="4"/>
        <v>1088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0.06</v>
      </c>
      <c r="AZ4" s="30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0.6113</v>
      </c>
      <c r="BK4" s="24" cm="1">
        <f t="array" ref="BK4">1+$B$13+VLOOKUP($Q4,武学奇术!$A:$ZZ,18,FALSE)+SUM(_xlfn.XLOOKUP(R4:AF4,增益!$A:$A,增益!$R:$R,0))</f>
        <v>1.854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0.1371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0.6113</v>
      </c>
      <c r="BO4" s="24">
        <f t="shared" si="10"/>
        <v>0.2516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84</v>
      </c>
      <c r="B5" s="53"/>
      <c r="C5" s="53"/>
      <c r="D5" s="53"/>
      <c r="E5" s="54"/>
      <c r="F5" s="43" t="s">
        <v>85</v>
      </c>
      <c r="G5" s="47">
        <f>B15+B18</f>
        <v>0.0852</v>
      </c>
      <c r="H5" t="s">
        <v>86</v>
      </c>
      <c r="I5" s="26">
        <v>0.06</v>
      </c>
      <c r="K5" s="36">
        <f t="shared" si="0"/>
        <v>22041.0819771194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24806.540138281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26249.7221071245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13028.6450306098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6613.05146334958</v>
      </c>
      <c r="P5" s="37">
        <v>1</v>
      </c>
      <c r="Q5" s="38" t="s">
        <v>70</v>
      </c>
      <c r="R5" s="38" t="s">
        <v>87</v>
      </c>
      <c r="S5" s="38" t="s">
        <v>71</v>
      </c>
      <c r="T5" s="38" t="s">
        <v>72</v>
      </c>
      <c r="U5" s="38" t="s">
        <v>71</v>
      </c>
      <c r="V5" s="38" t="s">
        <v>88</v>
      </c>
      <c r="W5" s="38" t="s">
        <v>73</v>
      </c>
      <c r="X5" s="38" t="s">
        <v>89</v>
      </c>
      <c r="Y5" s="38" t="s">
        <v>71</v>
      </c>
      <c r="Z5" s="38" t="s">
        <v>71</v>
      </c>
      <c r="AA5" s="38" t="s">
        <v>71</v>
      </c>
      <c r="AB5" s="38" t="s">
        <v>71</v>
      </c>
      <c r="AC5" s="38" t="s">
        <v>71</v>
      </c>
      <c r="AD5" s="38" t="s">
        <v>71</v>
      </c>
      <c r="AE5" s="38" t="s">
        <v>74</v>
      </c>
      <c r="AF5" s="38" t="s">
        <v>71</v>
      </c>
      <c r="AG5" t="str">
        <f>VLOOKUP($Q5,武学奇术!$A:$ZZ,25,FALSE)</f>
        <v>群体奇术</v>
      </c>
      <c r="AH5" s="24">
        <f>VLOOKUP($Q5,武学奇术!$A:$ZZ,26,FALSE)</f>
        <v>1.4904</v>
      </c>
      <c r="AI5" s="25">
        <f>VLOOKUP($Q5,武学奇术!$A:$ZZ,27,FALSE)*(1+IF(OR($AG5=$F$4,$AG5=$F$5),$B$22,0))</f>
        <v>368</v>
      </c>
      <c r="AJ5" s="24">
        <f>VLOOKUP($Q5,武学奇术!$A:$ZZ,28,FALSE)</f>
        <v>2.2353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0.2637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1444.4</v>
      </c>
      <c r="AO5" cm="1">
        <f t="array" ref="AO5">$E$10*(1+$AM5)+VLOOKUP($Q5,武学奇术!$A:$ZZ,4,FALSE)+SUM(_xlfn.XLOOKUP($R5:$AF5,增益!$A:$A,增益!$D:$D,0))-$I$2</f>
        <v>5616.5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0.247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0" cm="1">
        <f t="array" ref="AV5">$G$11+VLOOKUP($Q5,武学奇术!$A:$ZZ,10,FALSE)+SUM(_xlfn.XLOOKUP(R5:AF5,增益!$A:$A,增益!$J:$J,0))</f>
        <v>0</v>
      </c>
      <c r="AW5">
        <f t="shared" si="3"/>
        <v>576.6</v>
      </c>
      <c r="AX5">
        <f t="shared" si="4"/>
        <v>1088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0.06</v>
      </c>
      <c r="AZ5" s="30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0.6113</v>
      </c>
      <c r="BK5" s="24" cm="1">
        <f t="array" ref="BK5">1+$B$13+VLOOKUP($Q5,武学奇术!$A:$ZZ,18,FALSE)+SUM(_xlfn.XLOOKUP(R5:AF5,增益!$A:$A,增益!$R:$R,0))</f>
        <v>1.904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0.1371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0.6113</v>
      </c>
      <c r="BO5" s="24">
        <f t="shared" si="10"/>
        <v>0.2516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90</v>
      </c>
      <c r="B6" s="56"/>
      <c r="C6" s="56"/>
      <c r="D6" s="56"/>
      <c r="E6" s="57"/>
      <c r="F6" s="43" t="s">
        <v>91</v>
      </c>
      <c r="G6" s="47">
        <f>B19</f>
        <v>0</v>
      </c>
      <c r="K6" s="36">
        <f t="shared" si="0"/>
        <v>22431.7941125828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25286.5018608892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26624.2360475311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13211.3384853131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6701.0206391216</v>
      </c>
      <c r="P6" s="37">
        <v>1</v>
      </c>
      <c r="Q6" s="38" t="s">
        <v>70</v>
      </c>
      <c r="R6" s="38" t="s">
        <v>92</v>
      </c>
      <c r="S6" s="38" t="s">
        <v>71</v>
      </c>
      <c r="T6" s="38" t="s">
        <v>72</v>
      </c>
      <c r="U6" s="38" t="s">
        <v>71</v>
      </c>
      <c r="V6" s="38" t="s">
        <v>93</v>
      </c>
      <c r="W6" s="38" t="s">
        <v>73</v>
      </c>
      <c r="X6" s="38" t="s">
        <v>89</v>
      </c>
      <c r="Y6" s="38" t="s">
        <v>71</v>
      </c>
      <c r="Z6" s="38" t="s">
        <v>71</v>
      </c>
      <c r="AA6" s="38" t="s">
        <v>71</v>
      </c>
      <c r="AB6" s="38" t="s">
        <v>71</v>
      </c>
      <c r="AC6" s="38" t="s">
        <v>71</v>
      </c>
      <c r="AD6" s="38" t="s">
        <v>71</v>
      </c>
      <c r="AE6" s="38" t="s">
        <v>74</v>
      </c>
      <c r="AF6" s="38" t="s">
        <v>71</v>
      </c>
      <c r="AG6" t="str">
        <f>VLOOKUP($Q6,武学奇术!$A:$ZZ,25,FALSE)</f>
        <v>群体奇术</v>
      </c>
      <c r="AH6" s="24">
        <f>VLOOKUP($Q6,武学奇术!$A:$ZZ,26,FALSE)</f>
        <v>1.4904</v>
      </c>
      <c r="AI6" s="25">
        <f>VLOOKUP($Q6,武学奇术!$A:$ZZ,27,FALSE)*(1+IF(OR($AG6=$F$4,$AG6=$F$5),$B$22,0))</f>
        <v>368</v>
      </c>
      <c r="AJ6" s="24">
        <f>VLOOKUP($Q6,武学奇术!$A:$ZZ,28,FALSE)</f>
        <v>2.2353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0.2737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1444.4</v>
      </c>
      <c r="AO6" cm="1">
        <f t="array" ref="AO6">$E$10*(1+$AM6)+VLOOKUP($Q6,武学奇术!$A:$ZZ,4,FALSE)+SUM(_xlfn.XLOOKUP($R6:$AF6,增益!$A:$A,增益!$D:$D,0))-$I$2</f>
        <v>5616.5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0.257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0" cm="1">
        <f t="array" ref="AV6">$G$11+VLOOKUP($Q6,武学奇术!$A:$ZZ,10,FALSE)+SUM(_xlfn.XLOOKUP(R6:AF6,增益!$A:$A,增益!$J:$J,0))</f>
        <v>0</v>
      </c>
      <c r="AW6">
        <f t="shared" si="3"/>
        <v>576.6</v>
      </c>
      <c r="AX6">
        <f t="shared" si="4"/>
        <v>1088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0.06</v>
      </c>
      <c r="AZ6" s="30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0.6113</v>
      </c>
      <c r="BK6" s="24" cm="1">
        <f t="array" ref="BK6">1+$B$13+VLOOKUP($Q6,武学奇术!$A:$ZZ,18,FALSE)+SUM(_xlfn.XLOOKUP(R6:AF6,增益!$A:$A,增益!$R:$R,0))</f>
        <v>1.914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0.1371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0.6113</v>
      </c>
      <c r="BO6" s="24">
        <f t="shared" si="10"/>
        <v>0.2516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39" t="s">
        <v>94</v>
      </c>
      <c r="B7" s="58"/>
      <c r="C7" s="58"/>
      <c r="D7" s="59"/>
      <c r="E7" s="60"/>
      <c r="F7" s="51" t="s">
        <v>95</v>
      </c>
      <c r="G7" s="61">
        <f>B20</f>
        <v>0</v>
      </c>
      <c r="K7" s="36">
        <f t="shared" si="0"/>
        <v>243566.632949927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244392.178506175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252674.052771609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128357.236610386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69548.508204765</v>
      </c>
      <c r="P7" s="37">
        <v>1</v>
      </c>
      <c r="Q7" s="38" t="s">
        <v>96</v>
      </c>
      <c r="R7" s="38" t="s">
        <v>97</v>
      </c>
      <c r="S7" s="38" t="s">
        <v>71</v>
      </c>
      <c r="T7" s="38" t="s">
        <v>72</v>
      </c>
      <c r="U7" s="38" t="s">
        <v>71</v>
      </c>
      <c r="V7" s="38" t="s">
        <v>78</v>
      </c>
      <c r="W7" s="38" t="s">
        <v>73</v>
      </c>
      <c r="X7" s="38" t="s">
        <v>71</v>
      </c>
      <c r="Y7" s="38" t="s">
        <v>71</v>
      </c>
      <c r="Z7" s="38" t="s">
        <v>71</v>
      </c>
      <c r="AA7" s="38" t="s">
        <v>71</v>
      </c>
      <c r="AB7" s="38" t="s">
        <v>71</v>
      </c>
      <c r="AC7" s="38" t="s">
        <v>71</v>
      </c>
      <c r="AD7" s="38" t="s">
        <v>71</v>
      </c>
      <c r="AE7" s="38" t="s">
        <v>74</v>
      </c>
      <c r="AF7" s="38" t="s">
        <v>98</v>
      </c>
      <c r="AG7" t="str">
        <f>VLOOKUP($Q7,武学奇术!$A:$ZZ,25,FALSE)</f>
        <v>陌刀</v>
      </c>
      <c r="AH7" s="24">
        <f>VLOOKUP($Q7,武学奇术!$A:$ZZ,26,FALSE)</f>
        <v>7.2368</v>
      </c>
      <c r="AI7" s="25">
        <f>VLOOKUP($Q7,武学奇术!$A:$ZZ,27,FALSE)*(1+IF(OR($AG7=$F$4,$AG7=$F$5),$B$22,0))</f>
        <v>2802.8</v>
      </c>
      <c r="AJ7" s="24">
        <f>VLOOKUP($Q7,武学奇术!$A:$ZZ,28,FALSE)</f>
        <v>10.8553</v>
      </c>
      <c r="AK7" s="25">
        <f>VLOOKUP($Q7,武学奇术!$A:$ZZ,29,FALSE)*(1+IF(OR($AG7=$F$4,$AG7=$F$5),$B$22,0))</f>
        <v>1526</v>
      </c>
      <c r="AL7" s="24" cm="1">
        <f t="array" ref="AL7">$G$3+IFERROR(VLOOKUP($AG7,$F$4:$G$7,2,FALSE),0)+VLOOKUP($Q7,武学奇术!$A:$ZZ,2,FALSE)+SUM(_xlfn.XLOOKUP($R7:$AF7,增益!$A:$A,增益!$B:$B,0))</f>
        <v>0.8241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1444.4</v>
      </c>
      <c r="AO7" cm="1">
        <f t="array" ref="AO7">$E$10*(1+$AM7)+VLOOKUP($Q7,武学奇术!$A:$ZZ,4,FALSE)+SUM(_xlfn.XLOOKUP($R7:$AF7,增益!$A:$A,增益!$D:$D,0))-$I$2</f>
        <v>5816.5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0.177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</v>
      </c>
      <c r="AW7">
        <f t="shared" si="3"/>
        <v>576.6</v>
      </c>
      <c r="AX7">
        <f t="shared" si="4"/>
        <v>1088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0.06</v>
      </c>
      <c r="AZ7" s="30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0.846</v>
      </c>
      <c r="BK7" s="24" cm="1">
        <f t="array" ref="BK7">1+$B$13+VLOOKUP($Q7,武学奇术!$A:$ZZ,18,FALSE)+SUM(_xlfn.XLOOKUP(R7:AF7,增益!$A:$A,增益!$R:$R,0))</f>
        <v>1.904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0.1371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0.846</v>
      </c>
      <c r="BO7" s="24">
        <f t="shared" si="10"/>
        <v>0.0168999999999999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2" t="s">
        <v>99</v>
      </c>
      <c r="B8" s="63">
        <f>期望!B8</f>
        <v>1.0047</v>
      </c>
      <c r="C8" s="64" t="s">
        <v>100</v>
      </c>
      <c r="D8" s="64"/>
      <c r="E8" s="64"/>
      <c r="F8" s="64"/>
      <c r="G8" s="35"/>
      <c r="H8" s="65" t="s">
        <v>101</v>
      </c>
      <c r="I8" s="18">
        <v>94.5</v>
      </c>
      <c r="J8" s="66"/>
      <c r="K8" s="36">
        <f t="shared" si="0"/>
        <v>144074.863948312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144563.24375758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149461.773077342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75926.0734020905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41139.7223024465</v>
      </c>
      <c r="P8" s="37">
        <v>1</v>
      </c>
      <c r="Q8" s="38" t="s">
        <v>102</v>
      </c>
      <c r="R8" s="38" t="s">
        <v>97</v>
      </c>
      <c r="S8" s="38" t="s">
        <v>71</v>
      </c>
      <c r="T8" s="38" t="s">
        <v>72</v>
      </c>
      <c r="U8" s="38" t="s">
        <v>71</v>
      </c>
      <c r="V8" s="38" t="s">
        <v>78</v>
      </c>
      <c r="W8" s="38" t="s">
        <v>73</v>
      </c>
      <c r="X8" s="38" t="s">
        <v>71</v>
      </c>
      <c r="Y8" s="38" t="s">
        <v>71</v>
      </c>
      <c r="Z8" s="38" t="s">
        <v>71</v>
      </c>
      <c r="AA8" s="38" t="s">
        <v>71</v>
      </c>
      <c r="AB8" s="38" t="s">
        <v>71</v>
      </c>
      <c r="AC8" s="38" t="s">
        <v>71</v>
      </c>
      <c r="AD8" s="38" t="s">
        <v>71</v>
      </c>
      <c r="AE8" s="38" t="s">
        <v>74</v>
      </c>
      <c r="AF8" s="38" t="s">
        <v>98</v>
      </c>
      <c r="AG8" t="str">
        <f>VLOOKUP($Q8,武学奇术!$A:$ZZ,25,FALSE)</f>
        <v>陌刀</v>
      </c>
      <c r="AH8" s="24">
        <f>VLOOKUP($Q8,武学奇术!$A:$ZZ,26,FALSE)</f>
        <v>4.2807</v>
      </c>
      <c r="AI8" s="25">
        <f>VLOOKUP($Q8,武学奇术!$A:$ZZ,27,FALSE)*(1+IF(OR($AG8=$F$4,$AG8=$F$5),$B$22,0))</f>
        <v>1657.6</v>
      </c>
      <c r="AJ8" s="24">
        <f>VLOOKUP($Q8,武学奇术!$A:$ZZ,28,FALSE)</f>
        <v>6.421</v>
      </c>
      <c r="AK8" s="25">
        <f>VLOOKUP($Q8,武学奇术!$A:$ZZ,29,FALSE)*(1+IF(OR($AG8=$F$4,$AG8=$F$5),$B$22,0))</f>
        <v>903</v>
      </c>
      <c r="AL8" s="24" cm="1">
        <f t="array" ref="AL8">$G$3+IFERROR(VLOOKUP($AG8,$F$4:$G$7,2,FALSE),0)+VLOOKUP($Q8,武学奇术!$A:$ZZ,2,FALSE)+SUM(_xlfn.XLOOKUP($R8:$AF8,增益!$A:$A,增益!$B:$B,0))</f>
        <v>0.8241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1444.4</v>
      </c>
      <c r="AO8" cm="1">
        <f t="array" ref="AO8">$E$10*(1+$AM8)+VLOOKUP($Q8,武学奇术!$A:$ZZ,4,FALSE)+SUM(_xlfn.XLOOKUP($R8:$AF8,增益!$A:$A,增益!$D:$D,0))-$I$2</f>
        <v>5816.5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0.177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0" cm="1">
        <f t="array" ref="AV8">$G$11+VLOOKUP($Q8,武学奇术!$A:$ZZ,10,FALSE)+SUM(_xlfn.XLOOKUP(R8:AF8,增益!$A:$A,增益!$J:$J,0))</f>
        <v>0</v>
      </c>
      <c r="AW8">
        <f t="shared" si="3"/>
        <v>576.6</v>
      </c>
      <c r="AX8">
        <f t="shared" si="4"/>
        <v>1088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0.06</v>
      </c>
      <c r="AZ8" s="30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0.846</v>
      </c>
      <c r="BK8" s="24" cm="1">
        <f t="array" ref="BK8">1+$B$13+VLOOKUP($Q8,武学奇术!$A:$ZZ,18,FALSE)+SUM(_xlfn.XLOOKUP(R8:AF8,增益!$A:$A,增益!$R:$R,0))</f>
        <v>1.904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0.1371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0.846</v>
      </c>
      <c r="BO8" s="24">
        <f t="shared" si="10"/>
        <v>0.0168999999999999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104</v>
      </c>
      <c r="B9" s="67">
        <f>期望!B9</f>
        <v>0.5653</v>
      </c>
      <c r="C9" s="23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7838.15579906633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8789.68270581157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9279.39444558025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4740.92918328564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2608.23285132665</v>
      </c>
      <c r="P9" s="37">
        <v>1</v>
      </c>
      <c r="Q9" s="38" t="s">
        <v>105</v>
      </c>
      <c r="R9" s="38" t="s">
        <v>77</v>
      </c>
      <c r="S9" s="38" t="s">
        <v>71</v>
      </c>
      <c r="T9" s="38" t="s">
        <v>72</v>
      </c>
      <c r="U9" s="38" t="s">
        <v>71</v>
      </c>
      <c r="V9" s="38" t="s">
        <v>83</v>
      </c>
      <c r="W9" s="38" t="s">
        <v>73</v>
      </c>
      <c r="X9" s="38" t="s">
        <v>79</v>
      </c>
      <c r="Y9" s="38" t="s">
        <v>71</v>
      </c>
      <c r="Z9" s="38" t="s">
        <v>71</v>
      </c>
      <c r="AA9" s="38" t="s">
        <v>71</v>
      </c>
      <c r="AB9" s="38" t="s">
        <v>71</v>
      </c>
      <c r="AC9" s="38" t="s">
        <v>71</v>
      </c>
      <c r="AD9" s="38" t="s">
        <v>71</v>
      </c>
      <c r="AE9" s="38" t="s">
        <v>74</v>
      </c>
      <c r="AF9" s="38" t="s">
        <v>71</v>
      </c>
      <c r="AG9" t="str">
        <f>VLOOKUP($Q9,武学奇术!$A:$ZZ,25,FALSE)</f>
        <v>枪</v>
      </c>
      <c r="AH9" s="24">
        <f>VLOOKUP($Q9,武学奇术!$A:$ZZ,26,FALSE)</f>
        <v>0.4843</v>
      </c>
      <c r="AI9" s="25">
        <f>VLOOKUP($Q9,武学奇术!$A:$ZZ,27,FALSE)*(1+IF(OR($AG9=$F$4,$AG9=$F$5),$B$22,0))</f>
        <v>187.6</v>
      </c>
      <c r="AJ9" s="24">
        <f>VLOOKUP($Q9,武学奇术!$A:$ZZ,28,FALSE)</f>
        <v>0.7264</v>
      </c>
      <c r="AK9" s="25">
        <f>VLOOKUP($Q9,武学奇术!$A:$ZZ,29,FALSE)*(1+IF(OR($AG9=$F$4,$AG9=$F$5),$B$22,0))</f>
        <v>102.2</v>
      </c>
      <c r="AL9" s="24" cm="1">
        <f t="array" ref="AL9">$G$3+IFERROR(VLOOKUP($AG9,$F$4:$G$7,2,FALSE),0)+VLOOKUP($Q9,武学奇术!$A:$ZZ,2,FALSE)+SUM(_xlfn.XLOOKUP($R9:$AF9,增益!$A:$A,增益!$B:$B,0))</f>
        <v>0.3289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1444.4</v>
      </c>
      <c r="AO9" cm="1">
        <f t="array" ref="AO9">$E$10*(1+$AM9)+VLOOKUP($Q9,武学奇术!$A:$ZZ,4,FALSE)+SUM(_xlfn.XLOOKUP($R9:$AF9,增益!$A:$A,增益!$D:$D,0))-$I$2</f>
        <v>5616.5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0.207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0" cm="1">
        <f t="array" ref="AV9">$G$11+VLOOKUP($Q9,武学奇术!$A:$ZZ,10,FALSE)+SUM(_xlfn.XLOOKUP(R9:AF9,增益!$A:$A,增益!$J:$J,0))</f>
        <v>0</v>
      </c>
      <c r="AW9">
        <f t="shared" si="3"/>
        <v>576.6</v>
      </c>
      <c r="AX9">
        <f t="shared" si="4"/>
        <v>1088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0.06</v>
      </c>
      <c r="AZ9" s="30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-0.3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0.6113</v>
      </c>
      <c r="BK9" s="24" cm="1">
        <f t="array" ref="BK9">1+$B$13+VLOOKUP($Q9,武学奇术!$A:$ZZ,18,FALSE)+SUM(_xlfn.XLOOKUP(R9:AF9,增益!$A:$A,增益!$R:$R,0))</f>
        <v>1.854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0.1371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0.6113</v>
      </c>
      <c r="BO9" s="24">
        <f t="shared" si="10"/>
        <v>0.2516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106</v>
      </c>
      <c r="B10" s="67">
        <f>期望!B10</f>
        <v>0.1371</v>
      </c>
      <c r="C10" s="23" t="s">
        <v>66</v>
      </c>
      <c r="D10">
        <f>期望!D10</f>
        <v>2064.4</v>
      </c>
      <c r="E10">
        <f>期望!E10</f>
        <v>6236.5</v>
      </c>
      <c r="F10">
        <f>期望!F10</f>
        <v>58.4</v>
      </c>
      <c r="G10" s="47">
        <f>期望!G10</f>
        <v>0</v>
      </c>
      <c r="H10" s="65" t="s">
        <v>107</v>
      </c>
      <c r="I10" s="70">
        <f>SUM(K:K)</f>
        <v>9944628.58879949</v>
      </c>
      <c r="J10" s="71"/>
      <c r="K10" s="36">
        <f t="shared" si="0"/>
        <v>280245.979891524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282232.81279375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284726.548199695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144438.491706116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77968.4291902358</v>
      </c>
      <c r="P10" s="37">
        <v>1</v>
      </c>
      <c r="Q10" s="38" t="s">
        <v>96</v>
      </c>
      <c r="R10" s="38" t="s">
        <v>82</v>
      </c>
      <c r="S10" s="38" t="s">
        <v>108</v>
      </c>
      <c r="T10" s="38" t="s">
        <v>72</v>
      </c>
      <c r="U10" s="38" t="s">
        <v>71</v>
      </c>
      <c r="V10" s="38" t="s">
        <v>83</v>
      </c>
      <c r="W10" s="38" t="s">
        <v>73</v>
      </c>
      <c r="X10" s="38" t="s">
        <v>79</v>
      </c>
      <c r="Y10" s="38" t="s">
        <v>71</v>
      </c>
      <c r="Z10" s="38" t="s">
        <v>71</v>
      </c>
      <c r="AA10" s="38" t="s">
        <v>71</v>
      </c>
      <c r="AB10" s="38" t="s">
        <v>71</v>
      </c>
      <c r="AC10" s="38" t="s">
        <v>71</v>
      </c>
      <c r="AD10" s="38" t="s">
        <v>71</v>
      </c>
      <c r="AE10" s="38" t="s">
        <v>74</v>
      </c>
      <c r="AF10" s="38" t="s">
        <v>98</v>
      </c>
      <c r="AG10" t="str">
        <f>VLOOKUP($Q10,武学奇术!$A:$ZZ,25,FALSE)</f>
        <v>陌刀</v>
      </c>
      <c r="AH10" s="24">
        <f>VLOOKUP($Q10,武学奇术!$A:$ZZ,26,FALSE)</f>
        <v>7.2368</v>
      </c>
      <c r="AI10" s="25">
        <f>VLOOKUP($Q10,武学奇术!$A:$ZZ,27,FALSE)*(1+IF(OR($AG10=$F$4,$AG10=$F$5),$B$22,0))</f>
        <v>2802.8</v>
      </c>
      <c r="AJ10" s="24">
        <f>VLOOKUP($Q10,武学奇术!$A:$ZZ,28,FALSE)</f>
        <v>10.8553</v>
      </c>
      <c r="AK10" s="25">
        <f>VLOOKUP($Q10,武学奇术!$A:$ZZ,29,FALSE)*(1+IF(OR($AG10=$F$4,$AG10=$F$5),$B$22,0))</f>
        <v>1526</v>
      </c>
      <c r="AL10" s="24" cm="1">
        <f t="array" ref="AL10">$G$3+IFERROR(VLOOKUP($AG10,$F$4:$G$7,2,FALSE),0)+VLOOKUP($Q10,武学奇术!$A:$ZZ,2,FALSE)+SUM(_xlfn.XLOOKUP($R10:$AF10,增益!$A:$A,增益!$B:$B,0))</f>
        <v>1.0041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1444.4</v>
      </c>
      <c r="AO10" cm="1">
        <f t="array" ref="AO10">$E$10*(1+$AM10)+VLOOKUP($Q10,武学奇术!$A:$ZZ,4,FALSE)+SUM(_xlfn.XLOOKUP($R10:$AF10,增益!$A:$A,增益!$D:$D,0))-$I$2</f>
        <v>5816.5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0.217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576.6</v>
      </c>
      <c r="AX10">
        <f t="shared" si="4"/>
        <v>1088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0.06</v>
      </c>
      <c r="AZ10" s="30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-0.3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0.846</v>
      </c>
      <c r="BK10" s="24" cm="1">
        <f t="array" ref="BK10">1+$B$13+VLOOKUP($Q10,武学奇术!$A:$ZZ,18,FALSE)+SUM(_xlfn.XLOOKUP(R10:AF10,增益!$A:$A,增益!$R:$R,0))</f>
        <v>1.954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0.1371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0.846</v>
      </c>
      <c r="BO10" s="24">
        <f t="shared" si="10"/>
        <v>0.0168999999999999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109</v>
      </c>
      <c r="B11" s="67">
        <f>期望!B11</f>
        <v>0.046</v>
      </c>
      <c r="C11" s="23" t="s">
        <v>75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8"/>
      <c r="I11" s="72"/>
      <c r="J11" s="73"/>
      <c r="K11" s="36">
        <f t="shared" si="0"/>
        <v>168213.258087211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169652.37527101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169474.137566583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85943.452518242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46350.5068390153</v>
      </c>
      <c r="P11" s="37">
        <v>1</v>
      </c>
      <c r="Q11" s="38" t="s">
        <v>102</v>
      </c>
      <c r="R11" s="38" t="s">
        <v>82</v>
      </c>
      <c r="S11" s="38" t="s">
        <v>108</v>
      </c>
      <c r="T11" s="38" t="s">
        <v>72</v>
      </c>
      <c r="U11" s="38" t="s">
        <v>71</v>
      </c>
      <c r="V11" s="38" t="s">
        <v>83</v>
      </c>
      <c r="W11" s="38" t="s">
        <v>73</v>
      </c>
      <c r="X11" s="38" t="s">
        <v>110</v>
      </c>
      <c r="Y11" s="38" t="s">
        <v>71</v>
      </c>
      <c r="Z11" s="38" t="s">
        <v>71</v>
      </c>
      <c r="AA11" s="38" t="s">
        <v>71</v>
      </c>
      <c r="AB11" s="38" t="s">
        <v>71</v>
      </c>
      <c r="AC11" s="38" t="s">
        <v>71</v>
      </c>
      <c r="AD11" s="38" t="s">
        <v>71</v>
      </c>
      <c r="AE11" s="38" t="s">
        <v>74</v>
      </c>
      <c r="AF11" s="38" t="s">
        <v>98</v>
      </c>
      <c r="AG11" t="str">
        <f>VLOOKUP($Q11,武学奇术!$A:$ZZ,25,FALSE)</f>
        <v>陌刀</v>
      </c>
      <c r="AH11" s="24">
        <f>VLOOKUP($Q11,武学奇术!$A:$ZZ,26,FALSE)</f>
        <v>4.2807</v>
      </c>
      <c r="AI11" s="25">
        <f>VLOOKUP($Q11,武学奇术!$A:$ZZ,27,FALSE)*(1+IF(OR($AG11=$F$4,$AG11=$F$5),$B$22,0))</f>
        <v>1657.6</v>
      </c>
      <c r="AJ11" s="24">
        <f>VLOOKUP($Q11,武学奇术!$A:$ZZ,28,FALSE)</f>
        <v>6.421</v>
      </c>
      <c r="AK11" s="25">
        <f>VLOOKUP($Q11,武学奇术!$A:$ZZ,29,FALSE)*(1+IF(OR($AG11=$F$4,$AG11=$F$5),$B$22,0))</f>
        <v>903</v>
      </c>
      <c r="AL11" s="24" cm="1">
        <f t="array" ref="AL11">$G$3+IFERROR(VLOOKUP($AG11,$F$4:$G$7,2,FALSE),0)+VLOOKUP($Q11,武学奇术!$A:$ZZ,2,FALSE)+SUM(_xlfn.XLOOKUP($R11:$AF11,增益!$A:$A,增益!$B:$B,0))</f>
        <v>1.0041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1444.4</v>
      </c>
      <c r="AO11" cm="1">
        <f t="array" ref="AO11">$E$10*(1+$AM11)+VLOOKUP($Q11,武学奇术!$A:$ZZ,4,FALSE)+SUM(_xlfn.XLOOKUP($R11:$AF11,增益!$A:$A,增益!$D:$D,0))-$I$2</f>
        <v>5816.5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0.227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576.6</v>
      </c>
      <c r="AX11">
        <f t="shared" si="4"/>
        <v>1088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0.06</v>
      </c>
      <c r="AZ11" s="30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-0.3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0.846</v>
      </c>
      <c r="BK11" s="24" cm="1">
        <f t="array" ref="BK11">1+$B$13+VLOOKUP($Q11,武学奇术!$A:$ZZ,18,FALSE)+SUM(_xlfn.XLOOKUP(R11:AF11,增益!$A:$A,增益!$R:$R,0))</f>
        <v>1.974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0.1371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0.846</v>
      </c>
      <c r="BO11" s="24">
        <f t="shared" si="10"/>
        <v>0.0168999999999999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111</v>
      </c>
      <c r="B12" s="67">
        <f>期望!B12</f>
        <v>0</v>
      </c>
      <c r="C12" s="23" t="s">
        <v>5</v>
      </c>
      <c r="D12">
        <f>期望!D12</f>
        <v>576.6</v>
      </c>
      <c r="E12">
        <f>期望!E12</f>
        <v>1088</v>
      </c>
      <c r="F12">
        <f>期望!F12</f>
        <v>42</v>
      </c>
      <c r="G12" s="47">
        <f>期望!G12</f>
        <v>0.15</v>
      </c>
      <c r="H12" s="65" t="s">
        <v>158</v>
      </c>
      <c r="I12" s="36">
        <f>I10/I8</f>
        <v>105234.164960841</v>
      </c>
      <c r="J12" s="74"/>
      <c r="K12" s="36">
        <f t="shared" si="0"/>
        <v>291003.950902277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294338.145065737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288286.009690698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146146.050181597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78746.9079997144</v>
      </c>
      <c r="P12" s="37">
        <v>1</v>
      </c>
      <c r="Q12" s="38" t="s">
        <v>96</v>
      </c>
      <c r="R12" s="38" t="s">
        <v>82</v>
      </c>
      <c r="S12" s="38" t="s">
        <v>108</v>
      </c>
      <c r="T12" s="38" t="s">
        <v>72</v>
      </c>
      <c r="U12" s="38" t="s">
        <v>71</v>
      </c>
      <c r="V12" s="38" t="s">
        <v>93</v>
      </c>
      <c r="W12" s="38" t="s">
        <v>73</v>
      </c>
      <c r="X12" s="38" t="s">
        <v>89</v>
      </c>
      <c r="Y12" s="38" t="s">
        <v>71</v>
      </c>
      <c r="Z12" s="38" t="s">
        <v>71</v>
      </c>
      <c r="AA12" s="38" t="s">
        <v>71</v>
      </c>
      <c r="AB12" s="38" t="s">
        <v>71</v>
      </c>
      <c r="AC12" s="38" t="s">
        <v>71</v>
      </c>
      <c r="AD12" s="38" t="s">
        <v>71</v>
      </c>
      <c r="AE12" s="38" t="s">
        <v>74</v>
      </c>
      <c r="AF12" s="38" t="s">
        <v>98</v>
      </c>
      <c r="AG12" t="str">
        <f>VLOOKUP($Q12,武学奇术!$A:$ZZ,25,FALSE)</f>
        <v>陌刀</v>
      </c>
      <c r="AH12" s="24">
        <f>VLOOKUP($Q12,武学奇术!$A:$ZZ,26,FALSE)</f>
        <v>7.2368</v>
      </c>
      <c r="AI12" s="25">
        <f>VLOOKUP($Q12,武学奇术!$A:$ZZ,27,FALSE)*(1+IF(OR($AG12=$F$4,$AG12=$F$5),$B$22,0))</f>
        <v>2802.8</v>
      </c>
      <c r="AJ12" s="24">
        <f>VLOOKUP($Q12,武学奇术!$A:$ZZ,28,FALSE)</f>
        <v>10.8553</v>
      </c>
      <c r="AK12" s="25">
        <f>VLOOKUP($Q12,武学奇术!$A:$ZZ,29,FALSE)*(1+IF(OR($AG12=$F$4,$AG12=$F$5),$B$22,0))</f>
        <v>1526</v>
      </c>
      <c r="AL12" s="24" cm="1">
        <f t="array" ref="AL12">$G$3+IFERROR(VLOOKUP($AG12,$F$4:$G$7,2,FALSE),0)+VLOOKUP($Q12,武学奇术!$A:$ZZ,2,FALSE)+SUM(_xlfn.XLOOKUP($R12:$AF12,增益!$A:$A,增益!$B:$B,0))</f>
        <v>1.0041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1444.4</v>
      </c>
      <c r="AO12" cm="1">
        <f t="array" ref="AO12">$E$10*(1+$AM12)+VLOOKUP($Q12,武学奇术!$A:$ZZ,4,FALSE)+SUM(_xlfn.XLOOKUP($R12:$AF12,增益!$A:$A,增益!$D:$D,0))-$I$2</f>
        <v>5816.5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0.237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576.6</v>
      </c>
      <c r="AX12">
        <f t="shared" si="4"/>
        <v>1088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0.06</v>
      </c>
      <c r="AZ12" s="30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-0.3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0.846</v>
      </c>
      <c r="BK12" s="24" cm="1">
        <f t="array" ref="BK12">1+$B$13+VLOOKUP($Q12,武学奇术!$A:$ZZ,18,FALSE)+SUM(_xlfn.XLOOKUP(R12:AF12,增益!$A:$A,增益!$R:$R,0))</f>
        <v>2.014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0.1371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0.846</v>
      </c>
      <c r="BO12" s="24">
        <f t="shared" si="10"/>
        <v>0.0168999999999999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0.11</v>
      </c>
    </row>
    <row r="13" ht="14.25" spans="1:69">
      <c r="A13" s="39" t="s">
        <v>113</v>
      </c>
      <c r="B13" s="67">
        <f>期望!B13</f>
        <v>0.644</v>
      </c>
      <c r="C13" s="23" t="s">
        <v>84</v>
      </c>
      <c r="D13">
        <f>期望!D13</f>
        <v>0</v>
      </c>
      <c r="E13">
        <f>期望!E13</f>
        <v>0</v>
      </c>
      <c r="F13">
        <f>期望!F13</f>
        <v>0</v>
      </c>
      <c r="G13" s="47">
        <f>期望!G13</f>
        <v>0</v>
      </c>
      <c r="H13" s="68"/>
      <c r="I13" s="75"/>
      <c r="J13" s="73"/>
      <c r="K13" s="36">
        <f t="shared" si="0"/>
        <v>177121.183819898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179639.766554075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172632.331167011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87458.5036777384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47041.2064910239</v>
      </c>
      <c r="P13" s="37">
        <v>1</v>
      </c>
      <c r="Q13" s="38" t="s">
        <v>102</v>
      </c>
      <c r="R13" s="38" t="s">
        <v>82</v>
      </c>
      <c r="S13" s="38" t="s">
        <v>108</v>
      </c>
      <c r="T13" s="38" t="s">
        <v>72</v>
      </c>
      <c r="U13" s="38" t="s">
        <v>71</v>
      </c>
      <c r="V13" s="38" t="s">
        <v>93</v>
      </c>
      <c r="W13" s="38" t="s">
        <v>73</v>
      </c>
      <c r="X13" s="38" t="s">
        <v>114</v>
      </c>
      <c r="Y13" s="38" t="s">
        <v>71</v>
      </c>
      <c r="Z13" s="38" t="s">
        <v>71</v>
      </c>
      <c r="AA13" s="38" t="s">
        <v>71</v>
      </c>
      <c r="AB13" s="38" t="s">
        <v>71</v>
      </c>
      <c r="AC13" s="38" t="s">
        <v>71</v>
      </c>
      <c r="AD13" s="38" t="s">
        <v>71</v>
      </c>
      <c r="AE13" s="38" t="s">
        <v>74</v>
      </c>
      <c r="AF13" s="38" t="s">
        <v>98</v>
      </c>
      <c r="AG13" t="str">
        <f>VLOOKUP($Q13,武学奇术!$A:$ZZ,25,FALSE)</f>
        <v>陌刀</v>
      </c>
      <c r="AH13" s="24">
        <f>VLOOKUP($Q13,武学奇术!$A:$ZZ,26,FALSE)</f>
        <v>4.2807</v>
      </c>
      <c r="AI13" s="25">
        <f>VLOOKUP($Q13,武学奇术!$A:$ZZ,27,FALSE)*(1+IF(OR($AG13=$F$4,$AG13=$F$5),$B$22,0))</f>
        <v>1657.6</v>
      </c>
      <c r="AJ13" s="24">
        <f>VLOOKUP($Q13,武学奇术!$A:$ZZ,28,FALSE)</f>
        <v>6.421</v>
      </c>
      <c r="AK13" s="25">
        <f>VLOOKUP($Q13,武学奇术!$A:$ZZ,29,FALSE)*(1+IF(OR($AG13=$F$4,$AG13=$F$5),$B$22,0))</f>
        <v>903</v>
      </c>
      <c r="AL13" s="24" cm="1">
        <f t="array" ref="AL13">$G$3+IFERROR(VLOOKUP($AG13,$F$4:$G$7,2,FALSE),0)+VLOOKUP($Q13,武学奇术!$A:$ZZ,2,FALSE)+SUM(_xlfn.XLOOKUP($R13:$AF13,增益!$A:$A,增益!$B:$B,0))</f>
        <v>1.0041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1444.4</v>
      </c>
      <c r="AO13" cm="1">
        <f t="array" ref="AO13">$E$10*(1+$AM13)+VLOOKUP($Q13,武学奇术!$A:$ZZ,4,FALSE)+SUM(_xlfn.XLOOKUP($R13:$AF13,增益!$A:$A,增益!$D:$D,0))-$I$2</f>
        <v>5816.5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0.257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576.6</v>
      </c>
      <c r="AX13">
        <f t="shared" si="4"/>
        <v>1088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0.06</v>
      </c>
      <c r="AZ13" s="30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-0.3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0.846</v>
      </c>
      <c r="BK13" s="24" cm="1">
        <f t="array" ref="BK13">1+$B$13+VLOOKUP($Q13,武学奇术!$A:$ZZ,18,FALSE)+SUM(_xlfn.XLOOKUP(R13:AF13,增益!$A:$A,增益!$R:$R,0))</f>
        <v>2.054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0.1371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0.846</v>
      </c>
      <c r="BO13" s="24">
        <f t="shared" si="10"/>
        <v>0.0168999999999999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0.11</v>
      </c>
    </row>
    <row r="14" ht="14.25" spans="1:69">
      <c r="A14" s="39" t="s">
        <v>115</v>
      </c>
      <c r="B14" s="67">
        <f>期望!B14</f>
        <v>0.35</v>
      </c>
      <c r="C14" s="13" t="s">
        <v>90</v>
      </c>
      <c r="D14" s="13">
        <f>期望!D14</f>
        <v>0</v>
      </c>
      <c r="E14" s="13">
        <f>期望!E14</f>
        <v>0</v>
      </c>
      <c r="F14" s="13">
        <f>期望!F14</f>
        <v>0</v>
      </c>
      <c r="G14" s="61">
        <f>期望!G14</f>
        <v>0</v>
      </c>
      <c r="H14" s="34" t="s">
        <v>116</v>
      </c>
      <c r="I14" s="70">
        <f>I12+120000*16%</f>
        <v>124434.164960841</v>
      </c>
      <c r="J14" s="71"/>
      <c r="K14" s="36">
        <f t="shared" si="0"/>
        <v>293489.528477324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297469.121805328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287171.017214443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145532.838456618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78346.4049025381</v>
      </c>
      <c r="P14" s="37">
        <v>1</v>
      </c>
      <c r="Q14" s="38" t="s">
        <v>96</v>
      </c>
      <c r="R14" s="38" t="s">
        <v>82</v>
      </c>
      <c r="S14" s="38" t="s">
        <v>108</v>
      </c>
      <c r="T14" s="38" t="s">
        <v>72</v>
      </c>
      <c r="U14" s="38" t="s">
        <v>71</v>
      </c>
      <c r="V14" s="38" t="s">
        <v>117</v>
      </c>
      <c r="W14" s="38" t="s">
        <v>71</v>
      </c>
      <c r="X14" s="38" t="s">
        <v>118</v>
      </c>
      <c r="Y14" s="38" t="s">
        <v>71</v>
      </c>
      <c r="Z14" s="38" t="s">
        <v>71</v>
      </c>
      <c r="AA14" s="38" t="s">
        <v>71</v>
      </c>
      <c r="AB14" s="38" t="s">
        <v>71</v>
      </c>
      <c r="AC14" s="38" t="s">
        <v>71</v>
      </c>
      <c r="AD14" s="38" t="s">
        <v>71</v>
      </c>
      <c r="AE14" s="38" t="s">
        <v>74</v>
      </c>
      <c r="AF14" s="38" t="s">
        <v>98</v>
      </c>
      <c r="AG14" t="str">
        <f>VLOOKUP($Q14,武学奇术!$A:$ZZ,25,FALSE)</f>
        <v>陌刀</v>
      </c>
      <c r="AH14" s="24">
        <f>VLOOKUP($Q14,武学奇术!$A:$ZZ,26,FALSE)</f>
        <v>7.2368</v>
      </c>
      <c r="AI14" s="25">
        <f>VLOOKUP($Q14,武学奇术!$A:$ZZ,27,FALSE)*(1+IF(OR($AG14=$F$4,$AG14=$F$5),$B$22,0))</f>
        <v>2802.8</v>
      </c>
      <c r="AJ14" s="24">
        <f>VLOOKUP($Q14,武学奇术!$A:$ZZ,28,FALSE)</f>
        <v>10.8553</v>
      </c>
      <c r="AK14" s="25">
        <f>VLOOKUP($Q14,武学奇术!$A:$ZZ,29,FALSE)*(1+IF(OR($AG14=$F$4,$AG14=$F$5),$B$22,0))</f>
        <v>1526</v>
      </c>
      <c r="AL14" s="24" cm="1">
        <f t="array" ref="AL14">$G$3+IFERROR(VLOOKUP($AG14,$F$4:$G$7,2,FALSE),0)+VLOOKUP($Q14,武学奇术!$A:$ZZ,2,FALSE)+SUM(_xlfn.XLOOKUP($R14:$AF14,增益!$A:$A,增益!$B:$B,0))</f>
        <v>0.9841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1444.4</v>
      </c>
      <c r="AO14" cm="1">
        <f t="array" ref="AO14">$E$10*(1+$AM14)+VLOOKUP($Q14,武学奇术!$A:$ZZ,4,FALSE)+SUM(_xlfn.XLOOKUP($R14:$AF14,增益!$A:$A,增益!$D:$D,0))-$I$2</f>
        <v>5816.5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0.247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576.6</v>
      </c>
      <c r="AX14">
        <f t="shared" si="4"/>
        <v>1088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0.06</v>
      </c>
      <c r="AZ14" s="30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-0.3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0.846</v>
      </c>
      <c r="BK14" s="24" cm="1">
        <f t="array" ref="BK14">1+$B$13+VLOOKUP($Q14,武学奇术!$A:$ZZ,18,FALSE)+SUM(_xlfn.XLOOKUP(R14:AF14,增益!$A:$A,增益!$R:$R,0))</f>
        <v>2.044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0.1371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0.846</v>
      </c>
      <c r="BO14" s="24">
        <f t="shared" si="10"/>
        <v>0.0168999999999999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0.11</v>
      </c>
    </row>
    <row r="15" ht="14.25" spans="1:69">
      <c r="A15" s="39" t="s">
        <v>119</v>
      </c>
      <c r="B15" s="67">
        <f>期望!B15</f>
        <v>0.0852</v>
      </c>
      <c r="C15" s="37" t="s">
        <v>120</v>
      </c>
      <c r="D15" s="37"/>
      <c r="F15" s="76"/>
      <c r="H15" s="77"/>
      <c r="I15" s="72"/>
      <c r="J15" s="73"/>
      <c r="K15" s="36">
        <f t="shared" si="0"/>
        <v>181787.935764601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184854.861988055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174389.631153959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88278.3486093864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47379.1926602844</v>
      </c>
      <c r="P15" s="37">
        <v>1</v>
      </c>
      <c r="Q15" s="38" t="s">
        <v>102</v>
      </c>
      <c r="R15" s="38" t="s">
        <v>87</v>
      </c>
      <c r="S15" s="38" t="s">
        <v>108</v>
      </c>
      <c r="T15" s="38" t="s">
        <v>72</v>
      </c>
      <c r="U15" s="38" t="s">
        <v>71</v>
      </c>
      <c r="V15" s="38" t="s">
        <v>117</v>
      </c>
      <c r="W15" s="38" t="s">
        <v>71</v>
      </c>
      <c r="X15" s="38" t="s">
        <v>121</v>
      </c>
      <c r="Y15" s="38" t="s">
        <v>71</v>
      </c>
      <c r="Z15" s="38" t="s">
        <v>71</v>
      </c>
      <c r="AA15" s="38" t="s">
        <v>71</v>
      </c>
      <c r="AB15" s="38" t="s">
        <v>71</v>
      </c>
      <c r="AC15" s="38" t="s">
        <v>71</v>
      </c>
      <c r="AD15" s="38" t="s">
        <v>71</v>
      </c>
      <c r="AE15" s="38" t="s">
        <v>74</v>
      </c>
      <c r="AF15" s="38" t="s">
        <v>98</v>
      </c>
      <c r="AG15" t="str">
        <f>VLOOKUP($Q15,武学奇术!$A:$ZZ,25,FALSE)</f>
        <v>陌刀</v>
      </c>
      <c r="AH15" s="24">
        <f>VLOOKUP($Q15,武学奇术!$A:$ZZ,26,FALSE)</f>
        <v>4.2807</v>
      </c>
      <c r="AI15" s="25">
        <f>VLOOKUP($Q15,武学奇术!$A:$ZZ,27,FALSE)*(1+IF(OR($AG15=$F$4,$AG15=$F$5),$B$22,0))</f>
        <v>1657.6</v>
      </c>
      <c r="AJ15" s="24">
        <f>VLOOKUP($Q15,武学奇术!$A:$ZZ,28,FALSE)</f>
        <v>6.421</v>
      </c>
      <c r="AK15" s="25">
        <f>VLOOKUP($Q15,武学奇术!$A:$ZZ,29,FALSE)*(1+IF(OR($AG15=$F$4,$AG15=$F$5),$B$22,0))</f>
        <v>903</v>
      </c>
      <c r="AL15" s="24" cm="1">
        <f t="array" ref="AL15">$G$3+IFERROR(VLOOKUP($AG15,$F$4:$G$7,2,FALSE),0)+VLOOKUP($Q15,武学奇术!$A:$ZZ,2,FALSE)+SUM(_xlfn.XLOOKUP($R15:$AF15,增益!$A:$A,增益!$B:$B,0))</f>
        <v>0.9941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1444.4</v>
      </c>
      <c r="AO15" cm="1">
        <f t="array" ref="AO15">$E$10*(1+$AM15)+VLOOKUP($Q15,武学奇术!$A:$ZZ,4,FALSE)+SUM(_xlfn.XLOOKUP($R15:$AF15,增益!$A:$A,增益!$D:$D,0))-$I$2</f>
        <v>5816.5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0.282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576.6</v>
      </c>
      <c r="AX15">
        <f t="shared" si="4"/>
        <v>1088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0.06</v>
      </c>
      <c r="AZ15" s="30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-0.3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0.846</v>
      </c>
      <c r="BK15" s="24" cm="1">
        <f t="array" ref="BK15">1+$B$13+VLOOKUP($Q15,武学奇术!$A:$ZZ,18,FALSE)+SUM(_xlfn.XLOOKUP(R15:AF15,增益!$A:$A,增益!$R:$R,0))</f>
        <v>2.094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0.1371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0.846</v>
      </c>
      <c r="BO15" s="24">
        <f t="shared" si="10"/>
        <v>0.0168999999999999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0.11</v>
      </c>
    </row>
    <row r="16" spans="1:69">
      <c r="A16" s="39" t="s">
        <v>122</v>
      </c>
      <c r="B16" s="67">
        <f>期望!B16</f>
        <v>0.0887</v>
      </c>
      <c r="C16" s="37"/>
      <c r="D16" s="37"/>
      <c r="E16" s="37" t="s">
        <v>123</v>
      </c>
      <c r="F16" s="76" t="s">
        <v>124</v>
      </c>
      <c r="H16" s="65" t="s">
        <v>125</v>
      </c>
      <c r="I16" s="78"/>
      <c r="J16" s="79"/>
      <c r="K16" s="36">
        <f t="shared" si="0"/>
        <v>283562.715644001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284625.940430685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293625.201927204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148707.387894819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79914.6262139322</v>
      </c>
      <c r="P16" s="37">
        <v>1</v>
      </c>
      <c r="Q16" s="38" t="s">
        <v>96</v>
      </c>
      <c r="R16" s="38" t="s">
        <v>92</v>
      </c>
      <c r="S16" s="38" t="s">
        <v>108</v>
      </c>
      <c r="T16" s="38" t="s">
        <v>71</v>
      </c>
      <c r="U16" s="38" t="s">
        <v>71</v>
      </c>
      <c r="V16" s="38" t="s">
        <v>126</v>
      </c>
      <c r="W16" s="38" t="s">
        <v>71</v>
      </c>
      <c r="X16" s="38" t="s">
        <v>118</v>
      </c>
      <c r="Y16" s="38" t="s">
        <v>71</v>
      </c>
      <c r="Z16" s="38" t="s">
        <v>71</v>
      </c>
      <c r="AA16" s="38" t="s">
        <v>71</v>
      </c>
      <c r="AB16" s="38" t="s">
        <v>71</v>
      </c>
      <c r="AC16" s="38" t="s">
        <v>71</v>
      </c>
      <c r="AD16" s="38" t="s">
        <v>71</v>
      </c>
      <c r="AE16" s="38" t="s">
        <v>74</v>
      </c>
      <c r="AF16" s="38" t="s">
        <v>98</v>
      </c>
      <c r="AG16" t="str">
        <f>VLOOKUP($Q16,武学奇术!$A:$ZZ,25,FALSE)</f>
        <v>陌刀</v>
      </c>
      <c r="AH16" s="24">
        <f>VLOOKUP($Q16,武学奇术!$A:$ZZ,26,FALSE)</f>
        <v>7.2368</v>
      </c>
      <c r="AI16" s="25">
        <f>VLOOKUP($Q16,武学奇术!$A:$ZZ,27,FALSE)*(1+IF(OR($AG16=$F$4,$AG16=$F$5),$B$22,0))</f>
        <v>2802.8</v>
      </c>
      <c r="AJ16" s="24">
        <f>VLOOKUP($Q16,武学奇术!$A:$ZZ,28,FALSE)</f>
        <v>10.8553</v>
      </c>
      <c r="AK16" s="25">
        <f>VLOOKUP($Q16,武学奇术!$A:$ZZ,29,FALSE)*(1+IF(OR($AG16=$F$4,$AG16=$F$5),$B$22,0))</f>
        <v>1526</v>
      </c>
      <c r="AL16" s="24" cm="1">
        <f t="array" ref="AL16">$G$3+IFERROR(VLOOKUP($AG16,$F$4:$G$7,2,FALSE),0)+VLOOKUP($Q16,武学奇术!$A:$ZZ,2,FALSE)+SUM(_xlfn.XLOOKUP($R16:$AF16,增益!$A:$A,增益!$B:$B,0))</f>
        <v>1.0041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1444.4</v>
      </c>
      <c r="AO16" cm="1">
        <f t="array" ref="AO16">$E$10*(1+$AM16)+VLOOKUP($Q16,武学奇术!$A:$ZZ,4,FALSE)+SUM(_xlfn.XLOOKUP($R16:$AF16,增益!$A:$A,增益!$D:$D,0))-$I$2</f>
        <v>5816.5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0.267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576.6</v>
      </c>
      <c r="AX16">
        <f t="shared" si="4"/>
        <v>1088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0.06</v>
      </c>
      <c r="AZ16" s="30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-0.3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0.846</v>
      </c>
      <c r="BK16" s="24" cm="1">
        <f t="array" ref="BK16">1+$B$13+VLOOKUP($Q16,武学奇术!$A:$ZZ,18,FALSE)+SUM(_xlfn.XLOOKUP(R16:AF16,增益!$A:$A,增益!$R:$R,0))</f>
        <v>1.914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0.1371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0.846</v>
      </c>
      <c r="BO16" s="24">
        <f t="shared" si="10"/>
        <v>0.0168999999999999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0.11</v>
      </c>
    </row>
    <row r="17" ht="14.25" spans="1:69">
      <c r="A17" s="39" t="s">
        <v>127</v>
      </c>
      <c r="B17" s="67">
        <f>期望!B17</f>
        <v>0.0852</v>
      </c>
      <c r="C17" s="37" t="s">
        <v>128</v>
      </c>
      <c r="D17" s="76" t="s">
        <v>159</v>
      </c>
      <c r="E17" s="37" t="s">
        <v>129</v>
      </c>
      <c r="F17" s="76" t="s">
        <v>159</v>
      </c>
      <c r="H17" s="68"/>
      <c r="I17" s="80"/>
      <c r="J17" s="81"/>
      <c r="K17" s="36">
        <f t="shared" si="0"/>
        <v>173933.996366005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175239.988446538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176316.890367512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89226.0633638175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47847.0227517006</v>
      </c>
      <c r="P17" s="37">
        <v>1</v>
      </c>
      <c r="Q17" s="38" t="s">
        <v>102</v>
      </c>
      <c r="R17" s="38" t="s">
        <v>92</v>
      </c>
      <c r="S17" s="38" t="s">
        <v>108</v>
      </c>
      <c r="T17" s="38" t="s">
        <v>71</v>
      </c>
      <c r="U17" s="38" t="s">
        <v>71</v>
      </c>
      <c r="V17" s="38" t="s">
        <v>126</v>
      </c>
      <c r="W17" s="38" t="s">
        <v>71</v>
      </c>
      <c r="X17" s="38" t="s">
        <v>121</v>
      </c>
      <c r="Y17" s="38" t="s">
        <v>71</v>
      </c>
      <c r="Z17" s="38" t="s">
        <v>71</v>
      </c>
      <c r="AA17" s="38" t="s">
        <v>71</v>
      </c>
      <c r="AB17" s="38" t="s">
        <v>71</v>
      </c>
      <c r="AC17" s="38" t="s">
        <v>71</v>
      </c>
      <c r="AD17" s="38" t="s">
        <v>71</v>
      </c>
      <c r="AE17" s="38" t="s">
        <v>74</v>
      </c>
      <c r="AF17" s="38" t="s">
        <v>98</v>
      </c>
      <c r="AG17" t="str">
        <f>VLOOKUP($Q17,武学奇术!$A:$ZZ,25,FALSE)</f>
        <v>陌刀</v>
      </c>
      <c r="AH17" s="24">
        <f>VLOOKUP($Q17,武学奇术!$A:$ZZ,26,FALSE)</f>
        <v>4.2807</v>
      </c>
      <c r="AI17" s="25">
        <f>VLOOKUP($Q17,武学奇术!$A:$ZZ,27,FALSE)*(1+IF(OR($AG17=$F$4,$AG17=$F$5),$B$22,0))</f>
        <v>1657.6</v>
      </c>
      <c r="AJ17" s="24">
        <f>VLOOKUP($Q17,武学奇术!$A:$ZZ,28,FALSE)</f>
        <v>6.421</v>
      </c>
      <c r="AK17" s="25">
        <f>VLOOKUP($Q17,武学奇术!$A:$ZZ,29,FALSE)*(1+IF(OR($AG17=$F$4,$AG17=$F$5),$B$22,0))</f>
        <v>903</v>
      </c>
      <c r="AL17" s="24" cm="1">
        <f t="array" ref="AL17">$G$3+IFERROR(VLOOKUP($AG17,$F$4:$G$7,2,FALSE),0)+VLOOKUP($Q17,武学奇术!$A:$ZZ,2,FALSE)+SUM(_xlfn.XLOOKUP($R17:$AF17,增益!$A:$A,增益!$B:$B,0))</f>
        <v>1.0041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1444.4</v>
      </c>
      <c r="AO17" cm="1">
        <f t="array" ref="AO17">$E$10*(1+$AM17)+VLOOKUP($Q17,武学奇术!$A:$ZZ,4,FALSE)+SUM(_xlfn.XLOOKUP($R17:$AF17,增益!$A:$A,增益!$D:$D,0))-$I$2</f>
        <v>5816.5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0.292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576.6</v>
      </c>
      <c r="AX17">
        <f t="shared" si="4"/>
        <v>1088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0.06</v>
      </c>
      <c r="AZ17" s="30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-0.3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0.846</v>
      </c>
      <c r="BK17" s="24" cm="1">
        <f t="array" ref="BK17">1+$B$13+VLOOKUP($Q17,武学奇术!$A:$ZZ,18,FALSE)+SUM(_xlfn.XLOOKUP(R17:AF17,增益!$A:$A,增益!$R:$R,0))</f>
        <v>1.964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0.1371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0.846</v>
      </c>
      <c r="BO17" s="24">
        <f t="shared" si="10"/>
        <v>0.0168999999999999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0.11</v>
      </c>
    </row>
    <row r="18" spans="1:69">
      <c r="A18" s="39" t="s">
        <v>130</v>
      </c>
      <c r="B18" s="67">
        <f>期望!B18</f>
        <v>0</v>
      </c>
      <c r="C18" s="37" t="s">
        <v>131</v>
      </c>
      <c r="D18" s="76" t="s">
        <v>159</v>
      </c>
      <c r="E18" s="37" t="s">
        <v>132</v>
      </c>
      <c r="F18" s="76" t="s">
        <v>124</v>
      </c>
      <c r="K18" s="36">
        <f t="shared" si="0"/>
        <v>8542.25355235515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9763.00340091193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9699.24896069804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4945.79706226542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2706.96526475451</v>
      </c>
      <c r="P18" s="37">
        <v>1</v>
      </c>
      <c r="Q18" s="38" t="s">
        <v>105</v>
      </c>
      <c r="R18" s="38" t="s">
        <v>92</v>
      </c>
      <c r="S18" s="38" t="s">
        <v>71</v>
      </c>
      <c r="T18" s="38" t="s">
        <v>72</v>
      </c>
      <c r="U18" s="38" t="s">
        <v>71</v>
      </c>
      <c r="V18" s="38" t="s">
        <v>133</v>
      </c>
      <c r="W18" s="38" t="s">
        <v>71</v>
      </c>
      <c r="X18" s="38" t="s">
        <v>118</v>
      </c>
      <c r="Y18" s="38" t="s">
        <v>71</v>
      </c>
      <c r="Z18" s="38" t="s">
        <v>71</v>
      </c>
      <c r="AA18" s="38" t="s">
        <v>71</v>
      </c>
      <c r="AB18" s="38" t="s">
        <v>71</v>
      </c>
      <c r="AC18" s="38" t="s">
        <v>71</v>
      </c>
      <c r="AD18" s="38" t="s">
        <v>71</v>
      </c>
      <c r="AE18" s="38" t="s">
        <v>74</v>
      </c>
      <c r="AF18" s="38" t="s">
        <v>71</v>
      </c>
      <c r="AG18" t="str">
        <f>VLOOKUP($Q18,武学奇术!$A:$ZZ,25,FALSE)</f>
        <v>枪</v>
      </c>
      <c r="AH18" s="24">
        <f>VLOOKUP($Q18,武学奇术!$A:$ZZ,26,FALSE)</f>
        <v>0.4843</v>
      </c>
      <c r="AI18" s="25">
        <f>VLOOKUP($Q18,武学奇术!$A:$ZZ,27,FALSE)*(1+IF(OR($AG18=$F$4,$AG18=$F$5),$B$22,0))</f>
        <v>187.6</v>
      </c>
      <c r="AJ18" s="24">
        <f>VLOOKUP($Q18,武学奇术!$A:$ZZ,28,FALSE)</f>
        <v>0.7264</v>
      </c>
      <c r="AK18" s="25">
        <f>VLOOKUP($Q18,武学奇术!$A:$ZZ,29,FALSE)*(1+IF(OR($AG18=$F$4,$AG18=$F$5),$B$22,0))</f>
        <v>102.2</v>
      </c>
      <c r="AL18" s="24" cm="1">
        <f t="array" ref="AL18">$G$3+IFERROR(VLOOKUP($AG18,$F$4:$G$7,2,FALSE),0)+VLOOKUP($Q18,武学奇术!$A:$ZZ,2,FALSE)+SUM(_xlfn.XLOOKUP($R18:$AF18,增益!$A:$A,增益!$B:$B,0))</f>
        <v>0.3389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1444.4</v>
      </c>
      <c r="AO18" cm="1">
        <f t="array" ref="AO18">$E$10*(1+$AM18)+VLOOKUP($Q18,武学奇术!$A:$ZZ,4,FALSE)+SUM(_xlfn.XLOOKUP($R18:$AF18,增益!$A:$A,增益!$D:$D,0))-$I$2</f>
        <v>5616.5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0.267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576.6</v>
      </c>
      <c r="AX18">
        <f t="shared" si="4"/>
        <v>1088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0.06</v>
      </c>
      <c r="AZ18" s="30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-0.3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0.6113</v>
      </c>
      <c r="BK18" s="24" cm="1">
        <f t="array" ref="BK18">1+$B$13+VLOOKUP($Q18,武学奇术!$A:$ZZ,18,FALSE)+SUM(_xlfn.XLOOKUP(R18:AF18,增益!$A:$A,增益!$R:$R,0))</f>
        <v>1.974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0.1371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0.6113</v>
      </c>
      <c r="BO18" s="24">
        <f t="shared" si="10"/>
        <v>0.2516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0.11</v>
      </c>
    </row>
    <row r="19" spans="1:69">
      <c r="A19" s="39" t="s">
        <v>134</v>
      </c>
      <c r="B19" s="67">
        <f>期望!B19</f>
        <v>0</v>
      </c>
      <c r="C19" s="37" t="s">
        <v>135</v>
      </c>
      <c r="D19" s="76" t="s">
        <v>159</v>
      </c>
      <c r="E19" t="s">
        <v>136</v>
      </c>
      <c r="F19" s="76" t="s">
        <v>124</v>
      </c>
      <c r="K19" s="36">
        <f t="shared" si="0"/>
        <v>303691.747669444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308419.122493856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293625.201927204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148707.387894819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79914.6262139322</v>
      </c>
      <c r="P19" s="37">
        <v>1</v>
      </c>
      <c r="Q19" s="38" t="s">
        <v>96</v>
      </c>
      <c r="R19" s="38" t="s">
        <v>92</v>
      </c>
      <c r="S19" s="38" t="s">
        <v>108</v>
      </c>
      <c r="T19" s="38" t="s">
        <v>72</v>
      </c>
      <c r="U19" s="38" t="s">
        <v>71</v>
      </c>
      <c r="V19" s="38" t="s">
        <v>133</v>
      </c>
      <c r="W19" s="38" t="s">
        <v>71</v>
      </c>
      <c r="X19" s="38" t="s">
        <v>118</v>
      </c>
      <c r="Y19" s="38" t="s">
        <v>71</v>
      </c>
      <c r="Z19" s="38" t="s">
        <v>71</v>
      </c>
      <c r="AA19" s="38" t="s">
        <v>71</v>
      </c>
      <c r="AB19" s="38" t="s">
        <v>71</v>
      </c>
      <c r="AC19" s="38" t="s">
        <v>71</v>
      </c>
      <c r="AD19" s="38" t="s">
        <v>71</v>
      </c>
      <c r="AE19" s="38" t="s">
        <v>74</v>
      </c>
      <c r="AF19" s="38" t="s">
        <v>98</v>
      </c>
      <c r="AG19" t="str">
        <f>VLOOKUP($Q19,武学奇术!$A:$ZZ,25,FALSE)</f>
        <v>陌刀</v>
      </c>
      <c r="AH19" s="24">
        <f>VLOOKUP($Q19,武学奇术!$A:$ZZ,26,FALSE)</f>
        <v>7.2368</v>
      </c>
      <c r="AI19" s="25">
        <f>VLOOKUP($Q19,武学奇术!$A:$ZZ,27,FALSE)*(1+IF(OR($AG19=$F$4,$AG19=$F$5),$B$22,0))</f>
        <v>2802.8</v>
      </c>
      <c r="AJ19" s="24">
        <f>VLOOKUP($Q19,武学奇术!$A:$ZZ,28,FALSE)</f>
        <v>10.8553</v>
      </c>
      <c r="AK19" s="25">
        <f>VLOOKUP($Q19,武学奇术!$A:$ZZ,29,FALSE)*(1+IF(OR($AG19=$F$4,$AG19=$F$5),$B$22,0))</f>
        <v>1526</v>
      </c>
      <c r="AL19" s="24" cm="1">
        <f t="array" ref="AL19">$G$3+IFERROR(VLOOKUP($AG19,$F$4:$G$7,2,FALSE),0)+VLOOKUP($Q19,武学奇术!$A:$ZZ,2,FALSE)+SUM(_xlfn.XLOOKUP($R19:$AF19,增益!$A:$A,增益!$B:$B,0))</f>
        <v>1.0041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1444.4</v>
      </c>
      <c r="AO19" cm="1">
        <f t="array" ref="AO19">$E$10*(1+$AM19)+VLOOKUP($Q19,武学奇术!$A:$ZZ,4,FALSE)+SUM(_xlfn.XLOOKUP($R19:$AF19,增益!$A:$A,增益!$D:$D,0))-$I$2</f>
        <v>5816.5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0.267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576.6</v>
      </c>
      <c r="AX19">
        <f t="shared" si="4"/>
        <v>1088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0.06</v>
      </c>
      <c r="AZ19" s="30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0.846</v>
      </c>
      <c r="BK19" s="24" cm="1">
        <f t="array" ref="BK19">1+$B$13+VLOOKUP($Q19,武学奇术!$A:$ZZ,18,FALSE)+SUM(_xlfn.XLOOKUP(R19:AF19,增益!$A:$A,增益!$R:$R,0))</f>
        <v>2.074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0.1371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0.846</v>
      </c>
      <c r="BO19" s="24">
        <f t="shared" si="10"/>
        <v>0.0168999999999999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0.11</v>
      </c>
    </row>
    <row r="20" spans="1:69">
      <c r="A20" s="39" t="s">
        <v>137</v>
      </c>
      <c r="B20" s="67">
        <f>期望!B20</f>
        <v>0</v>
      </c>
      <c r="K20" s="36">
        <f t="shared" si="0"/>
        <v>186011.636302932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189516.158584748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176316.890367512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89226.0633638175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47847.0227517006</v>
      </c>
      <c r="P20" s="37">
        <v>1</v>
      </c>
      <c r="Q20" s="38" t="s">
        <v>102</v>
      </c>
      <c r="R20" s="38" t="s">
        <v>92</v>
      </c>
      <c r="S20" s="38" t="s">
        <v>108</v>
      </c>
      <c r="T20" s="38" t="s">
        <v>72</v>
      </c>
      <c r="U20" s="38" t="s">
        <v>71</v>
      </c>
      <c r="V20" s="38" t="s">
        <v>133</v>
      </c>
      <c r="W20" s="38" t="s">
        <v>71</v>
      </c>
      <c r="X20" s="38" t="s">
        <v>121</v>
      </c>
      <c r="Y20" s="38" t="s">
        <v>71</v>
      </c>
      <c r="Z20" s="38" t="s">
        <v>71</v>
      </c>
      <c r="AA20" s="38" t="s">
        <v>71</v>
      </c>
      <c r="AB20" s="38" t="s">
        <v>71</v>
      </c>
      <c r="AC20" s="38" t="s">
        <v>71</v>
      </c>
      <c r="AD20" s="38" t="s">
        <v>71</v>
      </c>
      <c r="AE20" s="38" t="s">
        <v>74</v>
      </c>
      <c r="AF20" s="38" t="s">
        <v>98</v>
      </c>
      <c r="AG20" t="str">
        <f>VLOOKUP($Q20,武学奇术!$A:$ZZ,25,FALSE)</f>
        <v>陌刀</v>
      </c>
      <c r="AH20" s="24">
        <f>VLOOKUP($Q20,武学奇术!$A:$ZZ,26,FALSE)</f>
        <v>4.2807</v>
      </c>
      <c r="AI20" s="25">
        <f>VLOOKUP($Q20,武学奇术!$A:$ZZ,27,FALSE)*(1+IF(OR($AG20=$F$4,$AG20=$F$5),$B$22,0))</f>
        <v>1657.6</v>
      </c>
      <c r="AJ20" s="24">
        <f>VLOOKUP($Q20,武学奇术!$A:$ZZ,28,FALSE)</f>
        <v>6.421</v>
      </c>
      <c r="AK20" s="25">
        <f>VLOOKUP($Q20,武学奇术!$A:$ZZ,29,FALSE)*(1+IF(OR($AG20=$F$4,$AG20=$F$5),$B$22,0))</f>
        <v>903</v>
      </c>
      <c r="AL20" s="24" cm="1">
        <f t="array" ref="AL20">$G$3+IFERROR(VLOOKUP($AG20,$F$4:$G$7,2,FALSE),0)+VLOOKUP($Q20,武学奇术!$A:$ZZ,2,FALSE)+SUM(_xlfn.XLOOKUP($R20:$AF20,增益!$A:$A,增益!$B:$B,0))</f>
        <v>1.0041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1444.4</v>
      </c>
      <c r="AO20" cm="1">
        <f t="array" ref="AO20">$E$10*(1+$AM20)+VLOOKUP($Q20,武学奇术!$A:$ZZ,4,FALSE)+SUM(_xlfn.XLOOKUP($R20:$AF20,增益!$A:$A,增益!$D:$D,0))-$I$2</f>
        <v>5816.5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0.292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576.6</v>
      </c>
      <c r="AX20">
        <f t="shared" si="4"/>
        <v>1088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0.06</v>
      </c>
      <c r="AZ20" s="30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-0.3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0.846</v>
      </c>
      <c r="BK20" s="24" cm="1">
        <f t="array" ref="BK20">1+$B$13+VLOOKUP($Q20,武学奇术!$A:$ZZ,18,FALSE)+SUM(_xlfn.XLOOKUP(R20:AF20,增益!$A:$A,增益!$R:$R,0))</f>
        <v>2.124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0.1371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0.846</v>
      </c>
      <c r="BO20" s="24">
        <f t="shared" si="10"/>
        <v>0.0168999999999999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0.11</v>
      </c>
    </row>
    <row r="21" ht="14.25" spans="1:69">
      <c r="A21" s="82" t="s">
        <v>138</v>
      </c>
      <c r="B21" s="83">
        <f>期望!B21</f>
        <v>0.32</v>
      </c>
      <c r="D21" s="37"/>
      <c r="F21" s="37"/>
      <c r="K21" s="36">
        <f t="shared" si="0"/>
        <v>306207.876672624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311393.270251752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293625.201927204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148707.387894819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79914.6262139322</v>
      </c>
      <c r="P21" s="37">
        <v>1</v>
      </c>
      <c r="Q21" s="38" t="s">
        <v>96</v>
      </c>
      <c r="R21" s="38" t="s">
        <v>92</v>
      </c>
      <c r="S21" s="38" t="s">
        <v>108</v>
      </c>
      <c r="T21" s="38" t="s">
        <v>72</v>
      </c>
      <c r="U21" s="38" t="s">
        <v>71</v>
      </c>
      <c r="V21" s="38" t="s">
        <v>139</v>
      </c>
      <c r="W21" s="38" t="s">
        <v>71</v>
      </c>
      <c r="X21" s="38" t="s">
        <v>118</v>
      </c>
      <c r="Y21" s="38" t="s">
        <v>71</v>
      </c>
      <c r="Z21" s="38" t="s">
        <v>71</v>
      </c>
      <c r="AA21" s="38" t="s">
        <v>71</v>
      </c>
      <c r="AB21" s="38" t="s">
        <v>71</v>
      </c>
      <c r="AC21" s="38" t="s">
        <v>71</v>
      </c>
      <c r="AD21" s="38" t="s">
        <v>71</v>
      </c>
      <c r="AE21" s="38" t="s">
        <v>74</v>
      </c>
      <c r="AF21" s="38" t="s">
        <v>98</v>
      </c>
      <c r="AG21" t="str">
        <f>VLOOKUP($Q21,武学奇术!$A:$ZZ,25,FALSE)</f>
        <v>陌刀</v>
      </c>
      <c r="AH21" s="24">
        <f>VLOOKUP($Q21,武学奇术!$A:$ZZ,26,FALSE)</f>
        <v>7.2368</v>
      </c>
      <c r="AI21" s="25">
        <f>VLOOKUP($Q21,武学奇术!$A:$ZZ,27,FALSE)*(1+IF(OR($AG21=$F$4,$AG21=$F$5),$B$22,0))</f>
        <v>2802.8</v>
      </c>
      <c r="AJ21" s="24">
        <f>VLOOKUP($Q21,武学奇术!$A:$ZZ,28,FALSE)</f>
        <v>10.8553</v>
      </c>
      <c r="AK21" s="25">
        <f>VLOOKUP($Q21,武学奇术!$A:$ZZ,29,FALSE)*(1+IF(OR($AG21=$F$4,$AG21=$F$5),$B$22,0))</f>
        <v>1526</v>
      </c>
      <c r="AL21" s="24" cm="1">
        <f t="array" ref="AL21">$G$3+IFERROR(VLOOKUP($AG21,$F$4:$G$7,2,FALSE),0)+VLOOKUP($Q21,武学奇术!$A:$ZZ,2,FALSE)+SUM(_xlfn.XLOOKUP($R21:$AF21,增益!$A:$A,增益!$B:$B,0))</f>
        <v>1.0041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1444.4</v>
      </c>
      <c r="AO21" cm="1">
        <f t="array" ref="AO21">$E$10*(1+$AM21)+VLOOKUP($Q21,武学奇术!$A:$ZZ,4,FALSE)+SUM(_xlfn.XLOOKUP($R21:$AF21,增益!$A:$A,增益!$D:$D,0))-$I$2</f>
        <v>5816.5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0.267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576.6</v>
      </c>
      <c r="AX21">
        <f t="shared" si="4"/>
        <v>1088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0.06</v>
      </c>
      <c r="AZ21" s="30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-0.3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0.846</v>
      </c>
      <c r="BK21" s="24" cm="1">
        <f t="array" ref="BK21">1+$B$13+VLOOKUP($Q21,武学奇术!$A:$ZZ,18,FALSE)+SUM(_xlfn.XLOOKUP(R21:AF21,增益!$A:$A,增益!$R:$R,0))</f>
        <v>2.094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0.1371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0.846</v>
      </c>
      <c r="BO21" s="24">
        <f t="shared" si="10"/>
        <v>0.0168999999999999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0.11</v>
      </c>
    </row>
    <row r="22" spans="1:69">
      <c r="A22" t="s">
        <v>140</v>
      </c>
      <c r="B22" s="26">
        <f>期望!B22</f>
        <v>0.4</v>
      </c>
      <c r="K22" s="36">
        <f t="shared" si="0"/>
        <v>613245.467478398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625604.926002568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576603.884715376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291793.342351944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156472.696025832</v>
      </c>
      <c r="P22" s="37">
        <v>3</v>
      </c>
      <c r="Q22" s="38" t="s">
        <v>102</v>
      </c>
      <c r="R22" s="38" t="s">
        <v>92</v>
      </c>
      <c r="S22" s="38" t="s">
        <v>108</v>
      </c>
      <c r="T22" s="38" t="s">
        <v>72</v>
      </c>
      <c r="U22" s="38" t="s">
        <v>71</v>
      </c>
      <c r="V22" s="38" t="s">
        <v>139</v>
      </c>
      <c r="W22" s="38" t="s">
        <v>71</v>
      </c>
      <c r="X22" s="38" t="s">
        <v>121</v>
      </c>
      <c r="Y22" s="38" t="s">
        <v>141</v>
      </c>
      <c r="Z22" s="38" t="s">
        <v>71</v>
      </c>
      <c r="AA22" s="38" t="s">
        <v>71</v>
      </c>
      <c r="AB22" s="38" t="s">
        <v>71</v>
      </c>
      <c r="AC22" s="38" t="s">
        <v>71</v>
      </c>
      <c r="AD22" s="38" t="s">
        <v>71</v>
      </c>
      <c r="AE22" s="38" t="s">
        <v>74</v>
      </c>
      <c r="AF22" s="38" t="s">
        <v>98</v>
      </c>
      <c r="AG22" t="str">
        <f>VLOOKUP($Q22,武学奇术!$A:$ZZ,25,FALSE)</f>
        <v>陌刀</v>
      </c>
      <c r="AH22" s="24">
        <f>VLOOKUP($Q22,武学奇术!$A:$ZZ,26,FALSE)</f>
        <v>4.2807</v>
      </c>
      <c r="AI22" s="25">
        <f>VLOOKUP($Q22,武学奇术!$A:$ZZ,27,FALSE)*(1+IF(OR($AG22=$F$4,$AG22=$F$5),$B$22,0))</f>
        <v>1657.6</v>
      </c>
      <c r="AJ22" s="24">
        <f>VLOOKUP($Q22,武学奇术!$A:$ZZ,28,FALSE)</f>
        <v>6.421</v>
      </c>
      <c r="AK22" s="25">
        <f>VLOOKUP($Q22,武学奇术!$A:$ZZ,29,FALSE)*(1+IF(OR($AG22=$F$4,$AG22=$F$5),$B$22,0))</f>
        <v>903</v>
      </c>
      <c r="AL22" s="24" cm="1">
        <f t="array" ref="AL22">$G$3+IFERROR(VLOOKUP($AG22,$F$4:$G$7,2,FALSE),0)+VLOOKUP($Q22,武学奇术!$A:$ZZ,2,FALSE)+SUM(_xlfn.XLOOKUP($R22:$AF22,增益!$A:$A,增益!$B:$B,0))</f>
        <v>1.0041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1444.4</v>
      </c>
      <c r="AO22" cm="1">
        <f t="array" ref="AO22">$E$10*(1+$AM22)+VLOOKUP($Q22,武学奇术!$A:$ZZ,4,FALSE)+SUM(_xlfn.XLOOKUP($R22:$AF22,增益!$A:$A,增益!$D:$D,0))-$I$2</f>
        <v>5816.5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0.292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576.6</v>
      </c>
      <c r="AX22">
        <f t="shared" si="4"/>
        <v>1088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0.06</v>
      </c>
      <c r="AZ22" s="30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-0.3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0.846</v>
      </c>
      <c r="BK22" s="24" cm="1">
        <f t="array" ref="BK22">1+$B$13+VLOOKUP($Q22,武学奇术!$A:$ZZ,18,FALSE)+SUM(_xlfn.XLOOKUP(R22:AF22,增益!$A:$A,增益!$R:$R,0))</f>
        <v>2.144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0.1371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0.846</v>
      </c>
      <c r="BO22" s="24">
        <f t="shared" si="10"/>
        <v>0.0168999999999999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0.21</v>
      </c>
    </row>
    <row r="23" spans="1:69">
      <c r="A23" s="37" t="s">
        <v>143</v>
      </c>
      <c r="B23" s="84">
        <f>期望!B23</f>
        <v>200</v>
      </c>
      <c r="K23" s="36">
        <f t="shared" si="0"/>
        <v>333794.171868356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339446.71802218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320077.922821547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162104.449867326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87114.1420890612</v>
      </c>
      <c r="P23" s="37">
        <v>1</v>
      </c>
      <c r="Q23" s="38" t="s">
        <v>96</v>
      </c>
      <c r="R23" s="38" t="s">
        <v>92</v>
      </c>
      <c r="S23" s="38" t="s">
        <v>108</v>
      </c>
      <c r="T23" s="38" t="s">
        <v>72</v>
      </c>
      <c r="U23" s="38" t="s">
        <v>71</v>
      </c>
      <c r="V23" s="38" t="s">
        <v>139</v>
      </c>
      <c r="W23" s="38" t="s">
        <v>71</v>
      </c>
      <c r="X23" s="38" t="s">
        <v>118</v>
      </c>
      <c r="Y23" s="38" t="s">
        <v>141</v>
      </c>
      <c r="Z23" s="38" t="s">
        <v>71</v>
      </c>
      <c r="AA23" s="38" t="s">
        <v>71</v>
      </c>
      <c r="AB23" s="38" t="s">
        <v>71</v>
      </c>
      <c r="AC23" s="38" t="s">
        <v>71</v>
      </c>
      <c r="AD23" s="38" t="s">
        <v>71</v>
      </c>
      <c r="AE23" s="38" t="s">
        <v>74</v>
      </c>
      <c r="AF23" s="38" t="s">
        <v>98</v>
      </c>
      <c r="AG23" t="str">
        <f>VLOOKUP($Q23,武学奇术!$A:$ZZ,25,FALSE)</f>
        <v>陌刀</v>
      </c>
      <c r="AH23" s="24">
        <f>VLOOKUP($Q23,武学奇术!$A:$ZZ,26,FALSE)</f>
        <v>7.2368</v>
      </c>
      <c r="AI23" s="25">
        <f>VLOOKUP($Q23,武学奇术!$A:$ZZ,27,FALSE)*(1+IF(OR($AG23=$F$4,$AG23=$F$5),$B$22,0))</f>
        <v>2802.8</v>
      </c>
      <c r="AJ23" s="24">
        <f>VLOOKUP($Q23,武学奇术!$A:$ZZ,28,FALSE)</f>
        <v>10.8553</v>
      </c>
      <c r="AK23" s="25">
        <f>VLOOKUP($Q23,武学奇术!$A:$ZZ,29,FALSE)*(1+IF(OR($AG23=$F$4,$AG23=$F$5),$B$22,0))</f>
        <v>1526</v>
      </c>
      <c r="AL23" s="24" cm="1">
        <f t="array" ref="AL23">$G$3+IFERROR(VLOOKUP($AG23,$F$4:$G$7,2,FALSE),0)+VLOOKUP($Q23,武学奇术!$A:$ZZ,2,FALSE)+SUM(_xlfn.XLOOKUP($R23:$AF23,增益!$A:$A,增益!$B:$B,0))</f>
        <v>1.0041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1444.4</v>
      </c>
      <c r="AO23" cm="1">
        <f t="array" ref="AO23">$E$10*(1+$AM23)+VLOOKUP($Q23,武学奇术!$A:$ZZ,4,FALSE)+SUM(_xlfn.XLOOKUP($R23:$AF23,增益!$A:$A,增益!$D:$D,0))-$I$2</f>
        <v>5816.5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0.267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576.6</v>
      </c>
      <c r="AX23">
        <f t="shared" si="4"/>
        <v>1088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0.06</v>
      </c>
      <c r="AZ23" s="30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-0.3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0.846</v>
      </c>
      <c r="BK23" s="24" cm="1">
        <f t="array" ref="BK23">1+$B$13+VLOOKUP($Q23,武学奇术!$A:$ZZ,18,FALSE)+SUM(_xlfn.XLOOKUP(R23:AF23,增益!$A:$A,增益!$R:$R,0))</f>
        <v>2.094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0.1371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0.846</v>
      </c>
      <c r="BO23" s="24">
        <f t="shared" si="10"/>
        <v>0.0168999999999999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0.21</v>
      </c>
    </row>
    <row r="24" spans="1:69">
      <c r="A24" s="37"/>
      <c r="B24" s="84">
        <f>期望!B24</f>
        <v>400</v>
      </c>
      <c r="K24" s="36">
        <f t="shared" si="0"/>
        <v>204415.155826133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208534.975334189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192201.294905125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97264.4474506479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52157.5653419439</v>
      </c>
      <c r="P24" s="37">
        <v>1</v>
      </c>
      <c r="Q24" s="38" t="s">
        <v>102</v>
      </c>
      <c r="R24" s="38" t="s">
        <v>92</v>
      </c>
      <c r="S24" s="38" t="s">
        <v>108</v>
      </c>
      <c r="T24" s="38" t="s">
        <v>72</v>
      </c>
      <c r="U24" s="38" t="s">
        <v>71</v>
      </c>
      <c r="V24" s="38" t="s">
        <v>139</v>
      </c>
      <c r="W24" s="38" t="s">
        <v>71</v>
      </c>
      <c r="X24" s="38" t="s">
        <v>121</v>
      </c>
      <c r="Y24" s="38" t="s">
        <v>141</v>
      </c>
      <c r="Z24" s="38" t="s">
        <v>71</v>
      </c>
      <c r="AA24" s="38" t="s">
        <v>71</v>
      </c>
      <c r="AB24" s="38" t="s">
        <v>71</v>
      </c>
      <c r="AC24" s="38" t="s">
        <v>71</v>
      </c>
      <c r="AD24" s="38" t="s">
        <v>71</v>
      </c>
      <c r="AE24" s="38" t="s">
        <v>74</v>
      </c>
      <c r="AF24" s="38" t="s">
        <v>98</v>
      </c>
      <c r="AG24" t="str">
        <f>VLOOKUP($Q24,武学奇术!$A:$ZZ,25,FALSE)</f>
        <v>陌刀</v>
      </c>
      <c r="AH24" s="24">
        <f>VLOOKUP($Q24,武学奇术!$A:$ZZ,26,FALSE)</f>
        <v>4.2807</v>
      </c>
      <c r="AI24" s="25">
        <f>VLOOKUP($Q24,武学奇术!$A:$ZZ,27,FALSE)*(1+IF(OR($AG24=$F$4,$AG24=$F$5),$B$22,0))</f>
        <v>1657.6</v>
      </c>
      <c r="AJ24" s="24">
        <f>VLOOKUP($Q24,武学奇术!$A:$ZZ,28,FALSE)</f>
        <v>6.421</v>
      </c>
      <c r="AK24" s="25">
        <f>VLOOKUP($Q24,武学奇术!$A:$ZZ,29,FALSE)*(1+IF(OR($AG24=$F$4,$AG24=$F$5),$B$22,0))</f>
        <v>903</v>
      </c>
      <c r="AL24" s="24" cm="1">
        <f t="array" ref="AL24">$G$3+IFERROR(VLOOKUP($AG24,$F$4:$G$7,2,FALSE),0)+VLOOKUP($Q24,武学奇术!$A:$ZZ,2,FALSE)+SUM(_xlfn.XLOOKUP($R24:$AF24,增益!$A:$A,增益!$B:$B,0))</f>
        <v>1.0041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1444.4</v>
      </c>
      <c r="AO24" cm="1">
        <f t="array" ref="AO24">$E$10*(1+$AM24)+VLOOKUP($Q24,武学奇术!$A:$ZZ,4,FALSE)+SUM(_xlfn.XLOOKUP($R24:$AF24,增益!$A:$A,增益!$D:$D,0))-$I$2</f>
        <v>5816.5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0.292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576.6</v>
      </c>
      <c r="AX24">
        <f t="shared" si="4"/>
        <v>1088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0.06</v>
      </c>
      <c r="AZ24" s="30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0.846</v>
      </c>
      <c r="BK24" s="24" cm="1">
        <f t="array" ref="BK24">1+$B$13+VLOOKUP($Q24,武学奇术!$A:$ZZ,18,FALSE)+SUM(_xlfn.XLOOKUP(R24:AF24,增益!$A:$A,增益!$R:$R,0))</f>
        <v>2.144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0.1371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0.846</v>
      </c>
      <c r="BO24" s="24">
        <f t="shared" si="10"/>
        <v>0.0168999999999999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0.21</v>
      </c>
    </row>
    <row r="25" spans="1:69">
      <c r="K25" s="36">
        <f t="shared" si="0"/>
        <v>13440.0976580169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15407.3532199387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15153.2120189607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7726.85718151389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4229.11286750134</v>
      </c>
      <c r="P25" s="37">
        <v>1</v>
      </c>
      <c r="Q25" s="38" t="s">
        <v>105</v>
      </c>
      <c r="R25" s="38" t="s">
        <v>92</v>
      </c>
      <c r="S25" s="38" t="s">
        <v>108</v>
      </c>
      <c r="T25" s="38" t="s">
        <v>72</v>
      </c>
      <c r="U25" s="38" t="s">
        <v>71</v>
      </c>
      <c r="V25" s="38" t="s">
        <v>139</v>
      </c>
      <c r="W25" s="38" t="s">
        <v>71</v>
      </c>
      <c r="X25" s="38" t="s">
        <v>118</v>
      </c>
      <c r="Y25" s="38" t="s">
        <v>141</v>
      </c>
      <c r="Z25" s="38" t="s">
        <v>71</v>
      </c>
      <c r="AA25" s="38" t="s">
        <v>71</v>
      </c>
      <c r="AB25" s="38" t="s">
        <v>71</v>
      </c>
      <c r="AC25" s="38" t="s">
        <v>71</v>
      </c>
      <c r="AD25" s="38" t="s">
        <v>71</v>
      </c>
      <c r="AE25" s="38" t="s">
        <v>74</v>
      </c>
      <c r="AF25" s="38" t="s">
        <v>98</v>
      </c>
      <c r="AG25" t="str">
        <f>VLOOKUP($Q25,武学奇术!$A:$ZZ,25,FALSE)</f>
        <v>枪</v>
      </c>
      <c r="AH25" s="24">
        <f>VLOOKUP($Q25,武学奇术!$A:$ZZ,26,FALSE)</f>
        <v>0.4843</v>
      </c>
      <c r="AI25" s="25">
        <f>VLOOKUP($Q25,武学奇术!$A:$ZZ,27,FALSE)*(1+IF(OR($AG25=$F$4,$AG25=$F$5),$B$22,0))</f>
        <v>187.6</v>
      </c>
      <c r="AJ25" s="24">
        <f>VLOOKUP($Q25,武学奇术!$A:$ZZ,28,FALSE)</f>
        <v>0.7264</v>
      </c>
      <c r="AK25" s="25">
        <f>VLOOKUP($Q25,武学奇术!$A:$ZZ,29,FALSE)*(1+IF(OR($AG25=$F$4,$AG25=$F$5),$B$22,0))</f>
        <v>102.2</v>
      </c>
      <c r="AL25" s="24" cm="1">
        <f t="array" ref="AL25">$G$3+IFERROR(VLOOKUP($AG25,$F$4:$G$7,2,FALSE),0)+VLOOKUP($Q25,武学奇术!$A:$ZZ,2,FALSE)+SUM(_xlfn.XLOOKUP($R25:$AF25,增益!$A:$A,增益!$B:$B,0))</f>
        <v>0.9189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1444.4</v>
      </c>
      <c r="AO25" cm="1">
        <f t="array" ref="AO25">$E$10*(1+$AM25)+VLOOKUP($Q25,武学奇术!$A:$ZZ,4,FALSE)+SUM(_xlfn.XLOOKUP($R25:$AF25,增益!$A:$A,增益!$D:$D,0))-$I$2</f>
        <v>5616.5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0.267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576.6</v>
      </c>
      <c r="AX25">
        <f t="shared" si="4"/>
        <v>1088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0.06</v>
      </c>
      <c r="AZ25" s="30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-0.3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0.6113</v>
      </c>
      <c r="BK25" s="24" cm="1">
        <f t="array" ref="BK25">1+$B$13+VLOOKUP($Q25,武学奇术!$A:$ZZ,18,FALSE)+SUM(_xlfn.XLOOKUP(R25:AF25,增益!$A:$A,增益!$R:$R,0))</f>
        <v>1.994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0.1371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0.6113</v>
      </c>
      <c r="BO25" s="24">
        <f t="shared" si="10"/>
        <v>0.2516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0.21</v>
      </c>
    </row>
    <row r="26" spans="1:69">
      <c r="A26" s="4" t="s">
        <v>144</v>
      </c>
      <c r="B26" s="4">
        <v>1.2</v>
      </c>
      <c r="C26" s="4"/>
      <c r="E26">
        <v>2.5</v>
      </c>
      <c r="K26" s="36">
        <f t="shared" si="0"/>
        <v>306207.876672624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311393.270251752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293625.201927204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148707.387894819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79914.6262139322</v>
      </c>
      <c r="P26" s="37">
        <v>1</v>
      </c>
      <c r="Q26" s="38" t="s">
        <v>96</v>
      </c>
      <c r="R26" s="38" t="s">
        <v>92</v>
      </c>
      <c r="S26" s="38" t="s">
        <v>108</v>
      </c>
      <c r="T26" s="38" t="s">
        <v>72</v>
      </c>
      <c r="U26" s="38" t="s">
        <v>71</v>
      </c>
      <c r="V26" s="38" t="s">
        <v>139</v>
      </c>
      <c r="W26" s="38" t="s">
        <v>71</v>
      </c>
      <c r="X26" s="38" t="s">
        <v>118</v>
      </c>
      <c r="Y26" s="38" t="s">
        <v>71</v>
      </c>
      <c r="Z26" s="38" t="s">
        <v>71</v>
      </c>
      <c r="AA26" s="38" t="s">
        <v>71</v>
      </c>
      <c r="AB26" s="38" t="s">
        <v>71</v>
      </c>
      <c r="AC26" s="38" t="s">
        <v>71</v>
      </c>
      <c r="AD26" s="38" t="s">
        <v>71</v>
      </c>
      <c r="AE26" s="38" t="s">
        <v>74</v>
      </c>
      <c r="AF26" s="38" t="s">
        <v>98</v>
      </c>
      <c r="AG26" t="str">
        <f>VLOOKUP($Q26,武学奇术!$A:$ZZ,25,FALSE)</f>
        <v>陌刀</v>
      </c>
      <c r="AH26" s="24">
        <f>VLOOKUP($Q26,武学奇术!$A:$ZZ,26,FALSE)</f>
        <v>7.2368</v>
      </c>
      <c r="AI26" s="25">
        <f>VLOOKUP($Q26,武学奇术!$A:$ZZ,27,FALSE)*(1+IF(OR($AG26=$F$4,$AG26=$F$5),$B$22,0))</f>
        <v>2802.8</v>
      </c>
      <c r="AJ26" s="24">
        <f>VLOOKUP($Q26,武学奇术!$A:$ZZ,28,FALSE)</f>
        <v>10.8553</v>
      </c>
      <c r="AK26" s="25">
        <f>VLOOKUP($Q26,武学奇术!$A:$ZZ,29,FALSE)*(1+IF(OR($AG26=$F$4,$AG26=$F$5),$B$22,0))</f>
        <v>1526</v>
      </c>
      <c r="AL26" s="24" cm="1">
        <f t="array" ref="AL26">$G$3+IFERROR(VLOOKUP($AG26,$F$4:$G$7,2,FALSE),0)+VLOOKUP($Q26,武学奇术!$A:$ZZ,2,FALSE)+SUM(_xlfn.XLOOKUP($R26:$AF26,增益!$A:$A,增益!$B:$B,0))</f>
        <v>1.0041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1444.4</v>
      </c>
      <c r="AO26" cm="1">
        <f t="array" ref="AO26">$E$10*(1+$AM26)+VLOOKUP($Q26,武学奇术!$A:$ZZ,4,FALSE)+SUM(_xlfn.XLOOKUP($R26:$AF26,增益!$A:$A,增益!$D:$D,0))-$I$2</f>
        <v>5816.5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0.267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576.6</v>
      </c>
      <c r="AX26">
        <f t="shared" si="4"/>
        <v>1088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0.06</v>
      </c>
      <c r="AZ26" s="30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0.846</v>
      </c>
      <c r="BK26" s="24" cm="1">
        <f t="array" ref="BK26">1+$B$13+VLOOKUP($Q26,武学奇术!$A:$ZZ,18,FALSE)+SUM(_xlfn.XLOOKUP(R26:AF26,增益!$A:$A,增益!$R:$R,0))</f>
        <v>2.094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0.1371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0.846</v>
      </c>
      <c r="BO26" s="24">
        <f t="shared" si="10"/>
        <v>0.0168999999999999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0.11</v>
      </c>
    </row>
    <row r="27" spans="1:69">
      <c r="A27" s="4" t="s">
        <v>145</v>
      </c>
      <c r="B27" s="4">
        <v>1.3</v>
      </c>
      <c r="C27" s="4"/>
      <c r="E27">
        <v>20</v>
      </c>
      <c r="K27" s="36">
        <f t="shared" si="0"/>
        <v>187521.341295047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191300.679852025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176316.890367512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89226.0633638175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47847.0227517006</v>
      </c>
      <c r="P27" s="37">
        <v>1</v>
      </c>
      <c r="Q27" s="38" t="s">
        <v>102</v>
      </c>
      <c r="R27" s="38" t="s">
        <v>92</v>
      </c>
      <c r="S27" s="38" t="s">
        <v>108</v>
      </c>
      <c r="T27" s="38" t="s">
        <v>72</v>
      </c>
      <c r="U27" s="38" t="s">
        <v>71</v>
      </c>
      <c r="V27" s="38" t="s">
        <v>139</v>
      </c>
      <c r="W27" s="38" t="s">
        <v>71</v>
      </c>
      <c r="X27" s="38" t="s">
        <v>121</v>
      </c>
      <c r="Y27" s="38" t="s">
        <v>71</v>
      </c>
      <c r="Z27" s="38" t="s">
        <v>71</v>
      </c>
      <c r="AA27" s="38" t="s">
        <v>71</v>
      </c>
      <c r="AB27" s="38" t="s">
        <v>71</v>
      </c>
      <c r="AC27" s="38" t="s">
        <v>71</v>
      </c>
      <c r="AD27" s="38" t="s">
        <v>71</v>
      </c>
      <c r="AE27" s="38" t="s">
        <v>74</v>
      </c>
      <c r="AF27" s="38" t="s">
        <v>98</v>
      </c>
      <c r="AG27" t="str">
        <f>VLOOKUP($Q27,武学奇术!$A:$ZZ,25,FALSE)</f>
        <v>陌刀</v>
      </c>
      <c r="AH27" s="24">
        <f>VLOOKUP($Q27,武学奇术!$A:$ZZ,26,FALSE)</f>
        <v>4.2807</v>
      </c>
      <c r="AI27" s="25">
        <f>VLOOKUP($Q27,武学奇术!$A:$ZZ,27,FALSE)*(1+IF(OR($AG27=$F$4,$AG27=$F$5),$B$22,0))</f>
        <v>1657.6</v>
      </c>
      <c r="AJ27" s="24">
        <f>VLOOKUP($Q27,武学奇术!$A:$ZZ,28,FALSE)</f>
        <v>6.421</v>
      </c>
      <c r="AK27" s="25">
        <f>VLOOKUP($Q27,武学奇术!$A:$ZZ,29,FALSE)*(1+IF(OR($AG27=$F$4,$AG27=$F$5),$B$22,0))</f>
        <v>903</v>
      </c>
      <c r="AL27" s="24" cm="1">
        <f t="array" ref="AL27">$G$3+IFERROR(VLOOKUP($AG27,$F$4:$G$7,2,FALSE),0)+VLOOKUP($Q27,武学奇术!$A:$ZZ,2,FALSE)+SUM(_xlfn.XLOOKUP($R27:$AF27,增益!$A:$A,增益!$B:$B,0))</f>
        <v>1.0041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1444.4</v>
      </c>
      <c r="AO27" cm="1">
        <f t="array" ref="AO27">$E$10*(1+$AM27)+VLOOKUP($Q27,武学奇术!$A:$ZZ,4,FALSE)+SUM(_xlfn.XLOOKUP($R27:$AF27,增益!$A:$A,增益!$D:$D,0))-$I$2</f>
        <v>5816.5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0.292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576.6</v>
      </c>
      <c r="AX27">
        <f t="shared" si="4"/>
        <v>1088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0.06</v>
      </c>
      <c r="AZ27" s="30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0.846</v>
      </c>
      <c r="BK27" s="24" cm="1">
        <f t="array" ref="BK27">1+$B$13+VLOOKUP($Q27,武学奇术!$A:$ZZ,18,FALSE)+SUM(_xlfn.XLOOKUP(R27:AF27,增益!$A:$A,增益!$R:$R,0))</f>
        <v>2.144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0.1371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0.846</v>
      </c>
      <c r="BO27" s="24">
        <f t="shared" si="10"/>
        <v>0.0168999999999999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0.11</v>
      </c>
    </row>
    <row r="28" spans="1:69">
      <c r="A28" s="4" t="s">
        <v>146</v>
      </c>
      <c r="B28" s="4">
        <v>2</v>
      </c>
      <c r="C28" s="37" t="s">
        <v>147</v>
      </c>
      <c r="E28">
        <v>40</v>
      </c>
      <c r="K28" s="36">
        <f t="shared" si="0"/>
        <v>6273.54492624501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7192.25344651838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7070.841625044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3606.94756595706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1976.23466891856</v>
      </c>
      <c r="P28" s="37">
        <v>1</v>
      </c>
      <c r="Q28" s="38" t="s">
        <v>148</v>
      </c>
      <c r="R28" s="38" t="s">
        <v>92</v>
      </c>
      <c r="S28" s="38" t="s">
        <v>108</v>
      </c>
      <c r="T28" s="38" t="s">
        <v>72</v>
      </c>
      <c r="U28" s="38" t="s">
        <v>71</v>
      </c>
      <c r="V28" s="38" t="s">
        <v>139</v>
      </c>
      <c r="W28" s="38" t="s">
        <v>71</v>
      </c>
      <c r="X28" s="38" t="s">
        <v>118</v>
      </c>
      <c r="Y28" s="38" t="s">
        <v>71</v>
      </c>
      <c r="Z28" s="38" t="s">
        <v>71</v>
      </c>
      <c r="AA28" s="38" t="s">
        <v>71</v>
      </c>
      <c r="AB28" s="38" t="s">
        <v>71</v>
      </c>
      <c r="AC28" s="38" t="s">
        <v>71</v>
      </c>
      <c r="AD28" s="38" t="s">
        <v>71</v>
      </c>
      <c r="AE28" s="38" t="s">
        <v>74</v>
      </c>
      <c r="AF28" s="38" t="s">
        <v>71</v>
      </c>
      <c r="AG28" t="str">
        <f>VLOOKUP($Q28,武学奇术!$A:$ZZ,25,FALSE)</f>
        <v>枪</v>
      </c>
      <c r="AH28" s="24">
        <f>VLOOKUP($Q28,武学奇术!$A:$ZZ,26,FALSE)</f>
        <v>0.3151</v>
      </c>
      <c r="AI28" s="25">
        <f>VLOOKUP($Q28,武学奇术!$A:$ZZ,27,FALSE)*(1+IF(OR($AG28=$F$4,$AG28=$F$5),$B$22,0))</f>
        <v>123.2</v>
      </c>
      <c r="AJ28" s="24">
        <f>VLOOKUP($Q28,武学奇术!$A:$ZZ,28,FALSE)</f>
        <v>0.4726</v>
      </c>
      <c r="AK28" s="25">
        <f>VLOOKUP($Q28,武学奇术!$A:$ZZ,29,FALSE)*(1+IF(OR($AG28=$F$4,$AG28=$F$5),$B$22,0))</f>
        <v>67.2</v>
      </c>
      <c r="AL28" s="24" cm="1">
        <f t="array" ref="AL28">$G$3+IFERROR(VLOOKUP($AG28,$F$4:$G$7,2,FALSE),0)+VLOOKUP($Q28,武学奇术!$A:$ZZ,2,FALSE)+SUM(_xlfn.XLOOKUP($R28:$AF28,增益!$A:$A,增益!$B:$B,0))</f>
        <v>0.4989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1444.4</v>
      </c>
      <c r="AO28" cm="1">
        <f t="array" ref="AO28">$E$10*(1+$AM28)+VLOOKUP($Q28,武学奇术!$A:$ZZ,4,FALSE)+SUM(_xlfn.XLOOKUP($R28:$AF28,增益!$A:$A,增益!$D:$D,0))-$I$2</f>
        <v>5616.5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0.267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576.6</v>
      </c>
      <c r="AX28">
        <f t="shared" si="4"/>
        <v>1088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0.06</v>
      </c>
      <c r="AZ28" s="30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0.6113</v>
      </c>
      <c r="BK28" s="24" cm="1">
        <f t="array" ref="BK28">1+$B$13+VLOOKUP($Q28,武学奇术!$A:$ZZ,18,FALSE)+SUM(_xlfn.XLOOKUP(R28:AF28,增益!$A:$A,增益!$R:$R,0))</f>
        <v>1.994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0.1371</v>
      </c>
      <c r="BM28" s="24" cm="1">
        <f t="array" ref="BM28">1+$B$14+VLOOKUP($Q28,武学奇术!$A:$ZZ,20,FALSE)+SUM(_xlfn.XLOOKUP(R28:AF28,增益!$A:$A,增益!$T:$T,0))</f>
        <v>1.35</v>
      </c>
      <c r="BN28" s="24">
        <f t="shared" si="9"/>
        <v>0.6113</v>
      </c>
      <c r="BO28" s="24">
        <f t="shared" si="10"/>
        <v>0.2516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0.11</v>
      </c>
    </row>
    <row r="29" spans="1:69">
      <c r="A29" s="4" t="s">
        <v>149</v>
      </c>
      <c r="B29" s="4">
        <v>1.66</v>
      </c>
      <c r="C29" s="37"/>
      <c r="E29">
        <v>60</v>
      </c>
      <c r="K29" s="36">
        <f t="shared" si="0"/>
        <v>612415.753345249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622786.540503504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587250.403854408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297414.775789639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159829.252427864</v>
      </c>
      <c r="P29" s="37">
        <v>2</v>
      </c>
      <c r="Q29" s="38" t="s">
        <v>96</v>
      </c>
      <c r="R29" s="38" t="s">
        <v>92</v>
      </c>
      <c r="S29" s="38" t="s">
        <v>108</v>
      </c>
      <c r="T29" s="38" t="s">
        <v>72</v>
      </c>
      <c r="U29" s="38" t="s">
        <v>71</v>
      </c>
      <c r="V29" s="38" t="s">
        <v>139</v>
      </c>
      <c r="W29" s="38" t="s">
        <v>71</v>
      </c>
      <c r="X29" s="38" t="s">
        <v>118</v>
      </c>
      <c r="Y29" s="38" t="s">
        <v>71</v>
      </c>
      <c r="Z29" s="38" t="s">
        <v>71</v>
      </c>
      <c r="AA29" s="38" t="s">
        <v>71</v>
      </c>
      <c r="AB29" s="38" t="s">
        <v>71</v>
      </c>
      <c r="AC29" s="38" t="s">
        <v>71</v>
      </c>
      <c r="AD29" s="38" t="s">
        <v>71</v>
      </c>
      <c r="AE29" s="38" t="s">
        <v>74</v>
      </c>
      <c r="AF29" s="38" t="s">
        <v>98</v>
      </c>
      <c r="AG29" t="str">
        <f>VLOOKUP($Q29,武学奇术!$A:$ZZ,25,FALSE)</f>
        <v>陌刀</v>
      </c>
      <c r="AH29" s="24">
        <f>VLOOKUP($Q29,武学奇术!$A:$ZZ,26,FALSE)</f>
        <v>7.2368</v>
      </c>
      <c r="AI29" s="25">
        <f>VLOOKUP($Q29,武学奇术!$A:$ZZ,27,FALSE)*(1+IF(OR($AG29=$F$4,$AG29=$F$5),$B$22,0))</f>
        <v>2802.8</v>
      </c>
      <c r="AJ29" s="24">
        <f>VLOOKUP($Q29,武学奇术!$A:$ZZ,28,FALSE)</f>
        <v>10.8553</v>
      </c>
      <c r="AK29" s="25">
        <f>VLOOKUP($Q29,武学奇术!$A:$ZZ,29,FALSE)*(1+IF(OR($AG29=$F$4,$AG29=$F$5),$B$22,0))</f>
        <v>1526</v>
      </c>
      <c r="AL29" s="24" cm="1">
        <f t="array" ref="AL29">$G$3+IFERROR(VLOOKUP($AG29,$F$4:$G$7,2,FALSE),0)+VLOOKUP($Q29,武学奇术!$A:$ZZ,2,FALSE)+SUM(_xlfn.XLOOKUP($R29:$AF29,增益!$A:$A,增益!$B:$B,0))</f>
        <v>1.0041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1444.4</v>
      </c>
      <c r="AO29" cm="1">
        <f t="array" ref="AO29">$E$10*(1+$AM29)+VLOOKUP($Q29,武学奇术!$A:$ZZ,4,FALSE)+SUM(_xlfn.XLOOKUP($R29:$AF29,增益!$A:$A,增益!$D:$D,0))-$I$2</f>
        <v>5816.5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576.6</v>
      </c>
      <c r="AX29">
        <f t="shared" si="4"/>
        <v>1088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0.06</v>
      </c>
      <c r="AZ29" s="30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0.846</v>
      </c>
      <c r="BK29" s="24" cm="1">
        <f t="array" ref="BK29">1+$B$13+VLOOKUP($Q29,武学奇术!$A:$ZZ,18,FALSE)+SUM(_xlfn.XLOOKUP(R29:AF29,增益!$A:$A,增益!$R:$R,0))</f>
        <v>2.094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0.1371</v>
      </c>
      <c r="BM29" s="24" cm="1">
        <f t="array" ref="BM29">1+$B$14+VLOOKUP($Q29,武学奇术!$A:$ZZ,20,FALSE)+SUM(_xlfn.XLOOKUP(R29:AF29,增益!$A:$A,增益!$T:$T,0))</f>
        <v>1.35</v>
      </c>
      <c r="BN29" s="24">
        <f t="shared" si="9"/>
        <v>0.846</v>
      </c>
      <c r="BO29" s="24">
        <f t="shared" si="10"/>
        <v>0.0168999999999999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0.11</v>
      </c>
    </row>
    <row r="30" spans="1:69">
      <c r="A30" s="4" t="s">
        <v>150</v>
      </c>
      <c r="B30" s="4">
        <v>1.33</v>
      </c>
      <c r="C30" s="37"/>
      <c r="E30">
        <v>81</v>
      </c>
      <c r="K30" s="36">
        <f t="shared" si="0"/>
        <v>375042.682590095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382601.35970405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352633.780735023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178452.126727635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95694.0455034012</v>
      </c>
      <c r="P30" s="37">
        <v>2</v>
      </c>
      <c r="Q30" s="38" t="s">
        <v>102</v>
      </c>
      <c r="R30" s="38" t="s">
        <v>92</v>
      </c>
      <c r="S30" s="38" t="s">
        <v>108</v>
      </c>
      <c r="T30" s="38" t="s">
        <v>72</v>
      </c>
      <c r="U30" s="38" t="s">
        <v>71</v>
      </c>
      <c r="V30" s="38" t="s">
        <v>139</v>
      </c>
      <c r="W30" s="38" t="s">
        <v>71</v>
      </c>
      <c r="X30" s="38" t="s">
        <v>121</v>
      </c>
      <c r="Y30" s="38" t="s">
        <v>71</v>
      </c>
      <c r="Z30" s="38" t="s">
        <v>71</v>
      </c>
      <c r="AA30" s="38" t="s">
        <v>71</v>
      </c>
      <c r="AB30" s="38" t="s">
        <v>71</v>
      </c>
      <c r="AC30" s="38" t="s">
        <v>71</v>
      </c>
      <c r="AD30" s="38" t="s">
        <v>71</v>
      </c>
      <c r="AE30" s="38" t="s">
        <v>74</v>
      </c>
      <c r="AF30" s="38" t="s">
        <v>98</v>
      </c>
      <c r="AG30" t="str">
        <f>VLOOKUP($Q30,武学奇术!$A:$ZZ,25,FALSE)</f>
        <v>陌刀</v>
      </c>
      <c r="AH30" s="24">
        <f>VLOOKUP($Q30,武学奇术!$A:$ZZ,26,FALSE)</f>
        <v>4.2807</v>
      </c>
      <c r="AI30" s="25">
        <f>VLOOKUP($Q30,武学奇术!$A:$ZZ,27,FALSE)*(1+IF(OR($AG30=$F$4,$AG30=$F$5),$B$22,0))</f>
        <v>1657.6</v>
      </c>
      <c r="AJ30" s="24">
        <f>VLOOKUP($Q30,武学奇术!$A:$ZZ,28,FALSE)</f>
        <v>6.421</v>
      </c>
      <c r="AK30" s="25">
        <f>VLOOKUP($Q30,武学奇术!$A:$ZZ,29,FALSE)*(1+IF(OR($AG30=$F$4,$AG30=$F$5),$B$22,0))</f>
        <v>903</v>
      </c>
      <c r="AL30" s="24" cm="1">
        <f t="array" ref="AL30">$G$3+IFERROR(VLOOKUP($AG30,$F$4:$G$7,2,FALSE),0)+VLOOKUP($Q30,武学奇术!$A:$ZZ,2,FALSE)+SUM(_xlfn.XLOOKUP($R30:$AF30,增益!$A:$A,增益!$B:$B,0))</f>
        <v>1.0041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1444.4</v>
      </c>
      <c r="AO30" cm="1">
        <f t="array" ref="AO30">$E$10*(1+$AM30)+VLOOKUP($Q30,武学奇术!$A:$ZZ,4,FALSE)+SUM(_xlfn.XLOOKUP($R30:$AF30,增益!$A:$A,增益!$D:$D,0))-$I$2</f>
        <v>5816.5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0.292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576.6</v>
      </c>
      <c r="AX30">
        <f t="shared" si="4"/>
        <v>1088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0.06</v>
      </c>
      <c r="AZ30" s="30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0.846</v>
      </c>
      <c r="BK30" s="24" cm="1">
        <f t="array" ref="BK30">1+$B$13+VLOOKUP($Q30,武学奇术!$A:$ZZ,18,FALSE)+SUM(_xlfn.XLOOKUP(R30:AF30,增益!$A:$A,增益!$R:$R,0))</f>
        <v>2.144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0.1371</v>
      </c>
      <c r="BM30" s="24" cm="1">
        <f t="array" ref="BM30">1+$B$14+VLOOKUP($Q30,武学奇术!$A:$ZZ,20,FALSE)+SUM(_xlfn.XLOOKUP(R30:AF30,增益!$A:$A,增益!$T:$T,0))</f>
        <v>1.35</v>
      </c>
      <c r="BN30" s="24">
        <f t="shared" si="9"/>
        <v>0.846</v>
      </c>
      <c r="BO30" s="24">
        <f t="shared" si="10"/>
        <v>0.0168999999999999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0.11</v>
      </c>
    </row>
    <row r="31" spans="1:69">
      <c r="A31" s="4" t="s">
        <v>69</v>
      </c>
      <c r="B31" s="4">
        <v>0.5</v>
      </c>
      <c r="C31" s="37"/>
      <c r="K31" s="36">
        <f t="shared" si="0"/>
        <v>8602.7208672384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9861.91934215724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9699.24896069804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4945.79706226542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2706.96526475451</v>
      </c>
      <c r="P31" s="37">
        <v>1</v>
      </c>
      <c r="Q31" s="38" t="s">
        <v>105</v>
      </c>
      <c r="R31" s="38" t="s">
        <v>92</v>
      </c>
      <c r="S31" s="38" t="s">
        <v>71</v>
      </c>
      <c r="T31" s="38" t="s">
        <v>72</v>
      </c>
      <c r="U31" s="38" t="s">
        <v>71</v>
      </c>
      <c r="V31" s="38" t="s">
        <v>139</v>
      </c>
      <c r="W31" s="38" t="s">
        <v>71</v>
      </c>
      <c r="X31" s="38" t="s">
        <v>118</v>
      </c>
      <c r="Y31" s="38" t="s">
        <v>71</v>
      </c>
      <c r="Z31" s="38" t="s">
        <v>71</v>
      </c>
      <c r="AA31" s="38" t="s">
        <v>71</v>
      </c>
      <c r="AB31" s="38" t="s">
        <v>71</v>
      </c>
      <c r="AC31" s="38" t="s">
        <v>71</v>
      </c>
      <c r="AD31" s="38" t="s">
        <v>71</v>
      </c>
      <c r="AE31" s="38" t="s">
        <v>74</v>
      </c>
      <c r="AF31" s="38" t="s">
        <v>71</v>
      </c>
      <c r="AG31" t="str">
        <f>VLOOKUP($Q31,武学奇术!$A:$ZZ,25,FALSE)</f>
        <v>枪</v>
      </c>
      <c r="AH31" s="24">
        <f>VLOOKUP($Q31,武学奇术!$A:$ZZ,26,FALSE)</f>
        <v>0.4843</v>
      </c>
      <c r="AI31" s="25">
        <f>VLOOKUP($Q31,武学奇术!$A:$ZZ,27,FALSE)*(1+IF(OR($AG31=$F$4,$AG31=$F$5),$B$22,0))</f>
        <v>187.6</v>
      </c>
      <c r="AJ31" s="24">
        <f>VLOOKUP($Q31,武学奇术!$A:$ZZ,28,FALSE)</f>
        <v>0.7264</v>
      </c>
      <c r="AK31" s="25">
        <f>VLOOKUP($Q31,武学奇术!$A:$ZZ,29,FALSE)*(1+IF(OR($AG31=$F$4,$AG31=$F$5),$B$22,0))</f>
        <v>102.2</v>
      </c>
      <c r="AL31" s="24" cm="1">
        <f t="array" ref="AL31">$G$3+IFERROR(VLOOKUP($AG31,$F$4:$G$7,2,FALSE),0)+VLOOKUP($Q31,武学奇术!$A:$ZZ,2,FALSE)+SUM(_xlfn.XLOOKUP($R31:$AF31,增益!$A:$A,增益!$B:$B,0))</f>
        <v>0.3389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1444.4</v>
      </c>
      <c r="AO31" cm="1">
        <f t="array" ref="AO31">$E$10*(1+$AM31)+VLOOKUP($Q31,武学奇术!$A:$ZZ,4,FALSE)+SUM(_xlfn.XLOOKUP($R31:$AF31,增益!$A:$A,增益!$D:$D,0))-$I$2</f>
        <v>5616.5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0.267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576.6</v>
      </c>
      <c r="AX31">
        <f t="shared" si="4"/>
        <v>1088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0.06</v>
      </c>
      <c r="AZ31" s="30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0.6113</v>
      </c>
      <c r="BK31" s="24" cm="1">
        <f t="array" ref="BK31">1+$B$13+VLOOKUP($Q31,武学奇术!$A:$ZZ,18,FALSE)+SUM(_xlfn.XLOOKUP(R31:AF31,增益!$A:$A,增益!$R:$R,0))</f>
        <v>1.994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0.1371</v>
      </c>
      <c r="BM31" s="24" cm="1">
        <f t="array" ref="BM31">1+$B$14+VLOOKUP($Q31,武学奇术!$A:$ZZ,20,FALSE)+SUM(_xlfn.XLOOKUP(R31:AF31,增益!$A:$A,增益!$T:$T,0))</f>
        <v>1.35</v>
      </c>
      <c r="BN31" s="24">
        <f t="shared" si="9"/>
        <v>0.6113</v>
      </c>
      <c r="BO31" s="24">
        <f t="shared" si="10"/>
        <v>0.2516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0.11</v>
      </c>
    </row>
    <row r="32" spans="1:69">
      <c r="A32" s="4" t="s">
        <v>151</v>
      </c>
      <c r="B32" s="4">
        <v>1.4</v>
      </c>
      <c r="C32" s="37"/>
      <c r="K32" s="36">
        <f t="shared" si="0"/>
        <v>287336.909148772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289087.162067529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293625.201927204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148707.387894819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79914.6262139322</v>
      </c>
      <c r="P32" s="37">
        <v>1</v>
      </c>
      <c r="Q32" s="38" t="s">
        <v>96</v>
      </c>
      <c r="R32" s="38" t="s">
        <v>92</v>
      </c>
      <c r="S32" s="38" t="s">
        <v>108</v>
      </c>
      <c r="T32" s="38" t="s">
        <v>71</v>
      </c>
      <c r="U32" s="38" t="s">
        <v>71</v>
      </c>
      <c r="V32" s="38" t="s">
        <v>139</v>
      </c>
      <c r="W32" s="38" t="s">
        <v>71</v>
      </c>
      <c r="X32" s="38" t="s">
        <v>118</v>
      </c>
      <c r="Y32" s="38" t="s">
        <v>71</v>
      </c>
      <c r="Z32" s="38" t="s">
        <v>71</v>
      </c>
      <c r="AA32" s="38" t="s">
        <v>71</v>
      </c>
      <c r="AB32" s="38" t="s">
        <v>71</v>
      </c>
      <c r="AC32" s="38" t="s">
        <v>71</v>
      </c>
      <c r="AD32" s="38" t="s">
        <v>71</v>
      </c>
      <c r="AE32" s="38" t="s">
        <v>74</v>
      </c>
      <c r="AF32" s="38" t="s">
        <v>98</v>
      </c>
      <c r="AG32" t="str">
        <f>VLOOKUP($Q32,武学奇术!$A:$ZZ,25,FALSE)</f>
        <v>陌刀</v>
      </c>
      <c r="AH32" s="24">
        <f>VLOOKUP($Q32,武学奇术!$A:$ZZ,26,FALSE)</f>
        <v>7.2368</v>
      </c>
      <c r="AI32" s="25">
        <f>VLOOKUP($Q32,武学奇术!$A:$ZZ,27,FALSE)*(1+IF(OR($AG32=$F$4,$AG32=$F$5),$B$22,0))</f>
        <v>2802.8</v>
      </c>
      <c r="AJ32" s="24">
        <f>VLOOKUP($Q32,武学奇术!$A:$ZZ,28,FALSE)</f>
        <v>10.8553</v>
      </c>
      <c r="AK32" s="25">
        <f>VLOOKUP($Q32,武学奇术!$A:$ZZ,29,FALSE)*(1+IF(OR($AG32=$F$4,$AG32=$F$5),$B$22,0))</f>
        <v>1526</v>
      </c>
      <c r="AL32" s="24" cm="1">
        <f t="array" ref="AL32">$G$3+IFERROR(VLOOKUP($AG32,$F$4:$G$7,2,FALSE),0)+VLOOKUP($Q32,武学奇术!$A:$ZZ,2,FALSE)+SUM(_xlfn.XLOOKUP($R32:$AF32,增益!$A:$A,增益!$B:$B,0))</f>
        <v>1.0041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1444.4</v>
      </c>
      <c r="AO32" cm="1">
        <f t="array" ref="AO32">$E$10*(1+$AM32)+VLOOKUP($Q32,武学奇术!$A:$ZZ,4,FALSE)+SUM(_xlfn.XLOOKUP($R32:$AF32,增益!$A:$A,增益!$D:$D,0))-$I$2</f>
        <v>5816.5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0.267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576.6</v>
      </c>
      <c r="AX32">
        <f t="shared" si="4"/>
        <v>1088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0.06</v>
      </c>
      <c r="AZ32" s="30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0.846</v>
      </c>
      <c r="BK32" s="24" cm="1">
        <f t="array" ref="BK32">1+$B$13+VLOOKUP($Q32,武学奇术!$A:$ZZ,18,FALSE)+SUM(_xlfn.XLOOKUP(R32:AF32,增益!$A:$A,增益!$R:$R,0))</f>
        <v>1.944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0.1371</v>
      </c>
      <c r="BM32" s="24" cm="1">
        <f t="array" ref="BM32">1+$B$14+VLOOKUP($Q32,武学奇术!$A:$ZZ,20,FALSE)+SUM(_xlfn.XLOOKUP(R32:AF32,增益!$A:$A,增益!$T:$T,0))</f>
        <v>1.35</v>
      </c>
      <c r="BN32" s="24">
        <f t="shared" si="9"/>
        <v>0.846</v>
      </c>
      <c r="BO32" s="24">
        <f t="shared" si="10"/>
        <v>0.0168999999999999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0.11</v>
      </c>
    </row>
    <row r="33" spans="1:69">
      <c r="A33" s="4" t="s">
        <v>149</v>
      </c>
      <c r="B33" s="4">
        <v>1.66</v>
      </c>
      <c r="C33" s="37"/>
      <c r="K33" s="36">
        <f t="shared" si="0"/>
        <v>176198.553854179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177916.770347452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176316.890367512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89226.0633638175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47847.0227517006</v>
      </c>
      <c r="P33" s="37">
        <v>1</v>
      </c>
      <c r="Q33" s="38" t="s">
        <v>102</v>
      </c>
      <c r="R33" s="38" t="s">
        <v>92</v>
      </c>
      <c r="S33" s="38" t="s">
        <v>108</v>
      </c>
      <c r="T33" s="38" t="s">
        <v>71</v>
      </c>
      <c r="U33" s="38" t="s">
        <v>71</v>
      </c>
      <c r="V33" s="38" t="s">
        <v>139</v>
      </c>
      <c r="W33" s="38" t="s">
        <v>71</v>
      </c>
      <c r="X33" s="38" t="s">
        <v>121</v>
      </c>
      <c r="Y33" s="38" t="s">
        <v>71</v>
      </c>
      <c r="Z33" s="38" t="s">
        <v>71</v>
      </c>
      <c r="AA33" s="38" t="s">
        <v>71</v>
      </c>
      <c r="AB33" s="38" t="s">
        <v>71</v>
      </c>
      <c r="AC33" s="38" t="s">
        <v>71</v>
      </c>
      <c r="AD33" s="38" t="s">
        <v>71</v>
      </c>
      <c r="AE33" s="38" t="s">
        <v>74</v>
      </c>
      <c r="AF33" s="38" t="s">
        <v>98</v>
      </c>
      <c r="AG33" t="str">
        <f>VLOOKUP($Q33,武学奇术!$A:$ZZ,25,FALSE)</f>
        <v>陌刀</v>
      </c>
      <c r="AH33" s="24">
        <f>VLOOKUP($Q33,武学奇术!$A:$ZZ,26,FALSE)</f>
        <v>4.2807</v>
      </c>
      <c r="AI33" s="25">
        <f>VLOOKUP($Q33,武学奇术!$A:$ZZ,27,FALSE)*(1+IF(OR($AG33=$F$4,$AG33=$F$5),$B$22,0))</f>
        <v>1657.6</v>
      </c>
      <c r="AJ33" s="24">
        <f>VLOOKUP($Q33,武学奇术!$A:$ZZ,28,FALSE)</f>
        <v>6.421</v>
      </c>
      <c r="AK33" s="25">
        <f>VLOOKUP($Q33,武学奇术!$A:$ZZ,29,FALSE)*(1+IF(OR($AG33=$F$4,$AG33=$F$5),$B$22,0))</f>
        <v>903</v>
      </c>
      <c r="AL33" s="24" cm="1">
        <f t="array" ref="AL33">$G$3+IFERROR(VLOOKUP($AG33,$F$4:$G$7,2,FALSE),0)+VLOOKUP($Q33,武学奇术!$A:$ZZ,2,FALSE)+SUM(_xlfn.XLOOKUP($R33:$AF33,增益!$A:$A,增益!$B:$B,0))</f>
        <v>1.0041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1444.4</v>
      </c>
      <c r="AO33" cm="1">
        <f t="array" ref="AO33">$E$10*(1+$AM33)+VLOOKUP($Q33,武学奇术!$A:$ZZ,4,FALSE)+SUM(_xlfn.XLOOKUP($R33:$AF33,增益!$A:$A,增益!$D:$D,0))-$I$2</f>
        <v>5816.5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0.292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576.6</v>
      </c>
      <c r="AX33">
        <f t="shared" si="4"/>
        <v>1088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0.06</v>
      </c>
      <c r="AZ33" s="30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0.846</v>
      </c>
      <c r="BK33" s="24" cm="1">
        <f t="array" ref="BK33">1+$B$13+VLOOKUP($Q33,武学奇术!$A:$ZZ,18,FALSE)+SUM(_xlfn.XLOOKUP(R33:AF33,增益!$A:$A,增益!$R:$R,0))</f>
        <v>1.994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0.1371</v>
      </c>
      <c r="BM33" s="24" cm="1">
        <f t="array" ref="BM33">1+$B$14+VLOOKUP($Q33,武学奇术!$A:$ZZ,20,FALSE)+SUM(_xlfn.XLOOKUP(R33:AF33,增益!$A:$A,增益!$T:$T,0))</f>
        <v>1.35</v>
      </c>
      <c r="BN33" s="24">
        <f t="shared" si="9"/>
        <v>0.846</v>
      </c>
      <c r="BO33" s="24">
        <f t="shared" si="10"/>
        <v>0.0168999999999999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0.11</v>
      </c>
    </row>
    <row r="34" spans="1:69">
      <c r="A34" s="4" t="s">
        <v>150</v>
      </c>
      <c r="B34" s="4">
        <v>1.33</v>
      </c>
      <c r="C34" s="37"/>
      <c r="K34" s="36">
        <f t="shared" si="0"/>
        <v>287336.909148772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289087.162067529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293625.201927204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148707.387894819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79914.6262139322</v>
      </c>
      <c r="P34" s="37">
        <v>1</v>
      </c>
      <c r="Q34" s="38" t="s">
        <v>96</v>
      </c>
      <c r="R34" s="38" t="s">
        <v>92</v>
      </c>
      <c r="S34" s="38" t="s">
        <v>108</v>
      </c>
      <c r="T34" s="38" t="s">
        <v>71</v>
      </c>
      <c r="U34" s="38" t="s">
        <v>71</v>
      </c>
      <c r="V34" s="38" t="s">
        <v>139</v>
      </c>
      <c r="W34" s="38" t="s">
        <v>71</v>
      </c>
      <c r="X34" s="38" t="s">
        <v>118</v>
      </c>
      <c r="Y34" s="38" t="s">
        <v>71</v>
      </c>
      <c r="Z34" s="38" t="s">
        <v>71</v>
      </c>
      <c r="AA34" s="38" t="s">
        <v>71</v>
      </c>
      <c r="AB34" s="38" t="s">
        <v>71</v>
      </c>
      <c r="AC34" s="38" t="s">
        <v>71</v>
      </c>
      <c r="AD34" s="38" t="s">
        <v>71</v>
      </c>
      <c r="AE34" s="38" t="s">
        <v>74</v>
      </c>
      <c r="AF34" s="38" t="s">
        <v>98</v>
      </c>
      <c r="AG34" t="str">
        <f>VLOOKUP($Q34,武学奇术!$A:$ZZ,25,FALSE)</f>
        <v>陌刀</v>
      </c>
      <c r="AH34" s="24">
        <f>VLOOKUP($Q34,武学奇术!$A:$ZZ,26,FALSE)</f>
        <v>7.2368</v>
      </c>
      <c r="AI34" s="25">
        <f>VLOOKUP($Q34,武学奇术!$A:$ZZ,27,FALSE)*(1+IF(OR($AG34=$F$4,$AG34=$F$5),$B$22,0))</f>
        <v>2802.8</v>
      </c>
      <c r="AJ34" s="24">
        <f>VLOOKUP($Q34,武学奇术!$A:$ZZ,28,FALSE)</f>
        <v>10.8553</v>
      </c>
      <c r="AK34" s="25">
        <f>VLOOKUP($Q34,武学奇术!$A:$ZZ,29,FALSE)*(1+IF(OR($AG34=$F$4,$AG34=$F$5),$B$22,0))</f>
        <v>1526</v>
      </c>
      <c r="AL34" s="24" cm="1">
        <f t="array" ref="AL34">$G$3+IFERROR(VLOOKUP($AG34,$F$4:$G$7,2,FALSE),0)+VLOOKUP($Q34,武学奇术!$A:$ZZ,2,FALSE)+SUM(_xlfn.XLOOKUP($R34:$AF34,增益!$A:$A,增益!$B:$B,0))</f>
        <v>1.0041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1444.4</v>
      </c>
      <c r="AO34" cm="1">
        <f t="array" ref="AO34">$E$10*(1+$AM34)+VLOOKUP($Q34,武学奇术!$A:$ZZ,4,FALSE)+SUM(_xlfn.XLOOKUP($R34:$AF34,增益!$A:$A,增益!$D:$D,0))-$I$2</f>
        <v>5816.5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0.267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576.6</v>
      </c>
      <c r="AX34">
        <f t="shared" si="4"/>
        <v>1088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0.06</v>
      </c>
      <c r="AZ34" s="30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-0.3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0.846</v>
      </c>
      <c r="BK34" s="24" cm="1">
        <f t="array" ref="BK34">1+$B$13+VLOOKUP($Q34,武学奇术!$A:$ZZ,18,FALSE)+SUM(_xlfn.XLOOKUP(R34:AF34,增益!$A:$A,增益!$R:$R,0))</f>
        <v>1.944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0.1371</v>
      </c>
      <c r="BM34" s="24" cm="1">
        <f t="array" ref="BM34">1+$B$14+VLOOKUP($Q34,武学奇术!$A:$ZZ,20,FALSE)+SUM(_xlfn.XLOOKUP(R34:AF34,增益!$A:$A,增益!$T:$T,0))</f>
        <v>1.35</v>
      </c>
      <c r="BN34" s="24">
        <f t="shared" si="9"/>
        <v>0.846</v>
      </c>
      <c r="BO34" s="24">
        <f t="shared" si="10"/>
        <v>0.0168999999999999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0.11</v>
      </c>
    </row>
    <row r="35" spans="1:69">
      <c r="A35" s="4" t="s">
        <v>144</v>
      </c>
      <c r="B35" s="4">
        <v>1.2</v>
      </c>
      <c r="C35" s="37"/>
      <c r="K35" s="36">
        <f t="shared" si="0"/>
        <v>176198.553854179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177916.770347452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176316.890367512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89226.0633638175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47847.0227517006</v>
      </c>
      <c r="P35" s="37">
        <v>1</v>
      </c>
      <c r="Q35" s="38" t="s">
        <v>102</v>
      </c>
      <c r="R35" s="38" t="s">
        <v>92</v>
      </c>
      <c r="S35" s="38" t="s">
        <v>108</v>
      </c>
      <c r="T35" s="38" t="s">
        <v>71</v>
      </c>
      <c r="U35" s="38" t="s">
        <v>71</v>
      </c>
      <c r="V35" s="38" t="s">
        <v>139</v>
      </c>
      <c r="W35" s="38" t="s">
        <v>71</v>
      </c>
      <c r="X35" s="38" t="s">
        <v>121</v>
      </c>
      <c r="Y35" s="38" t="s">
        <v>71</v>
      </c>
      <c r="Z35" s="38" t="s">
        <v>71</v>
      </c>
      <c r="AA35" s="38" t="s">
        <v>71</v>
      </c>
      <c r="AB35" s="38" t="s">
        <v>71</v>
      </c>
      <c r="AC35" s="38" t="s">
        <v>71</v>
      </c>
      <c r="AD35" s="38" t="s">
        <v>71</v>
      </c>
      <c r="AE35" s="38" t="s">
        <v>74</v>
      </c>
      <c r="AF35" s="38" t="s">
        <v>98</v>
      </c>
      <c r="AG35" t="str">
        <f>VLOOKUP($Q35,武学奇术!$A:$ZZ,25,FALSE)</f>
        <v>陌刀</v>
      </c>
      <c r="AH35" s="24">
        <f>VLOOKUP($Q35,武学奇术!$A:$ZZ,26,FALSE)</f>
        <v>4.2807</v>
      </c>
      <c r="AI35" s="25">
        <f>VLOOKUP($Q35,武学奇术!$A:$ZZ,27,FALSE)*(1+IF(OR($AG35=$F$4,$AG35=$F$5),$B$22,0))</f>
        <v>1657.6</v>
      </c>
      <c r="AJ35" s="24">
        <f>VLOOKUP($Q35,武学奇术!$A:$ZZ,28,FALSE)</f>
        <v>6.421</v>
      </c>
      <c r="AK35" s="25">
        <f>VLOOKUP($Q35,武学奇术!$A:$ZZ,29,FALSE)*(1+IF(OR($AG35=$F$4,$AG35=$F$5),$B$22,0))</f>
        <v>903</v>
      </c>
      <c r="AL35" s="24" cm="1">
        <f t="array" ref="AL35">$G$3+IFERROR(VLOOKUP($AG35,$F$4:$G$7,2,FALSE),0)+VLOOKUP($Q35,武学奇术!$A:$ZZ,2,FALSE)+SUM(_xlfn.XLOOKUP($R35:$AF35,增益!$A:$A,增益!$B:$B,0))</f>
        <v>1.0041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1444.4</v>
      </c>
      <c r="AO35" cm="1">
        <f t="array" ref="AO35">$E$10*(1+$AM35)+VLOOKUP($Q35,武学奇术!$A:$ZZ,4,FALSE)+SUM(_xlfn.XLOOKUP($R35:$AF35,增益!$A:$A,增益!$D:$D,0))-$I$2</f>
        <v>5816.5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0.292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576.6</v>
      </c>
      <c r="AX35">
        <f t="shared" si="4"/>
        <v>1088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0.06</v>
      </c>
      <c r="AZ35" s="30" cm="1">
        <f t="array" ref="AZ35">$G$12+VLOOKUP($Q35,武学奇术!$A:$ZZ,12,FALSE)+SUM(_xlfn.XLOOKUP(R35:AF35,增益!$A:$A,增益!$L:$L,0))</f>
        <v>0.15</v>
      </c>
      <c r="BA35">
        <f t="shared" si="5"/>
        <v>0</v>
      </c>
      <c r="BB35">
        <f t="shared" si="6"/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-0.3</v>
      </c>
      <c r="BD35" s="30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0.846</v>
      </c>
      <c r="BK35" s="24" cm="1">
        <f t="array" ref="BK35">1+$B$13+VLOOKUP($Q35,武学奇术!$A:$ZZ,18,FALSE)+SUM(_xlfn.XLOOKUP(R35:AF35,增益!$A:$A,增益!$R:$R,0))</f>
        <v>1.994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0.1371</v>
      </c>
      <c r="BM35" s="24" cm="1">
        <f t="array" ref="BM35">1+$B$14+VLOOKUP($Q35,武学奇术!$A:$ZZ,20,FALSE)+SUM(_xlfn.XLOOKUP(R35:AF35,增益!$A:$A,增益!$T:$T,0))</f>
        <v>1.35</v>
      </c>
      <c r="BN35" s="24">
        <f t="shared" si="9"/>
        <v>0.846</v>
      </c>
      <c r="BO35" s="24">
        <f t="shared" si="10"/>
        <v>0.0168999999999999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0.11</v>
      </c>
    </row>
    <row r="36" spans="1:69">
      <c r="A36" s="4" t="s">
        <v>69</v>
      </c>
      <c r="B36" s="4">
        <v>0.5</v>
      </c>
      <c r="C36" s="37"/>
      <c r="K36" s="36">
        <f t="shared" si="0"/>
        <v>306207.876672624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311393.270251752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293625.201927204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148707.387894819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79914.6262139322</v>
      </c>
      <c r="P36" s="37">
        <v>1</v>
      </c>
      <c r="Q36" s="38" t="s">
        <v>96</v>
      </c>
      <c r="R36" s="38" t="s">
        <v>92</v>
      </c>
      <c r="S36" s="38" t="s">
        <v>108</v>
      </c>
      <c r="T36" s="38" t="s">
        <v>72</v>
      </c>
      <c r="U36" s="38" t="s">
        <v>71</v>
      </c>
      <c r="V36" s="38" t="s">
        <v>139</v>
      </c>
      <c r="W36" s="38" t="s">
        <v>71</v>
      </c>
      <c r="X36" s="38" t="s">
        <v>118</v>
      </c>
      <c r="Y36" s="38" t="s">
        <v>71</v>
      </c>
      <c r="Z36" s="38" t="s">
        <v>71</v>
      </c>
      <c r="AA36" s="38" t="s">
        <v>71</v>
      </c>
      <c r="AB36" s="38" t="s">
        <v>71</v>
      </c>
      <c r="AC36" s="38" t="s">
        <v>71</v>
      </c>
      <c r="AD36" s="38" t="s">
        <v>71</v>
      </c>
      <c r="AE36" s="38" t="s">
        <v>74</v>
      </c>
      <c r="AF36" s="38" t="s">
        <v>98</v>
      </c>
      <c r="AG36" t="str">
        <f>VLOOKUP($Q36,武学奇术!$A:$ZZ,25,FALSE)</f>
        <v>陌刀</v>
      </c>
      <c r="AH36" s="24">
        <f>VLOOKUP($Q36,武学奇术!$A:$ZZ,26,FALSE)</f>
        <v>7.2368</v>
      </c>
      <c r="AI36" s="25">
        <f>VLOOKUP($Q36,武学奇术!$A:$ZZ,27,FALSE)*(1+IF(OR($AG36=$F$4,$AG36=$F$5),$B$22,0))</f>
        <v>2802.8</v>
      </c>
      <c r="AJ36" s="24">
        <f>VLOOKUP($Q36,武学奇术!$A:$ZZ,28,FALSE)</f>
        <v>10.8553</v>
      </c>
      <c r="AK36" s="25">
        <f>VLOOKUP($Q36,武学奇术!$A:$ZZ,29,FALSE)*(1+IF(OR($AG36=$F$4,$AG36=$F$5),$B$22,0))</f>
        <v>1526</v>
      </c>
      <c r="AL36" s="24" cm="1">
        <f t="array" ref="AL36">$G$3+IFERROR(VLOOKUP($AG36,$F$4:$G$7,2,FALSE),0)+VLOOKUP($Q36,武学奇术!$A:$ZZ,2,FALSE)+SUM(_xlfn.XLOOKUP($R36:$AF36,增益!$A:$A,增益!$B:$B,0))</f>
        <v>1.0041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1444.4</v>
      </c>
      <c r="AO36" cm="1">
        <f t="array" ref="AO36">$E$10*(1+$AM36)+VLOOKUP($Q36,武学奇术!$A:$ZZ,4,FALSE)+SUM(_xlfn.XLOOKUP($R36:$AF36,增益!$A:$A,增益!$D:$D,0))-$I$2</f>
        <v>5816.5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576.6</v>
      </c>
      <c r="AX36">
        <f t="shared" si="4"/>
        <v>1088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0.06</v>
      </c>
      <c r="AZ36" s="30" cm="1">
        <f t="array" ref="AZ36">$G$12+VLOOKUP($Q36,武学奇术!$A:$ZZ,12,FALSE)+SUM(_xlfn.XLOOKUP(R36:AF36,增益!$A:$A,增益!$L:$L,0))</f>
        <v>0.15</v>
      </c>
      <c r="BA36">
        <f t="shared" si="5"/>
        <v>0</v>
      </c>
      <c r="BB36">
        <f t="shared" si="6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-0.3</v>
      </c>
      <c r="BD36" s="30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0.846</v>
      </c>
      <c r="BK36" s="24" cm="1">
        <f t="array" ref="BK36">1+$B$13+VLOOKUP($Q36,武学奇术!$A:$ZZ,18,FALSE)+SUM(_xlfn.XLOOKUP(R36:AF36,增益!$A:$A,增益!$R:$R,0))</f>
        <v>2.094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0.1371</v>
      </c>
      <c r="BM36" s="24" cm="1">
        <f t="array" ref="BM36">1+$B$14+VLOOKUP($Q36,武学奇术!$A:$ZZ,20,FALSE)+SUM(_xlfn.XLOOKUP(R36:AF36,增益!$A:$A,增益!$T:$T,0))</f>
        <v>1.35</v>
      </c>
      <c r="BN36" s="24">
        <f t="shared" si="9"/>
        <v>0.846</v>
      </c>
      <c r="BO36" s="24">
        <f t="shared" si="10"/>
        <v>0.0168999999999999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0.11</v>
      </c>
    </row>
    <row r="37" spans="1:69">
      <c r="A37" s="4" t="s">
        <v>149</v>
      </c>
      <c r="B37" s="4">
        <v>1.66</v>
      </c>
      <c r="C37" s="37"/>
      <c r="K37" s="36">
        <f t="shared" si="0"/>
        <v>187521.341295047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191300.679852025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176316.890367512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89226.0633638175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47847.0227517006</v>
      </c>
      <c r="P37" s="37">
        <v>1</v>
      </c>
      <c r="Q37" s="38" t="s">
        <v>102</v>
      </c>
      <c r="R37" s="38" t="s">
        <v>92</v>
      </c>
      <c r="S37" s="38" t="s">
        <v>108</v>
      </c>
      <c r="T37" s="38" t="s">
        <v>72</v>
      </c>
      <c r="U37" s="38" t="s">
        <v>71</v>
      </c>
      <c r="V37" s="38" t="s">
        <v>139</v>
      </c>
      <c r="W37" s="38" t="s">
        <v>71</v>
      </c>
      <c r="X37" s="38" t="s">
        <v>121</v>
      </c>
      <c r="Y37" s="38" t="s">
        <v>71</v>
      </c>
      <c r="Z37" s="38" t="s">
        <v>71</v>
      </c>
      <c r="AA37" s="38" t="s">
        <v>71</v>
      </c>
      <c r="AB37" s="38" t="s">
        <v>71</v>
      </c>
      <c r="AC37" s="38" t="s">
        <v>71</v>
      </c>
      <c r="AD37" s="38" t="s">
        <v>71</v>
      </c>
      <c r="AE37" s="38" t="s">
        <v>74</v>
      </c>
      <c r="AF37" s="38" t="s">
        <v>98</v>
      </c>
      <c r="AG37" t="str">
        <f>VLOOKUP($Q37,武学奇术!$A:$ZZ,25,FALSE)</f>
        <v>陌刀</v>
      </c>
      <c r="AH37" s="24">
        <f>VLOOKUP($Q37,武学奇术!$A:$ZZ,26,FALSE)</f>
        <v>4.2807</v>
      </c>
      <c r="AI37" s="25">
        <f>VLOOKUP($Q37,武学奇术!$A:$ZZ,27,FALSE)*(1+IF(OR($AG37=$F$4,$AG37=$F$5),$B$22,0))</f>
        <v>1657.6</v>
      </c>
      <c r="AJ37" s="24">
        <f>VLOOKUP($Q37,武学奇术!$A:$ZZ,28,FALSE)</f>
        <v>6.421</v>
      </c>
      <c r="AK37" s="25">
        <f>VLOOKUP($Q37,武学奇术!$A:$ZZ,29,FALSE)*(1+IF(OR($AG37=$F$4,$AG37=$F$5),$B$22,0))</f>
        <v>903</v>
      </c>
      <c r="AL37" s="24" cm="1">
        <f t="array" ref="AL37">$G$3+IFERROR(VLOOKUP($AG37,$F$4:$G$7,2,FALSE),0)+VLOOKUP($Q37,武学奇术!$A:$ZZ,2,FALSE)+SUM(_xlfn.XLOOKUP($R37:$AF37,增益!$A:$A,增益!$B:$B,0))</f>
        <v>1.0041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1444.4</v>
      </c>
      <c r="AO37" cm="1">
        <f t="array" ref="AO37">$E$10*(1+$AM37)+VLOOKUP($Q37,武学奇术!$A:$ZZ,4,FALSE)+SUM(_xlfn.XLOOKUP($R37:$AF37,增益!$A:$A,增益!$D:$D,0))-$I$2</f>
        <v>5816.5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0.292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576.6</v>
      </c>
      <c r="AX37">
        <f t="shared" si="4"/>
        <v>1088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0.06</v>
      </c>
      <c r="AZ37" s="30" cm="1">
        <f t="array" ref="AZ37">$G$12+VLOOKUP($Q37,武学奇术!$A:$ZZ,12,FALSE)+SUM(_xlfn.XLOOKUP(R37:AF37,增益!$A:$A,增益!$L:$L,0))</f>
        <v>0.15</v>
      </c>
      <c r="BA37">
        <f t="shared" si="5"/>
        <v>0</v>
      </c>
      <c r="BB37">
        <f t="shared" si="6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-0.3</v>
      </c>
      <c r="BD37" s="30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0.846</v>
      </c>
      <c r="BK37" s="24" cm="1">
        <f t="array" ref="BK37">1+$B$13+VLOOKUP($Q37,武学奇术!$A:$ZZ,18,FALSE)+SUM(_xlfn.XLOOKUP(R37:AF37,增益!$A:$A,增益!$R:$R,0))</f>
        <v>2.144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0.1371</v>
      </c>
      <c r="BM37" s="24" cm="1">
        <f t="array" ref="BM37">1+$B$14+VLOOKUP($Q37,武学奇术!$A:$ZZ,20,FALSE)+SUM(_xlfn.XLOOKUP(R37:AF37,增益!$A:$A,增益!$T:$T,0))</f>
        <v>1.35</v>
      </c>
      <c r="BN37" s="24">
        <f t="shared" si="9"/>
        <v>0.846</v>
      </c>
      <c r="BO37" s="24">
        <f t="shared" si="10"/>
        <v>0.0168999999999999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0.11</v>
      </c>
    </row>
    <row r="38" spans="1:69">
      <c r="A38" s="4" t="s">
        <v>150</v>
      </c>
      <c r="B38" s="4">
        <v>1.33</v>
      </c>
      <c r="C38" s="37"/>
      <c r="K38" s="36">
        <f t="shared" si="0"/>
        <v>8602.7208672384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9861.91934215724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9699.24896069804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4945.79706226542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2706.96526475451</v>
      </c>
      <c r="P38" s="37">
        <v>1</v>
      </c>
      <c r="Q38" s="38" t="s">
        <v>105</v>
      </c>
      <c r="R38" s="38" t="s">
        <v>92</v>
      </c>
      <c r="S38" s="38" t="s">
        <v>71</v>
      </c>
      <c r="T38" s="38" t="s">
        <v>72</v>
      </c>
      <c r="U38" s="38" t="s">
        <v>71</v>
      </c>
      <c r="V38" s="38" t="s">
        <v>139</v>
      </c>
      <c r="W38" s="38" t="s">
        <v>71</v>
      </c>
      <c r="X38" s="38" t="s">
        <v>118</v>
      </c>
      <c r="Y38" s="38" t="s">
        <v>71</v>
      </c>
      <c r="Z38" s="38" t="s">
        <v>71</v>
      </c>
      <c r="AA38" s="38" t="s">
        <v>71</v>
      </c>
      <c r="AB38" s="38" t="s">
        <v>71</v>
      </c>
      <c r="AC38" s="38" t="s">
        <v>71</v>
      </c>
      <c r="AD38" s="38" t="s">
        <v>71</v>
      </c>
      <c r="AE38" s="38" t="s">
        <v>74</v>
      </c>
      <c r="AF38" s="38" t="s">
        <v>71</v>
      </c>
      <c r="AG38" t="str">
        <f>VLOOKUP($Q38,武学奇术!$A:$ZZ,25,FALSE)</f>
        <v>枪</v>
      </c>
      <c r="AH38" s="24">
        <f>VLOOKUP($Q38,武学奇术!$A:$ZZ,26,FALSE)</f>
        <v>0.4843</v>
      </c>
      <c r="AI38" s="25">
        <f>VLOOKUP($Q38,武学奇术!$A:$ZZ,27,FALSE)*(1+IF(OR($AG38=$F$4,$AG38=$F$5),$B$22,0))</f>
        <v>187.6</v>
      </c>
      <c r="AJ38" s="24">
        <f>VLOOKUP($Q38,武学奇术!$A:$ZZ,28,FALSE)</f>
        <v>0.7264</v>
      </c>
      <c r="AK38" s="25">
        <f>VLOOKUP($Q38,武学奇术!$A:$ZZ,29,FALSE)*(1+IF(OR($AG38=$F$4,$AG38=$F$5),$B$22,0))</f>
        <v>102.2</v>
      </c>
      <c r="AL38" s="24" cm="1">
        <f t="array" ref="AL38">$G$3+IFERROR(VLOOKUP($AG38,$F$4:$G$7,2,FALSE),0)+VLOOKUP($Q38,武学奇术!$A:$ZZ,2,FALSE)+SUM(_xlfn.XLOOKUP($R38:$AF38,增益!$A:$A,增益!$B:$B,0))</f>
        <v>0.3389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1444.4</v>
      </c>
      <c r="AO38" cm="1">
        <f t="array" ref="AO38">$E$10*(1+$AM38)+VLOOKUP($Q38,武学奇术!$A:$ZZ,4,FALSE)+SUM(_xlfn.XLOOKUP($R38:$AF38,增益!$A:$A,增益!$D:$D,0))-$I$2</f>
        <v>5616.5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576.6</v>
      </c>
      <c r="AX38">
        <f t="shared" si="4"/>
        <v>1088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0.06</v>
      </c>
      <c r="AZ38" s="30" cm="1">
        <f t="array" ref="AZ38">$G$12+VLOOKUP($Q38,武学奇术!$A:$ZZ,12,FALSE)+SUM(_xlfn.XLOOKUP(R38:AF38,增益!$A:$A,增益!$L:$L,0))</f>
        <v>0.15</v>
      </c>
      <c r="BA38">
        <f t="shared" si="5"/>
        <v>0</v>
      </c>
      <c r="BB38">
        <f t="shared" si="6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0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0.6113</v>
      </c>
      <c r="BK38" s="24" cm="1">
        <f t="array" ref="BK38">1+$B$13+VLOOKUP($Q38,武学奇术!$A:$ZZ,18,FALSE)+SUM(_xlfn.XLOOKUP(R38:AF38,增益!$A:$A,增益!$R:$R,0))</f>
        <v>1.994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0.1371</v>
      </c>
      <c r="BM38" s="24" cm="1">
        <f t="array" ref="BM38">1+$B$14+VLOOKUP($Q38,武学奇术!$A:$ZZ,20,FALSE)+SUM(_xlfn.XLOOKUP(R38:AF38,增益!$A:$A,增益!$T:$T,0))</f>
        <v>1.35</v>
      </c>
      <c r="BN38" s="24">
        <f t="shared" si="9"/>
        <v>0.6113</v>
      </c>
      <c r="BO38" s="24">
        <f t="shared" si="10"/>
        <v>0.2516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0.11</v>
      </c>
    </row>
    <row r="39" spans="1:69">
      <c r="A39" s="4" t="s">
        <v>149</v>
      </c>
      <c r="B39" s="4">
        <v>1.66</v>
      </c>
      <c r="C39" s="37"/>
      <c r="E39" s="4"/>
      <c r="F39" s="4"/>
      <c r="K39" s="36">
        <f t="shared" si="0"/>
        <v>306207.876672624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311393.270251752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293625.201927204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148707.387894819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79914.6262139322</v>
      </c>
      <c r="P39" s="37">
        <v>1</v>
      </c>
      <c r="Q39" s="38" t="s">
        <v>96</v>
      </c>
      <c r="R39" s="38" t="s">
        <v>92</v>
      </c>
      <c r="S39" s="38" t="s">
        <v>108</v>
      </c>
      <c r="T39" s="38" t="s">
        <v>72</v>
      </c>
      <c r="U39" s="38" t="s">
        <v>71</v>
      </c>
      <c r="V39" s="38" t="s">
        <v>139</v>
      </c>
      <c r="W39" s="38" t="s">
        <v>71</v>
      </c>
      <c r="X39" s="38" t="s">
        <v>118</v>
      </c>
      <c r="Y39" s="38" t="s">
        <v>71</v>
      </c>
      <c r="Z39" s="38" t="s">
        <v>71</v>
      </c>
      <c r="AA39" s="38" t="s">
        <v>71</v>
      </c>
      <c r="AB39" s="38" t="s">
        <v>71</v>
      </c>
      <c r="AC39" s="38" t="s">
        <v>71</v>
      </c>
      <c r="AD39" s="38" t="s">
        <v>71</v>
      </c>
      <c r="AE39" s="38" t="s">
        <v>74</v>
      </c>
      <c r="AF39" s="38" t="s">
        <v>98</v>
      </c>
      <c r="AG39" t="str">
        <f>VLOOKUP($Q39,武学奇术!$A:$ZZ,25,FALSE)</f>
        <v>陌刀</v>
      </c>
      <c r="AH39" s="24">
        <f>VLOOKUP($Q39,武学奇术!$A:$ZZ,26,FALSE)</f>
        <v>7.2368</v>
      </c>
      <c r="AI39" s="25">
        <f>VLOOKUP($Q39,武学奇术!$A:$ZZ,27,FALSE)*(1+IF(OR($AG39=$F$4,$AG39=$F$5),$B$22,0))</f>
        <v>2802.8</v>
      </c>
      <c r="AJ39" s="24">
        <f>VLOOKUP($Q39,武学奇术!$A:$ZZ,28,FALSE)</f>
        <v>10.8553</v>
      </c>
      <c r="AK39" s="25">
        <f>VLOOKUP($Q39,武学奇术!$A:$ZZ,29,FALSE)*(1+IF(OR($AG39=$F$4,$AG39=$F$5),$B$22,0))</f>
        <v>1526</v>
      </c>
      <c r="AL39" s="24" cm="1">
        <f t="array" ref="AL39">$G$3+IFERROR(VLOOKUP($AG39,$F$4:$G$7,2,FALSE),0)+VLOOKUP($Q39,武学奇术!$A:$ZZ,2,FALSE)+SUM(_xlfn.XLOOKUP($R39:$AF39,增益!$A:$A,增益!$B:$B,0))</f>
        <v>1.0041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1444.4</v>
      </c>
      <c r="AO39" cm="1">
        <f t="array" ref="AO39">$E$10*(1+$AM39)+VLOOKUP($Q39,武学奇术!$A:$ZZ,4,FALSE)+SUM(_xlfn.XLOOKUP($R39:$AF39,增益!$A:$A,增益!$D:$D,0))-$I$2</f>
        <v>5816.5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576.6</v>
      </c>
      <c r="AX39">
        <f t="shared" si="4"/>
        <v>1088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0.06</v>
      </c>
      <c r="AZ39" s="30" cm="1">
        <f t="array" ref="AZ39">$G$12+VLOOKUP($Q39,武学奇术!$A:$ZZ,12,FALSE)+SUM(_xlfn.XLOOKUP(R39:AF39,增益!$A:$A,增益!$L:$L,0))</f>
        <v>0.15</v>
      </c>
      <c r="BA39">
        <f t="shared" si="5"/>
        <v>0</v>
      </c>
      <c r="BB39">
        <f t="shared" si="6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0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0.846</v>
      </c>
      <c r="BK39" s="24" cm="1">
        <f t="array" ref="BK39">1+$B$13+VLOOKUP($Q39,武学奇术!$A:$ZZ,18,FALSE)+SUM(_xlfn.XLOOKUP(R39:AF39,增益!$A:$A,增益!$R:$R,0))</f>
        <v>2.094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0.1371</v>
      </c>
      <c r="BM39" s="24" cm="1">
        <f t="array" ref="BM39">1+$B$14+VLOOKUP($Q39,武学奇术!$A:$ZZ,20,FALSE)+SUM(_xlfn.XLOOKUP(R39:AF39,增益!$A:$A,增益!$T:$T,0))</f>
        <v>1.35</v>
      </c>
      <c r="BN39" s="24">
        <f t="shared" si="9"/>
        <v>0.846</v>
      </c>
      <c r="BO39" s="24">
        <f t="shared" si="10"/>
        <v>0.0168999999999999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0.11</v>
      </c>
    </row>
    <row r="40" spans="1:69">
      <c r="A40" s="4" t="s">
        <v>150</v>
      </c>
      <c r="B40" s="4">
        <v>1.33</v>
      </c>
      <c r="C40" s="37"/>
      <c r="K40" s="36">
        <f t="shared" si="0"/>
        <v>187521.341295047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191300.679852025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176316.890367512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89226.0633638175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47847.0227517006</v>
      </c>
      <c r="P40" s="37">
        <v>1</v>
      </c>
      <c r="Q40" s="38" t="s">
        <v>102</v>
      </c>
      <c r="R40" s="38" t="s">
        <v>92</v>
      </c>
      <c r="S40" s="38" t="s">
        <v>108</v>
      </c>
      <c r="T40" s="38" t="s">
        <v>72</v>
      </c>
      <c r="U40" s="38" t="s">
        <v>71</v>
      </c>
      <c r="V40" s="38" t="s">
        <v>139</v>
      </c>
      <c r="W40" s="38" t="s">
        <v>71</v>
      </c>
      <c r="X40" s="38" t="s">
        <v>121</v>
      </c>
      <c r="Y40" s="38" t="s">
        <v>71</v>
      </c>
      <c r="Z40" s="38" t="s">
        <v>71</v>
      </c>
      <c r="AA40" s="38" t="s">
        <v>71</v>
      </c>
      <c r="AB40" s="38" t="s">
        <v>71</v>
      </c>
      <c r="AC40" s="38" t="s">
        <v>71</v>
      </c>
      <c r="AD40" s="38" t="s">
        <v>71</v>
      </c>
      <c r="AE40" s="38" t="s">
        <v>74</v>
      </c>
      <c r="AF40" s="38" t="s">
        <v>98</v>
      </c>
      <c r="AG40" t="str">
        <f>VLOOKUP($Q40,武学奇术!$A:$ZZ,25,FALSE)</f>
        <v>陌刀</v>
      </c>
      <c r="AH40" s="24">
        <f>VLOOKUP($Q40,武学奇术!$A:$ZZ,26,FALSE)</f>
        <v>4.2807</v>
      </c>
      <c r="AI40" s="25">
        <f>VLOOKUP($Q40,武学奇术!$A:$ZZ,27,FALSE)*(1+IF(OR($AG40=$F$4,$AG40=$F$5),$B$22,0))</f>
        <v>1657.6</v>
      </c>
      <c r="AJ40" s="24">
        <f>VLOOKUP($Q40,武学奇术!$A:$ZZ,28,FALSE)</f>
        <v>6.421</v>
      </c>
      <c r="AK40" s="25">
        <f>VLOOKUP($Q40,武学奇术!$A:$ZZ,29,FALSE)*(1+IF(OR($AG40=$F$4,$AG40=$F$5),$B$22,0))</f>
        <v>903</v>
      </c>
      <c r="AL40" s="24" cm="1">
        <f t="array" ref="AL40">$G$3+IFERROR(VLOOKUP($AG40,$F$4:$G$7,2,FALSE),0)+VLOOKUP($Q40,武学奇术!$A:$ZZ,2,FALSE)+SUM(_xlfn.XLOOKUP($R40:$AF40,增益!$A:$A,增益!$B:$B,0))</f>
        <v>1.0041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1444.4</v>
      </c>
      <c r="AO40" cm="1">
        <f t="array" ref="AO40">$E$10*(1+$AM40)+VLOOKUP($Q40,武学奇术!$A:$ZZ,4,FALSE)+SUM(_xlfn.XLOOKUP($R40:$AF40,增益!$A:$A,增益!$D:$D,0))-$I$2</f>
        <v>5816.5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0.292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576.6</v>
      </c>
      <c r="AX40">
        <f t="shared" si="4"/>
        <v>1088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0.06</v>
      </c>
      <c r="AZ40" s="30" cm="1">
        <f t="array" ref="AZ40">$G$12+VLOOKUP($Q40,武学奇术!$A:$ZZ,12,FALSE)+SUM(_xlfn.XLOOKUP(R40:AF40,增益!$A:$A,增益!$L:$L,0))</f>
        <v>0.15</v>
      </c>
      <c r="BA40">
        <f t="shared" si="5"/>
        <v>0</v>
      </c>
      <c r="BB40">
        <f t="shared" si="6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0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0.846</v>
      </c>
      <c r="BK40" s="24" cm="1">
        <f t="array" ref="BK40">1+$B$13+VLOOKUP($Q40,武学奇术!$A:$ZZ,18,FALSE)+SUM(_xlfn.XLOOKUP(R40:AF40,增益!$A:$A,增益!$R:$R,0))</f>
        <v>2.144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0.1371</v>
      </c>
      <c r="BM40" s="24" cm="1">
        <f t="array" ref="BM40">1+$B$14+VLOOKUP($Q40,武学奇术!$A:$ZZ,20,FALSE)+SUM(_xlfn.XLOOKUP(R40:AF40,增益!$A:$A,增益!$T:$T,0))</f>
        <v>1.35</v>
      </c>
      <c r="BN40" s="24">
        <f t="shared" si="9"/>
        <v>0.846</v>
      </c>
      <c r="BO40" s="24">
        <f t="shared" si="10"/>
        <v>0.0168999999999999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0.11</v>
      </c>
    </row>
    <row r="41" spans="1:69">
      <c r="A41" s="4" t="s">
        <v>146</v>
      </c>
      <c r="B41" s="4">
        <v>2</v>
      </c>
      <c r="K41" s="36">
        <f t="shared" si="0"/>
        <v>306207.876672624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311393.270251752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293625.201927204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148707.387894819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79914.6262139322</v>
      </c>
      <c r="P41" s="37">
        <v>1</v>
      </c>
      <c r="Q41" s="38" t="s">
        <v>96</v>
      </c>
      <c r="R41" s="38" t="s">
        <v>92</v>
      </c>
      <c r="S41" s="38" t="s">
        <v>108</v>
      </c>
      <c r="T41" s="38" t="s">
        <v>72</v>
      </c>
      <c r="U41" s="38" t="s">
        <v>71</v>
      </c>
      <c r="V41" s="38" t="s">
        <v>139</v>
      </c>
      <c r="W41" s="38" t="s">
        <v>71</v>
      </c>
      <c r="X41" s="38" t="s">
        <v>118</v>
      </c>
      <c r="Y41" s="38" t="s">
        <v>71</v>
      </c>
      <c r="Z41" s="38" t="s">
        <v>71</v>
      </c>
      <c r="AA41" s="38" t="s">
        <v>71</v>
      </c>
      <c r="AB41" s="38" t="s">
        <v>71</v>
      </c>
      <c r="AC41" s="38" t="s">
        <v>71</v>
      </c>
      <c r="AD41" s="38" t="s">
        <v>71</v>
      </c>
      <c r="AE41" s="38" t="s">
        <v>74</v>
      </c>
      <c r="AF41" s="38" t="s">
        <v>98</v>
      </c>
      <c r="AG41" t="str">
        <f>VLOOKUP($Q41,武学奇术!$A:$ZZ,25,FALSE)</f>
        <v>陌刀</v>
      </c>
      <c r="AH41" s="24">
        <f>VLOOKUP($Q41,武学奇术!$A:$ZZ,26,FALSE)</f>
        <v>7.2368</v>
      </c>
      <c r="AI41" s="25">
        <f>VLOOKUP($Q41,武学奇术!$A:$ZZ,27,FALSE)*(1+IF(OR($AG41=$F$4,$AG41=$F$5),$B$22,0))</f>
        <v>2802.8</v>
      </c>
      <c r="AJ41" s="24">
        <f>VLOOKUP($Q41,武学奇术!$A:$ZZ,28,FALSE)</f>
        <v>10.8553</v>
      </c>
      <c r="AK41" s="25">
        <f>VLOOKUP($Q41,武学奇术!$A:$ZZ,29,FALSE)*(1+IF(OR($AG41=$F$4,$AG41=$F$5),$B$22,0))</f>
        <v>1526</v>
      </c>
      <c r="AL41" s="24" cm="1">
        <f t="array" ref="AL41">$G$3+IFERROR(VLOOKUP($AG41,$F$4:$G$7,2,FALSE),0)+VLOOKUP($Q41,武学奇术!$A:$ZZ,2,FALSE)+SUM(_xlfn.XLOOKUP($R41:$AF41,增益!$A:$A,增益!$B:$B,0))</f>
        <v>1.0041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1444.4</v>
      </c>
      <c r="AO41" cm="1">
        <f t="array" ref="AO41">$E$10*(1+$AM41)+VLOOKUP($Q41,武学奇术!$A:$ZZ,4,FALSE)+SUM(_xlfn.XLOOKUP($R41:$AF41,增益!$A:$A,增益!$D:$D,0))-$I$2</f>
        <v>5816.5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576.6</v>
      </c>
      <c r="AX41">
        <f t="shared" si="4"/>
        <v>1088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0.06</v>
      </c>
      <c r="AZ41" s="30" cm="1">
        <f t="array" ref="AZ41">$G$12+VLOOKUP($Q41,武学奇术!$A:$ZZ,12,FALSE)+SUM(_xlfn.XLOOKUP(R41:AF41,增益!$A:$A,增益!$L:$L,0))</f>
        <v>0.15</v>
      </c>
      <c r="BA41">
        <f t="shared" si="5"/>
        <v>0</v>
      </c>
      <c r="BB41">
        <f t="shared" si="6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0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0.846</v>
      </c>
      <c r="BK41" s="24" cm="1">
        <f t="array" ref="BK41">1+$B$13+VLOOKUP($Q41,武学奇术!$A:$ZZ,18,FALSE)+SUM(_xlfn.XLOOKUP(R41:AF41,增益!$A:$A,增益!$R:$R,0))</f>
        <v>2.094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0.1371</v>
      </c>
      <c r="BM41" s="24" cm="1">
        <f t="array" ref="BM41">1+$B$14+VLOOKUP($Q41,武学奇术!$A:$ZZ,20,FALSE)+SUM(_xlfn.XLOOKUP(R41:AF41,增益!$A:$A,增益!$T:$T,0))</f>
        <v>1.35</v>
      </c>
      <c r="BN41" s="24">
        <f t="shared" si="9"/>
        <v>0.846</v>
      </c>
      <c r="BO41" s="24">
        <f t="shared" si="10"/>
        <v>0.0168999999999999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0.11</v>
      </c>
    </row>
    <row r="42" spans="1:69">
      <c r="A42" s="4" t="s">
        <v>149</v>
      </c>
      <c r="B42" s="4">
        <v>1.66</v>
      </c>
      <c r="K42" s="36">
        <f t="shared" si="0"/>
        <v>187521.341295047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191300.679852025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176316.890367512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89226.0633638175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47847.0227517006</v>
      </c>
      <c r="P42" s="37">
        <v>1</v>
      </c>
      <c r="Q42" s="38" t="s">
        <v>102</v>
      </c>
      <c r="R42" s="38" t="s">
        <v>92</v>
      </c>
      <c r="S42" s="38" t="s">
        <v>108</v>
      </c>
      <c r="T42" s="38" t="s">
        <v>72</v>
      </c>
      <c r="U42" s="38" t="s">
        <v>71</v>
      </c>
      <c r="V42" s="38" t="s">
        <v>139</v>
      </c>
      <c r="W42" s="38" t="s">
        <v>71</v>
      </c>
      <c r="X42" s="38" t="s">
        <v>121</v>
      </c>
      <c r="Y42" s="38" t="s">
        <v>71</v>
      </c>
      <c r="Z42" s="38" t="s">
        <v>71</v>
      </c>
      <c r="AA42" s="38" t="s">
        <v>71</v>
      </c>
      <c r="AB42" s="38" t="s">
        <v>71</v>
      </c>
      <c r="AC42" s="38" t="s">
        <v>71</v>
      </c>
      <c r="AD42" s="38" t="s">
        <v>71</v>
      </c>
      <c r="AE42" s="38" t="s">
        <v>74</v>
      </c>
      <c r="AF42" s="38" t="s">
        <v>98</v>
      </c>
      <c r="AG42" t="str">
        <f>VLOOKUP($Q42,武学奇术!$A:$ZZ,25,FALSE)</f>
        <v>陌刀</v>
      </c>
      <c r="AH42" s="24">
        <f>VLOOKUP($Q42,武学奇术!$A:$ZZ,26,FALSE)</f>
        <v>4.2807</v>
      </c>
      <c r="AI42" s="25">
        <f>VLOOKUP($Q42,武学奇术!$A:$ZZ,27,FALSE)*(1+IF(OR($AG42=$F$4,$AG42=$F$5),$B$22,0))</f>
        <v>1657.6</v>
      </c>
      <c r="AJ42" s="24">
        <f>VLOOKUP($Q42,武学奇术!$A:$ZZ,28,FALSE)</f>
        <v>6.421</v>
      </c>
      <c r="AK42" s="25">
        <f>VLOOKUP($Q42,武学奇术!$A:$ZZ,29,FALSE)*(1+IF(OR($AG42=$F$4,$AG42=$F$5),$B$22,0))</f>
        <v>903</v>
      </c>
      <c r="AL42" s="24" cm="1">
        <f t="array" ref="AL42">$G$3+IFERROR(VLOOKUP($AG42,$F$4:$G$7,2,FALSE),0)+VLOOKUP($Q42,武学奇术!$A:$ZZ,2,FALSE)+SUM(_xlfn.XLOOKUP($R42:$AF42,增益!$A:$A,增益!$B:$B,0))</f>
        <v>1.0041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1444.4</v>
      </c>
      <c r="AO42" cm="1">
        <f t="array" ref="AO42">$E$10*(1+$AM42)+VLOOKUP($Q42,武学奇术!$A:$ZZ,4,FALSE)+SUM(_xlfn.XLOOKUP($R42:$AF42,增益!$A:$A,增益!$D:$D,0))-$I$2</f>
        <v>5816.5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0.292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576.6</v>
      </c>
      <c r="AX42">
        <f t="shared" si="4"/>
        <v>1088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0.06</v>
      </c>
      <c r="AZ42" s="30" cm="1">
        <f t="array" ref="AZ42">$G$12+VLOOKUP($Q42,武学奇术!$A:$ZZ,12,FALSE)+SUM(_xlfn.XLOOKUP(R42:AF42,增益!$A:$A,增益!$L:$L,0))</f>
        <v>0.15</v>
      </c>
      <c r="BA42">
        <f t="shared" si="5"/>
        <v>0</v>
      </c>
      <c r="BB42">
        <f t="shared" si="6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0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0.846</v>
      </c>
      <c r="BK42" s="24" cm="1">
        <f t="array" ref="BK42">1+$B$13+VLOOKUP($Q42,武学奇术!$A:$ZZ,18,FALSE)+SUM(_xlfn.XLOOKUP(R42:AF42,增益!$A:$A,增益!$R:$R,0))</f>
        <v>2.144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0.1371</v>
      </c>
      <c r="BM42" s="24" cm="1">
        <f t="array" ref="BM42">1+$B$14+VLOOKUP($Q42,武学奇术!$A:$ZZ,20,FALSE)+SUM(_xlfn.XLOOKUP(R42:AF42,增益!$A:$A,增益!$T:$T,0))</f>
        <v>1.35</v>
      </c>
      <c r="BN42" s="24">
        <f t="shared" si="9"/>
        <v>0.846</v>
      </c>
      <c r="BO42" s="24">
        <f t="shared" si="10"/>
        <v>0.0168999999999999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0.11</v>
      </c>
    </row>
    <row r="43" spans="1:69">
      <c r="A43" s="4" t="s">
        <v>150</v>
      </c>
      <c r="B43" s="4">
        <v>1.33</v>
      </c>
      <c r="K43" s="36">
        <f t="shared" si="0"/>
        <v>306207.876672624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311393.270251752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293625.201927204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148707.387894819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79914.6262139322</v>
      </c>
      <c r="P43" s="37">
        <v>1</v>
      </c>
      <c r="Q43" s="38" t="s">
        <v>96</v>
      </c>
      <c r="R43" s="38" t="s">
        <v>92</v>
      </c>
      <c r="S43" s="38" t="s">
        <v>108</v>
      </c>
      <c r="T43" s="38" t="s">
        <v>72</v>
      </c>
      <c r="U43" s="38" t="s">
        <v>71</v>
      </c>
      <c r="V43" s="38" t="s">
        <v>139</v>
      </c>
      <c r="W43" s="38" t="s">
        <v>71</v>
      </c>
      <c r="X43" s="38" t="s">
        <v>118</v>
      </c>
      <c r="Y43" s="38" t="s">
        <v>71</v>
      </c>
      <c r="Z43" s="38" t="s">
        <v>71</v>
      </c>
      <c r="AA43" s="38" t="s">
        <v>71</v>
      </c>
      <c r="AB43" s="38" t="s">
        <v>71</v>
      </c>
      <c r="AC43" s="38" t="s">
        <v>71</v>
      </c>
      <c r="AD43" s="38" t="s">
        <v>71</v>
      </c>
      <c r="AE43" s="38" t="s">
        <v>74</v>
      </c>
      <c r="AF43" s="38" t="s">
        <v>98</v>
      </c>
      <c r="AG43" t="str">
        <f>VLOOKUP($Q43,武学奇术!$A:$ZZ,25,FALSE)</f>
        <v>陌刀</v>
      </c>
      <c r="AH43" s="24">
        <f>VLOOKUP($Q43,武学奇术!$A:$ZZ,26,FALSE)</f>
        <v>7.2368</v>
      </c>
      <c r="AI43" s="25">
        <f>VLOOKUP($Q43,武学奇术!$A:$ZZ,27,FALSE)*(1+IF(OR($AG43=$F$4,$AG43=$F$5),$B$22,0))</f>
        <v>2802.8</v>
      </c>
      <c r="AJ43" s="24">
        <f>VLOOKUP($Q43,武学奇术!$A:$ZZ,28,FALSE)</f>
        <v>10.8553</v>
      </c>
      <c r="AK43" s="25">
        <f>VLOOKUP($Q43,武学奇术!$A:$ZZ,29,FALSE)*(1+IF(OR($AG43=$F$4,$AG43=$F$5),$B$22,0))</f>
        <v>1526</v>
      </c>
      <c r="AL43" s="24" cm="1">
        <f t="array" ref="AL43">$G$3+IFERROR(VLOOKUP($AG43,$F$4:$G$7,2,FALSE),0)+VLOOKUP($Q43,武学奇术!$A:$ZZ,2,FALSE)+SUM(_xlfn.XLOOKUP($R43:$AF43,增益!$A:$A,增益!$B:$B,0))</f>
        <v>1.0041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1444.4</v>
      </c>
      <c r="AO43" cm="1">
        <f t="array" ref="AO43">$E$10*(1+$AM43)+VLOOKUP($Q43,武学奇术!$A:$ZZ,4,FALSE)+SUM(_xlfn.XLOOKUP($R43:$AF43,增益!$A:$A,增益!$D:$D,0))-$I$2</f>
        <v>5816.5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0.267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576.6</v>
      </c>
      <c r="AX43">
        <f t="shared" si="4"/>
        <v>1088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0.06</v>
      </c>
      <c r="AZ43" s="30" cm="1">
        <f t="array" ref="AZ43">$G$12+VLOOKUP($Q43,武学奇术!$A:$ZZ,12,FALSE)+SUM(_xlfn.XLOOKUP(R43:AF43,增益!$A:$A,增益!$L:$L,0))</f>
        <v>0.15</v>
      </c>
      <c r="BA43">
        <f t="shared" si="5"/>
        <v>0</v>
      </c>
      <c r="BB43">
        <f t="shared" si="6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0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0.846</v>
      </c>
      <c r="BK43" s="24" cm="1">
        <f t="array" ref="BK43">1+$B$13+VLOOKUP($Q43,武学奇术!$A:$ZZ,18,FALSE)+SUM(_xlfn.XLOOKUP(R43:AF43,增益!$A:$A,增益!$R:$R,0))</f>
        <v>2.094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0.1371</v>
      </c>
      <c r="BM43" s="24" cm="1">
        <f t="array" ref="BM43">1+$B$14+VLOOKUP($Q43,武学奇术!$A:$ZZ,20,FALSE)+SUM(_xlfn.XLOOKUP(R43:AF43,增益!$A:$A,增益!$T:$T,0))</f>
        <v>1.35</v>
      </c>
      <c r="BN43" s="24">
        <f t="shared" si="9"/>
        <v>0.846</v>
      </c>
      <c r="BO43" s="24">
        <f t="shared" si="10"/>
        <v>0.0168999999999999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0.11</v>
      </c>
    </row>
    <row r="44" spans="1:69">
      <c r="A44" s="4" t="s">
        <v>69</v>
      </c>
      <c r="B44" s="4">
        <v>0.5</v>
      </c>
      <c r="K44" s="36">
        <f t="shared" si="0"/>
        <v>187521.341295047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191300.679852025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176316.890367512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89226.0633638175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47847.0227517006</v>
      </c>
      <c r="P44" s="37">
        <v>1</v>
      </c>
      <c r="Q44" s="38" t="s">
        <v>102</v>
      </c>
      <c r="R44" s="38" t="s">
        <v>92</v>
      </c>
      <c r="S44" s="38" t="s">
        <v>108</v>
      </c>
      <c r="T44" s="38" t="s">
        <v>72</v>
      </c>
      <c r="U44" s="38" t="s">
        <v>71</v>
      </c>
      <c r="V44" s="38" t="s">
        <v>139</v>
      </c>
      <c r="W44" s="38" t="s">
        <v>71</v>
      </c>
      <c r="X44" s="38" t="s">
        <v>121</v>
      </c>
      <c r="Y44" s="38" t="s">
        <v>71</v>
      </c>
      <c r="Z44" s="38" t="s">
        <v>71</v>
      </c>
      <c r="AA44" s="38" t="s">
        <v>71</v>
      </c>
      <c r="AB44" s="38" t="s">
        <v>71</v>
      </c>
      <c r="AC44" s="38" t="s">
        <v>71</v>
      </c>
      <c r="AD44" s="38" t="s">
        <v>71</v>
      </c>
      <c r="AE44" s="38" t="s">
        <v>74</v>
      </c>
      <c r="AF44" s="38" t="s">
        <v>98</v>
      </c>
      <c r="AG44" t="str">
        <f>VLOOKUP($Q44,武学奇术!$A:$ZZ,25,FALSE)</f>
        <v>陌刀</v>
      </c>
      <c r="AH44" s="24">
        <f>VLOOKUP($Q44,武学奇术!$A:$ZZ,26,FALSE)</f>
        <v>4.2807</v>
      </c>
      <c r="AI44" s="25">
        <f>VLOOKUP($Q44,武学奇术!$A:$ZZ,27,FALSE)*(1+IF(OR($AG44=$F$4,$AG44=$F$5),$B$22,0))</f>
        <v>1657.6</v>
      </c>
      <c r="AJ44" s="24">
        <f>VLOOKUP($Q44,武学奇术!$A:$ZZ,28,FALSE)</f>
        <v>6.421</v>
      </c>
      <c r="AK44" s="25">
        <f>VLOOKUP($Q44,武学奇术!$A:$ZZ,29,FALSE)*(1+IF(OR($AG44=$F$4,$AG44=$F$5),$B$22,0))</f>
        <v>903</v>
      </c>
      <c r="AL44" s="24" cm="1">
        <f t="array" ref="AL44">$G$3+IFERROR(VLOOKUP($AG44,$F$4:$G$7,2,FALSE),0)+VLOOKUP($Q44,武学奇术!$A:$ZZ,2,FALSE)+SUM(_xlfn.XLOOKUP($R44:$AF44,增益!$A:$A,增益!$B:$B,0))</f>
        <v>1.0041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1444.4</v>
      </c>
      <c r="AO44" cm="1">
        <f t="array" ref="AO44">$E$10*(1+$AM44)+VLOOKUP($Q44,武学奇术!$A:$ZZ,4,FALSE)+SUM(_xlfn.XLOOKUP($R44:$AF44,增益!$A:$A,增益!$D:$D,0))-$I$2</f>
        <v>5816.5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0.292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576.6</v>
      </c>
      <c r="AX44">
        <f t="shared" si="4"/>
        <v>1088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0.06</v>
      </c>
      <c r="AZ44" s="30" cm="1">
        <f t="array" ref="AZ44">$G$12+VLOOKUP($Q44,武学奇术!$A:$ZZ,12,FALSE)+SUM(_xlfn.XLOOKUP(R44:AF44,增益!$A:$A,增益!$L:$L,0))</f>
        <v>0.15</v>
      </c>
      <c r="BA44">
        <f t="shared" si="5"/>
        <v>0</v>
      </c>
      <c r="BB44">
        <f t="shared" si="6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0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0.846</v>
      </c>
      <c r="BK44" s="24" cm="1">
        <f t="array" ref="BK44">1+$B$13+VLOOKUP($Q44,武学奇术!$A:$ZZ,18,FALSE)+SUM(_xlfn.XLOOKUP(R44:AF44,增益!$A:$A,增益!$R:$R,0))</f>
        <v>2.144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0.1371</v>
      </c>
      <c r="BM44" s="24" cm="1">
        <f t="array" ref="BM44">1+$B$14+VLOOKUP($Q44,武学奇术!$A:$ZZ,20,FALSE)+SUM(_xlfn.XLOOKUP(R44:AF44,增益!$A:$A,增益!$T:$T,0))</f>
        <v>1.35</v>
      </c>
      <c r="BN44" s="24">
        <f t="shared" si="9"/>
        <v>0.846</v>
      </c>
      <c r="BO44" s="24">
        <f t="shared" si="10"/>
        <v>0.0168999999999999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0.11</v>
      </c>
    </row>
    <row r="45" spans="1:69">
      <c r="A45" s="4" t="s">
        <v>144</v>
      </c>
      <c r="B45" s="4">
        <v>1.2</v>
      </c>
      <c r="K45" s="36">
        <f t="shared" si="0"/>
        <v>9630.75532743569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11040.4293837923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10858.3197155802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5536.82516739834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3030.45054547803</v>
      </c>
      <c r="P45" s="37">
        <v>1</v>
      </c>
      <c r="Q45" s="38" t="s">
        <v>105</v>
      </c>
      <c r="R45" s="38" t="s">
        <v>92</v>
      </c>
      <c r="S45" s="38" t="s">
        <v>108</v>
      </c>
      <c r="T45" s="38" t="s">
        <v>72</v>
      </c>
      <c r="U45" s="38" t="s">
        <v>71</v>
      </c>
      <c r="V45" s="38" t="s">
        <v>139</v>
      </c>
      <c r="W45" s="38" t="s">
        <v>71</v>
      </c>
      <c r="X45" s="38" t="s">
        <v>118</v>
      </c>
      <c r="Y45" s="38" t="s">
        <v>71</v>
      </c>
      <c r="Z45" s="38" t="s">
        <v>71</v>
      </c>
      <c r="AA45" s="38" t="s">
        <v>71</v>
      </c>
      <c r="AB45" s="38" t="s">
        <v>71</v>
      </c>
      <c r="AC45" s="38" t="s">
        <v>71</v>
      </c>
      <c r="AD45" s="38" t="s">
        <v>71</v>
      </c>
      <c r="AE45" s="38" t="s">
        <v>74</v>
      </c>
      <c r="AF45" s="38" t="s">
        <v>71</v>
      </c>
      <c r="AG45" t="str">
        <f>VLOOKUP($Q45,武学奇术!$A:$ZZ,25,FALSE)</f>
        <v>枪</v>
      </c>
      <c r="AH45" s="24">
        <f>VLOOKUP($Q45,武学奇术!$A:$ZZ,26,FALSE)</f>
        <v>0.4843</v>
      </c>
      <c r="AI45" s="25">
        <f>VLOOKUP($Q45,武学奇术!$A:$ZZ,27,FALSE)*(1+IF(OR($AG45=$F$4,$AG45=$F$5),$B$22,0))</f>
        <v>187.6</v>
      </c>
      <c r="AJ45" s="24">
        <f>VLOOKUP($Q45,武学奇术!$A:$ZZ,28,FALSE)</f>
        <v>0.7264</v>
      </c>
      <c r="AK45" s="25">
        <f>VLOOKUP($Q45,武学奇术!$A:$ZZ,29,FALSE)*(1+IF(OR($AG45=$F$4,$AG45=$F$5),$B$22,0))</f>
        <v>102.2</v>
      </c>
      <c r="AL45" s="24" cm="1">
        <f t="array" ref="AL45">$G$3+IFERROR(VLOOKUP($AG45,$F$4:$G$7,2,FALSE),0)+VLOOKUP($Q45,武学奇术!$A:$ZZ,2,FALSE)+SUM(_xlfn.XLOOKUP($R45:$AF45,增益!$A:$A,增益!$B:$B,0))</f>
        <v>0.4989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1444.4</v>
      </c>
      <c r="AO45" cm="1">
        <f t="array" ref="AO45">$E$10*(1+$AM45)+VLOOKUP($Q45,武学奇术!$A:$ZZ,4,FALSE)+SUM(_xlfn.XLOOKUP($R45:$AF45,增益!$A:$A,增益!$D:$D,0))-$I$2</f>
        <v>5616.5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576.6</v>
      </c>
      <c r="AX45">
        <f t="shared" si="4"/>
        <v>1088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0.06</v>
      </c>
      <c r="AZ45" s="30" cm="1">
        <f t="array" ref="AZ45">$G$12+VLOOKUP($Q45,武学奇术!$A:$ZZ,12,FALSE)+SUM(_xlfn.XLOOKUP(R45:AF45,增益!$A:$A,增益!$L:$L,0))</f>
        <v>0.15</v>
      </c>
      <c r="BA45">
        <f t="shared" si="5"/>
        <v>0</v>
      </c>
      <c r="BB45">
        <f t="shared" si="6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-0.3</v>
      </c>
      <c r="BD45" s="30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0.6113</v>
      </c>
      <c r="BK45" s="24" cm="1">
        <f t="array" ref="BK45">1+$B$13+VLOOKUP($Q45,武学奇术!$A:$ZZ,18,FALSE)+SUM(_xlfn.XLOOKUP(R45:AF45,增益!$A:$A,增益!$R:$R,0))</f>
        <v>1.994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0.1371</v>
      </c>
      <c r="BM45" s="24" cm="1">
        <f t="array" ref="BM45">1+$B$14+VLOOKUP($Q45,武学奇术!$A:$ZZ,20,FALSE)+SUM(_xlfn.XLOOKUP(R45:AF45,增益!$A:$A,增益!$T:$T,0))</f>
        <v>1.35</v>
      </c>
      <c r="BN45" s="24">
        <f t="shared" si="9"/>
        <v>0.6113</v>
      </c>
      <c r="BO45" s="24">
        <f t="shared" si="10"/>
        <v>0.2516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0.11</v>
      </c>
    </row>
    <row r="46" spans="1:69">
      <c r="A46" s="4" t="s">
        <v>151</v>
      </c>
      <c r="B46" s="4">
        <v>1.4</v>
      </c>
      <c r="C46" s="37" t="s">
        <v>147</v>
      </c>
      <c r="K46" s="36">
        <f t="shared" si="0"/>
        <v>333794.171868356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339446.71802218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320077.922821547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162104.449867326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87114.1420890612</v>
      </c>
      <c r="P46" s="37">
        <v>1</v>
      </c>
      <c r="Q46" s="38" t="s">
        <v>96</v>
      </c>
      <c r="R46" s="38" t="s">
        <v>92</v>
      </c>
      <c r="S46" s="38" t="s">
        <v>108</v>
      </c>
      <c r="T46" s="38" t="s">
        <v>72</v>
      </c>
      <c r="U46" s="38" t="s">
        <v>71</v>
      </c>
      <c r="V46" s="38" t="s">
        <v>139</v>
      </c>
      <c r="W46" s="38" t="s">
        <v>71</v>
      </c>
      <c r="X46" s="38" t="s">
        <v>118</v>
      </c>
      <c r="Y46" s="38" t="s">
        <v>141</v>
      </c>
      <c r="Z46" s="38" t="s">
        <v>71</v>
      </c>
      <c r="AA46" s="38" t="s">
        <v>71</v>
      </c>
      <c r="AB46" s="38" t="s">
        <v>71</v>
      </c>
      <c r="AC46" s="38" t="s">
        <v>71</v>
      </c>
      <c r="AD46" s="38" t="s">
        <v>71</v>
      </c>
      <c r="AE46" s="38" t="s">
        <v>74</v>
      </c>
      <c r="AF46" s="38" t="s">
        <v>98</v>
      </c>
      <c r="AG46" t="str">
        <f>VLOOKUP($Q46,武学奇术!$A:$ZZ,25,FALSE)</f>
        <v>陌刀</v>
      </c>
      <c r="AH46" s="24">
        <f>VLOOKUP($Q46,武学奇术!$A:$ZZ,26,FALSE)</f>
        <v>7.2368</v>
      </c>
      <c r="AI46" s="25">
        <f>VLOOKUP($Q46,武学奇术!$A:$ZZ,27,FALSE)*(1+IF(OR($AG46=$F$4,$AG46=$F$5),$B$22,0))</f>
        <v>2802.8</v>
      </c>
      <c r="AJ46" s="24">
        <f>VLOOKUP($Q46,武学奇术!$A:$ZZ,28,FALSE)</f>
        <v>10.8553</v>
      </c>
      <c r="AK46" s="25">
        <f>VLOOKUP($Q46,武学奇术!$A:$ZZ,29,FALSE)*(1+IF(OR($AG46=$F$4,$AG46=$F$5),$B$22,0))</f>
        <v>1526</v>
      </c>
      <c r="AL46" s="24" cm="1">
        <f t="array" ref="AL46">$G$3+IFERROR(VLOOKUP($AG46,$F$4:$G$7,2,FALSE),0)+VLOOKUP($Q46,武学奇术!$A:$ZZ,2,FALSE)+SUM(_xlfn.XLOOKUP($R46:$AF46,增益!$A:$A,增益!$B:$B,0))</f>
        <v>1.0041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1444.4</v>
      </c>
      <c r="AO46" cm="1">
        <f t="array" ref="AO46">$E$10*(1+$AM46)+VLOOKUP($Q46,武学奇术!$A:$ZZ,4,FALSE)+SUM(_xlfn.XLOOKUP($R46:$AF46,增益!$A:$A,增益!$D:$D,0))-$I$2</f>
        <v>5816.5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0.267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576.6</v>
      </c>
      <c r="AX46">
        <f t="shared" si="4"/>
        <v>1088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0.06</v>
      </c>
      <c r="AZ46" s="30" cm="1">
        <f t="array" ref="AZ46">$G$12+VLOOKUP($Q46,武学奇术!$A:$ZZ,12,FALSE)+SUM(_xlfn.XLOOKUP(R46:AF46,增益!$A:$A,增益!$L:$L,0))</f>
        <v>0.15</v>
      </c>
      <c r="BA46">
        <f t="shared" si="5"/>
        <v>0</v>
      </c>
      <c r="BB46">
        <f t="shared" si="6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-0.3</v>
      </c>
      <c r="BD46" s="30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0.846</v>
      </c>
      <c r="BK46" s="24" cm="1">
        <f t="array" ref="BK46">1+$B$13+VLOOKUP($Q46,武学奇术!$A:$ZZ,18,FALSE)+SUM(_xlfn.XLOOKUP(R46:AF46,增益!$A:$A,增益!$R:$R,0))</f>
        <v>2.094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0.1371</v>
      </c>
      <c r="BM46" s="24" cm="1">
        <f t="array" ref="BM46">1+$B$14+VLOOKUP($Q46,武学奇术!$A:$ZZ,20,FALSE)+SUM(_xlfn.XLOOKUP(R46:AF46,增益!$A:$A,增益!$T:$T,0))</f>
        <v>1.35</v>
      </c>
      <c r="BN46" s="24">
        <f t="shared" si="9"/>
        <v>0.846</v>
      </c>
      <c r="BO46" s="24">
        <f t="shared" si="10"/>
        <v>0.0168999999999999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0.21</v>
      </c>
    </row>
    <row r="47" spans="1:69">
      <c r="A47" s="4" t="s">
        <v>149</v>
      </c>
      <c r="B47" s="4">
        <v>1.66</v>
      </c>
      <c r="C47" s="37"/>
      <c r="K47" s="36">
        <f t="shared" si="0"/>
        <v>613245.467478398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625604.926002568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576603.884715376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291793.342351944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156472.696025832</v>
      </c>
      <c r="P47" s="37">
        <v>3</v>
      </c>
      <c r="Q47" s="38" t="s">
        <v>102</v>
      </c>
      <c r="R47" s="38" t="s">
        <v>92</v>
      </c>
      <c r="S47" s="38" t="s">
        <v>108</v>
      </c>
      <c r="T47" s="38" t="s">
        <v>72</v>
      </c>
      <c r="U47" s="38" t="s">
        <v>71</v>
      </c>
      <c r="V47" s="38" t="s">
        <v>139</v>
      </c>
      <c r="W47" s="38" t="s">
        <v>71</v>
      </c>
      <c r="X47" s="38" t="s">
        <v>121</v>
      </c>
      <c r="Y47" s="38" t="s">
        <v>141</v>
      </c>
      <c r="Z47" s="38" t="s">
        <v>71</v>
      </c>
      <c r="AA47" s="38" t="s">
        <v>71</v>
      </c>
      <c r="AB47" s="38" t="s">
        <v>71</v>
      </c>
      <c r="AC47" s="38" t="s">
        <v>71</v>
      </c>
      <c r="AD47" s="38" t="s">
        <v>71</v>
      </c>
      <c r="AE47" s="38" t="s">
        <v>74</v>
      </c>
      <c r="AF47" s="38" t="s">
        <v>98</v>
      </c>
      <c r="AG47" t="str">
        <f>VLOOKUP($Q47,武学奇术!$A:$ZZ,25,FALSE)</f>
        <v>陌刀</v>
      </c>
      <c r="AH47" s="24">
        <f>VLOOKUP($Q47,武学奇术!$A:$ZZ,26,FALSE)</f>
        <v>4.2807</v>
      </c>
      <c r="AI47" s="25">
        <f>VLOOKUP($Q47,武学奇术!$A:$ZZ,27,FALSE)*(1+IF(OR($AG47=$F$4,$AG47=$F$5),$B$22,0))</f>
        <v>1657.6</v>
      </c>
      <c r="AJ47" s="24">
        <f>VLOOKUP($Q47,武学奇术!$A:$ZZ,28,FALSE)</f>
        <v>6.421</v>
      </c>
      <c r="AK47" s="25">
        <f>VLOOKUP($Q47,武学奇术!$A:$ZZ,29,FALSE)*(1+IF(OR($AG47=$F$4,$AG47=$F$5),$B$22,0))</f>
        <v>903</v>
      </c>
      <c r="AL47" s="24" cm="1">
        <f t="array" ref="AL47">$G$3+IFERROR(VLOOKUP($AG47,$F$4:$G$7,2,FALSE),0)+VLOOKUP($Q47,武学奇术!$A:$ZZ,2,FALSE)+SUM(_xlfn.XLOOKUP($R47:$AF47,增益!$A:$A,增益!$B:$B,0))</f>
        <v>1.0041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1444.4</v>
      </c>
      <c r="AO47" cm="1">
        <f t="array" ref="AO47">$E$10*(1+$AM47)+VLOOKUP($Q47,武学奇术!$A:$ZZ,4,FALSE)+SUM(_xlfn.XLOOKUP($R47:$AF47,增益!$A:$A,增益!$D:$D,0))-$I$2</f>
        <v>5816.5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0.292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576.6</v>
      </c>
      <c r="AX47">
        <f t="shared" si="4"/>
        <v>1088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0.06</v>
      </c>
      <c r="AZ47" s="30" cm="1">
        <f t="array" ref="AZ47">$G$12+VLOOKUP($Q47,武学奇术!$A:$ZZ,12,FALSE)+SUM(_xlfn.XLOOKUP(R47:AF47,增益!$A:$A,增益!$L:$L,0))</f>
        <v>0.15</v>
      </c>
      <c r="BA47">
        <f t="shared" si="5"/>
        <v>0</v>
      </c>
      <c r="BB47">
        <f t="shared" si="6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0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0.846</v>
      </c>
      <c r="BK47" s="24" cm="1">
        <f t="array" ref="BK47">1+$B$13+VLOOKUP($Q47,武学奇术!$A:$ZZ,18,FALSE)+SUM(_xlfn.XLOOKUP(R47:AF47,增益!$A:$A,增益!$R:$R,0))</f>
        <v>2.144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0.1371</v>
      </c>
      <c r="BM47" s="24" cm="1">
        <f t="array" ref="BM47">1+$B$14+VLOOKUP($Q47,武学奇术!$A:$ZZ,20,FALSE)+SUM(_xlfn.XLOOKUP(R47:AF47,增益!$A:$A,增益!$T:$T,0))</f>
        <v>1.35</v>
      </c>
      <c r="BN47" s="24">
        <f t="shared" si="9"/>
        <v>0.846</v>
      </c>
      <c r="BO47" s="24">
        <f t="shared" si="10"/>
        <v>0.0168999999999999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0.21</v>
      </c>
    </row>
    <row r="48" spans="1:69">
      <c r="A48" s="4" t="s">
        <v>150</v>
      </c>
      <c r="B48" s="4">
        <v>1.33</v>
      </c>
      <c r="C48" s="37"/>
      <c r="K48" s="36">
        <f t="shared" si="0"/>
        <v>132401.153605494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151032.048929251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153306.049098849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75743.2542273072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37926.4720850969</v>
      </c>
      <c r="P48" s="37">
        <v>1</v>
      </c>
      <c r="Q48" s="38" t="s">
        <v>152</v>
      </c>
      <c r="R48" s="38" t="s">
        <v>92</v>
      </c>
      <c r="S48" s="38" t="s">
        <v>108</v>
      </c>
      <c r="T48" s="38" t="s">
        <v>72</v>
      </c>
      <c r="U48" s="38" t="s">
        <v>71</v>
      </c>
      <c r="V48" s="38" t="s">
        <v>139</v>
      </c>
      <c r="W48" s="38" t="s">
        <v>71</v>
      </c>
      <c r="X48" s="38" t="s">
        <v>118</v>
      </c>
      <c r="Y48" s="38" t="s">
        <v>141</v>
      </c>
      <c r="Z48" s="38" t="s">
        <v>71</v>
      </c>
      <c r="AA48" s="38" t="s">
        <v>71</v>
      </c>
      <c r="AB48" s="38" t="s">
        <v>71</v>
      </c>
      <c r="AC48" s="38" t="s">
        <v>71</v>
      </c>
      <c r="AD48" s="38" t="s">
        <v>71</v>
      </c>
      <c r="AE48" s="38" t="s">
        <v>74</v>
      </c>
      <c r="AF48" s="38" t="s">
        <v>71</v>
      </c>
      <c r="AG48" t="str">
        <f>VLOOKUP($Q48,武学奇术!$A:$ZZ,25,FALSE)</f>
        <v>单体奇术</v>
      </c>
      <c r="AH48" s="24">
        <f>VLOOKUP($Q48,武学奇术!$A:$ZZ,26,FALSE)</f>
        <v>7.1074</v>
      </c>
      <c r="AI48" s="25">
        <f>VLOOKUP($Q48,武学奇术!$A:$ZZ,27,FALSE)*(1+IF(OR($AG48=$F$4,$AG48=$F$5),$B$22,0))</f>
        <v>1320</v>
      </c>
      <c r="AJ48" s="24">
        <f>VLOOKUP($Q48,武学奇术!$A:$ZZ,28,FALSE)</f>
        <v>10.6596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0.4137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1444.4</v>
      </c>
      <c r="AO48" cm="1">
        <f t="array" ref="AO48">$E$10*(1+$AM48)+VLOOKUP($Q48,武学奇术!$A:$ZZ,4,FALSE)+SUM(_xlfn.XLOOKUP($R48:$AF48,增益!$A:$A,增益!$D:$D,0))-$I$2</f>
        <v>5616.5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0.267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576.6</v>
      </c>
      <c r="AX48">
        <f t="shared" si="4"/>
        <v>1088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0.06</v>
      </c>
      <c r="AZ48" s="30" cm="1">
        <f t="array" ref="AZ48">$G$12+VLOOKUP($Q48,武学奇术!$A:$ZZ,12,FALSE)+SUM(_xlfn.XLOOKUP(R48:AF48,增益!$A:$A,增益!$L:$L,0))</f>
        <v>0.15</v>
      </c>
      <c r="BA48">
        <f t="shared" si="5"/>
        <v>0</v>
      </c>
      <c r="BB48">
        <f t="shared" si="6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0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0.6113</v>
      </c>
      <c r="BK48" s="24" cm="1">
        <f t="array" ref="BK48">1+$B$13+VLOOKUP($Q48,武学奇术!$A:$ZZ,18,FALSE)+SUM(_xlfn.XLOOKUP(R48:AF48,增益!$A:$A,增益!$R:$R,0))</f>
        <v>1.994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0.1371</v>
      </c>
      <c r="BM48" s="24" cm="1">
        <f t="array" ref="BM48">1+$B$14+VLOOKUP($Q48,武学奇术!$A:$ZZ,20,FALSE)+SUM(_xlfn.XLOOKUP(R48:AF48,增益!$A:$A,增益!$T:$T,0))</f>
        <v>1.35</v>
      </c>
      <c r="BN48" s="24">
        <f t="shared" si="9"/>
        <v>0.6113</v>
      </c>
      <c r="BO48" s="24">
        <f t="shared" si="10"/>
        <v>0.2516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0.21</v>
      </c>
    </row>
    <row r="49" spans="1:69">
      <c r="A49" s="4" t="s">
        <v>69</v>
      </c>
      <c r="B49" s="4">
        <v>0.5</v>
      </c>
      <c r="C49" s="37"/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71</v>
      </c>
      <c r="R49" s="38" t="s">
        <v>71</v>
      </c>
      <c r="S49" s="38" t="s">
        <v>71</v>
      </c>
      <c r="T49" s="38" t="s">
        <v>71</v>
      </c>
      <c r="U49" s="38" t="s">
        <v>71</v>
      </c>
      <c r="V49" s="38" t="s">
        <v>71</v>
      </c>
      <c r="W49" s="38" t="s">
        <v>71</v>
      </c>
      <c r="X49" s="38" t="s">
        <v>71</v>
      </c>
      <c r="Y49" s="38" t="s">
        <v>71</v>
      </c>
      <c r="Z49" s="38" t="s">
        <v>71</v>
      </c>
      <c r="AA49" s="38" t="s">
        <v>71</v>
      </c>
      <c r="AB49" s="38" t="s">
        <v>71</v>
      </c>
      <c r="AC49" s="38" t="s">
        <v>71</v>
      </c>
      <c r="AD49" s="38" t="s">
        <v>71</v>
      </c>
      <c r="AE49" s="38" t="s">
        <v>74</v>
      </c>
      <c r="AF49" s="38" t="s">
        <v>71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0.2037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1444.4</v>
      </c>
      <c r="AO49" cm="1">
        <f t="array" ref="AO49">$E$10*(1+$AM49)+VLOOKUP($Q49,武学奇术!$A:$ZZ,4,FALSE)+SUM(_xlfn.XLOOKUP($R49:$AF49,增益!$A:$A,增益!$D:$D,0))-$I$2</f>
        <v>5616.5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0.167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576.6</v>
      </c>
      <c r="AX49">
        <f t="shared" si="4"/>
        <v>1088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0.06</v>
      </c>
      <c r="AZ49" s="30" cm="1">
        <f t="array" ref="AZ49">$G$12+VLOOKUP($Q49,武学奇术!$A:$ZZ,12,FALSE)+SUM(_xlfn.XLOOKUP(R49:AF49,增益!$A:$A,增益!$L:$L,0))</f>
        <v>0.15</v>
      </c>
      <c r="BA49">
        <f t="shared" si="5"/>
        <v>0</v>
      </c>
      <c r="BB49">
        <f t="shared" si="6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0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0.6113</v>
      </c>
      <c r="BK49" s="24" cm="1">
        <f t="array" ref="BK49">1+$B$13+VLOOKUP($Q49,武学奇术!$A:$ZZ,18,FALSE)+SUM(_xlfn.XLOOKUP(R49:AF49,增益!$A:$A,增益!$R:$R,0))</f>
        <v>1.644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0.1371</v>
      </c>
      <c r="BM49" s="24" cm="1">
        <f t="array" ref="BM49">1+$B$14+VLOOKUP($Q49,武学奇术!$A:$ZZ,20,FALSE)+SUM(_xlfn.XLOOKUP(R49:AF49,增益!$A:$A,增益!$T:$T,0))</f>
        <v>1.35</v>
      </c>
      <c r="BN49" s="24">
        <f t="shared" si="9"/>
        <v>0.6113</v>
      </c>
      <c r="BO49" s="24">
        <f t="shared" si="10"/>
        <v>0.2516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0.11</v>
      </c>
    </row>
    <row r="50" spans="1:69">
      <c r="A50" s="4" t="s">
        <v>149</v>
      </c>
      <c r="B50" s="4">
        <v>1.66</v>
      </c>
      <c r="C50" s="37"/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71</v>
      </c>
      <c r="R50" s="38" t="s">
        <v>71</v>
      </c>
      <c r="S50" s="38" t="s">
        <v>71</v>
      </c>
      <c r="T50" s="38" t="s">
        <v>71</v>
      </c>
      <c r="U50" s="38" t="s">
        <v>71</v>
      </c>
      <c r="V50" s="38" t="s">
        <v>71</v>
      </c>
      <c r="W50" s="38" t="s">
        <v>71</v>
      </c>
      <c r="X50" s="38" t="s">
        <v>71</v>
      </c>
      <c r="Y50" s="38" t="s">
        <v>71</v>
      </c>
      <c r="Z50" s="38" t="s">
        <v>71</v>
      </c>
      <c r="AA50" s="38" t="s">
        <v>71</v>
      </c>
      <c r="AB50" s="38" t="s">
        <v>71</v>
      </c>
      <c r="AC50" s="38" t="s">
        <v>71</v>
      </c>
      <c r="AD50" s="38" t="s">
        <v>71</v>
      </c>
      <c r="AE50" s="38" t="s">
        <v>74</v>
      </c>
      <c r="AF50" s="38" t="s">
        <v>71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0.2037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1444.4</v>
      </c>
      <c r="AO50" cm="1">
        <f t="array" ref="AO50">$E$10*(1+$AM50)+VLOOKUP($Q50,武学奇术!$A:$ZZ,4,FALSE)+SUM(_xlfn.XLOOKUP($R50:$AF50,增益!$A:$A,增益!$D:$D,0))-$I$2</f>
        <v>5616.5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0.167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576.6</v>
      </c>
      <c r="AX50">
        <f t="shared" si="4"/>
        <v>1088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0.06</v>
      </c>
      <c r="AZ50" s="30" cm="1">
        <f t="array" ref="AZ50">$G$12+VLOOKUP($Q50,武学奇术!$A:$ZZ,12,FALSE)+SUM(_xlfn.XLOOKUP(R50:AF50,增益!$A:$A,增益!$L:$L,0))</f>
        <v>0.15</v>
      </c>
      <c r="BA50">
        <f t="shared" si="5"/>
        <v>0</v>
      </c>
      <c r="BB50">
        <f t="shared" si="6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-0.3</v>
      </c>
      <c r="BD50" s="30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0.6113</v>
      </c>
      <c r="BK50" s="24" cm="1">
        <f t="array" ref="BK50">1+$B$13+VLOOKUP($Q50,武学奇术!$A:$ZZ,18,FALSE)+SUM(_xlfn.XLOOKUP(R50:AF50,增益!$A:$A,增益!$R:$R,0))</f>
        <v>1.644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0.1371</v>
      </c>
      <c r="BM50" s="24" cm="1">
        <f t="array" ref="BM50">1+$B$14+VLOOKUP($Q50,武学奇术!$A:$ZZ,20,FALSE)+SUM(_xlfn.XLOOKUP(R50:AF50,增益!$A:$A,增益!$T:$T,0))</f>
        <v>1.35</v>
      </c>
      <c r="BN50" s="24">
        <f t="shared" si="9"/>
        <v>0.6113</v>
      </c>
      <c r="BO50" s="24">
        <f t="shared" si="10"/>
        <v>0.2516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0.11</v>
      </c>
    </row>
    <row r="51" spans="1:69">
      <c r="A51" s="4" t="s">
        <v>150</v>
      </c>
      <c r="B51" s="4">
        <v>1.33</v>
      </c>
      <c r="C51" s="37"/>
      <c r="D51" t="s">
        <v>153</v>
      </c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71</v>
      </c>
      <c r="R51" s="38" t="s">
        <v>71</v>
      </c>
      <c r="S51" s="38" t="s">
        <v>71</v>
      </c>
      <c r="T51" s="38" t="s">
        <v>71</v>
      </c>
      <c r="U51" s="38" t="s">
        <v>71</v>
      </c>
      <c r="V51" s="38" t="s">
        <v>71</v>
      </c>
      <c r="W51" s="38" t="s">
        <v>71</v>
      </c>
      <c r="X51" s="38" t="s">
        <v>71</v>
      </c>
      <c r="Y51" s="38" t="s">
        <v>71</v>
      </c>
      <c r="Z51" s="38" t="s">
        <v>71</v>
      </c>
      <c r="AA51" s="38" t="s">
        <v>71</v>
      </c>
      <c r="AB51" s="38" t="s">
        <v>71</v>
      </c>
      <c r="AC51" s="38" t="s">
        <v>71</v>
      </c>
      <c r="AD51" s="38" t="s">
        <v>71</v>
      </c>
      <c r="AE51" s="38" t="s">
        <v>74</v>
      </c>
      <c r="AF51" s="38" t="s">
        <v>71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0.2037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1444.4</v>
      </c>
      <c r="AO51" cm="1">
        <f t="array" ref="AO51">$E$10*(1+$AM51)+VLOOKUP($Q51,武学奇术!$A:$ZZ,4,FALSE)+SUM(_xlfn.XLOOKUP($R51:$AF51,增益!$A:$A,增益!$D:$D,0))-$I$2</f>
        <v>5616.5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0.167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576.6</v>
      </c>
      <c r="AX51">
        <f t="shared" si="4"/>
        <v>1088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0.06</v>
      </c>
      <c r="AZ51" s="30" cm="1">
        <f t="array" ref="AZ51">$G$12+VLOOKUP($Q51,武学奇术!$A:$ZZ,12,FALSE)+SUM(_xlfn.XLOOKUP(R51:AF51,增益!$A:$A,增益!$L:$L,0))</f>
        <v>0.15</v>
      </c>
      <c r="BA51">
        <f t="shared" si="5"/>
        <v>0</v>
      </c>
      <c r="BB51">
        <f t="shared" si="6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-0.3</v>
      </c>
      <c r="BD51" s="30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0.6113</v>
      </c>
      <c r="BK51" s="24" cm="1">
        <f t="array" ref="BK51">1+$B$13+VLOOKUP($Q51,武学奇术!$A:$ZZ,18,FALSE)+SUM(_xlfn.XLOOKUP(R51:AF51,增益!$A:$A,增益!$R:$R,0))</f>
        <v>1.644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0.1371</v>
      </c>
      <c r="BM51" s="24" cm="1">
        <f t="array" ref="BM51">1+$B$14+VLOOKUP($Q51,武学奇术!$A:$ZZ,20,FALSE)+SUM(_xlfn.XLOOKUP(R51:AF51,增益!$A:$A,增益!$T:$T,0))</f>
        <v>1.35</v>
      </c>
      <c r="BN51" s="24">
        <f t="shared" si="9"/>
        <v>0.6113</v>
      </c>
      <c r="BO51" s="24">
        <f t="shared" si="10"/>
        <v>0.2516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0.11</v>
      </c>
    </row>
    <row r="52" spans="1:69">
      <c r="A52" s="4" t="s">
        <v>150</v>
      </c>
      <c r="B52" s="4">
        <v>1.33</v>
      </c>
      <c r="C52" s="37"/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71</v>
      </c>
      <c r="R52" s="38" t="s">
        <v>71</v>
      </c>
      <c r="S52" s="38" t="s">
        <v>71</v>
      </c>
      <c r="T52" s="38" t="s">
        <v>71</v>
      </c>
      <c r="U52" s="38" t="s">
        <v>71</v>
      </c>
      <c r="V52" s="38" t="s">
        <v>71</v>
      </c>
      <c r="W52" s="38" t="s">
        <v>71</v>
      </c>
      <c r="X52" s="38" t="s">
        <v>71</v>
      </c>
      <c r="Y52" s="38" t="s">
        <v>71</v>
      </c>
      <c r="Z52" s="38" t="s">
        <v>71</v>
      </c>
      <c r="AA52" s="38" t="s">
        <v>71</v>
      </c>
      <c r="AB52" s="38" t="s">
        <v>71</v>
      </c>
      <c r="AC52" s="38" t="s">
        <v>71</v>
      </c>
      <c r="AD52" s="38" t="s">
        <v>71</v>
      </c>
      <c r="AE52" s="38" t="s">
        <v>74</v>
      </c>
      <c r="AF52" s="38" t="s">
        <v>71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0.2037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1444.4</v>
      </c>
      <c r="AO52" cm="1">
        <f t="array" ref="AO52">$E$10*(1+$AM52)+VLOOKUP($Q52,武学奇术!$A:$ZZ,4,FALSE)+SUM(_xlfn.XLOOKUP($R52:$AF52,增益!$A:$A,增益!$D:$D,0))-$I$2</f>
        <v>5616.5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0.167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576.6</v>
      </c>
      <c r="AX52">
        <f t="shared" si="4"/>
        <v>1088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0.06</v>
      </c>
      <c r="AZ52" s="30" cm="1">
        <f t="array" ref="AZ52">$G$12+VLOOKUP($Q52,武学奇术!$A:$ZZ,12,FALSE)+SUM(_xlfn.XLOOKUP(R52:AF52,增益!$A:$A,增益!$L:$L,0))</f>
        <v>0.15</v>
      </c>
      <c r="BA52">
        <f t="shared" si="5"/>
        <v>0</v>
      </c>
      <c r="BB52">
        <f t="shared" si="6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-0.3</v>
      </c>
      <c r="BD52" s="30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0.6113</v>
      </c>
      <c r="BK52" s="24" cm="1">
        <f t="array" ref="BK52">1+$B$13+VLOOKUP($Q52,武学奇术!$A:$ZZ,18,FALSE)+SUM(_xlfn.XLOOKUP(R52:AF52,增益!$A:$A,增益!$R:$R,0))</f>
        <v>1.644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0.1371</v>
      </c>
      <c r="BM52" s="24" cm="1">
        <f t="array" ref="BM52">1+$B$14+VLOOKUP($Q52,武学奇术!$A:$ZZ,20,FALSE)+SUM(_xlfn.XLOOKUP(R52:AF52,增益!$A:$A,增益!$T:$T,0))</f>
        <v>1.35</v>
      </c>
      <c r="BN52" s="24">
        <f t="shared" si="9"/>
        <v>0.6113</v>
      </c>
      <c r="BO52" s="24">
        <f t="shared" si="10"/>
        <v>0.2516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0.11</v>
      </c>
    </row>
    <row r="53" spans="1:69">
      <c r="A53" s="4" t="s">
        <v>150</v>
      </c>
      <c r="B53" s="4">
        <v>1.33</v>
      </c>
      <c r="C53" s="37"/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71</v>
      </c>
      <c r="R53" s="38" t="s">
        <v>71</v>
      </c>
      <c r="S53" s="38" t="s">
        <v>71</v>
      </c>
      <c r="T53" s="38" t="s">
        <v>71</v>
      </c>
      <c r="U53" s="38" t="s">
        <v>71</v>
      </c>
      <c r="V53" s="38" t="s">
        <v>71</v>
      </c>
      <c r="W53" s="38" t="s">
        <v>71</v>
      </c>
      <c r="X53" s="38" t="s">
        <v>71</v>
      </c>
      <c r="Y53" s="38" t="s">
        <v>71</v>
      </c>
      <c r="Z53" s="38" t="s">
        <v>71</v>
      </c>
      <c r="AA53" s="38" t="s">
        <v>71</v>
      </c>
      <c r="AB53" s="38" t="s">
        <v>71</v>
      </c>
      <c r="AC53" s="38" t="s">
        <v>71</v>
      </c>
      <c r="AD53" s="38" t="s">
        <v>71</v>
      </c>
      <c r="AE53" s="38" t="s">
        <v>74</v>
      </c>
      <c r="AF53" s="38" t="s">
        <v>71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0.2037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1444.4</v>
      </c>
      <c r="AO53" cm="1">
        <f t="array" ref="AO53">$E$10*(1+$AM53)+VLOOKUP($Q53,武学奇术!$A:$ZZ,4,FALSE)+SUM(_xlfn.XLOOKUP($R53:$AF53,增益!$A:$A,增益!$D:$D,0))-$I$2</f>
        <v>5616.5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0.167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576.6</v>
      </c>
      <c r="AX53">
        <f t="shared" si="4"/>
        <v>1088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0.06</v>
      </c>
      <c r="AZ53" s="30" cm="1">
        <f t="array" ref="AZ53">$G$12+VLOOKUP($Q53,武学奇术!$A:$ZZ,12,FALSE)+SUM(_xlfn.XLOOKUP(R53:AF53,增益!$A:$A,增益!$L:$L,0))</f>
        <v>0.15</v>
      </c>
      <c r="BA53">
        <f t="shared" si="5"/>
        <v>0</v>
      </c>
      <c r="BB53">
        <f t="shared" si="6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0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0.6113</v>
      </c>
      <c r="BK53" s="24" cm="1">
        <f t="array" ref="BK53">1+$B$13+VLOOKUP($Q53,武学奇术!$A:$ZZ,18,FALSE)+SUM(_xlfn.XLOOKUP(R53:AF53,增益!$A:$A,增益!$R:$R,0))</f>
        <v>1.644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0.1371</v>
      </c>
      <c r="BM53" s="24" cm="1">
        <f t="array" ref="BM53">1+$B$14+VLOOKUP($Q53,武学奇术!$A:$ZZ,20,FALSE)+SUM(_xlfn.XLOOKUP(R53:AF53,增益!$A:$A,增益!$T:$T,0))</f>
        <v>1.35</v>
      </c>
      <c r="BN53" s="24">
        <f t="shared" si="9"/>
        <v>0.6113</v>
      </c>
      <c r="BO53" s="24">
        <f t="shared" si="10"/>
        <v>0.2516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0.11</v>
      </c>
    </row>
    <row r="54" spans="1:69">
      <c r="A54" s="4" t="s">
        <v>149</v>
      </c>
      <c r="B54" s="4">
        <v>1.66</v>
      </c>
      <c r="C54" s="37"/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71</v>
      </c>
      <c r="R54" s="38" t="s">
        <v>71</v>
      </c>
      <c r="S54" s="38" t="s">
        <v>71</v>
      </c>
      <c r="T54" s="38" t="s">
        <v>71</v>
      </c>
      <c r="U54" s="38" t="s">
        <v>71</v>
      </c>
      <c r="V54" s="38" t="s">
        <v>71</v>
      </c>
      <c r="W54" s="38" t="s">
        <v>71</v>
      </c>
      <c r="X54" s="38" t="s">
        <v>71</v>
      </c>
      <c r="Y54" s="38" t="s">
        <v>71</v>
      </c>
      <c r="Z54" s="38" t="s">
        <v>71</v>
      </c>
      <c r="AA54" s="38" t="s">
        <v>71</v>
      </c>
      <c r="AB54" s="38" t="s">
        <v>71</v>
      </c>
      <c r="AC54" s="38" t="s">
        <v>71</v>
      </c>
      <c r="AD54" s="38" t="s">
        <v>71</v>
      </c>
      <c r="AE54" s="38" t="s">
        <v>74</v>
      </c>
      <c r="AF54" s="38" t="s">
        <v>71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0.2037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1444.4</v>
      </c>
      <c r="AO54" cm="1">
        <f t="array" ref="AO54">$E$10*(1+$AM54)+VLOOKUP($Q54,武学奇术!$A:$ZZ,4,FALSE)+SUM(_xlfn.XLOOKUP($R54:$AF54,增益!$A:$A,增益!$D:$D,0))-$I$2</f>
        <v>5616.5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0.167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576.6</v>
      </c>
      <c r="AX54">
        <f t="shared" si="4"/>
        <v>1088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0.06</v>
      </c>
      <c r="AZ54" s="30" cm="1">
        <f t="array" ref="AZ54">$G$12+VLOOKUP($Q54,武学奇术!$A:$ZZ,12,FALSE)+SUM(_xlfn.XLOOKUP(R54:AF54,增益!$A:$A,增益!$L:$L,0))</f>
        <v>0.15</v>
      </c>
      <c r="BA54">
        <f t="shared" si="5"/>
        <v>0</v>
      </c>
      <c r="BB54">
        <f t="shared" si="6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0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0.6113</v>
      </c>
      <c r="BK54" s="24" cm="1">
        <f t="array" ref="BK54">1+$B$13+VLOOKUP($Q54,武学奇术!$A:$ZZ,18,FALSE)+SUM(_xlfn.XLOOKUP(R54:AF54,增益!$A:$A,增益!$R:$R,0))</f>
        <v>1.644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0.1371</v>
      </c>
      <c r="BM54" s="24" cm="1">
        <f t="array" ref="BM54">1+$B$14+VLOOKUP($Q54,武学奇术!$A:$ZZ,20,FALSE)+SUM(_xlfn.XLOOKUP(R54:AF54,增益!$A:$A,增益!$T:$T,0))</f>
        <v>1.35</v>
      </c>
      <c r="BN54" s="24">
        <f t="shared" si="9"/>
        <v>0.6113</v>
      </c>
      <c r="BO54" s="24">
        <f t="shared" si="10"/>
        <v>0.2516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0.11</v>
      </c>
    </row>
    <row r="55" spans="1:69">
      <c r="A55" s="4" t="s">
        <v>150</v>
      </c>
      <c r="B55" s="4">
        <v>1.33</v>
      </c>
      <c r="C55" s="37"/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71</v>
      </c>
      <c r="R55" s="38" t="s">
        <v>71</v>
      </c>
      <c r="S55" s="38" t="s">
        <v>71</v>
      </c>
      <c r="T55" s="38" t="s">
        <v>71</v>
      </c>
      <c r="U55" s="38" t="s">
        <v>71</v>
      </c>
      <c r="V55" s="38" t="s">
        <v>71</v>
      </c>
      <c r="W55" s="38" t="s">
        <v>71</v>
      </c>
      <c r="X55" s="38" t="s">
        <v>71</v>
      </c>
      <c r="Y55" s="38" t="s">
        <v>71</v>
      </c>
      <c r="Z55" s="38" t="s">
        <v>71</v>
      </c>
      <c r="AA55" s="38" t="s">
        <v>71</v>
      </c>
      <c r="AB55" s="38" t="s">
        <v>71</v>
      </c>
      <c r="AC55" s="38" t="s">
        <v>71</v>
      </c>
      <c r="AD55" s="38" t="s">
        <v>71</v>
      </c>
      <c r="AE55" s="38" t="s">
        <v>74</v>
      </c>
      <c r="AF55" s="38" t="s">
        <v>71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0.2037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1444.4</v>
      </c>
      <c r="AO55" cm="1">
        <f t="array" ref="AO55">$E$10*(1+$AM55)+VLOOKUP($Q55,武学奇术!$A:$ZZ,4,FALSE)+SUM(_xlfn.XLOOKUP($R55:$AF55,增益!$A:$A,增益!$D:$D,0))-$I$2</f>
        <v>5616.5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0.167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576.6</v>
      </c>
      <c r="AX55">
        <f t="shared" si="4"/>
        <v>1088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0.06</v>
      </c>
      <c r="AZ55" s="30" cm="1">
        <f t="array" ref="AZ55">$G$12+VLOOKUP($Q55,武学奇术!$A:$ZZ,12,FALSE)+SUM(_xlfn.XLOOKUP(R55:AF55,增益!$A:$A,增益!$L:$L,0))</f>
        <v>0.15</v>
      </c>
      <c r="BA55">
        <f t="shared" si="5"/>
        <v>0</v>
      </c>
      <c r="BB55">
        <f t="shared" si="6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0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0.6113</v>
      </c>
      <c r="BK55" s="24" cm="1">
        <f t="array" ref="BK55">1+$B$13+VLOOKUP($Q55,武学奇术!$A:$ZZ,18,FALSE)+SUM(_xlfn.XLOOKUP(R55:AF55,增益!$A:$A,增益!$R:$R,0))</f>
        <v>1.644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0.1371</v>
      </c>
      <c r="BM55" s="24" cm="1">
        <f t="array" ref="BM55">1+$B$14+VLOOKUP($Q55,武学奇术!$A:$ZZ,20,FALSE)+SUM(_xlfn.XLOOKUP(R55:AF55,增益!$A:$A,增益!$T:$T,0))</f>
        <v>1.35</v>
      </c>
      <c r="BN55" s="24">
        <f t="shared" si="9"/>
        <v>0.6113</v>
      </c>
      <c r="BO55" s="24">
        <f t="shared" si="10"/>
        <v>0.2516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0.11</v>
      </c>
    </row>
    <row r="56" spans="1:69">
      <c r="A56" s="4" t="s">
        <v>144</v>
      </c>
      <c r="B56" s="4">
        <v>1.2</v>
      </c>
      <c r="C56" s="37"/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71</v>
      </c>
      <c r="R56" s="38" t="s">
        <v>71</v>
      </c>
      <c r="S56" s="38" t="s">
        <v>71</v>
      </c>
      <c r="T56" s="38" t="s">
        <v>71</v>
      </c>
      <c r="U56" s="38" t="s">
        <v>71</v>
      </c>
      <c r="V56" s="38" t="s">
        <v>71</v>
      </c>
      <c r="W56" s="38" t="s">
        <v>71</v>
      </c>
      <c r="X56" s="38" t="s">
        <v>71</v>
      </c>
      <c r="Y56" s="38" t="s">
        <v>71</v>
      </c>
      <c r="Z56" s="38" t="s">
        <v>71</v>
      </c>
      <c r="AA56" s="38" t="s">
        <v>71</v>
      </c>
      <c r="AB56" s="38" t="s">
        <v>71</v>
      </c>
      <c r="AC56" s="38" t="s">
        <v>71</v>
      </c>
      <c r="AD56" s="38" t="s">
        <v>71</v>
      </c>
      <c r="AE56" s="38" t="s">
        <v>74</v>
      </c>
      <c r="AF56" s="38" t="s">
        <v>71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0.2037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1444.4</v>
      </c>
      <c r="AO56" cm="1">
        <f t="array" ref="AO56">$E$10*(1+$AM56)+VLOOKUP($Q56,武学奇术!$A:$ZZ,4,FALSE)+SUM(_xlfn.XLOOKUP($R56:$AF56,增益!$A:$A,增益!$D:$D,0))-$I$2</f>
        <v>5616.5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0.167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576.6</v>
      </c>
      <c r="AX56">
        <f t="shared" si="4"/>
        <v>1088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0.06</v>
      </c>
      <c r="AZ56" s="30" cm="1">
        <f t="array" ref="AZ56">$G$12+VLOOKUP($Q56,武学奇术!$A:$ZZ,12,FALSE)+SUM(_xlfn.XLOOKUP(R56:AF56,增益!$A:$A,增益!$L:$L,0))</f>
        <v>0.15</v>
      </c>
      <c r="BA56">
        <f t="shared" si="5"/>
        <v>0</v>
      </c>
      <c r="BB56">
        <f t="shared" si="6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0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0.6113</v>
      </c>
      <c r="BK56" s="24" cm="1">
        <f t="array" ref="BK56">1+$B$13+VLOOKUP($Q56,武学奇术!$A:$ZZ,18,FALSE)+SUM(_xlfn.XLOOKUP(R56:AF56,增益!$A:$A,增益!$R:$R,0))</f>
        <v>1.644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0.1371</v>
      </c>
      <c r="BM56" s="24" cm="1">
        <f t="array" ref="BM56">1+$B$14+VLOOKUP($Q56,武学奇术!$A:$ZZ,20,FALSE)+SUM(_xlfn.XLOOKUP(R56:AF56,增益!$A:$A,增益!$T:$T,0))</f>
        <v>1.35</v>
      </c>
      <c r="BN56" s="24">
        <f t="shared" si="9"/>
        <v>0.6113</v>
      </c>
      <c r="BO56" s="24">
        <f t="shared" si="10"/>
        <v>0.2516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0.11</v>
      </c>
    </row>
    <row r="57" spans="1:69">
      <c r="A57" s="4" t="s">
        <v>151</v>
      </c>
      <c r="B57" s="4">
        <v>1.4</v>
      </c>
      <c r="C57" s="37"/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71</v>
      </c>
      <c r="R57" s="38" t="s">
        <v>71</v>
      </c>
      <c r="S57" s="38" t="s">
        <v>71</v>
      </c>
      <c r="T57" s="38" t="s">
        <v>71</v>
      </c>
      <c r="U57" s="38" t="s">
        <v>71</v>
      </c>
      <c r="V57" s="38" t="s">
        <v>71</v>
      </c>
      <c r="W57" s="38" t="s">
        <v>71</v>
      </c>
      <c r="X57" s="38" t="s">
        <v>71</v>
      </c>
      <c r="Y57" s="38" t="s">
        <v>71</v>
      </c>
      <c r="Z57" s="38" t="s">
        <v>71</v>
      </c>
      <c r="AA57" s="38" t="s">
        <v>71</v>
      </c>
      <c r="AB57" s="38" t="s">
        <v>71</v>
      </c>
      <c r="AC57" s="38" t="s">
        <v>71</v>
      </c>
      <c r="AD57" s="38" t="s">
        <v>71</v>
      </c>
      <c r="AE57" s="38" t="s">
        <v>74</v>
      </c>
      <c r="AF57" s="38" t="s">
        <v>71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0.2037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1444.4</v>
      </c>
      <c r="AO57" cm="1">
        <f t="array" ref="AO57">$E$10*(1+$AM57)+VLOOKUP($Q57,武学奇术!$A:$ZZ,4,FALSE)+SUM(_xlfn.XLOOKUP($R57:$AF57,增益!$A:$A,增益!$D:$D,0))-$I$2</f>
        <v>5616.5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0.167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576.6</v>
      </c>
      <c r="AX57">
        <f t="shared" si="4"/>
        <v>1088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0.06</v>
      </c>
      <c r="AZ57" s="30" cm="1">
        <f t="array" ref="AZ57">$G$12+VLOOKUP($Q57,武学奇术!$A:$ZZ,12,FALSE)+SUM(_xlfn.XLOOKUP(R57:AF57,增益!$A:$A,增益!$L:$L,0))</f>
        <v>0.15</v>
      </c>
      <c r="BA57">
        <f t="shared" si="5"/>
        <v>0</v>
      </c>
      <c r="BB57">
        <f t="shared" si="6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0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0.6113</v>
      </c>
      <c r="BK57" s="24" cm="1">
        <f t="array" ref="BK57">1+$B$13+VLOOKUP($Q57,武学奇术!$A:$ZZ,18,FALSE)+SUM(_xlfn.XLOOKUP(R57:AF57,增益!$A:$A,增益!$R:$R,0))</f>
        <v>1.644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0.1371</v>
      </c>
      <c r="BM57" s="24" cm="1">
        <f t="array" ref="BM57">1+$B$14+VLOOKUP($Q57,武学奇术!$A:$ZZ,20,FALSE)+SUM(_xlfn.XLOOKUP(R57:AF57,增益!$A:$A,增益!$T:$T,0))</f>
        <v>1.35</v>
      </c>
      <c r="BN57" s="24">
        <f t="shared" si="9"/>
        <v>0.6113</v>
      </c>
      <c r="BO57" s="24">
        <f t="shared" si="10"/>
        <v>0.2516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0.11</v>
      </c>
    </row>
    <row r="58" spans="1:69">
      <c r="A58" s="4" t="s">
        <v>146</v>
      </c>
      <c r="B58" s="4">
        <v>2</v>
      </c>
      <c r="C58" s="37"/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71</v>
      </c>
      <c r="R58" s="38" t="s">
        <v>71</v>
      </c>
      <c r="S58" s="38" t="s">
        <v>71</v>
      </c>
      <c r="T58" s="38" t="s">
        <v>71</v>
      </c>
      <c r="U58" s="38" t="s">
        <v>71</v>
      </c>
      <c r="V58" s="38" t="s">
        <v>71</v>
      </c>
      <c r="W58" s="38" t="s">
        <v>71</v>
      </c>
      <c r="X58" s="38" t="s">
        <v>71</v>
      </c>
      <c r="Y58" s="38" t="s">
        <v>71</v>
      </c>
      <c r="Z58" s="38" t="s">
        <v>71</v>
      </c>
      <c r="AA58" s="38" t="s">
        <v>71</v>
      </c>
      <c r="AB58" s="38" t="s">
        <v>71</v>
      </c>
      <c r="AC58" s="38" t="s">
        <v>71</v>
      </c>
      <c r="AD58" s="38" t="s">
        <v>71</v>
      </c>
      <c r="AE58" s="38" t="s">
        <v>74</v>
      </c>
      <c r="AF58" s="38" t="s">
        <v>71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0.2037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1444.4</v>
      </c>
      <c r="AO58" cm="1">
        <f t="array" ref="AO58">$E$10*(1+$AM58)+VLOOKUP($Q58,武学奇术!$A:$ZZ,4,FALSE)+SUM(_xlfn.XLOOKUP($R58:$AF58,增益!$A:$A,增益!$D:$D,0))-$I$2</f>
        <v>5616.5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0.167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576.6</v>
      </c>
      <c r="AX58">
        <f t="shared" si="4"/>
        <v>1088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0.06</v>
      </c>
      <c r="AZ58" s="30" cm="1">
        <f t="array" ref="AZ58">$G$12+VLOOKUP($Q58,武学奇术!$A:$ZZ,12,FALSE)+SUM(_xlfn.XLOOKUP(R58:AF58,增益!$A:$A,增益!$L:$L,0))</f>
        <v>0.15</v>
      </c>
      <c r="BA58">
        <f t="shared" si="5"/>
        <v>0</v>
      </c>
      <c r="BB58">
        <f t="shared" si="6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0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0.6113</v>
      </c>
      <c r="BK58" s="24" cm="1">
        <f t="array" ref="BK58">1+$B$13+VLOOKUP($Q58,武学奇术!$A:$ZZ,18,FALSE)+SUM(_xlfn.XLOOKUP(R58:AF58,增益!$A:$A,增益!$R:$R,0))</f>
        <v>1.644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0.1371</v>
      </c>
      <c r="BM58" s="24" cm="1">
        <f t="array" ref="BM58">1+$B$14+VLOOKUP($Q58,武学奇术!$A:$ZZ,20,FALSE)+SUM(_xlfn.XLOOKUP(R58:AF58,增益!$A:$A,增益!$T:$T,0))</f>
        <v>1.35</v>
      </c>
      <c r="BN58" s="24">
        <f t="shared" si="9"/>
        <v>0.6113</v>
      </c>
      <c r="BO58" s="24">
        <f t="shared" si="10"/>
        <v>0.2516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0.11</v>
      </c>
    </row>
    <row r="59" spans="1:69">
      <c r="A59" s="4" t="s">
        <v>149</v>
      </c>
      <c r="B59" s="4">
        <v>1.66</v>
      </c>
      <c r="C59" s="37"/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71</v>
      </c>
      <c r="R59" s="38" t="s">
        <v>71</v>
      </c>
      <c r="S59" s="38" t="s">
        <v>71</v>
      </c>
      <c r="T59" s="38" t="s">
        <v>71</v>
      </c>
      <c r="U59" s="38" t="s">
        <v>71</v>
      </c>
      <c r="V59" s="38" t="s">
        <v>71</v>
      </c>
      <c r="W59" s="38" t="s">
        <v>71</v>
      </c>
      <c r="X59" s="38" t="s">
        <v>71</v>
      </c>
      <c r="Y59" s="38" t="s">
        <v>71</v>
      </c>
      <c r="Z59" s="38" t="s">
        <v>71</v>
      </c>
      <c r="AA59" s="38" t="s">
        <v>71</v>
      </c>
      <c r="AB59" s="38" t="s">
        <v>71</v>
      </c>
      <c r="AC59" s="38" t="s">
        <v>71</v>
      </c>
      <c r="AD59" s="38" t="s">
        <v>71</v>
      </c>
      <c r="AE59" s="38" t="s">
        <v>74</v>
      </c>
      <c r="AF59" s="38" t="s">
        <v>71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0.2037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1444.4</v>
      </c>
      <c r="AO59" cm="1">
        <f t="array" ref="AO59">$E$10*(1+$AM59)+VLOOKUP($Q59,武学奇术!$A:$ZZ,4,FALSE)+SUM(_xlfn.XLOOKUP($R59:$AF59,增益!$A:$A,增益!$D:$D,0))-$I$2</f>
        <v>5616.5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0.167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576.6</v>
      </c>
      <c r="AX59">
        <f t="shared" si="4"/>
        <v>1088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0.06</v>
      </c>
      <c r="AZ59" s="30" cm="1">
        <f t="array" ref="AZ59">$G$12+VLOOKUP($Q59,武学奇术!$A:$ZZ,12,FALSE)+SUM(_xlfn.XLOOKUP(R59:AF59,增益!$A:$A,增益!$L:$L,0))</f>
        <v>0.15</v>
      </c>
      <c r="BA59">
        <f t="shared" si="5"/>
        <v>0</v>
      </c>
      <c r="BB59">
        <f t="shared" si="6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0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0.6113</v>
      </c>
      <c r="BK59" s="24" cm="1">
        <f t="array" ref="BK59">1+$B$13+VLOOKUP($Q59,武学奇术!$A:$ZZ,18,FALSE)+SUM(_xlfn.XLOOKUP(R59:AF59,增益!$A:$A,增益!$R:$R,0))</f>
        <v>1.644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0.1371</v>
      </c>
      <c r="BM59" s="24" cm="1">
        <f t="array" ref="BM59">1+$B$14+VLOOKUP($Q59,武学奇术!$A:$ZZ,20,FALSE)+SUM(_xlfn.XLOOKUP(R59:AF59,增益!$A:$A,增益!$T:$T,0))</f>
        <v>1.35</v>
      </c>
      <c r="BN59" s="24">
        <f t="shared" si="9"/>
        <v>0.6113</v>
      </c>
      <c r="BO59" s="24">
        <f t="shared" si="10"/>
        <v>0.2516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0.11</v>
      </c>
    </row>
    <row r="60" spans="1:69">
      <c r="A60" s="4" t="s">
        <v>150</v>
      </c>
      <c r="B60" s="4">
        <v>1.33</v>
      </c>
      <c r="C60" s="37"/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71</v>
      </c>
      <c r="R60" s="38" t="s">
        <v>71</v>
      </c>
      <c r="S60" s="38" t="s">
        <v>71</v>
      </c>
      <c r="T60" s="38" t="s">
        <v>71</v>
      </c>
      <c r="U60" s="38" t="s">
        <v>71</v>
      </c>
      <c r="V60" s="38" t="s">
        <v>71</v>
      </c>
      <c r="W60" s="38" t="s">
        <v>71</v>
      </c>
      <c r="X60" s="38" t="s">
        <v>71</v>
      </c>
      <c r="Y60" s="38" t="s">
        <v>71</v>
      </c>
      <c r="Z60" s="38" t="s">
        <v>71</v>
      </c>
      <c r="AA60" s="38" t="s">
        <v>71</v>
      </c>
      <c r="AB60" s="38" t="s">
        <v>71</v>
      </c>
      <c r="AC60" s="38" t="s">
        <v>71</v>
      </c>
      <c r="AD60" s="38" t="s">
        <v>71</v>
      </c>
      <c r="AE60" s="38" t="s">
        <v>74</v>
      </c>
      <c r="AF60" s="38" t="s">
        <v>71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0.2037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1444.4</v>
      </c>
      <c r="AO60" cm="1">
        <f t="array" ref="AO60">$E$10*(1+$AM60)+VLOOKUP($Q60,武学奇术!$A:$ZZ,4,FALSE)+SUM(_xlfn.XLOOKUP($R60:$AF60,增益!$A:$A,增益!$D:$D,0))-$I$2</f>
        <v>5616.5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0.167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576.6</v>
      </c>
      <c r="AX60">
        <f t="shared" si="4"/>
        <v>1088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0.06</v>
      </c>
      <c r="AZ60" s="30" cm="1">
        <f t="array" ref="AZ60">$G$12+VLOOKUP($Q60,武学奇术!$A:$ZZ,12,FALSE)+SUM(_xlfn.XLOOKUP(R60:AF60,增益!$A:$A,增益!$L:$L,0))</f>
        <v>0.15</v>
      </c>
      <c r="BA60">
        <f t="shared" si="5"/>
        <v>0</v>
      </c>
      <c r="BB60">
        <f t="shared" si="6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0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0.6113</v>
      </c>
      <c r="BK60" s="24" cm="1">
        <f t="array" ref="BK60">1+$B$13+VLOOKUP($Q60,武学奇术!$A:$ZZ,18,FALSE)+SUM(_xlfn.XLOOKUP(R60:AF60,增益!$A:$A,增益!$R:$R,0))</f>
        <v>1.644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0.1371</v>
      </c>
      <c r="BM60" s="24" cm="1">
        <f t="array" ref="BM60">1+$B$14+VLOOKUP($Q60,武学奇术!$A:$ZZ,20,FALSE)+SUM(_xlfn.XLOOKUP(R60:AF60,增益!$A:$A,增益!$T:$T,0))</f>
        <v>1.35</v>
      </c>
      <c r="BN60" s="24">
        <f t="shared" si="9"/>
        <v>0.6113</v>
      </c>
      <c r="BO60" s="24">
        <f t="shared" si="10"/>
        <v>0.2516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0.11</v>
      </c>
    </row>
    <row r="61" spans="1:69">
      <c r="A61" s="4" t="s">
        <v>154</v>
      </c>
      <c r="B61" s="4">
        <v>1.5</v>
      </c>
      <c r="C61" s="37"/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71</v>
      </c>
      <c r="R61" s="38" t="s">
        <v>71</v>
      </c>
      <c r="S61" s="38" t="s">
        <v>71</v>
      </c>
      <c r="T61" s="38" t="s">
        <v>71</v>
      </c>
      <c r="U61" s="38" t="s">
        <v>71</v>
      </c>
      <c r="V61" s="38" t="s">
        <v>71</v>
      </c>
      <c r="W61" s="38" t="s">
        <v>71</v>
      </c>
      <c r="X61" s="38" t="s">
        <v>71</v>
      </c>
      <c r="Y61" s="38" t="s">
        <v>71</v>
      </c>
      <c r="Z61" s="38" t="s">
        <v>71</v>
      </c>
      <c r="AA61" s="38" t="s">
        <v>71</v>
      </c>
      <c r="AB61" s="38" t="s">
        <v>71</v>
      </c>
      <c r="AC61" s="38" t="s">
        <v>71</v>
      </c>
      <c r="AD61" s="38" t="s">
        <v>71</v>
      </c>
      <c r="AE61" s="38" t="s">
        <v>74</v>
      </c>
      <c r="AF61" s="38" t="s">
        <v>71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0.2037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1444.4</v>
      </c>
      <c r="AO61" cm="1">
        <f t="array" ref="AO61">$E$10*(1+$AM61)+VLOOKUP($Q61,武学奇术!$A:$ZZ,4,FALSE)+SUM(_xlfn.XLOOKUP($R61:$AF61,增益!$A:$A,增益!$D:$D,0))-$I$2</f>
        <v>5616.5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0.167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576.6</v>
      </c>
      <c r="AX61">
        <f t="shared" si="4"/>
        <v>1088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0.06</v>
      </c>
      <c r="AZ61" s="30" cm="1">
        <f t="array" ref="AZ61">$G$12+VLOOKUP($Q61,武学奇术!$A:$ZZ,12,FALSE)+SUM(_xlfn.XLOOKUP(R61:AF61,增益!$A:$A,增益!$L:$L,0))</f>
        <v>0.15</v>
      </c>
      <c r="BA61">
        <f t="shared" si="5"/>
        <v>0</v>
      </c>
      <c r="BB61">
        <f t="shared" si="6"/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0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0.6113</v>
      </c>
      <c r="BK61" s="24" cm="1">
        <f t="array" ref="BK61">1+$B$13+VLOOKUP($Q61,武学奇术!$A:$ZZ,18,FALSE)+SUM(_xlfn.XLOOKUP(R61:AF61,增益!$A:$A,增益!$R:$R,0))</f>
        <v>1.644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0.1371</v>
      </c>
      <c r="BM61" s="24" cm="1">
        <f t="array" ref="BM61">1+$B$14+VLOOKUP($Q61,武学奇术!$A:$ZZ,20,FALSE)+SUM(_xlfn.XLOOKUP(R61:AF61,增益!$A:$A,增益!$T:$T,0))</f>
        <v>1.35</v>
      </c>
      <c r="BN61" s="24">
        <f t="shared" si="9"/>
        <v>0.6113</v>
      </c>
      <c r="BO61" s="24">
        <f t="shared" si="10"/>
        <v>0.2516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0.11</v>
      </c>
    </row>
    <row r="62" spans="1:69">
      <c r="A62" s="4" t="s">
        <v>146</v>
      </c>
      <c r="B62" s="4">
        <v>2</v>
      </c>
      <c r="C62" s="37"/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71</v>
      </c>
      <c r="R62" s="38" t="s">
        <v>71</v>
      </c>
      <c r="S62" s="38" t="s">
        <v>71</v>
      </c>
      <c r="T62" s="38" t="s">
        <v>71</v>
      </c>
      <c r="U62" s="38" t="s">
        <v>71</v>
      </c>
      <c r="V62" s="38" t="s">
        <v>71</v>
      </c>
      <c r="W62" s="38" t="s">
        <v>71</v>
      </c>
      <c r="X62" s="38" t="s">
        <v>71</v>
      </c>
      <c r="Y62" s="38" t="s">
        <v>71</v>
      </c>
      <c r="Z62" s="38" t="s">
        <v>71</v>
      </c>
      <c r="AA62" s="38" t="s">
        <v>71</v>
      </c>
      <c r="AB62" s="38" t="s">
        <v>71</v>
      </c>
      <c r="AC62" s="38" t="s">
        <v>71</v>
      </c>
      <c r="AD62" s="38" t="s">
        <v>71</v>
      </c>
      <c r="AE62" s="38" t="s">
        <v>74</v>
      </c>
      <c r="AF62" s="38" t="s">
        <v>71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0.2037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1444.4</v>
      </c>
      <c r="AO62" cm="1">
        <f t="array" ref="AO62">$E$10*(1+$AM62)+VLOOKUP($Q62,武学奇术!$A:$ZZ,4,FALSE)+SUM(_xlfn.XLOOKUP($R62:$AF62,增益!$A:$A,增益!$D:$D,0))-$I$2</f>
        <v>5616.5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0.167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576.6</v>
      </c>
      <c r="AX62">
        <f t="shared" si="4"/>
        <v>1088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0.06</v>
      </c>
      <c r="AZ62" s="30" cm="1">
        <f t="array" ref="AZ62">$G$12+VLOOKUP($Q62,武学奇术!$A:$ZZ,12,FALSE)+SUM(_xlfn.XLOOKUP(R62:AF62,增益!$A:$A,增益!$L:$L,0))</f>
        <v>0.15</v>
      </c>
      <c r="BA62">
        <f t="shared" si="5"/>
        <v>0</v>
      </c>
      <c r="BB62">
        <f t="shared" si="6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0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0.6113</v>
      </c>
      <c r="BK62" s="24" cm="1">
        <f t="array" ref="BK62">1+$B$13+VLOOKUP($Q62,武学奇术!$A:$ZZ,18,FALSE)+SUM(_xlfn.XLOOKUP(R62:AF62,增益!$A:$A,增益!$R:$R,0))</f>
        <v>1.644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0.1371</v>
      </c>
      <c r="BM62" s="24" cm="1">
        <f t="array" ref="BM62">1+$B$14+VLOOKUP($Q62,武学奇术!$A:$ZZ,20,FALSE)+SUM(_xlfn.XLOOKUP(R62:AF62,增益!$A:$A,增益!$T:$T,0))</f>
        <v>1.35</v>
      </c>
      <c r="BN62" s="24">
        <f t="shared" si="9"/>
        <v>0.6113</v>
      </c>
      <c r="BO62" s="24">
        <f t="shared" si="10"/>
        <v>0.2516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0.11</v>
      </c>
    </row>
    <row r="63" spans="1:69">
      <c r="A63" s="4" t="s">
        <v>149</v>
      </c>
      <c r="B63" s="4">
        <v>1.66</v>
      </c>
      <c r="C63" s="37"/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71</v>
      </c>
      <c r="R63" s="38" t="s">
        <v>71</v>
      </c>
      <c r="S63" s="38" t="s">
        <v>71</v>
      </c>
      <c r="T63" s="38" t="s">
        <v>71</v>
      </c>
      <c r="U63" s="38" t="s">
        <v>71</v>
      </c>
      <c r="V63" s="38" t="s">
        <v>71</v>
      </c>
      <c r="W63" s="38" t="s">
        <v>71</v>
      </c>
      <c r="X63" s="38" t="s">
        <v>71</v>
      </c>
      <c r="Y63" s="38" t="s">
        <v>71</v>
      </c>
      <c r="Z63" s="38" t="s">
        <v>71</v>
      </c>
      <c r="AA63" s="38" t="s">
        <v>71</v>
      </c>
      <c r="AB63" s="38" t="s">
        <v>71</v>
      </c>
      <c r="AC63" s="38" t="s">
        <v>71</v>
      </c>
      <c r="AD63" s="38" t="s">
        <v>71</v>
      </c>
      <c r="AE63" s="38" t="s">
        <v>74</v>
      </c>
      <c r="AF63" s="38" t="s">
        <v>71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0.2037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1444.4</v>
      </c>
      <c r="AO63" cm="1">
        <f t="array" ref="AO63">$E$10*(1+$AM63)+VLOOKUP($Q63,武学奇术!$A:$ZZ,4,FALSE)+SUM(_xlfn.XLOOKUP($R63:$AF63,增益!$A:$A,增益!$D:$D,0))-$I$2</f>
        <v>5616.5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0.167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576.6</v>
      </c>
      <c r="AX63">
        <f t="shared" si="4"/>
        <v>1088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0.06</v>
      </c>
      <c r="AZ63" s="30" cm="1">
        <f t="array" ref="AZ63">$G$12+VLOOKUP($Q63,武学奇术!$A:$ZZ,12,FALSE)+SUM(_xlfn.XLOOKUP(R63:AF63,增益!$A:$A,增益!$L:$L,0))</f>
        <v>0.15</v>
      </c>
      <c r="BA63">
        <f t="shared" si="5"/>
        <v>0</v>
      </c>
      <c r="BB63">
        <f t="shared" si="6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-0.3</v>
      </c>
      <c r="BD63" s="30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0.6113</v>
      </c>
      <c r="BK63" s="24" cm="1">
        <f t="array" ref="BK63">1+$B$13+VLOOKUP($Q63,武学奇术!$A:$ZZ,18,FALSE)+SUM(_xlfn.XLOOKUP(R63:AF63,增益!$A:$A,增益!$R:$R,0))</f>
        <v>1.644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0.1371</v>
      </c>
      <c r="BM63" s="24" cm="1">
        <f t="array" ref="BM63">1+$B$14+VLOOKUP($Q63,武学奇术!$A:$ZZ,20,FALSE)+SUM(_xlfn.XLOOKUP(R63:AF63,增益!$A:$A,增益!$T:$T,0))</f>
        <v>1.35</v>
      </c>
      <c r="BN63" s="24">
        <f t="shared" si="9"/>
        <v>0.6113</v>
      </c>
      <c r="BO63" s="24">
        <f t="shared" si="10"/>
        <v>0.2516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0.11</v>
      </c>
    </row>
    <row r="64" spans="1:69">
      <c r="A64" s="4" t="s">
        <v>150</v>
      </c>
      <c r="B64" s="4">
        <v>1.33</v>
      </c>
      <c r="C64" s="37"/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71</v>
      </c>
      <c r="R64" s="38" t="s">
        <v>71</v>
      </c>
      <c r="S64" s="38" t="s">
        <v>71</v>
      </c>
      <c r="T64" s="38" t="s">
        <v>71</v>
      </c>
      <c r="U64" s="38" t="s">
        <v>71</v>
      </c>
      <c r="V64" s="38" t="s">
        <v>71</v>
      </c>
      <c r="W64" s="38" t="s">
        <v>71</v>
      </c>
      <c r="X64" s="38" t="s">
        <v>71</v>
      </c>
      <c r="Y64" s="38" t="s">
        <v>71</v>
      </c>
      <c r="Z64" s="38" t="s">
        <v>71</v>
      </c>
      <c r="AA64" s="38" t="s">
        <v>71</v>
      </c>
      <c r="AB64" s="38" t="s">
        <v>71</v>
      </c>
      <c r="AC64" s="38" t="s">
        <v>71</v>
      </c>
      <c r="AD64" s="38" t="s">
        <v>71</v>
      </c>
      <c r="AE64" s="38" t="s">
        <v>74</v>
      </c>
      <c r="AF64" s="38" t="s">
        <v>71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0.2037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1444.4</v>
      </c>
      <c r="AO64" cm="1">
        <f t="array" ref="AO64">$E$10*(1+$AM64)+VLOOKUP($Q64,武学奇术!$A:$ZZ,4,FALSE)+SUM(_xlfn.XLOOKUP($R64:$AF64,增益!$A:$A,增益!$D:$D,0))-$I$2</f>
        <v>5616.5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0.167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576.6</v>
      </c>
      <c r="AX64">
        <f t="shared" si="4"/>
        <v>1088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0.06</v>
      </c>
      <c r="AZ64" s="30" cm="1">
        <f t="array" ref="AZ64">$G$12+VLOOKUP($Q64,武学奇术!$A:$ZZ,12,FALSE)+SUM(_xlfn.XLOOKUP(R64:AF64,增益!$A:$A,增益!$L:$L,0))</f>
        <v>0.15</v>
      </c>
      <c r="BA64">
        <f t="shared" si="5"/>
        <v>0</v>
      </c>
      <c r="BB64">
        <f t="shared" si="6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-0.3</v>
      </c>
      <c r="BD64" s="30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0.6113</v>
      </c>
      <c r="BK64" s="24" cm="1">
        <f t="array" ref="BK64">1+$B$13+VLOOKUP($Q64,武学奇术!$A:$ZZ,18,FALSE)+SUM(_xlfn.XLOOKUP(R64:AF64,增益!$A:$A,增益!$R:$R,0))</f>
        <v>1.644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0.1371</v>
      </c>
      <c r="BM64" s="24" cm="1">
        <f t="array" ref="BM64">1+$B$14+VLOOKUP($Q64,武学奇术!$A:$ZZ,20,FALSE)+SUM(_xlfn.XLOOKUP(R64:AF64,增益!$A:$A,增益!$T:$T,0))</f>
        <v>1.35</v>
      </c>
      <c r="BN64" s="24">
        <f t="shared" si="9"/>
        <v>0.6113</v>
      </c>
      <c r="BO64" s="24">
        <f t="shared" si="10"/>
        <v>0.2516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0.11</v>
      </c>
    </row>
    <row r="65" spans="1:69">
      <c r="A65" s="4" t="s">
        <v>144</v>
      </c>
      <c r="B65" s="4">
        <v>1.2</v>
      </c>
      <c r="C65" s="37"/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71</v>
      </c>
      <c r="R65" s="38" t="s">
        <v>71</v>
      </c>
      <c r="S65" s="38" t="s">
        <v>71</v>
      </c>
      <c r="T65" s="38" t="s">
        <v>71</v>
      </c>
      <c r="U65" s="38" t="s">
        <v>71</v>
      </c>
      <c r="V65" s="38" t="s">
        <v>71</v>
      </c>
      <c r="W65" s="38" t="s">
        <v>71</v>
      </c>
      <c r="X65" s="38" t="s">
        <v>71</v>
      </c>
      <c r="Y65" s="38" t="s">
        <v>71</v>
      </c>
      <c r="Z65" s="38" t="s">
        <v>71</v>
      </c>
      <c r="AA65" s="38" t="s">
        <v>71</v>
      </c>
      <c r="AB65" s="38" t="s">
        <v>71</v>
      </c>
      <c r="AC65" s="38" t="s">
        <v>71</v>
      </c>
      <c r="AD65" s="38" t="s">
        <v>71</v>
      </c>
      <c r="AE65" s="38" t="s">
        <v>74</v>
      </c>
      <c r="AF65" s="38" t="s">
        <v>71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0.2037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1444.4</v>
      </c>
      <c r="AO65" cm="1">
        <f t="array" ref="AO65">$E$10*(1+$AM65)+VLOOKUP($Q65,武学奇术!$A:$ZZ,4,FALSE)+SUM(_xlfn.XLOOKUP($R65:$AF65,增益!$A:$A,增益!$D:$D,0))-$I$2</f>
        <v>5616.5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0.167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576.6</v>
      </c>
      <c r="AX65">
        <f t="shared" si="4"/>
        <v>1088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0.06</v>
      </c>
      <c r="AZ65" s="30" cm="1">
        <f t="array" ref="AZ65">$G$12+VLOOKUP($Q65,武学奇术!$A:$ZZ,12,FALSE)+SUM(_xlfn.XLOOKUP(R65:AF65,增益!$A:$A,增益!$L:$L,0))</f>
        <v>0.15</v>
      </c>
      <c r="BA65">
        <f t="shared" si="5"/>
        <v>0</v>
      </c>
      <c r="BB65">
        <f t="shared" si="6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0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0.6113</v>
      </c>
      <c r="BK65" s="24" cm="1">
        <f t="array" ref="BK65">1+$B$13+VLOOKUP($Q65,武学奇术!$A:$ZZ,18,FALSE)+SUM(_xlfn.XLOOKUP(R65:AF65,增益!$A:$A,增益!$R:$R,0))</f>
        <v>1.644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0.1371</v>
      </c>
      <c r="BM65" s="24" cm="1">
        <f t="array" ref="BM65">1+$B$14+VLOOKUP($Q65,武学奇术!$A:$ZZ,20,FALSE)+SUM(_xlfn.XLOOKUP(R65:AF65,增益!$A:$A,增益!$T:$T,0))</f>
        <v>1.35</v>
      </c>
      <c r="BN65" s="24">
        <f t="shared" si="9"/>
        <v>0.6113</v>
      </c>
      <c r="BO65" s="24">
        <f t="shared" si="10"/>
        <v>0.2516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0.11</v>
      </c>
    </row>
    <row r="66" spans="1:69">
      <c r="A66" s="4" t="s">
        <v>69</v>
      </c>
      <c r="B66" s="4">
        <v>0.5</v>
      </c>
      <c r="C66" s="37"/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71</v>
      </c>
      <c r="R66" s="38" t="s">
        <v>71</v>
      </c>
      <c r="S66" s="38" t="s">
        <v>71</v>
      </c>
      <c r="T66" s="38" t="s">
        <v>71</v>
      </c>
      <c r="U66" s="38" t="s">
        <v>71</v>
      </c>
      <c r="V66" s="38" t="s">
        <v>71</v>
      </c>
      <c r="W66" s="38" t="s">
        <v>71</v>
      </c>
      <c r="X66" s="38" t="s">
        <v>71</v>
      </c>
      <c r="Y66" s="38" t="s">
        <v>71</v>
      </c>
      <c r="Z66" s="38" t="s">
        <v>71</v>
      </c>
      <c r="AA66" s="38" t="s">
        <v>71</v>
      </c>
      <c r="AB66" s="38" t="s">
        <v>71</v>
      </c>
      <c r="AC66" s="38" t="s">
        <v>71</v>
      </c>
      <c r="AD66" s="38" t="s">
        <v>71</v>
      </c>
      <c r="AE66" s="38" t="s">
        <v>74</v>
      </c>
      <c r="AF66" s="38" t="s">
        <v>71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0.2037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1444.4</v>
      </c>
      <c r="AO66" cm="1">
        <f t="array" ref="AO66">$E$10*(1+$AM66)+VLOOKUP($Q66,武学奇术!$A:$ZZ,4,FALSE)+SUM(_xlfn.XLOOKUP($R66:$AF66,增益!$A:$A,增益!$D:$D,0))-$I$2</f>
        <v>5616.5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0.167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576.6</v>
      </c>
      <c r="AX66">
        <f t="shared" ref="AX66:AX101" si="15">$E$12*(1+$AR66)</f>
        <v>1088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0.06</v>
      </c>
      <c r="AZ66" s="30" cm="1">
        <f t="array" ref="AZ66">$G$12+VLOOKUP($Q66,武学奇术!$A:$ZZ,12,FALSE)+SUM(_xlfn.XLOOKUP(R66:AF66,增益!$A:$A,增益!$L:$L,0))</f>
        <v>0.15</v>
      </c>
      <c r="BA66">
        <f t="shared" ref="BA66:BA101" si="16">$D$13*(1+$AR66)</f>
        <v>0</v>
      </c>
      <c r="BB66">
        <f t="shared" ref="BB66:BB101" si="17">$E$13*(1+$AR66)</f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0" cm="1">
        <f t="array" ref="BD66">$G$13+VLOOKUP($Q66,武学奇术!$A:$ZZ,14,FALSE)+SUM(_xlfn.XLOOKUP(R66:AF66,增益!$A:$A,增益!$N:$N,0))</f>
        <v>0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0.6113</v>
      </c>
      <c r="BK66" s="24" cm="1">
        <f t="array" ref="BK66">1+$B$13+VLOOKUP($Q66,武学奇术!$A:$ZZ,18,FALSE)+SUM(_xlfn.XLOOKUP(R66:AF66,增益!$A:$A,增益!$R:$R,0))</f>
        <v>1.644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0.1371</v>
      </c>
      <c r="BM66" s="24" cm="1">
        <f t="array" ref="BM66">1+$B$14+VLOOKUP($Q66,武学奇术!$A:$ZZ,20,FALSE)+SUM(_xlfn.XLOOKUP(R66:AF66,增益!$A:$A,增益!$T:$T,0))</f>
        <v>1.35</v>
      </c>
      <c r="BN66" s="24">
        <f t="shared" ref="BN66:BN101" si="20">MIN((1-BL66)*BI66,BI66*BJ66)</f>
        <v>0.6113</v>
      </c>
      <c r="BO66" s="24">
        <f t="shared" ref="BO66:BO101" si="21">1-BL66-BN66-BP66</f>
        <v>0.2516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0.11</v>
      </c>
    </row>
    <row r="67" spans="1:69">
      <c r="A67" s="4" t="s">
        <v>149</v>
      </c>
      <c r="B67" s="4">
        <v>1.66</v>
      </c>
      <c r="C67" s="37"/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71</v>
      </c>
      <c r="R67" s="38" t="s">
        <v>71</v>
      </c>
      <c r="S67" s="38" t="s">
        <v>71</v>
      </c>
      <c r="T67" s="38" t="s">
        <v>71</v>
      </c>
      <c r="U67" s="38" t="s">
        <v>71</v>
      </c>
      <c r="V67" s="38" t="s">
        <v>71</v>
      </c>
      <c r="W67" s="38" t="s">
        <v>71</v>
      </c>
      <c r="X67" s="38" t="s">
        <v>71</v>
      </c>
      <c r="Y67" s="38" t="s">
        <v>71</v>
      </c>
      <c r="Z67" s="38" t="s">
        <v>71</v>
      </c>
      <c r="AA67" s="38" t="s">
        <v>71</v>
      </c>
      <c r="AB67" s="38" t="s">
        <v>71</v>
      </c>
      <c r="AC67" s="38" t="s">
        <v>71</v>
      </c>
      <c r="AD67" s="38" t="s">
        <v>71</v>
      </c>
      <c r="AE67" s="38" t="s">
        <v>74</v>
      </c>
      <c r="AF67" s="38" t="s">
        <v>71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0.2037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1444.4</v>
      </c>
      <c r="AO67" cm="1">
        <f t="array" ref="AO67">$E$10*(1+$AM67)+VLOOKUP($Q67,武学奇术!$A:$ZZ,4,FALSE)+SUM(_xlfn.XLOOKUP($R67:$AF67,增益!$A:$A,增益!$D:$D,0))-$I$2</f>
        <v>5616.5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0.167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576.6</v>
      </c>
      <c r="AX67">
        <f t="shared" si="15"/>
        <v>1088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0.06</v>
      </c>
      <c r="AZ67" s="30" cm="1">
        <f t="array" ref="AZ67">$G$12+VLOOKUP($Q67,武学奇术!$A:$ZZ,12,FALSE)+SUM(_xlfn.XLOOKUP(R67:AF67,增益!$A:$A,增益!$L:$L,0))</f>
        <v>0.15</v>
      </c>
      <c r="BA67">
        <f t="shared" si="16"/>
        <v>0</v>
      </c>
      <c r="BB67">
        <f t="shared" si="17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0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0.6113</v>
      </c>
      <c r="BK67" s="24" cm="1">
        <f t="array" ref="BK67">1+$B$13+VLOOKUP($Q67,武学奇术!$A:$ZZ,18,FALSE)+SUM(_xlfn.XLOOKUP(R67:AF67,增益!$A:$A,增益!$R:$R,0))</f>
        <v>1.644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0.1371</v>
      </c>
      <c r="BM67" s="24" cm="1">
        <f t="array" ref="BM67">1+$B$14+VLOOKUP($Q67,武学奇术!$A:$ZZ,20,FALSE)+SUM(_xlfn.XLOOKUP(R67:AF67,增益!$A:$A,增益!$T:$T,0))</f>
        <v>1.35</v>
      </c>
      <c r="BN67" s="24">
        <f t="shared" si="20"/>
        <v>0.6113</v>
      </c>
      <c r="BO67" s="24">
        <f t="shared" si="21"/>
        <v>0.2516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0.11</v>
      </c>
    </row>
    <row r="68" spans="1:69">
      <c r="A68" s="4" t="s">
        <v>150</v>
      </c>
      <c r="B68" s="4">
        <v>1.33</v>
      </c>
      <c r="C68" s="37"/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71</v>
      </c>
      <c r="R68" s="38" t="s">
        <v>71</v>
      </c>
      <c r="S68" s="38" t="s">
        <v>71</v>
      </c>
      <c r="T68" s="38" t="s">
        <v>71</v>
      </c>
      <c r="U68" s="38" t="s">
        <v>71</v>
      </c>
      <c r="V68" s="38" t="s">
        <v>71</v>
      </c>
      <c r="W68" s="38" t="s">
        <v>71</v>
      </c>
      <c r="X68" s="38" t="s">
        <v>71</v>
      </c>
      <c r="Y68" s="38" t="s">
        <v>71</v>
      </c>
      <c r="Z68" s="38" t="s">
        <v>71</v>
      </c>
      <c r="AA68" s="38" t="s">
        <v>71</v>
      </c>
      <c r="AB68" s="38" t="s">
        <v>71</v>
      </c>
      <c r="AC68" s="38" t="s">
        <v>71</v>
      </c>
      <c r="AD68" s="38" t="s">
        <v>71</v>
      </c>
      <c r="AE68" s="38" t="s">
        <v>74</v>
      </c>
      <c r="AF68" s="38" t="s">
        <v>71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0.2037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1444.4</v>
      </c>
      <c r="AO68" cm="1">
        <f t="array" ref="AO68">$E$10*(1+$AM68)+VLOOKUP($Q68,武学奇术!$A:$ZZ,4,FALSE)+SUM(_xlfn.XLOOKUP($R68:$AF68,增益!$A:$A,增益!$D:$D,0))-$I$2</f>
        <v>5616.5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0.167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576.6</v>
      </c>
      <c r="AX68">
        <f t="shared" si="15"/>
        <v>1088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0.06</v>
      </c>
      <c r="AZ68" s="30" cm="1">
        <f t="array" ref="AZ68">$G$12+VLOOKUP($Q68,武学奇术!$A:$ZZ,12,FALSE)+SUM(_xlfn.XLOOKUP(R68:AF68,增益!$A:$A,增益!$L:$L,0))</f>
        <v>0.15</v>
      </c>
      <c r="BA68">
        <f t="shared" si="16"/>
        <v>0</v>
      </c>
      <c r="BB68">
        <f t="shared" si="17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-0.3</v>
      </c>
      <c r="BD68" s="30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0.6113</v>
      </c>
      <c r="BK68" s="24" cm="1">
        <f t="array" ref="BK68">1+$B$13+VLOOKUP($Q68,武学奇术!$A:$ZZ,18,FALSE)+SUM(_xlfn.XLOOKUP(R68:AF68,增益!$A:$A,增益!$R:$R,0))</f>
        <v>1.644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0.1371</v>
      </c>
      <c r="BM68" s="24" cm="1">
        <f t="array" ref="BM68">1+$B$14+VLOOKUP($Q68,武学奇术!$A:$ZZ,20,FALSE)+SUM(_xlfn.XLOOKUP(R68:AF68,增益!$A:$A,增益!$T:$T,0))</f>
        <v>1.35</v>
      </c>
      <c r="BN68" s="24">
        <f t="shared" si="20"/>
        <v>0.6113</v>
      </c>
      <c r="BO68" s="24">
        <f t="shared" si="21"/>
        <v>0.2516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0.11</v>
      </c>
    </row>
    <row r="69" spans="1:69">
      <c r="A69" s="4" t="s">
        <v>151</v>
      </c>
      <c r="B69" s="4">
        <v>1.4</v>
      </c>
      <c r="C69" s="37"/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71</v>
      </c>
      <c r="R69" s="38" t="s">
        <v>71</v>
      </c>
      <c r="S69" s="38" t="s">
        <v>71</v>
      </c>
      <c r="T69" s="38" t="s">
        <v>71</v>
      </c>
      <c r="U69" s="38" t="s">
        <v>71</v>
      </c>
      <c r="V69" s="38" t="s">
        <v>71</v>
      </c>
      <c r="W69" s="38" t="s">
        <v>71</v>
      </c>
      <c r="X69" s="38" t="s">
        <v>71</v>
      </c>
      <c r="Y69" s="38" t="s">
        <v>71</v>
      </c>
      <c r="Z69" s="38" t="s">
        <v>71</v>
      </c>
      <c r="AA69" s="38" t="s">
        <v>71</v>
      </c>
      <c r="AB69" s="38" t="s">
        <v>71</v>
      </c>
      <c r="AC69" s="38" t="s">
        <v>71</v>
      </c>
      <c r="AD69" s="38" t="s">
        <v>71</v>
      </c>
      <c r="AE69" s="38" t="s">
        <v>74</v>
      </c>
      <c r="AF69" s="38" t="s">
        <v>71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0.2037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1444.4</v>
      </c>
      <c r="AO69" cm="1">
        <f t="array" ref="AO69">$E$10*(1+$AM69)+VLOOKUP($Q69,武学奇术!$A:$ZZ,4,FALSE)+SUM(_xlfn.XLOOKUP($R69:$AF69,增益!$A:$A,增益!$D:$D,0))-$I$2</f>
        <v>5616.5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0.167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576.6</v>
      </c>
      <c r="AX69">
        <f t="shared" si="15"/>
        <v>1088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0.06</v>
      </c>
      <c r="AZ69" s="30" cm="1">
        <f t="array" ref="AZ69">$G$12+VLOOKUP($Q69,武学奇术!$A:$ZZ,12,FALSE)+SUM(_xlfn.XLOOKUP(R69:AF69,增益!$A:$A,增益!$L:$L,0))</f>
        <v>0.15</v>
      </c>
      <c r="BA69">
        <f t="shared" si="16"/>
        <v>0</v>
      </c>
      <c r="BB69">
        <f t="shared" si="17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-0.3</v>
      </c>
      <c r="BD69" s="30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0.6113</v>
      </c>
      <c r="BK69" s="24" cm="1">
        <f t="array" ref="BK69">1+$B$13+VLOOKUP($Q69,武学奇术!$A:$ZZ,18,FALSE)+SUM(_xlfn.XLOOKUP(R69:AF69,增益!$A:$A,增益!$R:$R,0))</f>
        <v>1.644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0.1371</v>
      </c>
      <c r="BM69" s="24" cm="1">
        <f t="array" ref="BM69">1+$B$14+VLOOKUP($Q69,武学奇术!$A:$ZZ,20,FALSE)+SUM(_xlfn.XLOOKUP(R69:AF69,增益!$A:$A,增益!$T:$T,0))</f>
        <v>1.35</v>
      </c>
      <c r="BN69" s="24">
        <f t="shared" si="20"/>
        <v>0.6113</v>
      </c>
      <c r="BO69" s="24">
        <f t="shared" si="21"/>
        <v>0.2516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0.11</v>
      </c>
    </row>
    <row r="70" spans="1:69">
      <c r="A70" s="4" t="s">
        <v>69</v>
      </c>
      <c r="B70" s="4">
        <v>0.5</v>
      </c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71</v>
      </c>
      <c r="R70" s="38" t="s">
        <v>71</v>
      </c>
      <c r="S70" s="38" t="s">
        <v>71</v>
      </c>
      <c r="T70" s="38" t="s">
        <v>71</v>
      </c>
      <c r="U70" s="38" t="s">
        <v>71</v>
      </c>
      <c r="V70" s="38" t="s">
        <v>71</v>
      </c>
      <c r="W70" s="38" t="s">
        <v>71</v>
      </c>
      <c r="X70" s="38" t="s">
        <v>71</v>
      </c>
      <c r="Y70" s="38" t="s">
        <v>71</v>
      </c>
      <c r="Z70" s="38" t="s">
        <v>71</v>
      </c>
      <c r="AA70" s="38" t="s">
        <v>71</v>
      </c>
      <c r="AB70" s="38" t="s">
        <v>71</v>
      </c>
      <c r="AC70" s="38" t="s">
        <v>71</v>
      </c>
      <c r="AD70" s="38" t="s">
        <v>71</v>
      </c>
      <c r="AE70" s="38" t="s">
        <v>74</v>
      </c>
      <c r="AF70" s="38" t="s">
        <v>71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0.2037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1444.4</v>
      </c>
      <c r="AO70" cm="1">
        <f t="array" ref="AO70">$E$10*(1+$AM70)+VLOOKUP($Q70,武学奇术!$A:$ZZ,4,FALSE)+SUM(_xlfn.XLOOKUP($R70:$AF70,增益!$A:$A,增益!$D:$D,0))-$I$2</f>
        <v>5616.5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0.167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576.6</v>
      </c>
      <c r="AX70">
        <f t="shared" si="15"/>
        <v>1088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0.06</v>
      </c>
      <c r="AZ70" s="30" cm="1">
        <f t="array" ref="AZ70">$G$12+VLOOKUP($Q70,武学奇术!$A:$ZZ,12,FALSE)+SUM(_xlfn.XLOOKUP(R70:AF70,增益!$A:$A,增益!$L:$L,0))</f>
        <v>0.15</v>
      </c>
      <c r="BA70">
        <f t="shared" si="16"/>
        <v>0</v>
      </c>
      <c r="BB70">
        <f t="shared" si="17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0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0.6113</v>
      </c>
      <c r="BK70" s="24" cm="1">
        <f t="array" ref="BK70">1+$B$13+VLOOKUP($Q70,武学奇术!$A:$ZZ,18,FALSE)+SUM(_xlfn.XLOOKUP(R70:AF70,增益!$A:$A,增益!$R:$R,0))</f>
        <v>1.644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0.1371</v>
      </c>
      <c r="BM70" s="24" cm="1">
        <f t="array" ref="BM70">1+$B$14+VLOOKUP($Q70,武学奇术!$A:$ZZ,20,FALSE)+SUM(_xlfn.XLOOKUP(R70:AF70,增益!$A:$A,增益!$T:$T,0))</f>
        <v>1.35</v>
      </c>
      <c r="BN70" s="24">
        <f t="shared" si="20"/>
        <v>0.6113</v>
      </c>
      <c r="BO70" s="24">
        <f t="shared" si="21"/>
        <v>0.2516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0.11</v>
      </c>
    </row>
    <row r="71" spans="1:69">
      <c r="A71" s="4" t="s">
        <v>149</v>
      </c>
      <c r="B71" s="4">
        <v>1.66</v>
      </c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71</v>
      </c>
      <c r="R71" s="38" t="s">
        <v>71</v>
      </c>
      <c r="S71" s="38" t="s">
        <v>71</v>
      </c>
      <c r="T71" s="38" t="s">
        <v>71</v>
      </c>
      <c r="U71" s="38" t="s">
        <v>71</v>
      </c>
      <c r="V71" s="38" t="s">
        <v>71</v>
      </c>
      <c r="W71" s="38" t="s">
        <v>71</v>
      </c>
      <c r="X71" s="38" t="s">
        <v>71</v>
      </c>
      <c r="Y71" s="38" t="s">
        <v>71</v>
      </c>
      <c r="Z71" s="38" t="s">
        <v>71</v>
      </c>
      <c r="AA71" s="38" t="s">
        <v>71</v>
      </c>
      <c r="AB71" s="38" t="s">
        <v>71</v>
      </c>
      <c r="AC71" s="38" t="s">
        <v>71</v>
      </c>
      <c r="AD71" s="38" t="s">
        <v>71</v>
      </c>
      <c r="AE71" s="38" t="s">
        <v>74</v>
      </c>
      <c r="AF71" s="38" t="s">
        <v>71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0.2037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1444.4</v>
      </c>
      <c r="AO71" cm="1">
        <f t="array" ref="AO71">$E$10*(1+$AM71)+VLOOKUP($Q71,武学奇术!$A:$ZZ,4,FALSE)+SUM(_xlfn.XLOOKUP($R71:$AF71,增益!$A:$A,增益!$D:$D,0))-$I$2</f>
        <v>5616.5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0.167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576.6</v>
      </c>
      <c r="AX71">
        <f t="shared" si="15"/>
        <v>1088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0.06</v>
      </c>
      <c r="AZ71" s="30" cm="1">
        <f t="array" ref="AZ71">$G$12+VLOOKUP($Q71,武学奇术!$A:$ZZ,12,FALSE)+SUM(_xlfn.XLOOKUP(R71:AF71,增益!$A:$A,增益!$L:$L,0))</f>
        <v>0.15</v>
      </c>
      <c r="BA71">
        <f t="shared" si="16"/>
        <v>0</v>
      </c>
      <c r="BB71">
        <f t="shared" si="17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-0.3</v>
      </c>
      <c r="BD71" s="30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0.6113</v>
      </c>
      <c r="BK71" s="24" cm="1">
        <f t="array" ref="BK71">1+$B$13+VLOOKUP($Q71,武学奇术!$A:$ZZ,18,FALSE)+SUM(_xlfn.XLOOKUP(R71:AF71,增益!$A:$A,增益!$R:$R,0))</f>
        <v>1.644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0.1371</v>
      </c>
      <c r="BM71" s="24" cm="1">
        <f t="array" ref="BM71">1+$B$14+VLOOKUP($Q71,武学奇术!$A:$ZZ,20,FALSE)+SUM(_xlfn.XLOOKUP(R71:AF71,增益!$A:$A,增益!$T:$T,0))</f>
        <v>1.35</v>
      </c>
      <c r="BN71" s="24">
        <f t="shared" si="20"/>
        <v>0.6113</v>
      </c>
      <c r="BO71" s="24">
        <f t="shared" si="21"/>
        <v>0.2516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0.11</v>
      </c>
    </row>
    <row r="72" spans="1:69">
      <c r="A72" s="4" t="s">
        <v>150</v>
      </c>
      <c r="B72" s="4">
        <v>1.33</v>
      </c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71</v>
      </c>
      <c r="R72" s="38" t="s">
        <v>71</v>
      </c>
      <c r="S72" s="38" t="s">
        <v>71</v>
      </c>
      <c r="T72" s="38" t="s">
        <v>71</v>
      </c>
      <c r="U72" s="38" t="s">
        <v>71</v>
      </c>
      <c r="V72" s="38" t="s">
        <v>71</v>
      </c>
      <c r="W72" s="38" t="s">
        <v>71</v>
      </c>
      <c r="X72" s="38" t="s">
        <v>71</v>
      </c>
      <c r="Y72" s="38" t="s">
        <v>71</v>
      </c>
      <c r="Z72" s="38" t="s">
        <v>71</v>
      </c>
      <c r="AA72" s="38" t="s">
        <v>71</v>
      </c>
      <c r="AB72" s="38" t="s">
        <v>71</v>
      </c>
      <c r="AC72" s="38" t="s">
        <v>71</v>
      </c>
      <c r="AD72" s="38" t="s">
        <v>71</v>
      </c>
      <c r="AE72" s="38" t="s">
        <v>74</v>
      </c>
      <c r="AF72" s="38" t="s">
        <v>71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0.2037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1444.4</v>
      </c>
      <c r="AO72" cm="1">
        <f t="array" ref="AO72">$E$10*(1+$AM72)+VLOOKUP($Q72,武学奇术!$A:$ZZ,4,FALSE)+SUM(_xlfn.XLOOKUP($R72:$AF72,增益!$A:$A,增益!$D:$D,0))-$I$2</f>
        <v>5616.5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0.167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576.6</v>
      </c>
      <c r="AX72">
        <f t="shared" si="15"/>
        <v>1088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0.06</v>
      </c>
      <c r="AZ72" s="30" cm="1">
        <f t="array" ref="AZ72">$G$12+VLOOKUP($Q72,武学奇术!$A:$ZZ,12,FALSE)+SUM(_xlfn.XLOOKUP(R72:AF72,增益!$A:$A,增益!$L:$L,0))</f>
        <v>0.15</v>
      </c>
      <c r="BA72">
        <f t="shared" si="16"/>
        <v>0</v>
      </c>
      <c r="BB72">
        <f t="shared" si="17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0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0.6113</v>
      </c>
      <c r="BK72" s="24" cm="1">
        <f t="array" ref="BK72">1+$B$13+VLOOKUP($Q72,武学奇术!$A:$ZZ,18,FALSE)+SUM(_xlfn.XLOOKUP(R72:AF72,增益!$A:$A,增益!$R:$R,0))</f>
        <v>1.644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0.1371</v>
      </c>
      <c r="BM72" s="24" cm="1">
        <f t="array" ref="BM72">1+$B$14+VLOOKUP($Q72,武学奇术!$A:$ZZ,20,FALSE)+SUM(_xlfn.XLOOKUP(R72:AF72,增益!$A:$A,增益!$T:$T,0))</f>
        <v>1.35</v>
      </c>
      <c r="BN72" s="24">
        <f t="shared" si="20"/>
        <v>0.6113</v>
      </c>
      <c r="BO72" s="24">
        <f t="shared" si="21"/>
        <v>0.2516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0.11</v>
      </c>
    </row>
    <row r="73" spans="1:69">
      <c r="A73" s="4" t="s">
        <v>146</v>
      </c>
      <c r="B73" s="4">
        <v>2</v>
      </c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71</v>
      </c>
      <c r="R73" s="38" t="s">
        <v>71</v>
      </c>
      <c r="S73" s="38" t="s">
        <v>71</v>
      </c>
      <c r="T73" s="38" t="s">
        <v>71</v>
      </c>
      <c r="U73" s="38" t="s">
        <v>71</v>
      </c>
      <c r="V73" s="38" t="s">
        <v>71</v>
      </c>
      <c r="W73" s="38" t="s">
        <v>71</v>
      </c>
      <c r="X73" s="38" t="s">
        <v>71</v>
      </c>
      <c r="Y73" s="38" t="s">
        <v>71</v>
      </c>
      <c r="Z73" s="38" t="s">
        <v>71</v>
      </c>
      <c r="AA73" s="38" t="s">
        <v>71</v>
      </c>
      <c r="AB73" s="38" t="s">
        <v>71</v>
      </c>
      <c r="AC73" s="38" t="s">
        <v>71</v>
      </c>
      <c r="AD73" s="38" t="s">
        <v>71</v>
      </c>
      <c r="AE73" s="38" t="s">
        <v>74</v>
      </c>
      <c r="AF73" s="38" t="s">
        <v>71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0.2037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1444.4</v>
      </c>
      <c r="AO73" cm="1">
        <f t="array" ref="AO73">$E$10*(1+$AM73)+VLOOKUP($Q73,武学奇术!$A:$ZZ,4,FALSE)+SUM(_xlfn.XLOOKUP($R73:$AF73,增益!$A:$A,增益!$D:$D,0))-$I$2</f>
        <v>5616.5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0.167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576.6</v>
      </c>
      <c r="AX73">
        <f t="shared" si="15"/>
        <v>1088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0.06</v>
      </c>
      <c r="AZ73" s="30" cm="1">
        <f t="array" ref="AZ73">$G$12+VLOOKUP($Q73,武学奇术!$A:$ZZ,12,FALSE)+SUM(_xlfn.XLOOKUP(R73:AF73,增益!$A:$A,增益!$L:$L,0))</f>
        <v>0.15</v>
      </c>
      <c r="BA73">
        <f t="shared" si="16"/>
        <v>0</v>
      </c>
      <c r="BB73">
        <f t="shared" si="17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0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0.6113</v>
      </c>
      <c r="BK73" s="24" cm="1">
        <f t="array" ref="BK73">1+$B$13+VLOOKUP($Q73,武学奇术!$A:$ZZ,18,FALSE)+SUM(_xlfn.XLOOKUP(R73:AF73,增益!$A:$A,增益!$R:$R,0))</f>
        <v>1.644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0.1371</v>
      </c>
      <c r="BM73" s="24" cm="1">
        <f t="array" ref="BM73">1+$B$14+VLOOKUP($Q73,武学奇术!$A:$ZZ,20,FALSE)+SUM(_xlfn.XLOOKUP(R73:AF73,增益!$A:$A,增益!$T:$T,0))</f>
        <v>1.35</v>
      </c>
      <c r="BN73" s="24">
        <f t="shared" si="20"/>
        <v>0.6113</v>
      </c>
      <c r="BO73" s="24">
        <f t="shared" si="21"/>
        <v>0.2516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0.11</v>
      </c>
    </row>
    <row r="74" spans="1:69">
      <c r="A74" s="4" t="s">
        <v>149</v>
      </c>
      <c r="B74" s="4">
        <v>1.66</v>
      </c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71</v>
      </c>
      <c r="R74" s="38" t="s">
        <v>71</v>
      </c>
      <c r="S74" s="38" t="s">
        <v>71</v>
      </c>
      <c r="T74" s="38" t="s">
        <v>71</v>
      </c>
      <c r="U74" s="38" t="s">
        <v>71</v>
      </c>
      <c r="V74" s="38" t="s">
        <v>71</v>
      </c>
      <c r="W74" s="38" t="s">
        <v>71</v>
      </c>
      <c r="X74" s="38" t="s">
        <v>71</v>
      </c>
      <c r="Y74" s="38" t="s">
        <v>71</v>
      </c>
      <c r="Z74" s="38" t="s">
        <v>71</v>
      </c>
      <c r="AA74" s="38" t="s">
        <v>71</v>
      </c>
      <c r="AB74" s="38" t="s">
        <v>71</v>
      </c>
      <c r="AC74" s="38" t="s">
        <v>71</v>
      </c>
      <c r="AD74" s="38" t="s">
        <v>71</v>
      </c>
      <c r="AE74" s="38" t="s">
        <v>74</v>
      </c>
      <c r="AF74" s="38" t="s">
        <v>71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0.2037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1444.4</v>
      </c>
      <c r="AO74" cm="1">
        <f t="array" ref="AO74">$E$10*(1+$AM74)+VLOOKUP($Q74,武学奇术!$A:$ZZ,4,FALSE)+SUM(_xlfn.XLOOKUP($R74:$AF74,增益!$A:$A,增益!$D:$D,0))-$I$2</f>
        <v>5616.5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0.167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576.6</v>
      </c>
      <c r="AX74">
        <f t="shared" si="15"/>
        <v>1088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0.06</v>
      </c>
      <c r="AZ74" s="30" cm="1">
        <f t="array" ref="AZ74">$G$12+VLOOKUP($Q74,武学奇术!$A:$ZZ,12,FALSE)+SUM(_xlfn.XLOOKUP(R74:AF74,增益!$A:$A,增益!$L:$L,0))</f>
        <v>0.15</v>
      </c>
      <c r="BA74">
        <f t="shared" si="16"/>
        <v>0</v>
      </c>
      <c r="BB74">
        <f t="shared" si="17"/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0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0.6113</v>
      </c>
      <c r="BK74" s="24" cm="1">
        <f t="array" ref="BK74">1+$B$13+VLOOKUP($Q74,武学奇术!$A:$ZZ,18,FALSE)+SUM(_xlfn.XLOOKUP(R74:AF74,增益!$A:$A,增益!$R:$R,0))</f>
        <v>1.644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0.1371</v>
      </c>
      <c r="BM74" s="24" cm="1">
        <f t="array" ref="BM74">1+$B$14+VLOOKUP($Q74,武学奇术!$A:$ZZ,20,FALSE)+SUM(_xlfn.XLOOKUP(R74:AF74,增益!$A:$A,增益!$T:$T,0))</f>
        <v>1.35</v>
      </c>
      <c r="BN74" s="24">
        <f t="shared" si="20"/>
        <v>0.6113</v>
      </c>
      <c r="BO74" s="24">
        <f t="shared" si="21"/>
        <v>0.2516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0.11</v>
      </c>
    </row>
    <row r="75" spans="1:69">
      <c r="A75" s="4" t="s">
        <v>150</v>
      </c>
      <c r="B75" s="4">
        <v>1.33</v>
      </c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71</v>
      </c>
      <c r="R75" s="38" t="s">
        <v>71</v>
      </c>
      <c r="S75" s="38" t="s">
        <v>71</v>
      </c>
      <c r="T75" s="38" t="s">
        <v>71</v>
      </c>
      <c r="U75" s="38" t="s">
        <v>71</v>
      </c>
      <c r="V75" s="38" t="s">
        <v>71</v>
      </c>
      <c r="W75" s="38" t="s">
        <v>71</v>
      </c>
      <c r="X75" s="38" t="s">
        <v>71</v>
      </c>
      <c r="Y75" s="38" t="s">
        <v>71</v>
      </c>
      <c r="Z75" s="38" t="s">
        <v>71</v>
      </c>
      <c r="AA75" s="38" t="s">
        <v>71</v>
      </c>
      <c r="AB75" s="38" t="s">
        <v>71</v>
      </c>
      <c r="AC75" s="38" t="s">
        <v>71</v>
      </c>
      <c r="AD75" s="38" t="s">
        <v>71</v>
      </c>
      <c r="AE75" s="38" t="s">
        <v>74</v>
      </c>
      <c r="AF75" s="38" t="s">
        <v>71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0.2037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1444.4</v>
      </c>
      <c r="AO75" cm="1">
        <f t="array" ref="AO75">$E$10*(1+$AM75)+VLOOKUP($Q75,武学奇术!$A:$ZZ,4,FALSE)+SUM(_xlfn.XLOOKUP($R75:$AF75,增益!$A:$A,增益!$D:$D,0))-$I$2</f>
        <v>5616.5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0.167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576.6</v>
      </c>
      <c r="AX75">
        <f t="shared" si="15"/>
        <v>1088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0.06</v>
      </c>
      <c r="AZ75" s="30" cm="1">
        <f t="array" ref="AZ75">$G$12+VLOOKUP($Q75,武学奇术!$A:$ZZ,12,FALSE)+SUM(_xlfn.XLOOKUP(R75:AF75,增益!$A:$A,增益!$L:$L,0))</f>
        <v>0.15</v>
      </c>
      <c r="BA75">
        <f t="shared" si="16"/>
        <v>0</v>
      </c>
      <c r="BB75">
        <f t="shared" si="17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0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0.6113</v>
      </c>
      <c r="BK75" s="24" cm="1">
        <f t="array" ref="BK75">1+$B$13+VLOOKUP($Q75,武学奇术!$A:$ZZ,18,FALSE)+SUM(_xlfn.XLOOKUP(R75:AF75,增益!$A:$A,增益!$R:$R,0))</f>
        <v>1.644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0.1371</v>
      </c>
      <c r="BM75" s="24" cm="1">
        <f t="array" ref="BM75">1+$B$14+VLOOKUP($Q75,武学奇术!$A:$ZZ,20,FALSE)+SUM(_xlfn.XLOOKUP(R75:AF75,增益!$A:$A,增益!$T:$T,0))</f>
        <v>1.35</v>
      </c>
      <c r="BN75" s="24">
        <f t="shared" si="20"/>
        <v>0.6113</v>
      </c>
      <c r="BO75" s="24">
        <f t="shared" si="21"/>
        <v>0.2516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0.11</v>
      </c>
    </row>
    <row r="76" spans="1:69">
      <c r="A76" s="4" t="s">
        <v>69</v>
      </c>
      <c r="B76" s="4">
        <v>0.5</v>
      </c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71</v>
      </c>
      <c r="R76" s="38" t="s">
        <v>71</v>
      </c>
      <c r="S76" s="38" t="s">
        <v>71</v>
      </c>
      <c r="T76" s="38" t="s">
        <v>71</v>
      </c>
      <c r="U76" s="38" t="s">
        <v>71</v>
      </c>
      <c r="V76" s="38" t="s">
        <v>71</v>
      </c>
      <c r="W76" s="38" t="s">
        <v>71</v>
      </c>
      <c r="X76" s="38" t="s">
        <v>71</v>
      </c>
      <c r="Y76" s="38" t="s">
        <v>71</v>
      </c>
      <c r="Z76" s="38" t="s">
        <v>71</v>
      </c>
      <c r="AA76" s="38" t="s">
        <v>71</v>
      </c>
      <c r="AB76" s="38" t="s">
        <v>71</v>
      </c>
      <c r="AC76" s="38" t="s">
        <v>71</v>
      </c>
      <c r="AD76" s="38" t="s">
        <v>71</v>
      </c>
      <c r="AE76" s="38" t="s">
        <v>74</v>
      </c>
      <c r="AF76" s="38" t="s">
        <v>71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0.2037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1444.4</v>
      </c>
      <c r="AO76" cm="1">
        <f t="array" ref="AO76">$E$10*(1+$AM76)+VLOOKUP($Q76,武学奇术!$A:$ZZ,4,FALSE)+SUM(_xlfn.XLOOKUP($R76:$AF76,增益!$A:$A,增益!$D:$D,0))-$I$2</f>
        <v>5616.5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0.167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576.6</v>
      </c>
      <c r="AX76">
        <f t="shared" si="15"/>
        <v>1088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0.06</v>
      </c>
      <c r="AZ76" s="30" cm="1">
        <f t="array" ref="AZ76">$G$12+VLOOKUP($Q76,武学奇术!$A:$ZZ,12,FALSE)+SUM(_xlfn.XLOOKUP(R76:AF76,增益!$A:$A,增益!$L:$L,0))</f>
        <v>0.15</v>
      </c>
      <c r="BA76">
        <f t="shared" si="16"/>
        <v>0</v>
      </c>
      <c r="BB76">
        <f t="shared" si="17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0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0.6113</v>
      </c>
      <c r="BK76" s="24" cm="1">
        <f t="array" ref="BK76">1+$B$13+VLOOKUP($Q76,武学奇术!$A:$ZZ,18,FALSE)+SUM(_xlfn.XLOOKUP(R76:AF76,增益!$A:$A,增益!$R:$R,0))</f>
        <v>1.644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0.1371</v>
      </c>
      <c r="BM76" s="24" cm="1">
        <f t="array" ref="BM76">1+$B$14+VLOOKUP($Q76,武学奇术!$A:$ZZ,20,FALSE)+SUM(_xlfn.XLOOKUP(R76:AF76,增益!$A:$A,增益!$T:$T,0))</f>
        <v>1.35</v>
      </c>
      <c r="BN76" s="24">
        <f t="shared" si="20"/>
        <v>0.6113</v>
      </c>
      <c r="BO76" s="24">
        <f t="shared" si="21"/>
        <v>0.2516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0.11</v>
      </c>
    </row>
    <row r="77" spans="1:69">
      <c r="A77" s="4" t="s">
        <v>144</v>
      </c>
      <c r="B77" s="4">
        <v>1.2</v>
      </c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71</v>
      </c>
      <c r="R77" s="38" t="s">
        <v>71</v>
      </c>
      <c r="S77" s="38" t="s">
        <v>71</v>
      </c>
      <c r="T77" s="38" t="s">
        <v>71</v>
      </c>
      <c r="U77" s="38" t="s">
        <v>71</v>
      </c>
      <c r="V77" s="38" t="s">
        <v>71</v>
      </c>
      <c r="W77" s="38" t="s">
        <v>71</v>
      </c>
      <c r="X77" s="38" t="s">
        <v>71</v>
      </c>
      <c r="Y77" s="38" t="s">
        <v>71</v>
      </c>
      <c r="Z77" s="38" t="s">
        <v>71</v>
      </c>
      <c r="AA77" s="38" t="s">
        <v>71</v>
      </c>
      <c r="AB77" s="38" t="s">
        <v>71</v>
      </c>
      <c r="AC77" s="38" t="s">
        <v>71</v>
      </c>
      <c r="AD77" s="38" t="s">
        <v>71</v>
      </c>
      <c r="AE77" s="38" t="s">
        <v>74</v>
      </c>
      <c r="AF77" s="38" t="s">
        <v>71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0.2037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1444.4</v>
      </c>
      <c r="AO77" cm="1">
        <f t="array" ref="AO77">$E$10*(1+$AM77)+VLOOKUP($Q77,武学奇术!$A:$ZZ,4,FALSE)+SUM(_xlfn.XLOOKUP($R77:$AF77,增益!$A:$A,增益!$D:$D,0))-$I$2</f>
        <v>5616.5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0.167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576.6</v>
      </c>
      <c r="AX77">
        <f t="shared" si="15"/>
        <v>1088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0.06</v>
      </c>
      <c r="AZ77" s="30" cm="1">
        <f t="array" ref="AZ77">$G$12+VLOOKUP($Q77,武学奇术!$A:$ZZ,12,FALSE)+SUM(_xlfn.XLOOKUP(R77:AF77,增益!$A:$A,增益!$L:$L,0))</f>
        <v>0.15</v>
      </c>
      <c r="BA77">
        <f t="shared" si="16"/>
        <v>0</v>
      </c>
      <c r="BB77">
        <f t="shared" si="17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0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0.6113</v>
      </c>
      <c r="BK77" s="24" cm="1">
        <f t="array" ref="BK77">1+$B$13+VLOOKUP($Q77,武学奇术!$A:$ZZ,18,FALSE)+SUM(_xlfn.XLOOKUP(R77:AF77,增益!$A:$A,增益!$R:$R,0))</f>
        <v>1.644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0.1371</v>
      </c>
      <c r="BM77" s="24" cm="1">
        <f t="array" ref="BM77">1+$B$14+VLOOKUP($Q77,武学奇术!$A:$ZZ,20,FALSE)+SUM(_xlfn.XLOOKUP(R77:AF77,增益!$A:$A,增益!$T:$T,0))</f>
        <v>1.35</v>
      </c>
      <c r="BN77" s="24">
        <f t="shared" si="20"/>
        <v>0.6113</v>
      </c>
      <c r="BO77" s="24">
        <f t="shared" si="21"/>
        <v>0.2516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0.11</v>
      </c>
    </row>
    <row r="78" spans="1:69">
      <c r="A78" s="4" t="s">
        <v>155</v>
      </c>
      <c r="B78" s="4">
        <v>1</v>
      </c>
      <c r="C78" s="37" t="s">
        <v>147</v>
      </c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71</v>
      </c>
      <c r="R78" s="38" t="s">
        <v>71</v>
      </c>
      <c r="S78" s="38" t="s">
        <v>71</v>
      </c>
      <c r="T78" s="38" t="s">
        <v>71</v>
      </c>
      <c r="U78" s="38" t="s">
        <v>71</v>
      </c>
      <c r="V78" s="38" t="s">
        <v>71</v>
      </c>
      <c r="W78" s="38" t="s">
        <v>71</v>
      </c>
      <c r="X78" s="38" t="s">
        <v>71</v>
      </c>
      <c r="Y78" s="38" t="s">
        <v>71</v>
      </c>
      <c r="Z78" s="38" t="s">
        <v>71</v>
      </c>
      <c r="AA78" s="38" t="s">
        <v>71</v>
      </c>
      <c r="AB78" s="38" t="s">
        <v>71</v>
      </c>
      <c r="AC78" s="38" t="s">
        <v>71</v>
      </c>
      <c r="AD78" s="38" t="s">
        <v>71</v>
      </c>
      <c r="AE78" s="38" t="s">
        <v>74</v>
      </c>
      <c r="AF78" s="38" t="s">
        <v>71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0.2037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1444.4</v>
      </c>
      <c r="AO78" cm="1">
        <f t="array" ref="AO78">$E$10*(1+$AM78)+VLOOKUP($Q78,武学奇术!$A:$ZZ,4,FALSE)+SUM(_xlfn.XLOOKUP($R78:$AF78,增益!$A:$A,增益!$D:$D,0))-$I$2</f>
        <v>5616.5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576.6</v>
      </c>
      <c r="AX78">
        <f t="shared" si="15"/>
        <v>1088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0.06</v>
      </c>
      <c r="AZ78" s="30" cm="1">
        <f t="array" ref="AZ78">$G$12+VLOOKUP($Q78,武学奇术!$A:$ZZ,12,FALSE)+SUM(_xlfn.XLOOKUP(R78:AF78,增益!$A:$A,增益!$L:$L,0))</f>
        <v>0.15</v>
      </c>
      <c r="BA78">
        <f t="shared" si="16"/>
        <v>0</v>
      </c>
      <c r="BB78">
        <f t="shared" si="17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0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0.6113</v>
      </c>
      <c r="BK78" s="24" cm="1">
        <f t="array" ref="BK78">1+$B$13+VLOOKUP($Q78,武学奇术!$A:$ZZ,18,FALSE)+SUM(_xlfn.XLOOKUP(R78:AF78,增益!$A:$A,增益!$R:$R,0))</f>
        <v>1.644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0.1371</v>
      </c>
      <c r="BM78" s="24" cm="1">
        <f t="array" ref="BM78">1+$B$14+VLOOKUP($Q78,武学奇术!$A:$ZZ,20,FALSE)+SUM(_xlfn.XLOOKUP(R78:AF78,增益!$A:$A,增益!$T:$T,0))</f>
        <v>1.35</v>
      </c>
      <c r="BN78" s="24">
        <f t="shared" si="20"/>
        <v>0.6113</v>
      </c>
      <c r="BO78" s="24">
        <f t="shared" si="21"/>
        <v>0.2516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0.11</v>
      </c>
    </row>
    <row r="79" spans="1:69">
      <c r="A79" s="4" t="s">
        <v>149</v>
      </c>
      <c r="B79" s="4">
        <v>1.66</v>
      </c>
      <c r="C79" s="37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71</v>
      </c>
      <c r="R79" s="38" t="s">
        <v>71</v>
      </c>
      <c r="S79" s="38" t="s">
        <v>71</v>
      </c>
      <c r="T79" s="38" t="s">
        <v>71</v>
      </c>
      <c r="U79" s="38" t="s">
        <v>71</v>
      </c>
      <c r="V79" s="38" t="s">
        <v>71</v>
      </c>
      <c r="W79" s="38" t="s">
        <v>71</v>
      </c>
      <c r="X79" s="38" t="s">
        <v>71</v>
      </c>
      <c r="Y79" s="38" t="s">
        <v>71</v>
      </c>
      <c r="Z79" s="38" t="s">
        <v>71</v>
      </c>
      <c r="AA79" s="38" t="s">
        <v>71</v>
      </c>
      <c r="AB79" s="38" t="s">
        <v>71</v>
      </c>
      <c r="AC79" s="38" t="s">
        <v>71</v>
      </c>
      <c r="AD79" s="38" t="s">
        <v>71</v>
      </c>
      <c r="AE79" s="38" t="s">
        <v>74</v>
      </c>
      <c r="AF79" s="38" t="s">
        <v>71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0.2037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1444.4</v>
      </c>
      <c r="AO79" cm="1">
        <f t="array" ref="AO79">$E$10*(1+$AM79)+VLOOKUP($Q79,武学奇术!$A:$ZZ,4,FALSE)+SUM(_xlfn.XLOOKUP($R79:$AF79,增益!$A:$A,增益!$D:$D,0))-$I$2</f>
        <v>5616.5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576.6</v>
      </c>
      <c r="AX79">
        <f t="shared" si="15"/>
        <v>1088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0.06</v>
      </c>
      <c r="AZ79" s="30" cm="1">
        <f t="array" ref="AZ79">$G$12+VLOOKUP($Q79,武学奇术!$A:$ZZ,12,FALSE)+SUM(_xlfn.XLOOKUP(R79:AF79,增益!$A:$A,增益!$L:$L,0))</f>
        <v>0.15</v>
      </c>
      <c r="BA79">
        <f t="shared" si="16"/>
        <v>0</v>
      </c>
      <c r="BB79">
        <f t="shared" si="17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0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0.6113</v>
      </c>
      <c r="BK79" s="24" cm="1">
        <f t="array" ref="BK79">1+$B$13+VLOOKUP($Q79,武学奇术!$A:$ZZ,18,FALSE)+SUM(_xlfn.XLOOKUP(R79:AF79,增益!$A:$A,增益!$R:$R,0))</f>
        <v>1.644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0.1371</v>
      </c>
      <c r="BM79" s="24" cm="1">
        <f t="array" ref="BM79">1+$B$14+VLOOKUP($Q79,武学奇术!$A:$ZZ,20,FALSE)+SUM(_xlfn.XLOOKUP(R79:AF79,增益!$A:$A,增益!$T:$T,0))</f>
        <v>1.35</v>
      </c>
      <c r="BN79" s="24">
        <f t="shared" si="20"/>
        <v>0.6113</v>
      </c>
      <c r="BO79" s="24">
        <f t="shared" si="21"/>
        <v>0.2516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0.11</v>
      </c>
    </row>
    <row r="80" spans="1:69">
      <c r="A80" s="4" t="s">
        <v>150</v>
      </c>
      <c r="B80" s="4">
        <v>1.33</v>
      </c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71</v>
      </c>
      <c r="R80" s="38" t="s">
        <v>71</v>
      </c>
      <c r="S80" s="38" t="s">
        <v>71</v>
      </c>
      <c r="T80" s="38" t="s">
        <v>71</v>
      </c>
      <c r="U80" s="38" t="s">
        <v>71</v>
      </c>
      <c r="V80" s="38" t="s">
        <v>71</v>
      </c>
      <c r="W80" s="38" t="s">
        <v>71</v>
      </c>
      <c r="X80" s="38" t="s">
        <v>71</v>
      </c>
      <c r="Y80" s="38" t="s">
        <v>71</v>
      </c>
      <c r="Z80" s="38" t="s">
        <v>71</v>
      </c>
      <c r="AA80" s="38" t="s">
        <v>71</v>
      </c>
      <c r="AB80" s="38" t="s">
        <v>71</v>
      </c>
      <c r="AC80" s="38" t="s">
        <v>71</v>
      </c>
      <c r="AD80" s="38" t="s">
        <v>71</v>
      </c>
      <c r="AE80" s="38" t="s">
        <v>74</v>
      </c>
      <c r="AF80" s="38" t="s">
        <v>71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0.2037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1444.4</v>
      </c>
      <c r="AO80" cm="1">
        <f t="array" ref="AO80">$E$10*(1+$AM80)+VLOOKUP($Q80,武学奇术!$A:$ZZ,4,FALSE)+SUM(_xlfn.XLOOKUP($R80:$AF80,增益!$A:$A,增益!$D:$D,0))-$I$2</f>
        <v>5616.5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0.167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576.6</v>
      </c>
      <c r="AX80">
        <f t="shared" si="15"/>
        <v>1088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0.06</v>
      </c>
      <c r="AZ80" s="30" cm="1">
        <f t="array" ref="AZ80">$G$12+VLOOKUP($Q80,武学奇术!$A:$ZZ,12,FALSE)+SUM(_xlfn.XLOOKUP(R80:AF80,增益!$A:$A,增益!$L:$L,0))</f>
        <v>0.15</v>
      </c>
      <c r="BA80">
        <f t="shared" si="16"/>
        <v>0</v>
      </c>
      <c r="BB80">
        <f t="shared" si="17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0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0.6113</v>
      </c>
      <c r="BK80" s="24" cm="1">
        <f t="array" ref="BK80">1+$B$13+VLOOKUP($Q80,武学奇术!$A:$ZZ,18,FALSE)+SUM(_xlfn.XLOOKUP(R80:AF80,增益!$A:$A,增益!$R:$R,0))</f>
        <v>1.644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0.1371</v>
      </c>
      <c r="BM80" s="24" cm="1">
        <f t="array" ref="BM80">1+$B$14+VLOOKUP($Q80,武学奇术!$A:$ZZ,20,FALSE)+SUM(_xlfn.XLOOKUP(R80:AF80,增益!$A:$A,增益!$T:$T,0))</f>
        <v>1.35</v>
      </c>
      <c r="BN80" s="24">
        <f t="shared" si="20"/>
        <v>0.6113</v>
      </c>
      <c r="BO80" s="24">
        <f t="shared" si="21"/>
        <v>0.2516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0.11</v>
      </c>
    </row>
    <row r="81" spans="1:69">
      <c r="A81" s="4" t="s">
        <v>69</v>
      </c>
      <c r="B81" s="4">
        <v>0.5</v>
      </c>
      <c r="C81" s="37"/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71</v>
      </c>
      <c r="R81" s="38" t="s">
        <v>71</v>
      </c>
      <c r="S81" s="38" t="s">
        <v>71</v>
      </c>
      <c r="T81" s="38" t="s">
        <v>71</v>
      </c>
      <c r="U81" s="38" t="s">
        <v>71</v>
      </c>
      <c r="V81" s="38" t="s">
        <v>71</v>
      </c>
      <c r="W81" s="38" t="s">
        <v>71</v>
      </c>
      <c r="X81" s="38" t="s">
        <v>71</v>
      </c>
      <c r="Y81" s="38" t="s">
        <v>71</v>
      </c>
      <c r="Z81" s="38" t="s">
        <v>71</v>
      </c>
      <c r="AA81" s="38" t="s">
        <v>71</v>
      </c>
      <c r="AB81" s="38" t="s">
        <v>71</v>
      </c>
      <c r="AC81" s="38" t="s">
        <v>71</v>
      </c>
      <c r="AD81" s="38" t="s">
        <v>71</v>
      </c>
      <c r="AE81" s="38" t="s">
        <v>74</v>
      </c>
      <c r="AF81" s="38" t="s">
        <v>71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0.2037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1444.4</v>
      </c>
      <c r="AO81" cm="1">
        <f t="array" ref="AO81">$E$10*(1+$AM81)+VLOOKUP($Q81,武学奇术!$A:$ZZ,4,FALSE)+SUM(_xlfn.XLOOKUP($R81:$AF81,增益!$A:$A,增益!$D:$D,0))-$I$2</f>
        <v>5616.5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0.167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576.6</v>
      </c>
      <c r="AX81">
        <f t="shared" si="15"/>
        <v>1088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0.06</v>
      </c>
      <c r="AZ81" s="30" cm="1">
        <f t="array" ref="AZ81">$G$12+VLOOKUP($Q81,武学奇术!$A:$ZZ,12,FALSE)+SUM(_xlfn.XLOOKUP(R81:AF81,增益!$A:$A,增益!$L:$L,0))</f>
        <v>0.15</v>
      </c>
      <c r="BA81">
        <f t="shared" si="16"/>
        <v>0</v>
      </c>
      <c r="BB81">
        <f t="shared" si="17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0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0.6113</v>
      </c>
      <c r="BK81" s="24" cm="1">
        <f t="array" ref="BK81">1+$B$13+VLOOKUP($Q81,武学奇术!$A:$ZZ,18,FALSE)+SUM(_xlfn.XLOOKUP(R81:AF81,增益!$A:$A,增益!$R:$R,0))</f>
        <v>1.644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0.1371</v>
      </c>
      <c r="BM81" s="24" cm="1">
        <f t="array" ref="BM81">1+$B$14+VLOOKUP($Q81,武学奇术!$A:$ZZ,20,FALSE)+SUM(_xlfn.XLOOKUP(R81:AF81,增益!$A:$A,增益!$T:$T,0))</f>
        <v>1.35</v>
      </c>
      <c r="BN81" s="24">
        <f t="shared" si="20"/>
        <v>0.6113</v>
      </c>
      <c r="BO81" s="24">
        <f t="shared" si="21"/>
        <v>0.2516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0.11</v>
      </c>
    </row>
    <row r="82" spans="1:69">
      <c r="A82" s="4" t="s">
        <v>151</v>
      </c>
      <c r="B82" s="4">
        <v>1.4</v>
      </c>
      <c r="C82" s="37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71</v>
      </c>
      <c r="R82" s="38" t="s">
        <v>71</v>
      </c>
      <c r="S82" s="38" t="s">
        <v>71</v>
      </c>
      <c r="T82" s="38" t="s">
        <v>71</v>
      </c>
      <c r="U82" s="38" t="s">
        <v>71</v>
      </c>
      <c r="V82" s="38" t="s">
        <v>71</v>
      </c>
      <c r="W82" s="38" t="s">
        <v>71</v>
      </c>
      <c r="X82" s="38" t="s">
        <v>71</v>
      </c>
      <c r="Y82" s="38" t="s">
        <v>71</v>
      </c>
      <c r="Z82" s="38" t="s">
        <v>71</v>
      </c>
      <c r="AA82" s="38" t="s">
        <v>71</v>
      </c>
      <c r="AB82" s="38" t="s">
        <v>71</v>
      </c>
      <c r="AC82" s="38" t="s">
        <v>71</v>
      </c>
      <c r="AD82" s="38" t="s">
        <v>71</v>
      </c>
      <c r="AE82" s="38" t="s">
        <v>74</v>
      </c>
      <c r="AF82" s="38" t="s">
        <v>71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0.2037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1444.4</v>
      </c>
      <c r="AO82" cm="1">
        <f t="array" ref="AO82">$E$10*(1+$AM82)+VLOOKUP($Q82,武学奇术!$A:$ZZ,4,FALSE)+SUM(_xlfn.XLOOKUP($R82:$AF82,增益!$A:$A,增益!$D:$D,0))-$I$2</f>
        <v>5616.5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0.167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576.6</v>
      </c>
      <c r="AX82">
        <f t="shared" si="15"/>
        <v>1088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0.06</v>
      </c>
      <c r="AZ82" s="30" cm="1">
        <f t="array" ref="AZ82">$G$12+VLOOKUP($Q82,武学奇术!$A:$ZZ,12,FALSE)+SUM(_xlfn.XLOOKUP(R82:AF82,增益!$A:$A,增益!$L:$L,0))</f>
        <v>0.15</v>
      </c>
      <c r="BA82">
        <f t="shared" si="16"/>
        <v>0</v>
      </c>
      <c r="BB82">
        <f t="shared" si="17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0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0.6113</v>
      </c>
      <c r="BK82" s="24" cm="1">
        <f t="array" ref="BK82">1+$B$13+VLOOKUP($Q82,武学奇术!$A:$ZZ,18,FALSE)+SUM(_xlfn.XLOOKUP(R82:AF82,增益!$A:$A,增益!$R:$R,0))</f>
        <v>1.644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0.1371</v>
      </c>
      <c r="BM82" s="24" cm="1">
        <f t="array" ref="BM82">1+$B$14+VLOOKUP($Q82,武学奇术!$A:$ZZ,20,FALSE)+SUM(_xlfn.XLOOKUP(R82:AF82,增益!$A:$A,增益!$T:$T,0))</f>
        <v>1.35</v>
      </c>
      <c r="BN82" s="24">
        <f t="shared" si="20"/>
        <v>0.6113</v>
      </c>
      <c r="BO82" s="24">
        <f t="shared" si="21"/>
        <v>0.2516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0.11</v>
      </c>
    </row>
    <row r="83" spans="1:69">
      <c r="A83" s="4" t="s">
        <v>149</v>
      </c>
      <c r="B83" s="4">
        <v>1.66</v>
      </c>
      <c r="C83" s="37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71</v>
      </c>
      <c r="R83" s="38" t="s">
        <v>71</v>
      </c>
      <c r="S83" s="38" t="s">
        <v>71</v>
      </c>
      <c r="T83" s="38" t="s">
        <v>71</v>
      </c>
      <c r="U83" s="38" t="s">
        <v>71</v>
      </c>
      <c r="V83" s="38" t="s">
        <v>71</v>
      </c>
      <c r="W83" s="38" t="s">
        <v>71</v>
      </c>
      <c r="X83" s="38" t="s">
        <v>71</v>
      </c>
      <c r="Y83" s="38" t="s">
        <v>71</v>
      </c>
      <c r="Z83" s="38" t="s">
        <v>71</v>
      </c>
      <c r="AA83" s="38" t="s">
        <v>71</v>
      </c>
      <c r="AB83" s="38" t="s">
        <v>71</v>
      </c>
      <c r="AC83" s="38" t="s">
        <v>71</v>
      </c>
      <c r="AD83" s="38" t="s">
        <v>71</v>
      </c>
      <c r="AE83" s="38" t="s">
        <v>74</v>
      </c>
      <c r="AF83" s="38" t="s">
        <v>71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0.2037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1444.4</v>
      </c>
      <c r="AO83" cm="1">
        <f t="array" ref="AO83">$E$10*(1+$AM83)+VLOOKUP($Q83,武学奇术!$A:$ZZ,4,FALSE)+SUM(_xlfn.XLOOKUP($R83:$AF83,增益!$A:$A,增益!$D:$D,0))-$I$2</f>
        <v>5616.5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0.167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576.6</v>
      </c>
      <c r="AX83">
        <f t="shared" si="15"/>
        <v>1088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0.06</v>
      </c>
      <c r="AZ83" s="30" cm="1">
        <f t="array" ref="AZ83">$G$12+VLOOKUP($Q83,武学奇术!$A:$ZZ,12,FALSE)+SUM(_xlfn.XLOOKUP(R83:AF83,增益!$A:$A,增益!$L:$L,0))</f>
        <v>0.15</v>
      </c>
      <c r="BA83">
        <f t="shared" si="16"/>
        <v>0</v>
      </c>
      <c r="BB83">
        <f t="shared" si="17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0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0.6113</v>
      </c>
      <c r="BK83" s="24" cm="1">
        <f t="array" ref="BK83">1+$B$13+VLOOKUP($Q83,武学奇术!$A:$ZZ,18,FALSE)+SUM(_xlfn.XLOOKUP(R83:AF83,增益!$A:$A,增益!$R:$R,0))</f>
        <v>1.644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0.1371</v>
      </c>
      <c r="BM83" s="24" cm="1">
        <f t="array" ref="BM83">1+$B$14+VLOOKUP($Q83,武学奇术!$A:$ZZ,20,FALSE)+SUM(_xlfn.XLOOKUP(R83:AF83,增益!$A:$A,增益!$T:$T,0))</f>
        <v>1.35</v>
      </c>
      <c r="BN83" s="24">
        <f t="shared" si="20"/>
        <v>0.6113</v>
      </c>
      <c r="BO83" s="24">
        <f t="shared" si="21"/>
        <v>0.2516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0.11</v>
      </c>
    </row>
    <row r="84" spans="1:69">
      <c r="A84" s="4" t="s">
        <v>150</v>
      </c>
      <c r="B84" s="4">
        <v>1.33</v>
      </c>
      <c r="C84" s="37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71</v>
      </c>
      <c r="R84" s="38" t="s">
        <v>71</v>
      </c>
      <c r="S84" s="38" t="s">
        <v>71</v>
      </c>
      <c r="T84" s="38" t="s">
        <v>71</v>
      </c>
      <c r="U84" s="38" t="s">
        <v>71</v>
      </c>
      <c r="V84" s="38" t="s">
        <v>71</v>
      </c>
      <c r="W84" s="38" t="s">
        <v>71</v>
      </c>
      <c r="X84" s="38" t="s">
        <v>71</v>
      </c>
      <c r="Y84" s="38" t="s">
        <v>71</v>
      </c>
      <c r="Z84" s="38" t="s">
        <v>71</v>
      </c>
      <c r="AA84" s="38" t="s">
        <v>71</v>
      </c>
      <c r="AB84" s="38" t="s">
        <v>71</v>
      </c>
      <c r="AC84" s="38" t="s">
        <v>71</v>
      </c>
      <c r="AD84" s="38" t="s">
        <v>71</v>
      </c>
      <c r="AE84" s="38" t="s">
        <v>74</v>
      </c>
      <c r="AF84" s="38" t="s">
        <v>71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0.2037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1444.4</v>
      </c>
      <c r="AO84" cm="1">
        <f t="array" ref="AO84">$E$10*(1+$AM84)+VLOOKUP($Q84,武学奇术!$A:$ZZ,4,FALSE)+SUM(_xlfn.XLOOKUP($R84:$AF84,增益!$A:$A,增益!$D:$D,0))-$I$2</f>
        <v>5616.5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0.167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576.6</v>
      </c>
      <c r="AX84">
        <f t="shared" si="15"/>
        <v>1088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0.06</v>
      </c>
      <c r="AZ84" s="30" cm="1">
        <f t="array" ref="AZ84">$G$12+VLOOKUP($Q84,武学奇术!$A:$ZZ,12,FALSE)+SUM(_xlfn.XLOOKUP(R84:AF84,增益!$A:$A,增益!$L:$L,0))</f>
        <v>0.15</v>
      </c>
      <c r="BA84">
        <f t="shared" si="16"/>
        <v>0</v>
      </c>
      <c r="BB84">
        <f t="shared" si="17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-0.3</v>
      </c>
      <c r="BD84" s="30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0.6113</v>
      </c>
      <c r="BK84" s="24" cm="1">
        <f t="array" ref="BK84">1+$B$13+VLOOKUP($Q84,武学奇术!$A:$ZZ,18,FALSE)+SUM(_xlfn.XLOOKUP(R84:AF84,增益!$A:$A,增益!$R:$R,0))</f>
        <v>1.644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0.1371</v>
      </c>
      <c r="BM84" s="24" cm="1">
        <f t="array" ref="BM84">1+$B$14+VLOOKUP($Q84,武学奇术!$A:$ZZ,20,FALSE)+SUM(_xlfn.XLOOKUP(R84:AF84,增益!$A:$A,增益!$T:$T,0))</f>
        <v>1.35</v>
      </c>
      <c r="BN84" s="24">
        <f t="shared" si="20"/>
        <v>0.6113</v>
      </c>
      <c r="BO84" s="24">
        <f t="shared" si="21"/>
        <v>0.2516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0.11</v>
      </c>
    </row>
    <row r="85" spans="1:69">
      <c r="A85" s="4" t="s">
        <v>69</v>
      </c>
      <c r="B85" s="4">
        <v>0.5</v>
      </c>
      <c r="C85" s="37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71</v>
      </c>
      <c r="R85" s="38" t="s">
        <v>71</v>
      </c>
      <c r="S85" s="38" t="s">
        <v>71</v>
      </c>
      <c r="T85" s="38" t="s">
        <v>71</v>
      </c>
      <c r="U85" s="38" t="s">
        <v>71</v>
      </c>
      <c r="V85" s="38" t="s">
        <v>71</v>
      </c>
      <c r="W85" s="38" t="s">
        <v>71</v>
      </c>
      <c r="X85" s="38" t="s">
        <v>71</v>
      </c>
      <c r="Y85" s="38" t="s">
        <v>71</v>
      </c>
      <c r="Z85" s="38" t="s">
        <v>71</v>
      </c>
      <c r="AA85" s="38" t="s">
        <v>71</v>
      </c>
      <c r="AB85" s="38" t="s">
        <v>71</v>
      </c>
      <c r="AC85" s="38" t="s">
        <v>71</v>
      </c>
      <c r="AD85" s="38" t="s">
        <v>71</v>
      </c>
      <c r="AE85" s="38" t="s">
        <v>74</v>
      </c>
      <c r="AF85" s="38" t="s">
        <v>71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0.2037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1444.4</v>
      </c>
      <c r="AO85" cm="1">
        <f t="array" ref="AO85">$E$10*(1+$AM85)+VLOOKUP($Q85,武学奇术!$A:$ZZ,4,FALSE)+SUM(_xlfn.XLOOKUP($R85:$AF85,增益!$A:$A,增益!$D:$D,0))-$I$2</f>
        <v>5616.5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0.167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576.6</v>
      </c>
      <c r="AX85">
        <f t="shared" si="15"/>
        <v>1088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0.06</v>
      </c>
      <c r="AZ85" s="30" cm="1">
        <f t="array" ref="AZ85">$G$12+VLOOKUP($Q85,武学奇术!$A:$ZZ,12,FALSE)+SUM(_xlfn.XLOOKUP(R85:AF85,增益!$A:$A,增益!$L:$L,0))</f>
        <v>0.15</v>
      </c>
      <c r="BA85">
        <f t="shared" si="16"/>
        <v>0</v>
      </c>
      <c r="BB85">
        <f t="shared" si="17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-0.3</v>
      </c>
      <c r="BD85" s="30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0.6113</v>
      </c>
      <c r="BK85" s="24" cm="1">
        <f t="array" ref="BK85">1+$B$13+VLOOKUP($Q85,武学奇术!$A:$ZZ,18,FALSE)+SUM(_xlfn.XLOOKUP(R85:AF85,增益!$A:$A,增益!$R:$R,0))</f>
        <v>1.644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0.1371</v>
      </c>
      <c r="BM85" s="24" cm="1">
        <f t="array" ref="BM85">1+$B$14+VLOOKUP($Q85,武学奇术!$A:$ZZ,20,FALSE)+SUM(_xlfn.XLOOKUP(R85:AF85,增益!$A:$A,增益!$T:$T,0))</f>
        <v>1.35</v>
      </c>
      <c r="BN85" s="24">
        <f t="shared" si="20"/>
        <v>0.6113</v>
      </c>
      <c r="BO85" s="24">
        <f t="shared" si="21"/>
        <v>0.2516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0.11</v>
      </c>
    </row>
    <row r="86" spans="1:69">
      <c r="A86" s="4" t="s">
        <v>149</v>
      </c>
      <c r="B86" s="4">
        <v>1.66</v>
      </c>
      <c r="C86" s="37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71</v>
      </c>
      <c r="R86" s="38" t="s">
        <v>71</v>
      </c>
      <c r="S86" s="38" t="s">
        <v>71</v>
      </c>
      <c r="T86" s="38" t="s">
        <v>71</v>
      </c>
      <c r="U86" s="38" t="s">
        <v>71</v>
      </c>
      <c r="V86" s="38" t="s">
        <v>71</v>
      </c>
      <c r="W86" s="38" t="s">
        <v>71</v>
      </c>
      <c r="X86" s="38" t="s">
        <v>71</v>
      </c>
      <c r="Y86" s="38" t="s">
        <v>71</v>
      </c>
      <c r="Z86" s="38" t="s">
        <v>71</v>
      </c>
      <c r="AA86" s="38" t="s">
        <v>71</v>
      </c>
      <c r="AB86" s="38" t="s">
        <v>71</v>
      </c>
      <c r="AC86" s="38" t="s">
        <v>71</v>
      </c>
      <c r="AD86" s="38" t="s">
        <v>71</v>
      </c>
      <c r="AE86" s="38" t="s">
        <v>74</v>
      </c>
      <c r="AF86" s="38" t="s">
        <v>71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0.2037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1444.4</v>
      </c>
      <c r="AO86" cm="1">
        <f t="array" ref="AO86">$E$10*(1+$AM86)+VLOOKUP($Q86,武学奇术!$A:$ZZ,4,FALSE)+SUM(_xlfn.XLOOKUP($R86:$AF86,增益!$A:$A,增益!$D:$D,0))-$I$2</f>
        <v>5616.5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0.167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576.6</v>
      </c>
      <c r="AX86">
        <f t="shared" si="15"/>
        <v>1088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0.06</v>
      </c>
      <c r="AZ86" s="30" cm="1">
        <f t="array" ref="AZ86">$G$12+VLOOKUP($Q86,武学奇术!$A:$ZZ,12,FALSE)+SUM(_xlfn.XLOOKUP(R86:AF86,增益!$A:$A,增益!$L:$L,0))</f>
        <v>0.15</v>
      </c>
      <c r="BA86">
        <f t="shared" si="16"/>
        <v>0</v>
      </c>
      <c r="BB86">
        <f t="shared" si="17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0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0.6113</v>
      </c>
      <c r="BK86" s="24" cm="1">
        <f t="array" ref="BK86">1+$B$13+VLOOKUP($Q86,武学奇术!$A:$ZZ,18,FALSE)+SUM(_xlfn.XLOOKUP(R86:AF86,增益!$A:$A,增益!$R:$R,0))</f>
        <v>1.644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0.1371</v>
      </c>
      <c r="BM86" s="24" cm="1">
        <f t="array" ref="BM86">1+$B$14+VLOOKUP($Q86,武学奇术!$A:$ZZ,20,FALSE)+SUM(_xlfn.XLOOKUP(R86:AF86,增益!$A:$A,增益!$T:$T,0))</f>
        <v>1.35</v>
      </c>
      <c r="BN86" s="24">
        <f t="shared" si="20"/>
        <v>0.6113</v>
      </c>
      <c r="BO86" s="24">
        <f t="shared" si="21"/>
        <v>0.2516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0.11</v>
      </c>
    </row>
    <row r="87" spans="1:69">
      <c r="A87" s="4" t="s">
        <v>150</v>
      </c>
      <c r="B87" s="4">
        <v>1.33</v>
      </c>
      <c r="C87" s="37"/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71</v>
      </c>
      <c r="R87" s="38" t="s">
        <v>71</v>
      </c>
      <c r="S87" s="38" t="s">
        <v>71</v>
      </c>
      <c r="T87" s="38" t="s">
        <v>71</v>
      </c>
      <c r="U87" s="38" t="s">
        <v>71</v>
      </c>
      <c r="V87" s="38" t="s">
        <v>71</v>
      </c>
      <c r="W87" s="38" t="s">
        <v>71</v>
      </c>
      <c r="X87" s="38" t="s">
        <v>71</v>
      </c>
      <c r="Y87" s="38" t="s">
        <v>71</v>
      </c>
      <c r="Z87" s="38" t="s">
        <v>71</v>
      </c>
      <c r="AA87" s="38" t="s">
        <v>71</v>
      </c>
      <c r="AB87" s="38" t="s">
        <v>71</v>
      </c>
      <c r="AC87" s="38" t="s">
        <v>71</v>
      </c>
      <c r="AD87" s="38" t="s">
        <v>71</v>
      </c>
      <c r="AE87" s="38" t="s">
        <v>74</v>
      </c>
      <c r="AF87" s="38" t="s">
        <v>71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0.2037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1444.4</v>
      </c>
      <c r="AO87" cm="1">
        <f t="array" ref="AO87">$E$10*(1+$AM87)+VLOOKUP($Q87,武学奇术!$A:$ZZ,4,FALSE)+SUM(_xlfn.XLOOKUP($R87:$AF87,增益!$A:$A,增益!$D:$D,0))-$I$2</f>
        <v>5616.5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0.167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576.6</v>
      </c>
      <c r="AX87">
        <f t="shared" si="15"/>
        <v>1088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0.06</v>
      </c>
      <c r="AZ87" s="30" cm="1">
        <f t="array" ref="AZ87">$G$12+VLOOKUP($Q87,武学奇术!$A:$ZZ,12,FALSE)+SUM(_xlfn.XLOOKUP(R87:AF87,增益!$A:$A,增益!$L:$L,0))</f>
        <v>0.15</v>
      </c>
      <c r="BA87">
        <f t="shared" si="16"/>
        <v>0</v>
      </c>
      <c r="BB87">
        <f t="shared" si="17"/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0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0.6113</v>
      </c>
      <c r="BK87" s="24" cm="1">
        <f t="array" ref="BK87">1+$B$13+VLOOKUP($Q87,武学奇术!$A:$ZZ,18,FALSE)+SUM(_xlfn.XLOOKUP(R87:AF87,增益!$A:$A,增益!$R:$R,0))</f>
        <v>1.644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0.1371</v>
      </c>
      <c r="BM87" s="24" cm="1">
        <f t="array" ref="BM87">1+$B$14+VLOOKUP($Q87,武学奇术!$A:$ZZ,20,FALSE)+SUM(_xlfn.XLOOKUP(R87:AF87,增益!$A:$A,增益!$T:$T,0))</f>
        <v>1.35</v>
      </c>
      <c r="BN87" s="24">
        <f t="shared" si="20"/>
        <v>0.6113</v>
      </c>
      <c r="BO87" s="24">
        <f t="shared" si="21"/>
        <v>0.2516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0.11</v>
      </c>
    </row>
    <row r="88" spans="1:69">
      <c r="A88" s="4" t="s">
        <v>69</v>
      </c>
      <c r="B88" s="4">
        <v>0.5</v>
      </c>
      <c r="C88" s="37"/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71</v>
      </c>
      <c r="R88" s="38" t="s">
        <v>71</v>
      </c>
      <c r="S88" s="38" t="s">
        <v>71</v>
      </c>
      <c r="T88" s="38" t="s">
        <v>71</v>
      </c>
      <c r="U88" s="38" t="s">
        <v>71</v>
      </c>
      <c r="V88" s="38" t="s">
        <v>71</v>
      </c>
      <c r="W88" s="38" t="s">
        <v>71</v>
      </c>
      <c r="X88" s="38" t="s">
        <v>71</v>
      </c>
      <c r="Y88" s="38" t="s">
        <v>71</v>
      </c>
      <c r="Z88" s="38" t="s">
        <v>71</v>
      </c>
      <c r="AA88" s="38" t="s">
        <v>71</v>
      </c>
      <c r="AB88" s="38" t="s">
        <v>71</v>
      </c>
      <c r="AC88" s="38" t="s">
        <v>71</v>
      </c>
      <c r="AD88" s="38" t="s">
        <v>71</v>
      </c>
      <c r="AE88" s="38" t="s">
        <v>74</v>
      </c>
      <c r="AF88" s="38" t="s">
        <v>71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0.2037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1444.4</v>
      </c>
      <c r="AO88" cm="1">
        <f t="array" ref="AO88">$E$10*(1+$AM88)+VLOOKUP($Q88,武学奇术!$A:$ZZ,4,FALSE)+SUM(_xlfn.XLOOKUP($R88:$AF88,增益!$A:$A,增益!$D:$D,0))-$I$2</f>
        <v>5616.5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576.6</v>
      </c>
      <c r="AX88">
        <f t="shared" si="15"/>
        <v>1088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0.06</v>
      </c>
      <c r="AZ88" s="30" cm="1">
        <f t="array" ref="AZ88">$G$12+VLOOKUP($Q88,武学奇术!$A:$ZZ,12,FALSE)+SUM(_xlfn.XLOOKUP(R88:AF88,增益!$A:$A,增益!$L:$L,0))</f>
        <v>0.15</v>
      </c>
      <c r="BA88">
        <f t="shared" si="16"/>
        <v>0</v>
      </c>
      <c r="BB88">
        <f t="shared" si="17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0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0.6113</v>
      </c>
      <c r="BK88" s="24" cm="1">
        <f t="array" ref="BK88">1+$B$13+VLOOKUP($Q88,武学奇术!$A:$ZZ,18,FALSE)+SUM(_xlfn.XLOOKUP(R88:AF88,增益!$A:$A,增益!$R:$R,0))</f>
        <v>1.644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0.1371</v>
      </c>
      <c r="BM88" s="24" cm="1">
        <f t="array" ref="BM88">1+$B$14+VLOOKUP($Q88,武学奇术!$A:$ZZ,20,FALSE)+SUM(_xlfn.XLOOKUP(R88:AF88,增益!$A:$A,增益!$T:$T,0))</f>
        <v>1.35</v>
      </c>
      <c r="BN88" s="24">
        <f t="shared" si="20"/>
        <v>0.6113</v>
      </c>
      <c r="BO88" s="24">
        <f t="shared" si="21"/>
        <v>0.2516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0.11</v>
      </c>
    </row>
    <row r="89" spans="1:69">
      <c r="A89" s="4" t="s">
        <v>144</v>
      </c>
      <c r="B89" s="4">
        <v>1.2</v>
      </c>
      <c r="C89" s="37"/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71</v>
      </c>
      <c r="R89" s="38" t="s">
        <v>71</v>
      </c>
      <c r="S89" s="38" t="s">
        <v>71</v>
      </c>
      <c r="T89" s="38" t="s">
        <v>71</v>
      </c>
      <c r="U89" s="38" t="s">
        <v>71</v>
      </c>
      <c r="V89" s="38" t="s">
        <v>71</v>
      </c>
      <c r="W89" s="38" t="s">
        <v>71</v>
      </c>
      <c r="X89" s="38" t="s">
        <v>71</v>
      </c>
      <c r="Y89" s="38" t="s">
        <v>71</v>
      </c>
      <c r="Z89" s="38" t="s">
        <v>71</v>
      </c>
      <c r="AA89" s="38" t="s">
        <v>71</v>
      </c>
      <c r="AB89" s="38" t="s">
        <v>71</v>
      </c>
      <c r="AC89" s="38" t="s">
        <v>71</v>
      </c>
      <c r="AD89" s="38" t="s">
        <v>71</v>
      </c>
      <c r="AE89" s="38" t="s">
        <v>74</v>
      </c>
      <c r="AF89" s="38" t="s">
        <v>71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0.2037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1444.4</v>
      </c>
      <c r="AO89" cm="1">
        <f t="array" ref="AO89">$E$10*(1+$AM89)+VLOOKUP($Q89,武学奇术!$A:$ZZ,4,FALSE)+SUM(_xlfn.XLOOKUP($R89:$AF89,增益!$A:$A,增益!$D:$D,0))-$I$2</f>
        <v>5616.5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576.6</v>
      </c>
      <c r="AX89">
        <f t="shared" si="15"/>
        <v>1088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0.06</v>
      </c>
      <c r="AZ89" s="30" cm="1">
        <f t="array" ref="AZ89">$G$12+VLOOKUP($Q89,武学奇术!$A:$ZZ,12,FALSE)+SUM(_xlfn.XLOOKUP(R89:AF89,增益!$A:$A,增益!$L:$L,0))</f>
        <v>0.15</v>
      </c>
      <c r="BA89">
        <f t="shared" si="16"/>
        <v>0</v>
      </c>
      <c r="BB89">
        <f t="shared" si="17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-0.3</v>
      </c>
      <c r="BD89" s="30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0.6113</v>
      </c>
      <c r="BK89" s="24" cm="1">
        <f t="array" ref="BK89">1+$B$13+VLOOKUP($Q89,武学奇术!$A:$ZZ,18,FALSE)+SUM(_xlfn.XLOOKUP(R89:AF89,增益!$A:$A,增益!$R:$R,0))</f>
        <v>1.644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0.1371</v>
      </c>
      <c r="BM89" s="24" cm="1">
        <f t="array" ref="BM89">1+$B$14+VLOOKUP($Q89,武学奇术!$A:$ZZ,20,FALSE)+SUM(_xlfn.XLOOKUP(R89:AF89,增益!$A:$A,增益!$T:$T,0))</f>
        <v>1.35</v>
      </c>
      <c r="BN89" s="24">
        <f t="shared" si="20"/>
        <v>0.6113</v>
      </c>
      <c r="BO89" s="24">
        <f t="shared" si="21"/>
        <v>0.2516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0.11</v>
      </c>
    </row>
    <row r="90" spans="1:69">
      <c r="A90" s="4" t="s">
        <v>149</v>
      </c>
      <c r="B90" s="4">
        <v>1.66</v>
      </c>
      <c r="C90" s="37"/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71</v>
      </c>
      <c r="R90" s="38" t="s">
        <v>71</v>
      </c>
      <c r="S90" s="38" t="s">
        <v>71</v>
      </c>
      <c r="T90" s="38" t="s">
        <v>71</v>
      </c>
      <c r="U90" s="38" t="s">
        <v>71</v>
      </c>
      <c r="V90" s="38" t="s">
        <v>71</v>
      </c>
      <c r="W90" s="38" t="s">
        <v>71</v>
      </c>
      <c r="X90" s="38" t="s">
        <v>71</v>
      </c>
      <c r="Y90" s="38" t="s">
        <v>71</v>
      </c>
      <c r="Z90" s="38" t="s">
        <v>71</v>
      </c>
      <c r="AA90" s="38" t="s">
        <v>71</v>
      </c>
      <c r="AB90" s="38" t="s">
        <v>71</v>
      </c>
      <c r="AC90" s="38" t="s">
        <v>71</v>
      </c>
      <c r="AD90" s="38" t="s">
        <v>71</v>
      </c>
      <c r="AE90" s="38" t="s">
        <v>74</v>
      </c>
      <c r="AF90" s="38" t="s">
        <v>71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0.2037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1444.4</v>
      </c>
      <c r="AO90" cm="1">
        <f t="array" ref="AO90">$E$10*(1+$AM90)+VLOOKUP($Q90,武学奇术!$A:$ZZ,4,FALSE)+SUM(_xlfn.XLOOKUP($R90:$AF90,增益!$A:$A,增益!$D:$D,0))-$I$2</f>
        <v>5616.5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576.6</v>
      </c>
      <c r="AX90">
        <f t="shared" si="15"/>
        <v>1088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0.06</v>
      </c>
      <c r="AZ90" s="30" cm="1">
        <f t="array" ref="AZ90">$G$12+VLOOKUP($Q90,武学奇术!$A:$ZZ,12,FALSE)+SUM(_xlfn.XLOOKUP(R90:AF90,增益!$A:$A,增益!$L:$L,0))</f>
        <v>0.15</v>
      </c>
      <c r="BA90">
        <f t="shared" si="16"/>
        <v>0</v>
      </c>
      <c r="BB90">
        <f t="shared" si="17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0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0.6113</v>
      </c>
      <c r="BK90" s="24" cm="1">
        <f t="array" ref="BK90">1+$B$13+VLOOKUP($Q90,武学奇术!$A:$ZZ,18,FALSE)+SUM(_xlfn.XLOOKUP(R90:AF90,增益!$A:$A,增益!$R:$R,0))</f>
        <v>1.644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0.1371</v>
      </c>
      <c r="BM90" s="24" cm="1">
        <f t="array" ref="BM90">1+$B$14+VLOOKUP($Q90,武学奇术!$A:$ZZ,20,FALSE)+SUM(_xlfn.XLOOKUP(R90:AF90,增益!$A:$A,增益!$T:$T,0))</f>
        <v>1.35</v>
      </c>
      <c r="BN90" s="24">
        <f t="shared" si="20"/>
        <v>0.6113</v>
      </c>
      <c r="BO90" s="24">
        <f t="shared" si="21"/>
        <v>0.2516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0.11</v>
      </c>
    </row>
    <row r="91" spans="1:69">
      <c r="A91" s="4" t="s">
        <v>150</v>
      </c>
      <c r="B91" s="4">
        <v>1.33</v>
      </c>
      <c r="C91" s="37"/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71</v>
      </c>
      <c r="R91" s="38" t="s">
        <v>71</v>
      </c>
      <c r="S91" s="38" t="s">
        <v>71</v>
      </c>
      <c r="T91" s="38" t="s">
        <v>71</v>
      </c>
      <c r="U91" s="38" t="s">
        <v>71</v>
      </c>
      <c r="V91" s="38" t="s">
        <v>71</v>
      </c>
      <c r="W91" s="38" t="s">
        <v>71</v>
      </c>
      <c r="X91" s="38" t="s">
        <v>71</v>
      </c>
      <c r="Y91" s="38" t="s">
        <v>71</v>
      </c>
      <c r="Z91" s="38" t="s">
        <v>71</v>
      </c>
      <c r="AA91" s="38" t="s">
        <v>71</v>
      </c>
      <c r="AB91" s="38" t="s">
        <v>71</v>
      </c>
      <c r="AC91" s="38" t="s">
        <v>71</v>
      </c>
      <c r="AD91" s="38" t="s">
        <v>71</v>
      </c>
      <c r="AE91" s="38" t="s">
        <v>74</v>
      </c>
      <c r="AF91" s="38" t="s">
        <v>71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0.2037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1444.4</v>
      </c>
      <c r="AO91" cm="1">
        <f t="array" ref="AO91">$E$10*(1+$AM91)+VLOOKUP($Q91,武学奇术!$A:$ZZ,4,FALSE)+SUM(_xlfn.XLOOKUP($R91:$AF91,增益!$A:$A,增益!$D:$D,0))-$I$2</f>
        <v>5616.5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576.6</v>
      </c>
      <c r="AX91">
        <f t="shared" si="15"/>
        <v>1088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0.06</v>
      </c>
      <c r="AZ91" s="30" cm="1">
        <f t="array" ref="AZ91">$G$12+VLOOKUP($Q91,武学奇术!$A:$ZZ,12,FALSE)+SUM(_xlfn.XLOOKUP(R91:AF91,增益!$A:$A,增益!$L:$L,0))</f>
        <v>0.15</v>
      </c>
      <c r="BA91">
        <f t="shared" si="16"/>
        <v>0</v>
      </c>
      <c r="BB91">
        <f t="shared" si="17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0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0.6113</v>
      </c>
      <c r="BK91" s="24" cm="1">
        <f t="array" ref="BK91">1+$B$13+VLOOKUP($Q91,武学奇术!$A:$ZZ,18,FALSE)+SUM(_xlfn.XLOOKUP(R91:AF91,增益!$A:$A,增益!$R:$R,0))</f>
        <v>1.644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0.1371</v>
      </c>
      <c r="BM91" s="24" cm="1">
        <f t="array" ref="BM91">1+$B$14+VLOOKUP($Q91,武学奇术!$A:$ZZ,20,FALSE)+SUM(_xlfn.XLOOKUP(R91:AF91,增益!$A:$A,增益!$T:$T,0))</f>
        <v>1.35</v>
      </c>
      <c r="BN91" s="24">
        <f t="shared" si="20"/>
        <v>0.6113</v>
      </c>
      <c r="BO91" s="24">
        <f t="shared" si="21"/>
        <v>0.2516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0.11</v>
      </c>
    </row>
    <row r="92" spans="1:69">
      <c r="A92" s="4" t="s">
        <v>151</v>
      </c>
      <c r="B92" s="4">
        <v>1.4</v>
      </c>
      <c r="C92" s="37"/>
      <c r="K92" s="36">
        <f t="shared" si="11"/>
        <v>14752.4153327525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16520.8307795555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18016.9343225831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8676.90692203545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4007.9365680834</v>
      </c>
      <c r="P92" s="37">
        <v>1</v>
      </c>
      <c r="Q92" s="38" t="s">
        <v>156</v>
      </c>
      <c r="R92" s="38" t="s">
        <v>92</v>
      </c>
      <c r="S92" s="38" t="s">
        <v>108</v>
      </c>
      <c r="T92" s="38" t="s">
        <v>72</v>
      </c>
      <c r="U92" s="38" t="s">
        <v>71</v>
      </c>
      <c r="V92" s="38" t="s">
        <v>88</v>
      </c>
      <c r="W92" s="38" t="s">
        <v>73</v>
      </c>
      <c r="X92" s="38" t="s">
        <v>89</v>
      </c>
      <c r="Y92" s="38" t="s">
        <v>71</v>
      </c>
      <c r="Z92" s="38" t="s">
        <v>71</v>
      </c>
      <c r="AA92" s="38" t="s">
        <v>71</v>
      </c>
      <c r="AB92" s="38" t="s">
        <v>71</v>
      </c>
      <c r="AC92" s="38" t="s">
        <v>71</v>
      </c>
      <c r="AD92" s="38" t="s">
        <v>71</v>
      </c>
      <c r="AE92" s="38" t="s">
        <v>74</v>
      </c>
      <c r="AF92" s="38" t="s">
        <v>71</v>
      </c>
      <c r="AG92" t="str">
        <f>VLOOKUP($Q92,武学奇术!$A:$ZZ,25,FALSE)</f>
        <v>心法</v>
      </c>
      <c r="AH92" s="24">
        <f>VLOOKUP($Q92,武学奇术!$A:$ZZ,26,FALSE)</f>
        <v>1</v>
      </c>
      <c r="AI92" s="25">
        <f>VLOOKUP($Q92,武学奇术!$A:$ZZ,27,FALSE)*(1+IF(OR($AG92=$F$4,$AG92=$F$5),$B$22,0))</f>
        <v>0</v>
      </c>
      <c r="AJ92" s="24">
        <f>VLOOKUP($Q92,武学奇术!$A:$ZZ,28,FALSE)</f>
        <v>1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0.4337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1444.4</v>
      </c>
      <c r="AO92" cm="1">
        <f t="array" ref="AO92">$E$10*(1+$AM92)+VLOOKUP($Q92,武学奇术!$A:$ZZ,4,FALSE)+SUM(_xlfn.XLOOKUP($R92:$AF92,增益!$A:$A,增益!$D:$D,0))-$I$2</f>
        <v>5616.5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0.257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576.6</v>
      </c>
      <c r="AX92">
        <f t="shared" si="15"/>
        <v>1088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0.06</v>
      </c>
      <c r="AZ92" s="30" cm="1">
        <f t="array" ref="AZ92">$G$12+VLOOKUP($Q92,武学奇术!$A:$ZZ,12,FALSE)+SUM(_xlfn.XLOOKUP(R92:AF92,增益!$A:$A,增益!$L:$L,0))</f>
        <v>0.15</v>
      </c>
      <c r="BA92">
        <f t="shared" si="16"/>
        <v>0</v>
      </c>
      <c r="BB92">
        <f t="shared" si="17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0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0.6113</v>
      </c>
      <c r="BK92" s="24" cm="1">
        <f t="array" ref="BK92">1+$B$13+VLOOKUP($Q92,武学奇术!$A:$ZZ,18,FALSE)+SUM(_xlfn.XLOOKUP(R92:AF92,增益!$A:$A,增益!$R:$R,0))</f>
        <v>1.904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0.1371</v>
      </c>
      <c r="BM92" s="24" cm="1">
        <f t="array" ref="BM92">1+$B$14+VLOOKUP($Q92,武学奇术!$A:$ZZ,20,FALSE)+SUM(_xlfn.XLOOKUP(R92:AF92,增益!$A:$A,增益!$T:$T,0))</f>
        <v>1.35</v>
      </c>
      <c r="BN92" s="24">
        <f t="shared" si="20"/>
        <v>0.6113</v>
      </c>
      <c r="BO92" s="24">
        <f t="shared" si="21"/>
        <v>0.2516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0.11</v>
      </c>
    </row>
    <row r="93" spans="1:69">
      <c r="A93" s="4" t="s">
        <v>146</v>
      </c>
      <c r="B93" s="4">
        <v>2</v>
      </c>
      <c r="C93" s="37"/>
      <c r="K93" s="36">
        <f t="shared" si="11"/>
        <v>13199.6924438522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14284.9293398698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17289.6731737211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8334.26449233945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3861.3636708114</v>
      </c>
      <c r="P93" s="37">
        <v>1</v>
      </c>
      <c r="Q93" s="38" t="s">
        <v>156</v>
      </c>
      <c r="R93" s="38" t="s">
        <v>92</v>
      </c>
      <c r="S93" s="38" t="s">
        <v>108</v>
      </c>
      <c r="T93" s="38" t="s">
        <v>71</v>
      </c>
      <c r="U93" s="38" t="s">
        <v>71</v>
      </c>
      <c r="V93" s="38" t="s">
        <v>126</v>
      </c>
      <c r="W93" s="38" t="s">
        <v>71</v>
      </c>
      <c r="X93" s="38" t="s">
        <v>71</v>
      </c>
      <c r="Y93" s="38" t="s">
        <v>71</v>
      </c>
      <c r="Z93" s="38" t="s">
        <v>71</v>
      </c>
      <c r="AA93" s="38" t="s">
        <v>71</v>
      </c>
      <c r="AB93" s="38" t="s">
        <v>71</v>
      </c>
      <c r="AC93" s="38" t="s">
        <v>71</v>
      </c>
      <c r="AD93" s="38" t="s">
        <v>71</v>
      </c>
      <c r="AE93" s="38" t="s">
        <v>74</v>
      </c>
      <c r="AF93" s="38" t="s">
        <v>71</v>
      </c>
      <c r="AG93" t="str">
        <f>VLOOKUP($Q93,武学奇术!$A:$ZZ,25,FALSE)</f>
        <v>心法</v>
      </c>
      <c r="AH93" s="24">
        <f>VLOOKUP($Q93,武学奇术!$A:$ZZ,26,FALSE)</f>
        <v>1</v>
      </c>
      <c r="AI93" s="25">
        <f>VLOOKUP($Q93,武学奇术!$A:$ZZ,27,FALSE)*(1+IF(OR($AG93=$F$4,$AG93=$F$5),$B$22,0))</f>
        <v>0</v>
      </c>
      <c r="AJ93" s="24">
        <f>VLOOKUP($Q93,武学奇术!$A:$ZZ,28,FALSE)</f>
        <v>1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0.4137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1444.4</v>
      </c>
      <c r="AO93" cm="1">
        <f t="array" ref="AO93">$E$10*(1+$AM93)+VLOOKUP($Q93,武学奇术!$A:$ZZ,4,FALSE)+SUM(_xlfn.XLOOKUP($R93:$AF93,增益!$A:$A,增益!$D:$D,0))-$I$2</f>
        <v>5616.5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0.217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576.6</v>
      </c>
      <c r="AX93">
        <f t="shared" si="15"/>
        <v>1088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0.06</v>
      </c>
      <c r="AZ93" s="30" cm="1">
        <f t="array" ref="AZ93">$G$12+VLOOKUP($Q93,武学奇术!$A:$ZZ,12,FALSE)+SUM(_xlfn.XLOOKUP(R93:AF93,增益!$A:$A,增益!$L:$L,0))</f>
        <v>0.15</v>
      </c>
      <c r="BA93">
        <f t="shared" si="16"/>
        <v>0</v>
      </c>
      <c r="BB93">
        <f t="shared" si="17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0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0.6113</v>
      </c>
      <c r="BK93" s="24" cm="1">
        <f t="array" ref="BK93">1+$B$13+VLOOKUP($Q93,武学奇术!$A:$ZZ,18,FALSE)+SUM(_xlfn.XLOOKUP(R93:AF93,增益!$A:$A,增益!$R:$R,0))</f>
        <v>1.714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0.1371</v>
      </c>
      <c r="BM93" s="24" cm="1">
        <f t="array" ref="BM93">1+$B$14+VLOOKUP($Q93,武学奇术!$A:$ZZ,20,FALSE)+SUM(_xlfn.XLOOKUP(R93:AF93,增益!$A:$A,增益!$T:$T,0))</f>
        <v>1.35</v>
      </c>
      <c r="BN93" s="24">
        <f t="shared" si="20"/>
        <v>0.6113</v>
      </c>
      <c r="BO93" s="24">
        <f t="shared" si="21"/>
        <v>0.2516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0.11</v>
      </c>
    </row>
    <row r="94" spans="1:69">
      <c r="A94" s="4" t="s">
        <v>149</v>
      </c>
      <c r="B94" s="4">
        <v>1.66</v>
      </c>
      <c r="C94" s="37"/>
      <c r="D94" t="s">
        <v>153</v>
      </c>
      <c r="K94" s="36">
        <f t="shared" si="11"/>
        <v>15388.5237230926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17207.1777546613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18847.3013875699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9085.09913128895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4209.2342717854</v>
      </c>
      <c r="P94" s="37">
        <v>1</v>
      </c>
      <c r="Q94" s="38" t="s">
        <v>156</v>
      </c>
      <c r="R94" s="38" t="s">
        <v>92</v>
      </c>
      <c r="S94" s="38" t="s">
        <v>108</v>
      </c>
      <c r="T94" s="38" t="s">
        <v>72</v>
      </c>
      <c r="U94" s="38" t="s">
        <v>71</v>
      </c>
      <c r="V94" s="38" t="s">
        <v>139</v>
      </c>
      <c r="W94" s="38" t="s">
        <v>71</v>
      </c>
      <c r="X94" s="38" t="s">
        <v>71</v>
      </c>
      <c r="Y94" s="38" t="s">
        <v>141</v>
      </c>
      <c r="Z94" s="38" t="s">
        <v>71</v>
      </c>
      <c r="AA94" s="38" t="s">
        <v>71</v>
      </c>
      <c r="AB94" s="38" t="s">
        <v>71</v>
      </c>
      <c r="AC94" s="38" t="s">
        <v>71</v>
      </c>
      <c r="AD94" s="38" t="s">
        <v>71</v>
      </c>
      <c r="AE94" s="38" t="s">
        <v>74</v>
      </c>
      <c r="AF94" s="38" t="s">
        <v>71</v>
      </c>
      <c r="AG94" t="str">
        <f>VLOOKUP($Q94,武学奇术!$A:$ZZ,25,FALSE)</f>
        <v>心法</v>
      </c>
      <c r="AH94" s="24">
        <f>VLOOKUP($Q94,武学奇术!$A:$ZZ,26,FALSE)</f>
        <v>1</v>
      </c>
      <c r="AI94" s="25">
        <f>VLOOKUP($Q94,武学奇术!$A:$ZZ,27,FALSE)*(1+IF(OR($AG94=$F$4,$AG94=$F$5),$B$22,0))</f>
        <v>0</v>
      </c>
      <c r="AJ94" s="24">
        <f>VLOOKUP($Q94,武学奇术!$A:$ZZ,28,FALSE)</f>
        <v>1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0.4137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1444.4</v>
      </c>
      <c r="AO94" cm="1">
        <f t="array" ref="AO94">$E$10*(1+$AM94)+VLOOKUP($Q94,武学奇术!$A:$ZZ,4,FALSE)+SUM(_xlfn.XLOOKUP($R94:$AF94,增益!$A:$A,增益!$D:$D,0))-$I$2</f>
        <v>5616.5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0.217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576.6</v>
      </c>
      <c r="AX94">
        <f t="shared" si="15"/>
        <v>1088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0.06</v>
      </c>
      <c r="AZ94" s="30" cm="1">
        <f t="array" ref="AZ94">$G$12+VLOOKUP($Q94,武学奇术!$A:$ZZ,12,FALSE)+SUM(_xlfn.XLOOKUP(R94:AF94,增益!$A:$A,增益!$L:$L,0))</f>
        <v>0.15</v>
      </c>
      <c r="BA94">
        <f t="shared" si="16"/>
        <v>0</v>
      </c>
      <c r="BB94">
        <f t="shared" si="17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0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0.6113</v>
      </c>
      <c r="BK94" s="24" cm="1">
        <f t="array" ref="BK94">1+$B$13+VLOOKUP($Q94,武学奇术!$A:$ZZ,18,FALSE)+SUM(_xlfn.XLOOKUP(R94:AF94,增益!$A:$A,增益!$R:$R,0))</f>
        <v>1.894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0.1371</v>
      </c>
      <c r="BM94" s="24" cm="1">
        <f t="array" ref="BM94">1+$B$14+VLOOKUP($Q94,武学奇术!$A:$ZZ,20,FALSE)+SUM(_xlfn.XLOOKUP(R94:AF94,增益!$A:$A,增益!$T:$T,0))</f>
        <v>1.35</v>
      </c>
      <c r="BN94" s="24">
        <f t="shared" si="20"/>
        <v>0.6113</v>
      </c>
      <c r="BO94" s="24">
        <f t="shared" si="21"/>
        <v>0.2516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0.21</v>
      </c>
    </row>
    <row r="95" spans="1:69">
      <c r="A95" s="4" t="s">
        <v>150</v>
      </c>
      <c r="B95" s="4">
        <v>1.33</v>
      </c>
      <c r="C95" s="37"/>
      <c r="K95" s="36">
        <f t="shared" si="11"/>
        <v>14116.7449030023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15785.0969484909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17289.6731737211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8334.26449233945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3861.3636708114</v>
      </c>
      <c r="P95" s="37">
        <v>1</v>
      </c>
      <c r="Q95" s="38" t="s">
        <v>156</v>
      </c>
      <c r="R95" s="38" t="s">
        <v>92</v>
      </c>
      <c r="S95" s="38" t="s">
        <v>108</v>
      </c>
      <c r="T95" s="38" t="s">
        <v>72</v>
      </c>
      <c r="U95" s="38" t="s">
        <v>71</v>
      </c>
      <c r="V95" s="38" t="s">
        <v>139</v>
      </c>
      <c r="W95" s="38" t="s">
        <v>71</v>
      </c>
      <c r="X95" s="38" t="s">
        <v>71</v>
      </c>
      <c r="Y95" s="38" t="s">
        <v>71</v>
      </c>
      <c r="Z95" s="38" t="s">
        <v>71</v>
      </c>
      <c r="AA95" s="38" t="s">
        <v>71</v>
      </c>
      <c r="AB95" s="38" t="s">
        <v>71</v>
      </c>
      <c r="AC95" s="38" t="s">
        <v>71</v>
      </c>
      <c r="AD95" s="38" t="s">
        <v>71</v>
      </c>
      <c r="AE95" s="38" t="s">
        <v>74</v>
      </c>
      <c r="AF95" s="38" t="s">
        <v>71</v>
      </c>
      <c r="AG95" t="str">
        <f>VLOOKUP($Q95,武学奇术!$A:$ZZ,25,FALSE)</f>
        <v>心法</v>
      </c>
      <c r="AH95" s="24">
        <f>VLOOKUP($Q95,武学奇术!$A:$ZZ,26,FALSE)</f>
        <v>1</v>
      </c>
      <c r="AI95" s="25">
        <f>VLOOKUP($Q95,武学奇术!$A:$ZZ,27,FALSE)*(1+IF(OR($AG95=$F$4,$AG95=$F$5),$B$22,0))</f>
        <v>0</v>
      </c>
      <c r="AJ95" s="24">
        <f>VLOOKUP($Q95,武学奇术!$A:$ZZ,28,FALSE)</f>
        <v>1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0.4137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1444.4</v>
      </c>
      <c r="AO95" cm="1">
        <f t="array" ref="AO95">$E$10*(1+$AM95)+VLOOKUP($Q95,武学奇术!$A:$ZZ,4,FALSE)+SUM(_xlfn.XLOOKUP($R95:$AF95,增益!$A:$A,增益!$D:$D,0))-$I$2</f>
        <v>5616.5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0.217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576.6</v>
      </c>
      <c r="AX95">
        <f t="shared" si="15"/>
        <v>1088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0.06</v>
      </c>
      <c r="AZ95" s="30" cm="1">
        <f t="array" ref="AZ95">$G$12+VLOOKUP($Q95,武学奇术!$A:$ZZ,12,FALSE)+SUM(_xlfn.XLOOKUP(R95:AF95,增益!$A:$A,增益!$L:$L,0))</f>
        <v>0.15</v>
      </c>
      <c r="BA95">
        <f t="shared" si="16"/>
        <v>0</v>
      </c>
      <c r="BB95">
        <f t="shared" si="17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0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0.6113</v>
      </c>
      <c r="BK95" s="24" cm="1">
        <f t="array" ref="BK95">1+$B$13+VLOOKUP($Q95,武学奇术!$A:$ZZ,18,FALSE)+SUM(_xlfn.XLOOKUP(R95:AF95,增益!$A:$A,增益!$R:$R,0))</f>
        <v>1.894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0.1371</v>
      </c>
      <c r="BM95" s="24" cm="1">
        <f t="array" ref="BM95">1+$B$14+VLOOKUP($Q95,武学奇术!$A:$ZZ,20,FALSE)+SUM(_xlfn.XLOOKUP(R95:AF95,增益!$A:$A,增益!$T:$T,0))</f>
        <v>1.35</v>
      </c>
      <c r="BN95" s="24">
        <f t="shared" si="20"/>
        <v>0.6113</v>
      </c>
      <c r="BO95" s="24">
        <f t="shared" si="21"/>
        <v>0.2516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0.11</v>
      </c>
    </row>
    <row r="96" spans="1:69">
      <c r="A96" s="4" t="s">
        <v>150</v>
      </c>
      <c r="B96" s="4">
        <v>1.33</v>
      </c>
      <c r="C96" s="37"/>
      <c r="K96" s="36">
        <f t="shared" si="11"/>
        <v>14316.4583486131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16008.4130261381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17534.2749021461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8452.17160830945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3915.9914372514</v>
      </c>
      <c r="P96" s="37">
        <v>1</v>
      </c>
      <c r="Q96" s="38" t="s">
        <v>156</v>
      </c>
      <c r="R96" s="38" t="s">
        <v>92</v>
      </c>
      <c r="S96" s="38" t="s">
        <v>108</v>
      </c>
      <c r="T96" s="38" t="s">
        <v>72</v>
      </c>
      <c r="U96" s="38" t="s">
        <v>71</v>
      </c>
      <c r="V96" s="38" t="s">
        <v>139</v>
      </c>
      <c r="W96" s="38" t="s">
        <v>73</v>
      </c>
      <c r="X96" s="38" t="s">
        <v>71</v>
      </c>
      <c r="Y96" s="38" t="s">
        <v>71</v>
      </c>
      <c r="Z96" s="38" t="s">
        <v>71</v>
      </c>
      <c r="AA96" s="38" t="s">
        <v>71</v>
      </c>
      <c r="AB96" s="38" t="s">
        <v>71</v>
      </c>
      <c r="AC96" s="38" t="s">
        <v>71</v>
      </c>
      <c r="AD96" s="38" t="s">
        <v>71</v>
      </c>
      <c r="AE96" s="38" t="s">
        <v>74</v>
      </c>
      <c r="AF96" s="38" t="s">
        <v>71</v>
      </c>
      <c r="AG96" t="str">
        <f>VLOOKUP($Q96,武学奇术!$A:$ZZ,25,FALSE)</f>
        <v>心法</v>
      </c>
      <c r="AH96" s="24">
        <f>VLOOKUP($Q96,武学奇术!$A:$ZZ,26,FALSE)</f>
        <v>1</v>
      </c>
      <c r="AI96" s="25">
        <f>VLOOKUP($Q96,武学奇术!$A:$ZZ,27,FALSE)*(1+IF(OR($AG96=$F$4,$AG96=$F$5),$B$22,0))</f>
        <v>0</v>
      </c>
      <c r="AJ96" s="24">
        <f>VLOOKUP($Q96,武学奇术!$A:$ZZ,28,FALSE)</f>
        <v>1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0.4337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1444.4</v>
      </c>
      <c r="AO96" cm="1">
        <f t="array" ref="AO96">$E$10*(1+$AM96)+VLOOKUP($Q96,武学奇术!$A:$ZZ,4,FALSE)+SUM(_xlfn.XLOOKUP($R96:$AF96,增益!$A:$A,增益!$D:$D,0))-$I$2</f>
        <v>5616.5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0.217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576.6</v>
      </c>
      <c r="AX96">
        <f t="shared" si="15"/>
        <v>1088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0.06</v>
      </c>
      <c r="AZ96" s="30" cm="1">
        <f t="array" ref="AZ96">$G$12+VLOOKUP($Q96,武学奇术!$A:$ZZ,12,FALSE)+SUM(_xlfn.XLOOKUP(R96:AF96,增益!$A:$A,增益!$L:$L,0))</f>
        <v>0.15</v>
      </c>
      <c r="BA96">
        <f t="shared" si="16"/>
        <v>0</v>
      </c>
      <c r="BB96">
        <f t="shared" si="17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0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0.6113</v>
      </c>
      <c r="BK96" s="24" cm="1">
        <f t="array" ref="BK96">1+$B$13+VLOOKUP($Q96,武学奇术!$A:$ZZ,18,FALSE)+SUM(_xlfn.XLOOKUP(R96:AF96,增益!$A:$A,增益!$R:$R,0))</f>
        <v>1.894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0.1371</v>
      </c>
      <c r="BM96" s="24" cm="1">
        <f t="array" ref="BM96">1+$B$14+VLOOKUP($Q96,武学奇术!$A:$ZZ,20,FALSE)+SUM(_xlfn.XLOOKUP(R96:AF96,增益!$A:$A,增益!$T:$T,0))</f>
        <v>1.35</v>
      </c>
      <c r="BN96" s="24">
        <f t="shared" si="20"/>
        <v>0.6113</v>
      </c>
      <c r="BO96" s="24">
        <f t="shared" si="21"/>
        <v>0.2516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0.11</v>
      </c>
    </row>
    <row r="97" spans="1:69">
      <c r="A97" s="4" t="s">
        <v>150</v>
      </c>
      <c r="B97" s="4">
        <v>1.33</v>
      </c>
      <c r="C97" s="37"/>
      <c r="K97" s="36">
        <f t="shared" si="11"/>
        <v>13352.5345203772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14534.95727464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17289.6731737211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8334.26449233945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3861.3636708114</v>
      </c>
      <c r="P97" s="37">
        <v>1</v>
      </c>
      <c r="Q97" s="38" t="s">
        <v>156</v>
      </c>
      <c r="R97" s="38" t="s">
        <v>92</v>
      </c>
      <c r="S97" s="38" t="s">
        <v>108</v>
      </c>
      <c r="T97" s="38" t="s">
        <v>71</v>
      </c>
      <c r="U97" s="38" t="s">
        <v>71</v>
      </c>
      <c r="V97" s="38" t="s">
        <v>139</v>
      </c>
      <c r="W97" s="38" t="s">
        <v>71</v>
      </c>
      <c r="X97" s="38" t="s">
        <v>71</v>
      </c>
      <c r="Y97" s="38" t="s">
        <v>71</v>
      </c>
      <c r="Z97" s="38" t="s">
        <v>71</v>
      </c>
      <c r="AA97" s="38" t="s">
        <v>71</v>
      </c>
      <c r="AB97" s="38" t="s">
        <v>71</v>
      </c>
      <c r="AC97" s="38" t="s">
        <v>71</v>
      </c>
      <c r="AD97" s="38" t="s">
        <v>71</v>
      </c>
      <c r="AE97" s="38" t="s">
        <v>74</v>
      </c>
      <c r="AF97" s="38" t="s">
        <v>71</v>
      </c>
      <c r="AG97" t="str">
        <f>VLOOKUP($Q97,武学奇术!$A:$ZZ,25,FALSE)</f>
        <v>心法</v>
      </c>
      <c r="AH97" s="24">
        <f>VLOOKUP($Q97,武学奇术!$A:$ZZ,26,FALSE)</f>
        <v>1</v>
      </c>
      <c r="AI97" s="25">
        <f>VLOOKUP($Q97,武学奇术!$A:$ZZ,27,FALSE)*(1+IF(OR($AG97=$F$4,$AG97=$F$5),$B$22,0))</f>
        <v>0</v>
      </c>
      <c r="AJ97" s="24">
        <f>VLOOKUP($Q97,武学奇术!$A:$ZZ,28,FALSE)</f>
        <v>1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0.4137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1444.4</v>
      </c>
      <c r="AO97" cm="1">
        <f t="array" ref="AO97">$E$10*(1+$AM97)+VLOOKUP($Q97,武学奇术!$A:$ZZ,4,FALSE)+SUM(_xlfn.XLOOKUP($R97:$AF97,增益!$A:$A,增益!$D:$D,0))-$I$2</f>
        <v>5616.5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0.217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576.6</v>
      </c>
      <c r="AX97">
        <f t="shared" si="15"/>
        <v>1088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0.06</v>
      </c>
      <c r="AZ97" s="30" cm="1">
        <f t="array" ref="AZ97">$G$12+VLOOKUP($Q97,武学奇术!$A:$ZZ,12,FALSE)+SUM(_xlfn.XLOOKUP(R97:AF97,增益!$A:$A,增益!$L:$L,0))</f>
        <v>0.15</v>
      </c>
      <c r="BA97">
        <f t="shared" si="16"/>
        <v>0</v>
      </c>
      <c r="BB97">
        <f t="shared" si="17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0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0.6113</v>
      </c>
      <c r="BK97" s="24" cm="1">
        <f t="array" ref="BK97">1+$B$13+VLOOKUP($Q97,武学奇术!$A:$ZZ,18,FALSE)+SUM(_xlfn.XLOOKUP(R97:AF97,增益!$A:$A,增益!$R:$R,0))</f>
        <v>1.744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0.1371</v>
      </c>
      <c r="BM97" s="24" cm="1">
        <f t="array" ref="BM97">1+$B$14+VLOOKUP($Q97,武学奇术!$A:$ZZ,20,FALSE)+SUM(_xlfn.XLOOKUP(R97:AF97,增益!$A:$A,增益!$T:$T,0))</f>
        <v>1.35</v>
      </c>
      <c r="BN97" s="24">
        <f t="shared" si="20"/>
        <v>0.6113</v>
      </c>
      <c r="BO97" s="24">
        <f t="shared" si="21"/>
        <v>0.2516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0.11</v>
      </c>
    </row>
    <row r="98" spans="1:69">
      <c r="A98" s="4" t="s">
        <v>157</v>
      </c>
      <c r="B98" s="4">
        <v>2</v>
      </c>
      <c r="C98" s="37"/>
      <c r="K98" s="36">
        <f t="shared" si="11"/>
        <v>14116.7449030023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15785.0969484909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17289.6731737211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8334.26449233945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3861.3636708114</v>
      </c>
      <c r="P98" s="37">
        <v>1</v>
      </c>
      <c r="Q98" s="38" t="s">
        <v>156</v>
      </c>
      <c r="R98" s="38" t="s">
        <v>92</v>
      </c>
      <c r="S98" s="38" t="s">
        <v>108</v>
      </c>
      <c r="T98" s="38" t="s">
        <v>72</v>
      </c>
      <c r="U98" s="38" t="s">
        <v>71</v>
      </c>
      <c r="V98" s="38" t="s">
        <v>139</v>
      </c>
      <c r="W98" s="38" t="s">
        <v>71</v>
      </c>
      <c r="X98" s="38" t="s">
        <v>71</v>
      </c>
      <c r="Y98" s="38" t="s">
        <v>71</v>
      </c>
      <c r="Z98" s="38" t="s">
        <v>71</v>
      </c>
      <c r="AA98" s="38" t="s">
        <v>71</v>
      </c>
      <c r="AB98" s="38" t="s">
        <v>71</v>
      </c>
      <c r="AC98" s="38" t="s">
        <v>71</v>
      </c>
      <c r="AD98" s="38" t="s">
        <v>71</v>
      </c>
      <c r="AE98" s="38" t="s">
        <v>74</v>
      </c>
      <c r="AF98" s="38" t="s">
        <v>71</v>
      </c>
      <c r="AG98" t="str">
        <f>VLOOKUP($Q98,武学奇术!$A:$ZZ,25,FALSE)</f>
        <v>心法</v>
      </c>
      <c r="AH98" s="24">
        <f>VLOOKUP($Q98,武学奇术!$A:$ZZ,26,FALSE)</f>
        <v>1</v>
      </c>
      <c r="AI98" s="25">
        <f>VLOOKUP($Q98,武学奇术!$A:$ZZ,27,FALSE)*(1+IF(OR($AG98=$F$4,$AG98=$F$5),$B$22,0))</f>
        <v>0</v>
      </c>
      <c r="AJ98" s="24">
        <f>VLOOKUP($Q98,武学奇术!$A:$ZZ,28,FALSE)</f>
        <v>1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0.4137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1444.4</v>
      </c>
      <c r="AO98" cm="1">
        <f t="array" ref="AO98">$E$10*(1+$AM98)+VLOOKUP($Q98,武学奇术!$A:$ZZ,4,FALSE)+SUM(_xlfn.XLOOKUP($R98:$AF98,增益!$A:$A,增益!$D:$D,0))-$I$2</f>
        <v>5616.5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0.217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576.6</v>
      </c>
      <c r="AX98">
        <f t="shared" si="15"/>
        <v>1088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0.06</v>
      </c>
      <c r="AZ98" s="30" cm="1">
        <f t="array" ref="AZ98">$G$12+VLOOKUP($Q98,武学奇术!$A:$ZZ,12,FALSE)+SUM(_xlfn.XLOOKUP(R98:AF98,增益!$A:$A,增益!$L:$L,0))</f>
        <v>0.15</v>
      </c>
      <c r="BA98">
        <f t="shared" si="16"/>
        <v>0</v>
      </c>
      <c r="BB98">
        <f t="shared" si="17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0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0.6113</v>
      </c>
      <c r="BK98" s="24" cm="1">
        <f t="array" ref="BK98">1+$B$13+VLOOKUP($Q98,武学奇术!$A:$ZZ,18,FALSE)+SUM(_xlfn.XLOOKUP(R98:AF98,增益!$A:$A,增益!$R:$R,0))</f>
        <v>1.894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0.1371</v>
      </c>
      <c r="BM98" s="24" cm="1">
        <f t="array" ref="BM98">1+$B$14+VLOOKUP($Q98,武学奇术!$A:$ZZ,20,FALSE)+SUM(_xlfn.XLOOKUP(R98:AF98,增益!$A:$A,增益!$T:$T,0))</f>
        <v>1.35</v>
      </c>
      <c r="BN98" s="24">
        <f t="shared" si="20"/>
        <v>0.6113</v>
      </c>
      <c r="BO98" s="24">
        <f t="shared" si="21"/>
        <v>0.2516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0.11</v>
      </c>
    </row>
    <row r="99" spans="1:69">
      <c r="A99" s="4"/>
      <c r="B99" s="4"/>
      <c r="C99" s="37"/>
      <c r="K99" s="36">
        <f t="shared" si="11"/>
        <v>14116.7449030023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15785.0969484909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17289.6731737211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8334.26449233945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3861.3636708114</v>
      </c>
      <c r="P99" s="37">
        <v>1</v>
      </c>
      <c r="Q99" s="38" t="s">
        <v>156</v>
      </c>
      <c r="R99" s="38" t="s">
        <v>92</v>
      </c>
      <c r="S99" s="38" t="s">
        <v>108</v>
      </c>
      <c r="T99" s="38" t="s">
        <v>72</v>
      </c>
      <c r="U99" s="38" t="s">
        <v>71</v>
      </c>
      <c r="V99" s="38" t="s">
        <v>139</v>
      </c>
      <c r="W99" s="38" t="s">
        <v>71</v>
      </c>
      <c r="X99" s="38" t="s">
        <v>71</v>
      </c>
      <c r="Y99" s="38" t="s">
        <v>71</v>
      </c>
      <c r="Z99" s="38" t="s">
        <v>71</v>
      </c>
      <c r="AA99" s="38" t="s">
        <v>71</v>
      </c>
      <c r="AB99" s="38" t="s">
        <v>71</v>
      </c>
      <c r="AC99" s="38" t="s">
        <v>71</v>
      </c>
      <c r="AD99" s="38" t="s">
        <v>71</v>
      </c>
      <c r="AE99" s="38" t="s">
        <v>74</v>
      </c>
      <c r="AF99" s="38" t="s">
        <v>71</v>
      </c>
      <c r="AG99" t="str">
        <f>VLOOKUP($Q99,武学奇术!$A:$ZZ,25,FALSE)</f>
        <v>心法</v>
      </c>
      <c r="AH99" s="24">
        <f>VLOOKUP($Q99,武学奇术!$A:$ZZ,26,FALSE)</f>
        <v>1</v>
      </c>
      <c r="AI99" s="25">
        <f>VLOOKUP($Q99,武学奇术!$A:$ZZ,27,FALSE)*(1+IF(OR($AG99=$F$4,$AG99=$F$5),$B$22,0))</f>
        <v>0</v>
      </c>
      <c r="AJ99" s="24">
        <f>VLOOKUP($Q99,武学奇术!$A:$ZZ,28,FALSE)</f>
        <v>1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0.4137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1444.4</v>
      </c>
      <c r="AO99" cm="1">
        <f t="array" ref="AO99">$E$10*(1+$AM99)+VLOOKUP($Q99,武学奇术!$A:$ZZ,4,FALSE)+SUM(_xlfn.XLOOKUP($R99:$AF99,增益!$A:$A,增益!$D:$D,0))-$I$2</f>
        <v>5616.5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0.217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576.6</v>
      </c>
      <c r="AX99">
        <f t="shared" si="15"/>
        <v>1088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0.06</v>
      </c>
      <c r="AZ99" s="30" cm="1">
        <f t="array" ref="AZ99">$G$12+VLOOKUP($Q99,武学奇术!$A:$ZZ,12,FALSE)+SUM(_xlfn.XLOOKUP(R99:AF99,增益!$A:$A,增益!$L:$L,0))</f>
        <v>0.15</v>
      </c>
      <c r="BA99">
        <f t="shared" si="16"/>
        <v>0</v>
      </c>
      <c r="BB99">
        <f t="shared" si="17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0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0.6113</v>
      </c>
      <c r="BK99" s="24" cm="1">
        <f t="array" ref="BK99">1+$B$13+VLOOKUP($Q99,武学奇术!$A:$ZZ,18,FALSE)+SUM(_xlfn.XLOOKUP(R99:AF99,增益!$A:$A,增益!$R:$R,0))</f>
        <v>1.894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0.1371</v>
      </c>
      <c r="BM99" s="24" cm="1">
        <f t="array" ref="BM99">1+$B$14+VLOOKUP($Q99,武学奇术!$A:$ZZ,20,FALSE)+SUM(_xlfn.XLOOKUP(R99:AF99,增益!$A:$A,增益!$T:$T,0))</f>
        <v>1.35</v>
      </c>
      <c r="BN99" s="24">
        <f t="shared" si="20"/>
        <v>0.6113</v>
      </c>
      <c r="BO99" s="24">
        <f t="shared" si="21"/>
        <v>0.2516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0.11</v>
      </c>
    </row>
    <row r="100" spans="1:69">
      <c r="A100" s="4"/>
      <c r="B100" s="4"/>
      <c r="C100" s="37"/>
      <c r="K100" s="36">
        <f t="shared" si="11"/>
        <v>15606.2293710107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17450.6123978623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19113.9393077449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9213.62850995895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4268.7834586254</v>
      </c>
      <c r="P100" s="37">
        <v>1</v>
      </c>
      <c r="Q100" s="38" t="s">
        <v>156</v>
      </c>
      <c r="R100" s="38" t="s">
        <v>92</v>
      </c>
      <c r="S100" s="38" t="s">
        <v>108</v>
      </c>
      <c r="T100" s="38" t="s">
        <v>72</v>
      </c>
      <c r="U100" s="38" t="s">
        <v>71</v>
      </c>
      <c r="V100" s="38" t="s">
        <v>139</v>
      </c>
      <c r="W100" s="38" t="s">
        <v>73</v>
      </c>
      <c r="X100" s="38" t="s">
        <v>71</v>
      </c>
      <c r="Y100" s="38" t="s">
        <v>141</v>
      </c>
      <c r="Z100" s="38" t="s">
        <v>71</v>
      </c>
      <c r="AA100" s="38" t="s">
        <v>71</v>
      </c>
      <c r="AB100" s="38" t="s">
        <v>71</v>
      </c>
      <c r="AC100" s="38" t="s">
        <v>71</v>
      </c>
      <c r="AD100" s="38" t="s">
        <v>71</v>
      </c>
      <c r="AE100" s="38" t="s">
        <v>74</v>
      </c>
      <c r="AF100" s="38" t="s">
        <v>71</v>
      </c>
      <c r="AG100" t="str">
        <f>VLOOKUP($Q100,武学奇术!$A:$ZZ,25,FALSE)</f>
        <v>心法</v>
      </c>
      <c r="AH100" s="24">
        <f>VLOOKUP($Q100,武学奇术!$A:$ZZ,26,FALSE)</f>
        <v>1</v>
      </c>
      <c r="AI100" s="25">
        <f>VLOOKUP($Q100,武学奇术!$A:$ZZ,27,FALSE)*(1+IF(OR($AG100=$F$4,$AG100=$F$5),$B$22,0))</f>
        <v>0</v>
      </c>
      <c r="AJ100" s="24">
        <f>VLOOKUP($Q100,武学奇术!$A:$ZZ,28,FALSE)</f>
        <v>1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0.4337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1444.4</v>
      </c>
      <c r="AO100" cm="1">
        <f t="array" ref="AO100">$E$10*(1+$AM100)+VLOOKUP($Q100,武学奇术!$A:$ZZ,4,FALSE)+SUM(_xlfn.XLOOKUP($R100:$AF100,增益!$A:$A,增益!$D:$D,0))-$I$2</f>
        <v>5616.5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0.217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576.6</v>
      </c>
      <c r="AX100">
        <f t="shared" si="15"/>
        <v>1088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0.06</v>
      </c>
      <c r="AZ100" s="30" cm="1">
        <f t="array" ref="AZ100">$G$12+VLOOKUP($Q100,武学奇术!$A:$ZZ,12,FALSE)+SUM(_xlfn.XLOOKUP(R100:AF100,增益!$A:$A,增益!$L:$L,0))</f>
        <v>0.15</v>
      </c>
      <c r="BA100">
        <f t="shared" si="16"/>
        <v>0</v>
      </c>
      <c r="BB100">
        <f t="shared" si="17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-0.3</v>
      </c>
      <c r="BD100" s="30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0.6113</v>
      </c>
      <c r="BK100" s="24" cm="1">
        <f t="array" ref="BK100">1+$B$13+VLOOKUP($Q100,武学奇术!$A:$ZZ,18,FALSE)+SUM(_xlfn.XLOOKUP(R100:AF100,增益!$A:$A,增益!$R:$R,0))</f>
        <v>1.894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0.1371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0"/>
        <v>0.6113</v>
      </c>
      <c r="BO100" s="24">
        <f t="shared" si="21"/>
        <v>0.2516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0.21</v>
      </c>
    </row>
    <row r="101" spans="1:69">
      <c r="A101" s="4"/>
      <c r="B101" s="4"/>
      <c r="C101" s="37"/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71</v>
      </c>
      <c r="R101" s="38" t="s">
        <v>71</v>
      </c>
      <c r="S101" s="38" t="s">
        <v>71</v>
      </c>
      <c r="T101" s="38" t="s">
        <v>71</v>
      </c>
      <c r="U101" s="38" t="s">
        <v>71</v>
      </c>
      <c r="V101" s="38" t="s">
        <v>71</v>
      </c>
      <c r="W101" s="38" t="s">
        <v>71</v>
      </c>
      <c r="X101" s="38" t="s">
        <v>71</v>
      </c>
      <c r="Y101" s="38" t="s">
        <v>71</v>
      </c>
      <c r="Z101" s="38" t="s">
        <v>71</v>
      </c>
      <c r="AA101" s="38" t="s">
        <v>71</v>
      </c>
      <c r="AB101" s="38" t="s">
        <v>71</v>
      </c>
      <c r="AC101" s="38" t="s">
        <v>71</v>
      </c>
      <c r="AD101" s="38" t="s">
        <v>71</v>
      </c>
      <c r="AE101" s="38" t="s">
        <v>74</v>
      </c>
      <c r="AF101" s="38" t="s">
        <v>71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0.2037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1444.4</v>
      </c>
      <c r="AO101" cm="1">
        <f t="array" ref="AO101">$E$10*(1+$AM101)+VLOOKUP($Q101,武学奇术!$A:$ZZ,4,FALSE)+SUM(_xlfn.XLOOKUP($R101:$AF101,增益!$A:$A,增益!$D:$D,0))-$I$2</f>
        <v>5616.5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0.167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576.6</v>
      </c>
      <c r="AX101">
        <f t="shared" si="15"/>
        <v>1088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0.06</v>
      </c>
      <c r="AZ101" s="30" cm="1">
        <f t="array" ref="AZ101">$G$12+VLOOKUP($Q101,武学奇术!$A:$ZZ,12,FALSE)+SUM(_xlfn.XLOOKUP(R101:AF101,增益!$A:$A,增益!$L:$L,0))</f>
        <v>0.15</v>
      </c>
      <c r="BA101">
        <f t="shared" si="16"/>
        <v>0</v>
      </c>
      <c r="BB101">
        <f t="shared" si="17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0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0.6113</v>
      </c>
      <c r="BK101" s="24" cm="1">
        <f t="array" ref="BK101">1+$B$13+VLOOKUP($Q101,武学奇术!$A:$ZZ,18,FALSE)+SUM(_xlfn.XLOOKUP(R101:AF101,增益!$A:$A,增益!$R:$R,0))</f>
        <v>1.644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0.1371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0"/>
        <v>0.6113</v>
      </c>
      <c r="BO101" s="24">
        <f t="shared" si="21"/>
        <v>0.2516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0.11</v>
      </c>
    </row>
    <row r="102" spans="1:69">
      <c r="A102" s="4"/>
      <c r="B102" s="4"/>
      <c r="C102" s="37"/>
    </row>
    <row r="103" spans="1:69">
      <c r="A103" s="4"/>
      <c r="B103" s="4"/>
      <c r="C103" s="37"/>
    </row>
    <row r="104" spans="1:69">
      <c r="A104" s="4"/>
      <c r="B104" s="4"/>
      <c r="C104" s="37"/>
    </row>
    <row r="105" spans="1:69">
      <c r="A105" s="4"/>
      <c r="B105" s="4"/>
      <c r="C105" s="37"/>
    </row>
    <row r="106" spans="1:69">
      <c r="A106" s="4"/>
      <c r="B106" s="4"/>
      <c r="C106" s="37"/>
    </row>
    <row r="107" spans="1:69">
      <c r="A107" s="4"/>
      <c r="B107" s="4"/>
      <c r="C107" s="37"/>
    </row>
  </sheetData>
  <mergeCells count="17">
    <mergeCell ref="H1:I1"/>
    <mergeCell ref="C8:G8"/>
    <mergeCell ref="C15:D15"/>
    <mergeCell ref="A23:A24"/>
    <mergeCell ref="C28:C40"/>
    <mergeCell ref="C46:C69"/>
    <mergeCell ref="C78:C107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2:AD2 AF2 AE2:AE101 AF3:AF101 R3:AD101">
      <formula1>增益!$A:$A</formula1>
    </dataValidation>
    <dataValidation type="list" allowBlank="1" showInputMessage="1" showErrorMessage="1" sqref="D17:D19 F15:F19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"/>
  <sheetViews>
    <sheetView workbookViewId="0">
      <selection activeCell="F32" sqref="F3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34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104</v>
      </c>
      <c r="R1" t="s">
        <v>166</v>
      </c>
      <c r="S1" t="s">
        <v>106</v>
      </c>
      <c r="T1" t="s">
        <v>167</v>
      </c>
      <c r="U1" t="s">
        <v>146</v>
      </c>
      <c r="V1" t="s">
        <v>168</v>
      </c>
      <c r="W1" t="s">
        <v>169</v>
      </c>
      <c r="X1" t="s">
        <v>170</v>
      </c>
      <c r="Y1" t="s">
        <v>29</v>
      </c>
      <c r="Z1" s="24" t="s">
        <v>30</v>
      </c>
      <c r="AA1" s="25" t="s">
        <v>31</v>
      </c>
      <c r="AB1" s="24" t="s">
        <v>32</v>
      </c>
      <c r="AC1" s="25" t="s">
        <v>33</v>
      </c>
      <c r="AD1" t="s">
        <v>171</v>
      </c>
    </row>
    <row r="2" spans="1:31">
      <c r="A2" t="s">
        <v>96</v>
      </c>
      <c r="D2">
        <v>200</v>
      </c>
      <c r="Q2" s="26">
        <v>0.24</v>
      </c>
      <c r="R2" s="26">
        <v>0.1</v>
      </c>
      <c r="V2">
        <v>1</v>
      </c>
      <c r="Y2" s="27" t="s">
        <v>80</v>
      </c>
      <c r="Z2" s="27">
        <v>7.2368</v>
      </c>
      <c r="AA2" s="28">
        <v>2002</v>
      </c>
      <c r="AB2" s="27">
        <v>10.8553</v>
      </c>
      <c r="AC2" s="25">
        <v>1090</v>
      </c>
      <c r="AD2" t="s">
        <v>172</v>
      </c>
    </row>
    <row r="3" spans="1:31">
      <c r="A3" t="s">
        <v>102</v>
      </c>
      <c r="D3">
        <v>200</v>
      </c>
      <c r="Q3" s="26">
        <v>0.24</v>
      </c>
      <c r="R3" s="26">
        <v>0.1</v>
      </c>
      <c r="V3">
        <v>1</v>
      </c>
      <c r="Y3" s="27" t="s">
        <v>80</v>
      </c>
      <c r="Z3" s="27">
        <f>263.43%+164.64%</f>
        <v>4.2807</v>
      </c>
      <c r="AA3" s="28">
        <f>729+455</f>
        <v>1184</v>
      </c>
      <c r="AB3" s="27">
        <f>395.14%+246.96%</f>
        <v>6.421</v>
      </c>
      <c r="AC3" s="25">
        <f>397+248</f>
        <v>645</v>
      </c>
      <c r="AD3" t="s">
        <v>172</v>
      </c>
    </row>
    <row r="4" spans="1:31">
      <c r="A4" t="s">
        <v>105</v>
      </c>
      <c r="R4" s="26"/>
      <c r="Y4" s="27" t="s">
        <v>85</v>
      </c>
      <c r="Z4" s="24">
        <v>0.4843</v>
      </c>
      <c r="AA4" s="25">
        <v>134</v>
      </c>
      <c r="AB4" s="24">
        <v>0.7264</v>
      </c>
      <c r="AC4" s="25">
        <v>73</v>
      </c>
    </row>
    <row r="5" spans="1:31">
      <c r="A5" t="s">
        <v>148</v>
      </c>
      <c r="R5" s="26"/>
      <c r="Y5" s="27" t="s">
        <v>85</v>
      </c>
      <c r="Z5" s="24">
        <v>0.3151</v>
      </c>
      <c r="AA5" s="25">
        <v>88</v>
      </c>
      <c r="AB5" s="24">
        <v>0.4726</v>
      </c>
      <c r="AC5" s="25">
        <v>48</v>
      </c>
    </row>
    <row r="6" customFormat="1" spans="1:31">
      <c r="A6" t="s">
        <v>173</v>
      </c>
      <c r="Q6" s="24"/>
      <c r="R6" s="26"/>
      <c r="Y6" t="s">
        <v>95</v>
      </c>
      <c r="Z6" s="24">
        <f>198.72%*2</f>
        <v>3.9744</v>
      </c>
      <c r="AA6" s="25">
        <f>491*2</f>
        <v>982</v>
      </c>
      <c r="AB6" s="24">
        <v>5.9613</v>
      </c>
      <c r="AC6" s="25"/>
      <c r="AE6">
        <v>1</v>
      </c>
    </row>
    <row r="7" customFormat="1" spans="1:31">
      <c r="A7" t="s">
        <v>70</v>
      </c>
      <c r="Q7" s="24"/>
      <c r="R7" s="26"/>
      <c r="Y7" t="s">
        <v>95</v>
      </c>
      <c r="Z7" s="24">
        <f>74.52%*2</f>
        <v>1.4904</v>
      </c>
      <c r="AA7" s="25">
        <f>184*2</f>
        <v>368</v>
      </c>
      <c r="AB7" s="24">
        <v>2.2353</v>
      </c>
      <c r="AC7" s="25"/>
      <c r="AE7">
        <v>1</v>
      </c>
    </row>
    <row r="8" customFormat="1" spans="1:31">
      <c r="A8" t="s">
        <v>174</v>
      </c>
      <c r="B8" s="26"/>
      <c r="R8" s="26"/>
      <c r="Y8" t="s">
        <v>95</v>
      </c>
      <c r="Z8" s="24">
        <f>254.69%*2.5*1.3</f>
        <v>8.277425</v>
      </c>
      <c r="AA8" s="25">
        <f>473*1.5*2.3</f>
        <v>1631.85</v>
      </c>
      <c r="AB8" s="24">
        <v>12.4161375</v>
      </c>
      <c r="AC8" s="25"/>
      <c r="AE8">
        <v>1</v>
      </c>
    </row>
    <row r="9" customFormat="1" spans="1:31">
      <c r="A9" t="s">
        <v>152</v>
      </c>
      <c r="B9" s="26"/>
      <c r="Q9" s="24"/>
      <c r="R9" s="26"/>
      <c r="Y9" t="s">
        <v>91</v>
      </c>
      <c r="Z9" s="24">
        <f>319.83%+390.91%</f>
        <v>7.1074</v>
      </c>
      <c r="AA9" s="25">
        <f>594+726</f>
        <v>1320</v>
      </c>
      <c r="AB9" s="24">
        <v>10.6596</v>
      </c>
      <c r="AC9" s="25"/>
      <c r="AE9">
        <v>1</v>
      </c>
    </row>
    <row r="10" customFormat="1" spans="1:31">
      <c r="A10" t="s">
        <v>175</v>
      </c>
      <c r="B10" s="26">
        <v>0.57</v>
      </c>
      <c r="Q10" s="24"/>
      <c r="R10" s="26"/>
      <c r="V10">
        <v>1</v>
      </c>
      <c r="Y10" t="s">
        <v>91</v>
      </c>
      <c r="Z10" s="24">
        <f>1636.39%*2.2*0.7</f>
        <v>25.200406</v>
      </c>
      <c r="AA10" s="25">
        <f>3049*2.2*0.7</f>
        <v>4695.46</v>
      </c>
      <c r="AB10" s="24">
        <f t="shared" ref="AB10:AB21" si="0">Z10*1.5</f>
        <v>37.800609</v>
      </c>
      <c r="AC10" s="25"/>
      <c r="AE10">
        <v>1</v>
      </c>
    </row>
    <row r="11" customFormat="1" spans="1:31">
      <c r="A11" t="s">
        <v>176</v>
      </c>
      <c r="Q11" s="24"/>
      <c r="R11" s="26"/>
      <c r="Y11" t="s">
        <v>95</v>
      </c>
      <c r="Z11" s="24">
        <f>(416%+772.56%)*2</f>
        <v>23.7712</v>
      </c>
      <c r="AA11" s="25">
        <f>(773+1436)*2</f>
        <v>4418</v>
      </c>
      <c r="AB11" s="24">
        <f t="shared" si="0"/>
        <v>35.6568</v>
      </c>
      <c r="AC11" s="25"/>
      <c r="AE11">
        <v>1</v>
      </c>
    </row>
    <row r="12" customFormat="1" spans="1:31">
      <c r="A12" t="s">
        <v>177</v>
      </c>
      <c r="B12" s="26"/>
      <c r="Q12" s="24"/>
      <c r="R12" s="26"/>
      <c r="Y12" t="s">
        <v>91</v>
      </c>
      <c r="Z12" s="24">
        <f>256.96%/2</f>
        <v>1.2848</v>
      </c>
      <c r="AA12" s="25">
        <f>483/2</f>
        <v>241.5</v>
      </c>
      <c r="AB12" s="24">
        <f t="shared" si="0"/>
        <v>1.9272</v>
      </c>
      <c r="AC12" s="25"/>
      <c r="AE12">
        <v>1</v>
      </c>
    </row>
    <row r="13" customFormat="1" spans="1:31">
      <c r="A13" t="s">
        <v>178</v>
      </c>
      <c r="Q13" s="24"/>
      <c r="R13" s="26"/>
      <c r="Y13" t="s">
        <v>91</v>
      </c>
      <c r="Z13" s="24">
        <f>256.96%+141.59%</f>
        <v>3.9855</v>
      </c>
      <c r="AA13" s="25">
        <f>483+266</f>
        <v>749</v>
      </c>
      <c r="AB13" s="24">
        <f t="shared" si="0"/>
        <v>5.97825</v>
      </c>
      <c r="AC13" s="25"/>
      <c r="AE13">
        <v>1</v>
      </c>
    </row>
    <row r="14" customFormat="1" spans="1:31">
      <c r="A14" t="s">
        <v>179</v>
      </c>
      <c r="Q14" s="24"/>
      <c r="R14" s="26"/>
      <c r="T14" s="26"/>
      <c r="Y14" t="s">
        <v>91</v>
      </c>
      <c r="Z14" s="24">
        <v>0.236</v>
      </c>
      <c r="AA14" s="25">
        <v>44</v>
      </c>
      <c r="AB14" s="24">
        <f t="shared" si="0"/>
        <v>0.354</v>
      </c>
      <c r="AC14" s="25"/>
      <c r="AE14">
        <v>0.6</v>
      </c>
    </row>
    <row r="15" customFormat="1" spans="1:31">
      <c r="A15" t="s">
        <v>180</v>
      </c>
      <c r="B15" s="26"/>
      <c r="Q15" s="24"/>
      <c r="R15" s="26"/>
      <c r="Y15" t="s">
        <v>91</v>
      </c>
      <c r="Z15" s="24">
        <f>272.37%/2</f>
        <v>1.36185</v>
      </c>
      <c r="AA15" s="25">
        <f>508/2</f>
        <v>254</v>
      </c>
      <c r="AB15" s="24">
        <f t="shared" si="0"/>
        <v>2.042775</v>
      </c>
      <c r="AC15" s="25"/>
      <c r="AE15">
        <v>1</v>
      </c>
    </row>
    <row r="16" customFormat="1" spans="1:31">
      <c r="A16" t="s">
        <v>181</v>
      </c>
      <c r="Q16" s="24"/>
      <c r="R16" s="26"/>
      <c r="Y16" t="s">
        <v>91</v>
      </c>
      <c r="Z16" s="24">
        <f>272.37%+150.08%</f>
        <v>4.2245</v>
      </c>
      <c r="AA16" s="25">
        <f>508+280</f>
        <v>788</v>
      </c>
      <c r="AB16" s="24">
        <f t="shared" si="0"/>
        <v>6.33675</v>
      </c>
      <c r="AC16" s="25"/>
      <c r="AE16">
        <v>1</v>
      </c>
    </row>
    <row r="17" customFormat="1" spans="1:31">
      <c r="A17" t="s">
        <v>182</v>
      </c>
      <c r="Q17" s="24"/>
      <c r="R17" s="26"/>
      <c r="T17" s="26"/>
      <c r="Y17" t="s">
        <v>91</v>
      </c>
      <c r="Z17" s="24">
        <v>0.2957</v>
      </c>
      <c r="AA17" s="25">
        <v>55</v>
      </c>
      <c r="AB17" s="24">
        <f t="shared" si="0"/>
        <v>0.44355</v>
      </c>
      <c r="AC17" s="25"/>
      <c r="AE17">
        <v>0.6</v>
      </c>
    </row>
    <row r="18" customFormat="1" spans="1:31">
      <c r="A18" t="s">
        <v>183</v>
      </c>
      <c r="Q18" s="24"/>
      <c r="R18" s="26"/>
      <c r="Y18" t="s">
        <v>91</v>
      </c>
      <c r="Z18" s="24">
        <v>1.0238</v>
      </c>
      <c r="AA18" s="25">
        <v>189</v>
      </c>
      <c r="AB18" s="24">
        <f t="shared" si="0"/>
        <v>1.5357</v>
      </c>
      <c r="AC18" s="25"/>
      <c r="AE18">
        <v>1</v>
      </c>
    </row>
    <row r="19" customFormat="1" spans="1:31">
      <c r="A19" t="s">
        <v>184</v>
      </c>
      <c r="B19" s="26">
        <v>0.8</v>
      </c>
      <c r="Q19" s="24"/>
      <c r="R19" s="26"/>
      <c r="Y19" t="s">
        <v>91</v>
      </c>
      <c r="Z19" s="24">
        <v>1.7063</v>
      </c>
      <c r="AA19" s="25">
        <v>315</v>
      </c>
      <c r="AB19" s="24">
        <f t="shared" si="0"/>
        <v>2.55945</v>
      </c>
      <c r="AC19" s="25"/>
      <c r="AE19">
        <v>1</v>
      </c>
    </row>
    <row r="20" customFormat="1" spans="1:31">
      <c r="A20" t="s">
        <v>185</v>
      </c>
      <c r="Q20" s="24"/>
      <c r="R20" s="26"/>
      <c r="Y20" t="s">
        <v>91</v>
      </c>
      <c r="Z20" s="24">
        <v>0.702</v>
      </c>
      <c r="AA20" s="25">
        <v>129</v>
      </c>
      <c r="AB20" s="24">
        <f t="shared" si="0"/>
        <v>1.053</v>
      </c>
      <c r="AC20" s="25"/>
      <c r="AE20">
        <v>1</v>
      </c>
    </row>
    <row r="21" customFormat="1" spans="1:31">
      <c r="A21" t="s">
        <v>186</v>
      </c>
      <c r="Q21" s="24"/>
      <c r="R21" s="26"/>
      <c r="Y21" t="s">
        <v>91</v>
      </c>
      <c r="Z21" s="24">
        <v>1.6088</v>
      </c>
      <c r="AA21" s="25">
        <v>297</v>
      </c>
      <c r="AB21" s="24">
        <f t="shared" si="0"/>
        <v>2.4132</v>
      </c>
      <c r="AC21" s="25"/>
      <c r="AE21">
        <v>1</v>
      </c>
    </row>
    <row r="22" customFormat="1" spans="1:31">
      <c r="A22" t="s">
        <v>156</v>
      </c>
      <c r="Q22" s="24"/>
      <c r="R22" s="26"/>
      <c r="Y22" t="s">
        <v>187</v>
      </c>
      <c r="Z22" s="24">
        <v>1</v>
      </c>
      <c r="AA22" s="25"/>
      <c r="AB22" s="24">
        <v>1</v>
      </c>
      <c r="AC22" s="25"/>
      <c r="AE22">
        <v>1</v>
      </c>
    </row>
    <row r="23" customFormat="1" spans="1:31">
      <c r="A23" t="s">
        <v>71</v>
      </c>
      <c r="Q23" s="24"/>
      <c r="Y23" t="s">
        <v>187</v>
      </c>
      <c r="Z23" s="24">
        <v>0</v>
      </c>
      <c r="AA23" s="25"/>
      <c r="AB23" s="24">
        <v>0</v>
      </c>
      <c r="AC23" s="25"/>
      <c r="AE23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W15" sqref="W1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34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104</v>
      </c>
      <c r="R1" t="s">
        <v>166</v>
      </c>
      <c r="S1" t="s">
        <v>106</v>
      </c>
      <c r="T1" t="s">
        <v>167</v>
      </c>
      <c r="U1" t="s">
        <v>188</v>
      </c>
      <c r="V1" s="24" t="s">
        <v>189</v>
      </c>
      <c r="W1" s="24" t="s">
        <v>65</v>
      </c>
    </row>
    <row r="2" spans="1:27">
      <c r="A2" t="s">
        <v>103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customFormat="1" spans="1:27">
      <c r="A3" t="s">
        <v>110</v>
      </c>
      <c r="B3"/>
      <c r="F3">
        <f>6*IF(期望!$F$18="√",1,0)</f>
        <v>6</v>
      </c>
      <c r="R3" s="26">
        <f>6%*IF(期望!$F$18="√",1,0)</f>
        <v>0.06</v>
      </c>
      <c r="W3" s="27"/>
    </row>
    <row r="4" customFormat="1" spans="1:27">
      <c r="A4" t="s">
        <v>114</v>
      </c>
      <c r="B4"/>
      <c r="F4">
        <f>12*IF(期望!$F$18="√",1,0)</f>
        <v>12</v>
      </c>
      <c r="R4" s="26">
        <f>12%*IF(期望!$F$18="√",1,0)</f>
        <v>0.12</v>
      </c>
      <c r="W4" s="27"/>
      <c r="X4" s="24"/>
      <c r="Y4" s="25"/>
      <c r="Z4" s="24"/>
      <c r="AA4" s="25"/>
    </row>
    <row r="5" spans="1:27">
      <c r="A5" t="s">
        <v>121</v>
      </c>
      <c r="F5">
        <f>15*IF(期望!$F$18="√",1,0)</f>
        <v>15</v>
      </c>
      <c r="R5" s="26">
        <f>15%*IF(期望!$F$18="√",1,0)</f>
        <v>0.15</v>
      </c>
      <c r="W5" s="27"/>
    </row>
    <row r="6" customFormat="1" spans="1:27">
      <c r="A6" t="s">
        <v>79</v>
      </c>
      <c r="F6">
        <f>4*IF(期望!$F$18="√",1,0)</f>
        <v>4</v>
      </c>
      <c r="R6" s="26">
        <f>4%*IF(期望!$F$18="√",1,0)</f>
        <v>0.04</v>
      </c>
      <c r="W6" s="27"/>
      <c r="X6" s="24"/>
      <c r="Y6" s="25"/>
      <c r="Z6" s="24"/>
      <c r="AA6" s="25"/>
    </row>
    <row r="7" customFormat="1" spans="1:27">
      <c r="A7" t="s">
        <v>89</v>
      </c>
      <c r="F7">
        <f>8*IF(期望!$F$18="√",1,0)</f>
        <v>8</v>
      </c>
      <c r="R7" s="26">
        <f>8%*IF(期望!$F$18="√",1,0)</f>
        <v>0.08</v>
      </c>
      <c r="W7" s="27"/>
      <c r="X7" s="24"/>
      <c r="Y7" s="25"/>
      <c r="Z7" s="24"/>
      <c r="AA7" s="25"/>
    </row>
    <row r="8" customFormat="1" spans="1:27">
      <c r="A8" t="s">
        <v>118</v>
      </c>
      <c r="B8"/>
      <c r="F8">
        <f>10*IF(期望!$F$18="√",1,0)</f>
        <v>10</v>
      </c>
      <c r="R8" s="26">
        <f>10%*IF(期望!$F$18="√",1,0)</f>
        <v>0.1</v>
      </c>
      <c r="W8" s="27"/>
      <c r="X8" s="24"/>
      <c r="Y8" s="25"/>
      <c r="Z8" s="24"/>
      <c r="AA8" s="25"/>
    </row>
    <row r="9" spans="1:27">
      <c r="A9" t="s">
        <v>141</v>
      </c>
      <c r="B9" s="26"/>
      <c r="W9" s="27">
        <v>0.1</v>
      </c>
    </row>
    <row r="10" spans="1:27">
      <c r="A10" t="s">
        <v>72</v>
      </c>
      <c r="B10" s="26"/>
      <c r="R10" s="26">
        <v>0.15</v>
      </c>
      <c r="W10" s="27"/>
    </row>
    <row r="11" spans="1:27">
      <c r="A11" t="s">
        <v>73</v>
      </c>
      <c r="B11" s="26">
        <v>0.02</v>
      </c>
      <c r="R11" s="26"/>
      <c r="W11" s="27"/>
    </row>
    <row r="12" spans="1:27">
      <c r="A12" t="s">
        <v>108</v>
      </c>
      <c r="B12" s="26">
        <v>0.16</v>
      </c>
      <c r="J12" s="26"/>
      <c r="X12" s="27"/>
      <c r="Y12" s="28"/>
      <c r="Z12" s="27"/>
    </row>
    <row r="13" spans="1:27">
      <c r="A13" t="s">
        <v>98</v>
      </c>
      <c r="B13" s="26">
        <v>0.42</v>
      </c>
      <c r="J13" s="26"/>
      <c r="X13" s="27"/>
      <c r="Y13" s="28"/>
      <c r="Z13" s="27"/>
    </row>
    <row r="14" spans="1:27">
      <c r="A14" t="s">
        <v>142</v>
      </c>
      <c r="B14" s="26"/>
      <c r="J14" s="26">
        <f>IF(期望!$D$17="√",10%,0)</f>
        <v>0.1</v>
      </c>
      <c r="W14" s="24">
        <f>IF(期望!$D$18="√",10%,0)</f>
        <v>0.1</v>
      </c>
      <c r="X14" s="27"/>
      <c r="Y14" s="28"/>
      <c r="Z14" s="27"/>
    </row>
    <row r="15" spans="1:27">
      <c r="A15" t="s">
        <v>74</v>
      </c>
      <c r="R15" s="26"/>
      <c r="W15" s="24">
        <v>0.05</v>
      </c>
      <c r="X15" s="27"/>
      <c r="Y15" s="28"/>
      <c r="Z15" s="27"/>
    </row>
    <row r="16" spans="1:27">
      <c r="A16" t="s">
        <v>78</v>
      </c>
      <c r="R16" s="26">
        <f>IF(期望!$F$16="√",1%,0)</f>
        <v>0.01</v>
      </c>
      <c r="X16" s="27"/>
      <c r="Y16" s="28"/>
      <c r="Z16" s="27"/>
    </row>
    <row r="17" spans="1:26">
      <c r="A17" t="s">
        <v>83</v>
      </c>
      <c r="R17" s="26">
        <f>IF(期望!$F$16="√",2%,0)</f>
        <v>0.02</v>
      </c>
      <c r="X17" s="27"/>
      <c r="Y17" s="28"/>
      <c r="Z17" s="27"/>
    </row>
    <row r="18" spans="1:26">
      <c r="A18" t="s">
        <v>88</v>
      </c>
      <c r="R18" s="26">
        <f>IF(期望!$F$16="√",3%,0)</f>
        <v>0.03</v>
      </c>
      <c r="X18" s="27"/>
      <c r="Y18" s="28"/>
      <c r="Z18" s="27"/>
    </row>
    <row r="19" spans="1:26">
      <c r="A19" t="s">
        <v>93</v>
      </c>
      <c r="R19" s="26">
        <f>IF(期望!$F$16="√",4%,0)</f>
        <v>0.04</v>
      </c>
      <c r="X19" s="27"/>
      <c r="Y19" s="28"/>
      <c r="Z19" s="27"/>
    </row>
    <row r="20" spans="1:26">
      <c r="A20" t="s">
        <v>117</v>
      </c>
      <c r="R20" s="26">
        <f>IF(期望!$F$16="√",5%,0)</f>
        <v>0.05</v>
      </c>
      <c r="X20" s="27"/>
      <c r="Y20" s="28"/>
      <c r="Z20" s="27"/>
    </row>
    <row r="21" spans="1:26">
      <c r="A21" t="s">
        <v>190</v>
      </c>
      <c r="R21" s="26">
        <f>IF(期望!$F$16="√",6%,0)</f>
        <v>0.06</v>
      </c>
      <c r="X21" s="27"/>
      <c r="Y21" s="28"/>
      <c r="Z21" s="27"/>
    </row>
    <row r="22" spans="1:26">
      <c r="A22" t="s">
        <v>126</v>
      </c>
      <c r="R22" s="26">
        <f>IF(期望!$F$16="√",7%,0)</f>
        <v>0.07</v>
      </c>
      <c r="X22" s="27"/>
      <c r="Y22" s="28"/>
      <c r="Z22" s="27"/>
    </row>
    <row r="23" spans="1:26">
      <c r="A23" t="s">
        <v>133</v>
      </c>
      <c r="R23" s="26">
        <f>IF(期望!$F$16="√",8%,0)</f>
        <v>0.08</v>
      </c>
      <c r="X23" s="27"/>
      <c r="Y23" s="28"/>
      <c r="Z23" s="27"/>
    </row>
    <row r="24" spans="1:26">
      <c r="A24" t="s">
        <v>191</v>
      </c>
      <c r="R24" s="26">
        <f>IF(期望!$F$16="√",9%,0)</f>
        <v>0.09</v>
      </c>
      <c r="X24" s="27"/>
      <c r="Y24" s="28"/>
      <c r="Z24" s="27"/>
    </row>
    <row r="25" spans="1:26">
      <c r="A25" t="s">
        <v>139</v>
      </c>
      <c r="R25" s="26">
        <f>IF(期望!$F$16="√",10%,0)</f>
        <v>0.1</v>
      </c>
      <c r="X25" s="27"/>
      <c r="Y25" s="28"/>
      <c r="Z25" s="27"/>
    </row>
    <row r="26" spans="1:26">
      <c r="A26" t="s">
        <v>97</v>
      </c>
      <c r="B26" s="26">
        <v>0.01</v>
      </c>
      <c r="F26">
        <v>2</v>
      </c>
      <c r="X26" s="27"/>
      <c r="Y26" s="28"/>
      <c r="Z26" s="27"/>
    </row>
    <row r="27" spans="1:26">
      <c r="A27" t="s">
        <v>77</v>
      </c>
      <c r="B27" s="26">
        <v>0.02</v>
      </c>
      <c r="F27">
        <v>4</v>
      </c>
      <c r="X27" s="27"/>
      <c r="Y27" s="28"/>
      <c r="Z27" s="27"/>
    </row>
    <row r="28" spans="1:26">
      <c r="A28" t="s">
        <v>82</v>
      </c>
      <c r="B28" s="26">
        <v>0.03</v>
      </c>
      <c r="F28">
        <v>6</v>
      </c>
      <c r="X28" s="27"/>
      <c r="Y28" s="28"/>
      <c r="Z28" s="27"/>
    </row>
    <row r="29" spans="1:26">
      <c r="A29" t="s">
        <v>87</v>
      </c>
      <c r="B29" s="26">
        <v>0.04</v>
      </c>
      <c r="F29">
        <v>8</v>
      </c>
      <c r="X29" s="27"/>
      <c r="Y29" s="28"/>
      <c r="Z29" s="27"/>
    </row>
    <row r="30" spans="1:26">
      <c r="A30" t="s">
        <v>92</v>
      </c>
      <c r="B30" s="26">
        <v>0.05</v>
      </c>
      <c r="F30">
        <v>10</v>
      </c>
      <c r="X30" s="27"/>
      <c r="Y30" s="28"/>
      <c r="Z30" s="27"/>
    </row>
    <row r="31" spans="1:26">
      <c r="A31" t="s">
        <v>71</v>
      </c>
      <c r="X31" s="27"/>
      <c r="Y31" s="28"/>
      <c r="Z31" s="27"/>
    </row>
    <row r="32" spans="1:26">
      <c r="X32" s="27"/>
      <c r="Y32" s="28"/>
      <c r="Z32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30" sqref="D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192</v>
      </c>
      <c r="B1" s="3" t="s">
        <v>193</v>
      </c>
      <c r="C1" s="4" t="s">
        <v>194</v>
      </c>
      <c r="D1" s="5" t="s">
        <v>195</v>
      </c>
    </row>
    <row r="2" spans="1:4">
      <c r="A2" s="6">
        <v>0.1</v>
      </c>
      <c r="B2" s="7">
        <v>1</v>
      </c>
      <c r="C2" s="8" t="s">
        <v>196</v>
      </c>
      <c r="D2" s="4" t="s">
        <v>197</v>
      </c>
    </row>
    <row r="3" spans="1:4">
      <c r="A3" s="9"/>
      <c r="B3" s="10">
        <v>2</v>
      </c>
      <c r="C3" s="11" t="s">
        <v>198</v>
      </c>
    </row>
    <row r="4" ht="14.25" spans="1:4">
      <c r="A4" s="12"/>
      <c r="B4" s="13">
        <v>3</v>
      </c>
      <c r="C4" s="14" t="s">
        <v>199</v>
      </c>
    </row>
    <row r="5" ht="14.25" spans="1:4">
      <c r="A5" s="15">
        <v>0.2</v>
      </c>
      <c r="B5" s="16">
        <v>1</v>
      </c>
      <c r="C5" s="17" t="s">
        <v>200</v>
      </c>
    </row>
    <row r="6" ht="14.25" spans="1:4">
      <c r="A6" s="15">
        <v>0.3</v>
      </c>
      <c r="B6" s="16">
        <v>1</v>
      </c>
      <c r="C6" s="17" t="s">
        <v>201</v>
      </c>
    </row>
    <row r="7" spans="1:4">
      <c r="A7" s="18">
        <v>0.4</v>
      </c>
      <c r="B7" s="19">
        <v>1</v>
      </c>
      <c r="C7" s="8" t="s">
        <v>202</v>
      </c>
    </row>
    <row r="8" ht="14.25" spans="1:4">
      <c r="A8" s="20"/>
      <c r="B8" s="13">
        <v>1</v>
      </c>
      <c r="C8" s="14" t="s">
        <v>203</v>
      </c>
    </row>
    <row r="9" ht="14.25" spans="1:4">
      <c r="A9" s="21">
        <v>0.5</v>
      </c>
      <c r="B9" s="16">
        <v>1</v>
      </c>
      <c r="C9" s="17" t="s">
        <v>204</v>
      </c>
    </row>
    <row r="10" ht="14.25" spans="1:4">
      <c r="A10" s="15">
        <v>0.6</v>
      </c>
      <c r="B10" s="16">
        <v>1</v>
      </c>
      <c r="C10" s="17" t="s">
        <v>205</v>
      </c>
    </row>
    <row r="11" ht="14.25" spans="1:4">
      <c r="A11" s="15">
        <v>0.7</v>
      </c>
      <c r="B11" s="16">
        <v>1</v>
      </c>
      <c r="C11" s="17" t="s">
        <v>206</v>
      </c>
    </row>
    <row r="12" ht="14.25" spans="1:4">
      <c r="A12" s="15">
        <v>0.8</v>
      </c>
      <c r="B12" s="16">
        <v>1</v>
      </c>
      <c r="C12" s="17" t="s">
        <v>207</v>
      </c>
    </row>
    <row r="13" ht="14.25" spans="1:4">
      <c r="A13" s="15">
        <v>0.9</v>
      </c>
      <c r="B13" s="16">
        <v>1</v>
      </c>
      <c r="C13" s="17" t="s">
        <v>208</v>
      </c>
    </row>
    <row r="14" ht="14.25" spans="1:4">
      <c r="A14" s="15">
        <v>1</v>
      </c>
      <c r="B14" s="16">
        <v>1</v>
      </c>
      <c r="C14" s="17" t="s">
        <v>209</v>
      </c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</sheetData>
  <mergeCells count="2">
    <mergeCell ref="A2:A4"/>
    <mergeCell ref="A7:A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2026-06-27T09:15:12Z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