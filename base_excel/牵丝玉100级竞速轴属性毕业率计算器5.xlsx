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activeTab="4"/>
  </bookViews>
  <sheets>
    <sheet name="期望" sheetId="1" r:id="rId1"/>
    <sheet name="对比工具" sheetId="6" state="hidden" r:id="rId2"/>
    <sheet name="武器奇术" sheetId="2" r:id="rId3"/>
    <sheet name="目标属性" sheetId="5" r:id="rId4"/>
    <sheet name="版本日志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<sst xmlns="http://schemas.openxmlformats.org/spreadsheetml/2006/main" count="877" uniqueCount="279">
  <si>
    <t>当前装备</t>
  </si>
  <si>
    <t>对比装备</t>
  </si>
  <si>
    <t>释放奇术时主属性</t>
  </si>
  <si>
    <t>牵丝</t>
  </si>
  <si>
    <t>&lt;--下拉菜单</t>
  </si>
  <si>
    <t>武学常驻属性</t>
  </si>
  <si>
    <t>通用增伤</t>
  </si>
  <si>
    <t>蓄力增伤</t>
  </si>
  <si>
    <t>断石之构</t>
  </si>
  <si>
    <t>易水歌</t>
  </si>
  <si>
    <t>劲</t>
  </si>
  <si>
    <t>√</t>
  </si>
  <si>
    <t>敏</t>
  </si>
  <si>
    <t>最小外功攻击</t>
  </si>
  <si>
    <t>最大外功攻击</t>
  </si>
  <si>
    <t>外功穿透</t>
  </si>
  <si>
    <t>外攻伤害加成</t>
  </si>
  <si>
    <t>套装</t>
  </si>
  <si>
    <t>幻鸣</t>
  </si>
  <si>
    <t>天工</t>
  </si>
  <si>
    <t>玉鳞脍</t>
  </si>
  <si>
    <t>势</t>
  </si>
  <si>
    <t>烟柳</t>
  </si>
  <si>
    <t>×</t>
  </si>
  <si>
    <t>火</t>
  </si>
  <si>
    <t>最小外功</t>
  </si>
  <si>
    <t>当前装备的敏</t>
  </si>
  <si>
    <t>最小鸣金攻击</t>
  </si>
  <si>
    <t>最大鸣金攻击</t>
  </si>
  <si>
    <t>鸣金穿透</t>
  </si>
  <si>
    <t>鸣金伤害加成</t>
  </si>
  <si>
    <t>目标</t>
  </si>
  <si>
    <t>最大外功</t>
  </si>
  <si>
    <t>笃山衔蝉</t>
  </si>
  <si>
    <t>&lt;-下拉菜单</t>
  </si>
  <si>
    <t>最小无相</t>
  </si>
  <si>
    <t>最小裂石攻击</t>
  </si>
  <si>
    <t>最大裂石攻击</t>
  </si>
  <si>
    <t>裂石穿透</t>
  </si>
  <si>
    <t>裂石伤害加成</t>
  </si>
  <si>
    <t>目标防御</t>
  </si>
  <si>
    <t>花上易水纵地断石,牵丝武库。</t>
  </si>
  <si>
    <t>最大无相</t>
  </si>
  <si>
    <t>精准</t>
  </si>
  <si>
    <t>最小牵丝攻击</t>
  </si>
  <si>
    <t>最大牵丝攻击</t>
  </si>
  <si>
    <t>牵丝穿透</t>
  </si>
  <si>
    <t>牵丝伤害加成</t>
  </si>
  <si>
    <t>判定抗性</t>
  </si>
  <si>
    <t>会心</t>
  </si>
  <si>
    <t>会意</t>
  </si>
  <si>
    <t>最小破竹攻击</t>
  </si>
  <si>
    <t>最大破竹攻击</t>
  </si>
  <si>
    <t>破竹穿透</t>
  </si>
  <si>
    <t>破竹伤害加成</t>
  </si>
  <si>
    <t>最小鸣金</t>
  </si>
  <si>
    <t>最大鸣金</t>
  </si>
  <si>
    <t>最小无相攻击</t>
  </si>
  <si>
    <t>最大无相攻击</t>
  </si>
  <si>
    <t>无相穿透</t>
  </si>
  <si>
    <t>固伤加成</t>
  </si>
  <si>
    <t>龙攻击期望</t>
  </si>
  <si>
    <t>最小裂石</t>
  </si>
  <si>
    <t>&lt;&lt;&lt;默认50%</t>
  </si>
  <si>
    <t>最大裂石</t>
  </si>
  <si>
    <t>括号内-&gt;</t>
  </si>
  <si>
    <t>精准率</t>
  </si>
  <si>
    <t>会心伤害加成</t>
  </si>
  <si>
    <t>最小牵丝</t>
  </si>
  <si>
    <t>会心率</t>
  </si>
  <si>
    <t>会意伤害加成</t>
  </si>
  <si>
    <t>最大牵丝</t>
  </si>
  <si>
    <t>会意率</t>
  </si>
  <si>
    <t>首领增伤</t>
  </si>
  <si>
    <t>沧海帖</t>
  </si>
  <si>
    <t>行藏帖</t>
  </si>
  <si>
    <t>最小破竹</t>
  </si>
  <si>
    <t>直接会心率</t>
  </si>
  <si>
    <t>最大破竹</t>
  </si>
  <si>
    <t>直接会意率</t>
  </si>
  <si>
    <t>相杀瘫痪</t>
  </si>
  <si>
    <t>易伤层数</t>
  </si>
  <si>
    <t>伞增</t>
  </si>
  <si>
    <t>武器增伤</t>
  </si>
  <si>
    <t>全武增</t>
  </si>
  <si>
    <t>伞</t>
  </si>
  <si>
    <t>首领增</t>
  </si>
  <si>
    <t>扇</t>
  </si>
  <si>
    <t>定音</t>
  </si>
  <si>
    <t>全武器增伤</t>
  </si>
  <si>
    <t>单体奇术</t>
  </si>
  <si>
    <t>群体奇术</t>
  </si>
  <si>
    <t>N/A</t>
  </si>
  <si>
    <t>用时</t>
  </si>
  <si>
    <t>总期望</t>
  </si>
  <si>
    <t>外功</t>
  </si>
  <si>
    <t>固伤</t>
  </si>
  <si>
    <t>鸣金</t>
  </si>
  <si>
    <t>裂石</t>
  </si>
  <si>
    <t>破竹</t>
  </si>
  <si>
    <t>无相</t>
  </si>
  <si>
    <t>次数</t>
  </si>
  <si>
    <t>定音增伤</t>
  </si>
  <si>
    <t>期望伤害</t>
  </si>
  <si>
    <t>占比</t>
  </si>
  <si>
    <t>增伤</t>
  </si>
  <si>
    <t>补正</t>
  </si>
  <si>
    <t>生效会心</t>
  </si>
  <si>
    <t>生效会意</t>
  </si>
  <si>
    <t>生效精准</t>
  </si>
  <si>
    <t>武器类型</t>
  </si>
  <si>
    <t>生效增伤</t>
  </si>
  <si>
    <t>最小</t>
  </si>
  <si>
    <t>平均</t>
  </si>
  <si>
    <t>最大</t>
  </si>
  <si>
    <t>穿透增伤</t>
  </si>
  <si>
    <t>伤害加成</t>
  </si>
  <si>
    <t>倍率</t>
  </si>
  <si>
    <t>擦伤伤害</t>
  </si>
  <si>
    <t>擦伤占比</t>
  </si>
  <si>
    <t>会心伤害</t>
  </si>
  <si>
    <t>会心占比</t>
  </si>
  <si>
    <t>会意伤害</t>
  </si>
  <si>
    <t>会意占比</t>
  </si>
  <si>
    <t>普攻伤害</t>
  </si>
  <si>
    <t>普攻占比</t>
  </si>
  <si>
    <t>平均伤害</t>
  </si>
  <si>
    <t>总伤</t>
  </si>
  <si>
    <t>伞Q(小纵无滞骨)</t>
  </si>
  <si>
    <t>丢伞(小纵无滞骨)</t>
  </si>
  <si>
    <t>扇～(小纵)</t>
  </si>
  <si>
    <t>扇Q(小纵)</t>
  </si>
  <si>
    <t>扇普通重击派生(风墙小纵)</t>
  </si>
  <si>
    <t>DPS</t>
  </si>
  <si>
    <t>扇左蓄(风墙3惊春小纵)</t>
  </si>
  <si>
    <t>伞～(连中小纵无滞骨)</t>
  </si>
  <si>
    <t>伞～(连中小纵)</t>
  </si>
  <si>
    <t>伞～(连中风墙小纵)</t>
  </si>
  <si>
    <t>伞Q(连中风墙小纵)</t>
  </si>
  <si>
    <t>100本属性毕业率</t>
  </si>
  <si>
    <t>伞重击派生(小纵)</t>
  </si>
  <si>
    <t>丢伞(小纵)</t>
  </si>
  <si>
    <t>扇左蓄(风墙5惊春小纵)</t>
  </si>
  <si>
    <t>气竭前伤害</t>
  </si>
  <si>
    <t>伞Q(连中风墙大纵)</t>
  </si>
  <si>
    <t>伞重击派生(大纵)</t>
  </si>
  <si>
    <t>丢伞(大纵断石)</t>
  </si>
  <si>
    <t>扇Q(大纵断石)</t>
  </si>
  <si>
    <t>扇左蓄(风墙5惊春大纵断石)</t>
  </si>
  <si>
    <t>扇强化重击派生(风墙大纵低真气断石)</t>
  </si>
  <si>
    <t>扇强化重击派生(风墙大纵低真气)</t>
  </si>
  <si>
    <t>瘫痪</t>
  </si>
  <si>
    <t>伞Q</t>
  </si>
  <si>
    <t>伞～(连中风墙大纵断石)</t>
  </si>
  <si>
    <t>丢伞</t>
  </si>
  <si>
    <t>伞Q(连中风墙大纵气竭)</t>
  </si>
  <si>
    <t>切武器</t>
  </si>
  <si>
    <t>伞重击派生(大纵气竭)</t>
  </si>
  <si>
    <t>扇～</t>
  </si>
  <si>
    <t>丢伞(大纵气竭)</t>
  </si>
  <si>
    <t>风墙+派生</t>
  </si>
  <si>
    <t>衍九矢(大纵气竭)</t>
  </si>
  <si>
    <t>龙卷风</t>
  </si>
  <si>
    <t>骑龙回马打满(大纵气竭)</t>
  </si>
  <si>
    <t>伞～(连中风墙大纵气竭)</t>
  </si>
  <si>
    <t>伞派生</t>
  </si>
  <si>
    <t>伞重击派生(大纵断石)</t>
  </si>
  <si>
    <t>龙卷风+后摇打断</t>
  </si>
  <si>
    <t>伞～(连中大纵断石)</t>
  </si>
  <si>
    <t>派生</t>
  </si>
  <si>
    <t>伞～(连中风墙大纵)</t>
  </si>
  <si>
    <t>扇左蓄(风墙大纵)</t>
  </si>
  <si>
    <t>扇强化重击派生(风墙大纵)</t>
  </si>
  <si>
    <t>断</t>
  </si>
  <si>
    <t>丢伞(大纵)</t>
  </si>
  <si>
    <t>风墙</t>
  </si>
  <si>
    <t>强化派生</t>
  </si>
  <si>
    <t>扇强化重击派生(风墙小纵)</t>
  </si>
  <si>
    <t>气竭</t>
  </si>
  <si>
    <t>伞重击(小纵)</t>
  </si>
  <si>
    <t>拉矢</t>
  </si>
  <si>
    <t>骑龙</t>
  </si>
  <si>
    <t>等待+伞Q</t>
  </si>
  <si>
    <t>大纵</t>
  </si>
  <si>
    <t>扇Q(大纵)</t>
  </si>
  <si>
    <t>扇普通重击派生(风墙大纵)</t>
  </si>
  <si>
    <t>扇左蓄(风墙3惊春大纵)</t>
  </si>
  <si>
    <t>叶龙骧首(大纵气竭75%HP)</t>
  </si>
  <si>
    <t>易水歌6重</t>
  </si>
  <si>
    <t>易水歌6重(小纵)</t>
  </si>
  <si>
    <t>伞R</t>
  </si>
  <si>
    <t>易水歌6重(大纵断石)</t>
  </si>
  <si>
    <t>易水歌6重(大纵气竭)</t>
  </si>
  <si>
    <t>移动金身</t>
  </si>
  <si>
    <t>易水歌6重(大纵)</t>
  </si>
  <si>
    <t>易伤</t>
  </si>
  <si>
    <t>切武器等待</t>
  </si>
  <si>
    <t>叶龙出伤</t>
  </si>
  <si>
    <t>笛</t>
  </si>
  <si>
    <t>蛤蟆</t>
  </si>
  <si>
    <t>缸炉烧饼</t>
  </si>
  <si>
    <t>当前敏捷</t>
  </si>
  <si>
    <t>对比敏捷</t>
  </si>
  <si>
    <t>天赋会心</t>
  </si>
  <si>
    <t>天赋小攻</t>
  </si>
  <si>
    <t>元素倍率</t>
  </si>
  <si>
    <t>额外最小外功加成</t>
  </si>
  <si>
    <t>额外最大外攻加成</t>
  </si>
  <si>
    <t>额外会心率</t>
  </si>
  <si>
    <t>额外会心伤害</t>
  </si>
  <si>
    <t>额外会意率</t>
  </si>
  <si>
    <t>额外会意伤害</t>
  </si>
  <si>
    <t>额外增伤</t>
  </si>
  <si>
    <t>额外外功穿透</t>
  </si>
  <si>
    <t>蓄力技能</t>
  </si>
  <si>
    <t>类型</t>
  </si>
  <si>
    <t>属性</t>
  </si>
  <si>
    <t>特殊</t>
  </si>
  <si>
    <t>额外外攻加成</t>
  </si>
  <si>
    <t>伞左蓄每秒(连中远程笛)</t>
  </si>
  <si>
    <t>武器</t>
  </si>
  <si>
    <t>伞～(连中风墙小纵断石)</t>
  </si>
  <si>
    <t>丢伞(无纵地)</t>
  </si>
  <si>
    <t>丢伞(小纵断石)</t>
  </si>
  <si>
    <t>扇左蓄(风墙)</t>
  </si>
  <si>
    <t>扇左蓄(风墙5惊春大纵)</t>
  </si>
  <si>
    <t>扇Q(小纵断石)</t>
  </si>
  <si>
    <t>奇术</t>
  </si>
  <si>
    <t>叶龙</t>
  </si>
  <si>
    <t>心法</t>
  </si>
  <si>
    <t>防御</t>
  </si>
  <si>
    <t>气竭增伤</t>
  </si>
  <si>
    <t>无相皇16</t>
  </si>
  <si>
    <t>无相皇51</t>
  </si>
  <si>
    <t>沉棺泊梦</t>
  </si>
  <si>
    <t>幽牙蛇影</t>
  </si>
  <si>
    <t>白驹飞霞</t>
  </si>
  <si>
    <t>俣俣神浒</t>
  </si>
  <si>
    <t>定极分更</t>
  </si>
  <si>
    <t>木桩</t>
  </si>
  <si>
    <t>bilibili@片雲</t>
  </si>
  <si>
    <t>版本号</t>
  </si>
  <si>
    <t>编号</t>
  </si>
  <si>
    <t>描述</t>
  </si>
  <si>
    <t>更新黄钟正响版本内容</t>
  </si>
  <si>
    <t>因司南剑客的随机性,轴暂时只用18秒宝宝轴观察属性,因为无法触发闪避效果,不带断石</t>
  </si>
  <si>
    <t>春雷篇屁用没有</t>
  </si>
  <si>
    <t>扇增不如外系大属</t>
  </si>
  <si>
    <t>纵地bug,只能触发12.5%的纵地极,无法双纵地了,修复后约-3%</t>
  </si>
  <si>
    <t>修正bug</t>
  </si>
  <si>
    <t>回滚修正</t>
  </si>
  <si>
    <t>轴变更为司南蹭滞骨白身轴</t>
  </si>
  <si>
    <t>纯会心时雨套和20会意飞隼在没有特殊情况时几乎一样.按需选择.</t>
  </si>
  <si>
    <t>添加了撼天套的选项,纯会心属性几乎和时雨一样</t>
  </si>
  <si>
    <t>烟柳套在队友有陌刀或者奶伞时,即使有白身加成也只和时雨一样</t>
  </si>
  <si>
    <t>修正了食物属性</t>
  </si>
  <si>
    <t>修正白身无人机数量</t>
  </si>
  <si>
    <t>更新了纵地修正,约提升1%</t>
  </si>
  <si>
    <t>循环加入叶龙提升5%</t>
  </si>
  <si>
    <t>添加叶龙不会擦伤</t>
  </si>
  <si>
    <t>略微调整diy属性</t>
  </si>
  <si>
    <t>修正鬼掣加成</t>
  </si>
  <si>
    <t>添加了一个叶龙攻击浮动期望小工具</t>
  </si>
  <si>
    <t>更新了司南剑客气竭无法控制的修正,轴暂时不变.-8%起步</t>
  </si>
  <si>
    <t>修正DIY属性</t>
  </si>
  <si>
    <t>增加了对比工具</t>
  </si>
  <si>
    <t>更新先琢测试</t>
  </si>
  <si>
    <t>更新黄钟正响下半版本内容</t>
  </si>
  <si>
    <t>当前表格diy属性为8劲6敏6会心,正常请使用9劲4敏7会心</t>
  </si>
  <si>
    <t>5人副本需要观察</t>
  </si>
  <si>
    <t>将diy属性修正为5敏6会心+会心弓,正常请使用5敏6会+精准弓</t>
  </si>
  <si>
    <t>更新先琢测试版本,老轴无视dps只看提升,1%不到。</t>
  </si>
  <si>
    <t>轴变更为笃墨蝎"为什么情愿等伞回来也不打袖剑跳劈"轴</t>
  </si>
  <si>
    <t>diy属性变更为撼天套小攻流,+3.5%</t>
  </si>
  <si>
    <t>单体奇术和大牵丝相当,但实战有抗性削弱。</t>
  </si>
  <si>
    <t>更新青州蹊跷第一部分</t>
  </si>
  <si>
    <t>修正了撼天加成问题</t>
  </si>
  <si>
    <t>更新5月4日先琢,+3.5%,2件套小攻=&gt;精准,-1.6%.等效+2%</t>
  </si>
  <si>
    <t>更新夹钟下半属性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</si>
</sst>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2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6" borderId="2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7" applyNumberFormat="0" applyFill="0" applyAlignment="0" applyProtection="0">
      <alignment vertical="center"/>
    </xf>
    <xf numFmtId="0" fontId="9" fillId="0" borderId="27" applyNumberFormat="0" applyFill="0" applyAlignment="0" applyProtection="0">
      <alignment vertical="center"/>
    </xf>
    <xf numFmtId="0" fontId="10" fillId="0" borderId="2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29" applyNumberFormat="0" applyAlignment="0" applyProtection="0">
      <alignment vertical="center"/>
    </xf>
    <xf numFmtId="0" fontId="12" fillId="8" borderId="30" applyNumberFormat="0" applyAlignment="0" applyProtection="0">
      <alignment vertical="center"/>
    </xf>
    <xf numFmtId="0" fontId="13" fillId="8" borderId="29" applyNumberFormat="0" applyAlignment="0" applyProtection="0">
      <alignment vertical="center"/>
    </xf>
    <xf numFmtId="0" fontId="14" fillId="9" borderId="31" applyNumberFormat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8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1" xfId="6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6" fontId="0" fillId="0" borderId="4" xfId="0" applyNumberFormat="1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0" fillId="0" borderId="7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2" fontId="0" fillId="0" borderId="4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0" fillId="0" borderId="6" xfId="0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>
      <alignment vertical="center"/>
    </xf>
    <xf numFmtId="10" fontId="0" fillId="0" borderId="0" xfId="0" applyNumberFormat="1" applyFill="1">
      <alignment vertical="center"/>
    </xf>
    <xf numFmtId="2" fontId="0" fillId="0" borderId="0" xfId="0" applyNumberFormat="1" applyFill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NumberFormat="1" applyFont="1" applyBorder="1" applyAlignment="1">
      <alignment vertical="center"/>
    </xf>
    <xf numFmtId="10" fontId="2" fillId="0" borderId="0" xfId="0" applyNumberFormat="1" applyFont="1" applyBorder="1" applyAlignment="1">
      <alignment vertical="center"/>
    </xf>
    <xf numFmtId="10" fontId="0" fillId="0" borderId="0" xfId="0" applyNumberForma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0" fillId="0" borderId="0" xfId="0" applyNumberFormat="1" applyFont="1" applyBorder="1" applyAlignment="1">
      <alignment vertical="center" wrapText="1"/>
    </xf>
    <xf numFmtId="177" fontId="0" fillId="4" borderId="0" xfId="0" applyNumberFormat="1" applyFill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7" fontId="3" fillId="0" borderId="0" xfId="0" applyNumberFormat="1" applyFont="1" applyBorder="1" applyAlignment="1">
      <alignment vertical="center" wrapText="1"/>
    </xf>
    <xf numFmtId="177" fontId="0" fillId="0" borderId="0" xfId="0" applyNumberFormat="1" applyFont="1" applyBorder="1" applyAlignment="1">
      <alignment vertical="center" wrapText="1"/>
    </xf>
    <xf numFmtId="177" fontId="0" fillId="0" borderId="0" xfId="0" applyNumberFormat="1" applyFill="1" applyAlignment="1">
      <alignment horizontal="center" vertical="center"/>
    </xf>
    <xf numFmtId="10" fontId="2" fillId="0" borderId="0" xfId="0" applyNumberFormat="1" applyFont="1" applyBorder="1" applyAlignment="1">
      <alignment vertical="center" wrapText="1"/>
    </xf>
    <xf numFmtId="176" fontId="0" fillId="0" borderId="0" xfId="0" applyNumberFormat="1" applyFill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7" fontId="0" fillId="0" borderId="0" xfId="0" applyNumberFormat="1" applyFont="1" applyFill="1" applyBorder="1" applyAlignment="1" applyProtection="1">
      <alignment vertical="center"/>
    </xf>
    <xf numFmtId="177" fontId="0" fillId="0" borderId="0" xfId="0" applyNumberFormat="1" applyFont="1" applyBorder="1" applyAlignment="1">
      <alignment vertical="center"/>
    </xf>
    <xf numFmtId="0" fontId="0" fillId="3" borderId="0" xfId="0" applyFill="1">
      <alignment vertical="center"/>
    </xf>
    <xf numFmtId="176" fontId="0" fillId="0" borderId="0" xfId="0" applyNumberFormat="1" applyBorder="1" applyAlignment="1">
      <alignment vertical="center"/>
    </xf>
    <xf numFmtId="177" fontId="0" fillId="0" borderId="0" xfId="0" applyNumberFormat="1" applyBorder="1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Fill="1">
      <alignment vertical="center"/>
    </xf>
    <xf numFmtId="0" fontId="0" fillId="0" borderId="13" xfId="0" applyBorder="1" applyAlignment="1">
      <alignment horizontal="center" vertical="center"/>
    </xf>
    <xf numFmtId="2" fontId="0" fillId="0" borderId="4" xfId="0" applyNumberFormat="1" applyFill="1" applyBorder="1" applyAlignment="1">
      <alignment horizontal="center" vertical="center"/>
    </xf>
    <xf numFmtId="2" fontId="0" fillId="0" borderId="5" xfId="0" applyNumberFormat="1" applyFill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9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10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9" fontId="0" fillId="3" borderId="18" xfId="0" applyNumberForma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77" fontId="0" fillId="3" borderId="19" xfId="0" applyNumberFormat="1" applyFill="1" applyBorder="1" applyAlignment="1">
      <alignment horizontal="center" vertical="center"/>
    </xf>
    <xf numFmtId="10" fontId="0" fillId="5" borderId="19" xfId="0" applyNumberFormat="1" applyFill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23" xfId="0" applyNumberFormat="1" applyBorder="1" applyAlignment="1">
      <alignment horizontal="center" vertical="center"/>
    </xf>
    <xf numFmtId="10" fontId="0" fillId="0" borderId="24" xfId="0" applyNumberFormat="1" applyBorder="1" applyAlignment="1">
      <alignment horizontal="center" vertical="center"/>
    </xf>
    <xf numFmtId="2" fontId="0" fillId="0" borderId="19" xfId="0" applyNumberForma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0" fontId="0" fillId="0" borderId="4" xfId="0" applyNumberFormat="1" applyFill="1" applyBorder="1" applyAlignment="1">
      <alignment horizontal="center" vertical="center"/>
    </xf>
    <xf numFmtId="10" fontId="0" fillId="0" borderId="6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0" fillId="0" borderId="7" xfId="0" applyNumberFormat="1" applyFill="1" applyBorder="1" applyAlignment="1">
      <alignment horizontal="center" vertical="center"/>
    </xf>
    <xf numFmtId="10" fontId="0" fillId="0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0" fontId="0" fillId="0" borderId="9" xfId="0" applyNumberFormat="1" applyFill="1" applyBorder="1" applyAlignment="1">
      <alignment horizontal="center" vertical="center"/>
    </xf>
    <xf numFmtId="10" fontId="0" fillId="0" borderId="11" xfId="0" applyNumberFormat="1" applyFill="1" applyBorder="1" applyAlignment="1">
      <alignment horizontal="center" vertical="center"/>
    </xf>
    <xf numFmtId="10" fontId="0" fillId="0" borderId="19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5" borderId="19" xfId="0" applyNumberForma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8" xfId="0" applyNumberFormat="1" applyFont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8" xfId="0" applyNumberFormat="1" applyFont="1" applyBorder="1" applyAlignment="1">
      <alignment horizontal="center" vertical="center" wrapText="1"/>
    </xf>
    <xf numFmtId="10" fontId="2" fillId="0" borderId="9" xfId="0" applyNumberFormat="1" applyFont="1" applyBorder="1" applyAlignment="1">
      <alignment horizontal="center" vertical="center"/>
    </xf>
    <xf numFmtId="10" fontId="2" fillId="0" borderId="11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7" fontId="3" fillId="0" borderId="7" xfId="0" applyNumberFormat="1" applyFont="1" applyBorder="1" applyAlignment="1">
      <alignment horizontal="center" vertical="center" wrapText="1"/>
    </xf>
    <xf numFmtId="177" fontId="3" fillId="0" borderId="8" xfId="0" applyNumberFormat="1" applyFont="1" applyBorder="1" applyAlignment="1">
      <alignment horizontal="center" vertical="center" wrapText="1"/>
    </xf>
    <xf numFmtId="177" fontId="0" fillId="0" borderId="8" xfId="0" applyNumberFormat="1" applyFont="1" applyBorder="1" applyAlignment="1">
      <alignment horizontal="center" vertical="center" wrapText="1"/>
    </xf>
    <xf numFmtId="0" fontId="0" fillId="0" borderId="25" xfId="0" applyFont="1" applyBorder="1">
      <alignment vertical="center"/>
    </xf>
    <xf numFmtId="0" fontId="0" fillId="0" borderId="0" xfId="0" applyFill="1" applyAlignment="1">
      <alignment vertical="center"/>
    </xf>
    <xf numFmtId="177" fontId="0" fillId="0" borderId="7" xfId="0" applyNumberFormat="1" applyFont="1" applyFill="1" applyBorder="1" applyAlignment="1" applyProtection="1">
      <alignment horizontal="center" vertical="center"/>
    </xf>
    <xf numFmtId="177" fontId="0" fillId="0" borderId="8" xfId="0" applyNumberFormat="1" applyFont="1" applyBorder="1" applyAlignment="1">
      <alignment horizontal="center" vertical="center"/>
    </xf>
    <xf numFmtId="177" fontId="0" fillId="0" borderId="7" xfId="0" applyNumberFormat="1" applyFon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0" fontId="0" fillId="0" borderId="17" xfId="0" applyBorder="1">
      <alignment vertical="center"/>
    </xf>
    <xf numFmtId="177" fontId="0" fillId="0" borderId="9" xfId="0" applyNumberFormat="1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numFmt numFmtId="10" formatCode="0.00%"/>
    </dxf>
    <dxf>
      <font>
        <color rgb="FF00B050"/>
      </font>
      <numFmt numFmtId="10" formatCode="0.00%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167"/>
  <sheetViews>
    <sheetView workbookViewId="0">
      <selection activeCell="C45" sqref="C45:D49"/>
    </sheetView>
  </sheetViews>
  <sheetFormatPr defaultColWidth="9" defaultRowHeight="13.5"/>
  <cols>
    <col min="2" max="2" width="15.875" customWidth="1"/>
    <col min="3" max="3" width="14.25" customWidth="1"/>
    <col min="4" max="4" width="12" customWidth="1"/>
    <col min="5" max="5" width="37" customWidth="1"/>
    <col min="7" max="7" width="10.5" customWidth="1"/>
    <col min="8" max="8" width="12.625" style="32"/>
    <col min="9" max="9" width="9" style="31"/>
    <col min="10" max="10" width="9.375" style="31"/>
    <col min="17" max="18" width="11.5"/>
    <col min="19" max="19" width="10.375"/>
    <col min="20" max="20" width="12.875" style="31" customWidth="1"/>
    <col min="21" max="21" width="13.125" style="36" customWidth="1"/>
    <col min="22" max="22" width="13.125" customWidth="1"/>
    <col min="23" max="23" width="12.25" style="32" customWidth="1"/>
    <col min="24" max="24" width="9.75" style="31" customWidth="1"/>
    <col min="25" max="25" width="10.5" style="32" customWidth="1"/>
    <col min="26" max="26" width="9.375" style="31"/>
    <col min="27" max="27" width="9.375" style="32"/>
    <col min="28" max="28" width="9" style="31"/>
    <col min="29" max="29" width="12.625" style="32"/>
    <col min="30" max="30" width="9.375" style="31"/>
    <col min="31" max="31" width="10.375" style="32"/>
    <col min="32" max="32" width="9.375" style="32"/>
    <col min="33" max="34" width="9" style="32"/>
    <col min="41" max="41" width="9" style="31"/>
    <col min="43" max="43" width="9" style="31"/>
    <col min="56" max="56" width="9" style="31"/>
    <col min="58" max="58" width="9" style="31"/>
    <col min="71" max="71" width="9" style="31"/>
    <col min="73" max="73" width="9" style="31"/>
    <col min="77" max="79" width="10.375"/>
    <col min="86" max="86" width="9" style="31"/>
    <col min="88" max="88" width="9" style="31"/>
    <col min="101" max="101" width="9" style="31"/>
    <col min="103" max="103" width="9" style="31"/>
    <col min="115" max="115" width="9.375"/>
  </cols>
  <sheetData>
    <row r="1" ht="14.25" spans="1:24">
      <c r="M1" s="142" t="s">
        <v>0</v>
      </c>
      <c r="N1" s="143"/>
      <c r="O1" s="142" t="s">
        <v>1</v>
      </c>
      <c r="P1" s="143"/>
    </row>
    <row r="2" ht="14.25" spans="1:24">
      <c r="B2" s="37" t="s">
        <v>2</v>
      </c>
      <c r="C2" s="38" t="s">
        <v>3</v>
      </c>
      <c r="D2" s="39" t="s">
        <v>4</v>
      </c>
      <c r="E2" s="37" t="s">
        <v>5</v>
      </c>
      <c r="F2" s="40" t="s">
        <v>6</v>
      </c>
      <c r="G2" s="41" t="s">
        <v>7</v>
      </c>
      <c r="H2" s="42" t="s">
        <v>8</v>
      </c>
      <c r="I2" s="42" t="s">
        <v>9</v>
      </c>
      <c r="J2" s="46"/>
      <c r="K2" s="40"/>
      <c r="L2" s="144" t="s">
        <v>10</v>
      </c>
      <c r="M2" s="145"/>
      <c r="N2" s="146"/>
      <c r="O2" s="145"/>
      <c r="P2" s="147"/>
      <c r="Q2" s="148">
        <f>对比工具!C35/C35-1</f>
        <v>0</v>
      </c>
      <c r="R2" s="149"/>
    </row>
    <row r="3" spans="1:24">
      <c r="E3" s="37">
        <v>150.7</v>
      </c>
      <c r="F3" s="46">
        <f>VLOOKUP($F$7,目标属性!$A:$R,3,FALSE)+IF(I3="√",5%,0)+IF(I5="火",1.5%,0)+IF(I5="毒",1%,0)+E18</f>
        <v>0.303</v>
      </c>
      <c r="G3" s="42">
        <v>0</v>
      </c>
      <c r="H3" s="47" t="s">
        <v>11</v>
      </c>
      <c r="I3" s="47" t="s">
        <v>11</v>
      </c>
      <c r="J3" s="48"/>
      <c r="K3" s="48"/>
      <c r="L3" s="150" t="s">
        <v>12</v>
      </c>
      <c r="M3" s="151"/>
      <c r="N3" s="152"/>
      <c r="O3" s="151"/>
      <c r="P3" s="153"/>
      <c r="Q3" s="154"/>
      <c r="R3" s="155"/>
      <c r="S3" s="30"/>
    </row>
    <row r="4" ht="14.25" spans="1:24">
      <c r="B4" s="49" t="s">
        <v>13</v>
      </c>
      <c r="C4" s="49" t="s">
        <v>14</v>
      </c>
      <c r="D4" s="49" t="s">
        <v>15</v>
      </c>
      <c r="E4" s="50" t="s">
        <v>16</v>
      </c>
      <c r="G4" s="49" t="s">
        <v>17</v>
      </c>
      <c r="H4" s="41" t="s">
        <v>18</v>
      </c>
      <c r="I4" s="49" t="s">
        <v>19</v>
      </c>
      <c r="J4" s="40" t="s">
        <v>20</v>
      </c>
      <c r="L4" s="150" t="s">
        <v>21</v>
      </c>
      <c r="M4" s="156"/>
      <c r="N4" s="157"/>
      <c r="O4" s="156"/>
      <c r="P4" s="158"/>
      <c r="Q4" s="159"/>
      <c r="R4" s="160"/>
      <c r="S4" s="30"/>
    </row>
    <row r="5" spans="1:24">
      <c r="B5" s="49">
        <v>3238</v>
      </c>
      <c r="C5" s="49">
        <v>2606.6</v>
      </c>
      <c r="D5" s="49">
        <v>63.5</v>
      </c>
      <c r="E5" s="53">
        <v>0</v>
      </c>
      <c r="G5" s="49" t="s">
        <v>22</v>
      </c>
      <c r="H5" s="47" t="s">
        <v>23</v>
      </c>
      <c r="I5" s="47" t="s">
        <v>24</v>
      </c>
      <c r="J5" s="47" t="s">
        <v>11</v>
      </c>
      <c r="L5" s="161" t="s">
        <v>25</v>
      </c>
      <c r="M5" s="156"/>
      <c r="N5" s="157"/>
      <c r="O5" s="156"/>
      <c r="P5" s="158"/>
      <c r="Q5" s="162" t="s">
        <v>26</v>
      </c>
      <c r="R5" s="163"/>
    </row>
    <row r="6" spans="1:24">
      <c r="B6" s="49" t="s">
        <v>27</v>
      </c>
      <c r="C6" s="49" t="s">
        <v>28</v>
      </c>
      <c r="D6" s="49" t="s">
        <v>29</v>
      </c>
      <c r="E6" s="50" t="s">
        <v>30</v>
      </c>
      <c r="F6" s="49" t="s">
        <v>31</v>
      </c>
      <c r="L6" s="161" t="s">
        <v>32</v>
      </c>
      <c r="M6" s="156"/>
      <c r="N6" s="157"/>
      <c r="O6" s="156"/>
      <c r="P6" s="158"/>
      <c r="Q6" s="164">
        <v>756.4</v>
      </c>
      <c r="R6" s="165"/>
    </row>
    <row r="7" ht="14.25" spans="1:24">
      <c r="B7" s="49"/>
      <c r="C7" s="49"/>
      <c r="D7" s="49"/>
      <c r="E7" s="53">
        <v>0</v>
      </c>
      <c r="F7" s="49" t="s">
        <v>33</v>
      </c>
      <c r="G7" s="39" t="s">
        <v>34</v>
      </c>
      <c r="L7" s="161" t="s">
        <v>35</v>
      </c>
      <c r="M7" s="156"/>
      <c r="N7" s="157"/>
      <c r="O7" s="156"/>
      <c r="P7" s="158"/>
      <c r="Q7" s="166"/>
      <c r="R7" s="167"/>
    </row>
    <row r="8" spans="1:24">
      <c r="B8" s="49" t="s">
        <v>36</v>
      </c>
      <c r="C8" s="49" t="s">
        <v>37</v>
      </c>
      <c r="D8" s="49" t="s">
        <v>38</v>
      </c>
      <c r="E8" s="50" t="s">
        <v>39</v>
      </c>
      <c r="F8" s="40" t="s">
        <v>40</v>
      </c>
      <c r="G8" s="55" t="s">
        <v>41</v>
      </c>
      <c r="H8" s="56"/>
      <c r="I8" s="56"/>
      <c r="J8" s="57"/>
      <c r="K8" s="58"/>
      <c r="L8" s="161" t="s">
        <v>42</v>
      </c>
      <c r="M8" s="156"/>
      <c r="N8" s="157"/>
      <c r="O8" s="156"/>
      <c r="P8" s="158"/>
      <c r="Q8" s="168"/>
      <c r="R8" s="168"/>
      <c r="S8" s="58"/>
      <c r="T8" s="58"/>
      <c r="U8" s="58"/>
      <c r="V8" s="58"/>
      <c r="W8" s="58"/>
      <c r="X8" s="58"/>
    </row>
    <row r="9" spans="1:24">
      <c r="B9" s="49"/>
      <c r="C9" s="49"/>
      <c r="D9" s="49"/>
      <c r="E9" s="53">
        <v>0</v>
      </c>
      <c r="F9" s="40">
        <f>VLOOKUP($F$7,目标属性!$A:$R,2,FALSE)</f>
        <v>559</v>
      </c>
      <c r="G9" s="60"/>
      <c r="H9" s="61"/>
      <c r="I9" s="61"/>
      <c r="J9" s="62"/>
      <c r="K9" s="58"/>
      <c r="L9" s="161" t="s">
        <v>43</v>
      </c>
      <c r="M9" s="169"/>
      <c r="N9" s="170"/>
      <c r="O9" s="169"/>
      <c r="P9" s="171"/>
      <c r="Q9" s="168"/>
      <c r="R9" s="168"/>
      <c r="S9" s="58"/>
      <c r="T9" s="58"/>
      <c r="U9" s="58"/>
      <c r="V9" s="58"/>
      <c r="W9" s="58"/>
      <c r="X9" s="58"/>
    </row>
    <row r="10" spans="1:24">
      <c r="B10" s="49" t="s">
        <v>44</v>
      </c>
      <c r="C10" s="49" t="s">
        <v>45</v>
      </c>
      <c r="D10" s="49" t="s">
        <v>46</v>
      </c>
      <c r="E10" s="50" t="s">
        <v>47</v>
      </c>
      <c r="F10" t="s">
        <v>48</v>
      </c>
      <c r="G10" s="60"/>
      <c r="H10" s="61"/>
      <c r="I10" s="61"/>
      <c r="J10" s="62"/>
      <c r="K10" s="58"/>
      <c r="L10" s="161" t="s">
        <v>49</v>
      </c>
      <c r="M10" s="169"/>
      <c r="N10" s="170"/>
      <c r="O10" s="169"/>
      <c r="P10" s="171"/>
      <c r="Q10" s="67"/>
      <c r="R10" s="67"/>
      <c r="S10" s="58"/>
      <c r="T10" s="58"/>
      <c r="U10" s="58"/>
      <c r="V10" s="58"/>
      <c r="W10" s="58"/>
      <c r="X10" s="58"/>
    </row>
    <row r="11" spans="1:24">
      <c r="B11" s="49">
        <v>490.8</v>
      </c>
      <c r="C11" s="49">
        <v>1221.8</v>
      </c>
      <c r="D11" s="50">
        <f>IF(B11&gt;=441,29.6,29)</f>
        <v>29.6</v>
      </c>
      <c r="E11" s="53">
        <f>IF(B11&gt;=441,14.8%,14.5%)</f>
        <v>0.148</v>
      </c>
      <c r="F11" s="37">
        <v>2.15</v>
      </c>
      <c r="G11" s="60"/>
      <c r="H11" s="61"/>
      <c r="I11" s="61"/>
      <c r="J11" s="62"/>
      <c r="K11" s="58"/>
      <c r="L11" s="161" t="s">
        <v>50</v>
      </c>
      <c r="M11" s="169"/>
      <c r="N11" s="170"/>
      <c r="O11" s="169"/>
      <c r="P11" s="171"/>
      <c r="Q11" s="67"/>
      <c r="R11" s="67"/>
      <c r="S11" s="58"/>
      <c r="T11" s="58"/>
      <c r="U11" s="58"/>
      <c r="V11" s="58"/>
      <c r="W11" s="58"/>
      <c r="X11" s="58"/>
    </row>
    <row r="12" spans="1:24">
      <c r="B12" s="49" t="s">
        <v>51</v>
      </c>
      <c r="C12" s="49" t="s">
        <v>52</v>
      </c>
      <c r="D12" s="49" t="s">
        <v>53</v>
      </c>
      <c r="E12" s="50" t="s">
        <v>54</v>
      </c>
      <c r="G12" s="60"/>
      <c r="H12" s="61"/>
      <c r="I12" s="61"/>
      <c r="J12" s="62"/>
      <c r="K12" s="58"/>
      <c r="L12" s="161" t="s">
        <v>55</v>
      </c>
      <c r="M12" s="156"/>
      <c r="N12" s="157"/>
      <c r="O12" s="156"/>
      <c r="P12" s="157"/>
      <c r="Q12" s="67"/>
      <c r="R12" s="67"/>
      <c r="S12" s="58"/>
      <c r="T12" s="58"/>
      <c r="U12" s="58"/>
      <c r="V12" s="58"/>
      <c r="W12" s="58"/>
      <c r="X12" s="58"/>
    </row>
    <row r="13" ht="14.25" spans="1:24">
      <c r="B13" s="49"/>
      <c r="C13" s="49"/>
      <c r="D13" s="49"/>
      <c r="E13" s="53">
        <v>0</v>
      </c>
      <c r="G13" s="69"/>
      <c r="H13" s="70"/>
      <c r="I13" s="70"/>
      <c r="J13" s="71"/>
      <c r="K13" s="58"/>
      <c r="L13" s="161" t="s">
        <v>56</v>
      </c>
      <c r="M13" s="156"/>
      <c r="N13" s="157"/>
      <c r="O13" s="156"/>
      <c r="P13" s="157"/>
      <c r="Q13" s="67"/>
      <c r="R13" s="67"/>
      <c r="S13" s="58"/>
      <c r="T13" s="58"/>
      <c r="U13" s="58"/>
      <c r="V13" s="58"/>
      <c r="W13" s="58"/>
      <c r="X13" s="58"/>
    </row>
    <row r="14" spans="1:24">
      <c r="A14" s="72"/>
      <c r="B14" s="49" t="s">
        <v>57</v>
      </c>
      <c r="C14" s="74" t="s">
        <v>58</v>
      </c>
      <c r="D14" s="49" t="s">
        <v>59</v>
      </c>
      <c r="E14" s="73" t="s">
        <v>60</v>
      </c>
      <c r="G14" s="37" t="s">
        <v>61</v>
      </c>
      <c r="I14" s="58"/>
      <c r="J14" s="58"/>
      <c r="K14" s="58"/>
      <c r="L14" s="161" t="s">
        <v>62</v>
      </c>
      <c r="M14" s="156"/>
      <c r="N14" s="157"/>
      <c r="O14" s="156"/>
      <c r="P14" s="157"/>
      <c r="Q14" s="67"/>
      <c r="R14" s="67"/>
      <c r="S14" s="58"/>
      <c r="T14" s="58"/>
      <c r="U14" s="58"/>
      <c r="V14" s="58"/>
      <c r="W14" s="58"/>
      <c r="X14" s="58"/>
    </row>
    <row r="15" spans="1:24">
      <c r="A15" s="72"/>
      <c r="B15" s="49">
        <v>66</v>
      </c>
      <c r="C15" s="49">
        <f>66+59.8*2</f>
        <v>185.6</v>
      </c>
      <c r="D15" s="49"/>
      <c r="E15" s="73">
        <v>0.3</v>
      </c>
      <c r="G15" s="47">
        <v>0.5</v>
      </c>
      <c r="H15" s="32" t="s">
        <v>63</v>
      </c>
      <c r="I15" s="58"/>
      <c r="J15" s="58"/>
      <c r="K15" s="58"/>
      <c r="L15" s="172" t="s">
        <v>64</v>
      </c>
      <c r="M15" s="151"/>
      <c r="N15" s="152"/>
      <c r="O15" s="151"/>
      <c r="P15" s="152"/>
      <c r="Q15" s="67"/>
      <c r="R15" s="67"/>
      <c r="S15" s="58"/>
      <c r="T15" s="58"/>
      <c r="U15" s="58"/>
      <c r="V15" s="58"/>
      <c r="W15" s="58"/>
      <c r="X15" s="58"/>
    </row>
    <row r="16" spans="1:24">
      <c r="A16" s="72" t="s">
        <v>65</v>
      </c>
      <c r="B16" s="49" t="s">
        <v>66</v>
      </c>
      <c r="C16" s="42">
        <v>1.0086</v>
      </c>
      <c r="D16" s="50" t="s">
        <v>67</v>
      </c>
      <c r="E16" s="73">
        <f>54.4%+IF(G5="时雨",10%,0)+IF(F19="√",10%,0)</f>
        <v>0.644</v>
      </c>
      <c r="I16" s="58"/>
      <c r="J16" s="58"/>
      <c r="K16" s="58"/>
      <c r="L16" s="172" t="s">
        <v>68</v>
      </c>
      <c r="M16" s="151"/>
      <c r="N16" s="152"/>
      <c r="O16" s="151"/>
      <c r="P16" s="152"/>
      <c r="Q16" s="67"/>
      <c r="R16" s="67"/>
      <c r="S16" s="58"/>
      <c r="T16" s="58"/>
      <c r="U16" s="58"/>
      <c r="V16" s="58"/>
      <c r="W16" s="58"/>
      <c r="X16" s="58"/>
    </row>
    <row r="17" spans="1:121">
      <c r="A17" s="72"/>
      <c r="B17" s="49" t="s">
        <v>69</v>
      </c>
      <c r="C17" s="42">
        <v>0.7833</v>
      </c>
      <c r="D17" s="50" t="s">
        <v>70</v>
      </c>
      <c r="E17" s="73">
        <f>35%</f>
        <v>0.35</v>
      </c>
      <c r="I17" s="58"/>
      <c r="J17" s="58"/>
      <c r="K17" s="58"/>
      <c r="L17" s="172" t="s">
        <v>71</v>
      </c>
      <c r="M17" s="151"/>
      <c r="N17" s="152"/>
      <c r="O17" s="151"/>
      <c r="P17" s="152"/>
      <c r="Q17" s="67"/>
      <c r="R17" s="67"/>
      <c r="S17" s="58"/>
      <c r="T17" s="58"/>
      <c r="U17" s="58"/>
      <c r="V17" s="58"/>
      <c r="W17" s="58"/>
      <c r="X17" s="58"/>
    </row>
    <row r="18" spans="1:121">
      <c r="A18" s="72"/>
      <c r="B18" s="49" t="s">
        <v>72</v>
      </c>
      <c r="C18" s="42">
        <v>0.0986</v>
      </c>
      <c r="D18" s="49" t="s">
        <v>73</v>
      </c>
      <c r="E18" s="74">
        <v>0.088</v>
      </c>
      <c r="F18" s="37" t="s">
        <v>74</v>
      </c>
      <c r="G18" s="75" t="s">
        <v>75</v>
      </c>
      <c r="I18" s="58"/>
      <c r="J18" s="58"/>
      <c r="K18" s="58"/>
      <c r="L18" s="172" t="s">
        <v>76</v>
      </c>
      <c r="M18" s="151"/>
      <c r="N18" s="152"/>
      <c r="O18" s="151"/>
      <c r="P18" s="152"/>
      <c r="Q18" s="67"/>
      <c r="R18" s="67"/>
      <c r="S18" s="58"/>
      <c r="T18" s="58"/>
      <c r="U18" s="58"/>
      <c r="V18" s="58"/>
      <c r="W18" s="58"/>
      <c r="X18" s="58"/>
    </row>
    <row r="19" spans="1:121">
      <c r="B19" s="49" t="s">
        <v>77</v>
      </c>
      <c r="C19" s="74">
        <v>0.087</v>
      </c>
      <c r="D19" s="173"/>
      <c r="E19" s="173"/>
      <c r="F19" s="48" t="s">
        <v>11</v>
      </c>
      <c r="G19" s="48" t="s">
        <v>23</v>
      </c>
      <c r="L19" s="172" t="s">
        <v>78</v>
      </c>
      <c r="M19" s="151"/>
      <c r="N19" s="152"/>
      <c r="O19" s="151"/>
      <c r="P19" s="152"/>
    </row>
    <row r="20" spans="1:121">
      <c r="B20" s="49" t="s">
        <v>79</v>
      </c>
      <c r="C20" s="74">
        <v>0</v>
      </c>
      <c r="F20" s="37" t="s">
        <v>80</v>
      </c>
      <c r="G20" s="37" t="s">
        <v>81</v>
      </c>
      <c r="L20" s="150" t="s">
        <v>82</v>
      </c>
      <c r="M20" s="174"/>
      <c r="N20" s="175"/>
      <c r="O20" s="176"/>
      <c r="P20" s="175"/>
    </row>
    <row r="21" spans="1:121">
      <c r="B21" s="49" t="s">
        <v>83</v>
      </c>
      <c r="C21" s="49"/>
      <c r="F21" s="48" t="s">
        <v>11</v>
      </c>
      <c r="G21" s="37">
        <v>8</v>
      </c>
      <c r="L21" s="150" t="s">
        <v>84</v>
      </c>
      <c r="M21" s="176"/>
      <c r="N21" s="175"/>
      <c r="O21" s="176"/>
      <c r="P21" s="175"/>
    </row>
    <row r="22" spans="1:121">
      <c r="B22" s="78" t="s">
        <v>85</v>
      </c>
      <c r="C22" s="74">
        <v>0.086</v>
      </c>
      <c r="L22" s="150" t="s">
        <v>86</v>
      </c>
      <c r="M22" s="176"/>
      <c r="N22" s="175"/>
      <c r="O22" s="176"/>
      <c r="P22" s="175"/>
    </row>
    <row r="23" spans="1:121">
      <c r="B23" s="78" t="s">
        <v>87</v>
      </c>
      <c r="C23" s="74">
        <v>0</v>
      </c>
      <c r="D23" s="49" t="s">
        <v>88</v>
      </c>
      <c r="E23" s="74">
        <v>0.32</v>
      </c>
      <c r="L23" s="150" t="s">
        <v>15</v>
      </c>
      <c r="M23" s="11"/>
      <c r="N23" s="177"/>
      <c r="O23" s="11"/>
      <c r="P23" s="177"/>
    </row>
    <row r="24" spans="1:121">
      <c r="B24" s="78" t="s">
        <v>89</v>
      </c>
      <c r="C24" s="74">
        <v>0.084</v>
      </c>
      <c r="E24" s="30"/>
      <c r="L24" s="150" t="s">
        <v>90</v>
      </c>
      <c r="M24" s="178"/>
      <c r="N24" s="179"/>
      <c r="O24" s="178"/>
      <c r="P24" s="179"/>
    </row>
    <row r="25" spans="1:121">
      <c r="B25" s="81" t="s">
        <v>90</v>
      </c>
      <c r="C25" s="74">
        <v>0</v>
      </c>
      <c r="E25" s="30"/>
      <c r="L25" s="150" t="s">
        <v>91</v>
      </c>
      <c r="M25" s="178"/>
      <c r="N25" s="179"/>
      <c r="O25" s="178"/>
      <c r="P25" s="179"/>
    </row>
    <row r="26" ht="14.25" spans="1:121">
      <c r="B26" s="81" t="s">
        <v>91</v>
      </c>
      <c r="C26" s="74">
        <v>0</v>
      </c>
      <c r="E26" s="30"/>
      <c r="L26" s="180" t="s">
        <v>88</v>
      </c>
      <c r="M26" s="181"/>
      <c r="N26" s="182"/>
      <c r="O26" s="181"/>
      <c r="P26" s="182"/>
    </row>
    <row r="27" ht="14.25" spans="1:121">
      <c r="B27" s="82" t="s">
        <v>92</v>
      </c>
      <c r="C27" s="66">
        <v>0</v>
      </c>
      <c r="E27" s="30"/>
    </row>
    <row r="28" ht="14.25" spans="1:121">
      <c r="B28" s="83" t="s">
        <v>93</v>
      </c>
      <c r="C28" s="84">
        <v>76</v>
      </c>
      <c r="D28" s="85"/>
      <c r="E28" s="86" t="s">
        <v>94</v>
      </c>
      <c r="F28" s="87"/>
      <c r="G28" s="87"/>
      <c r="H28" s="87"/>
      <c r="I28" s="87"/>
      <c r="J28" s="87"/>
      <c r="K28" s="88"/>
      <c r="L28" s="89"/>
      <c r="M28" s="90"/>
      <c r="N28" s="91"/>
      <c r="O28" s="90"/>
      <c r="P28" s="91"/>
      <c r="Q28" s="92" t="s">
        <v>95</v>
      </c>
      <c r="R28" s="93"/>
      <c r="S28" s="93"/>
      <c r="T28" s="93"/>
      <c r="U28" s="93"/>
      <c r="V28" s="93"/>
      <c r="W28" s="94"/>
      <c r="X28" s="95"/>
      <c r="Y28" s="94"/>
      <c r="Z28" s="95"/>
      <c r="AA28" s="94"/>
      <c r="AB28" s="95"/>
      <c r="AC28" s="94"/>
      <c r="AD28" s="95"/>
      <c r="AE28" s="96"/>
      <c r="AF28" s="97" t="s">
        <v>96</v>
      </c>
      <c r="AG28" s="94"/>
      <c r="AH28" s="94"/>
      <c r="AI28" s="93"/>
      <c r="AJ28" s="93"/>
      <c r="AK28" s="93"/>
      <c r="AL28" s="94"/>
      <c r="AM28" s="95"/>
      <c r="AN28" s="94"/>
      <c r="AO28" s="95"/>
      <c r="AP28" s="94"/>
      <c r="AQ28" s="95"/>
      <c r="AR28" s="94"/>
      <c r="AS28" s="95"/>
      <c r="AT28" s="96"/>
      <c r="AU28" s="92" t="s">
        <v>97</v>
      </c>
      <c r="AV28" s="93"/>
      <c r="AW28" s="93"/>
      <c r="AX28" s="93"/>
      <c r="AY28" s="93"/>
      <c r="AZ28" s="93"/>
      <c r="BA28" s="94"/>
      <c r="BB28" s="95"/>
      <c r="BC28" s="94"/>
      <c r="BD28" s="95"/>
      <c r="BE28" s="94"/>
      <c r="BF28" s="95"/>
      <c r="BG28" s="94"/>
      <c r="BH28" s="95"/>
      <c r="BI28" s="96"/>
      <c r="BJ28" s="92" t="s">
        <v>98</v>
      </c>
      <c r="BK28" s="93"/>
      <c r="BL28" s="93"/>
      <c r="BM28" s="93"/>
      <c r="BN28" s="93"/>
      <c r="BO28" s="93"/>
      <c r="BP28" s="94"/>
      <c r="BQ28" s="95"/>
      <c r="BR28" s="94"/>
      <c r="BS28" s="95"/>
      <c r="BT28" s="94"/>
      <c r="BU28" s="95"/>
      <c r="BV28" s="94"/>
      <c r="BW28" s="95"/>
      <c r="BX28" s="96"/>
      <c r="BY28" s="92" t="s">
        <v>3</v>
      </c>
      <c r="BZ28" s="93"/>
      <c r="CA28" s="93"/>
      <c r="CB28" s="93"/>
      <c r="CC28" s="93"/>
      <c r="CD28" s="93"/>
      <c r="CE28" s="94"/>
      <c r="CF28" s="95"/>
      <c r="CG28" s="94"/>
      <c r="CH28" s="95"/>
      <c r="CI28" s="94"/>
      <c r="CJ28" s="95"/>
      <c r="CK28" s="94"/>
      <c r="CL28" s="95"/>
      <c r="CM28" s="96"/>
      <c r="CN28" s="92" t="s">
        <v>99</v>
      </c>
      <c r="CO28" s="93"/>
      <c r="CP28" s="93"/>
      <c r="CQ28" s="93"/>
      <c r="CR28" s="93"/>
      <c r="CS28" s="93"/>
      <c r="CT28" s="94"/>
      <c r="CU28" s="95"/>
      <c r="CV28" s="94"/>
      <c r="CW28" s="95"/>
      <c r="CX28" s="94"/>
      <c r="CY28" s="95"/>
      <c r="CZ28" s="94"/>
      <c r="DA28" s="95"/>
      <c r="DB28" s="96"/>
      <c r="DC28" s="92" t="s">
        <v>100</v>
      </c>
      <c r="DD28" s="93"/>
      <c r="DE28" s="93"/>
      <c r="DF28" s="93"/>
      <c r="DG28" s="93"/>
      <c r="DH28" s="93"/>
      <c r="DI28" s="94"/>
      <c r="DJ28" s="95"/>
      <c r="DK28" s="94"/>
      <c r="DL28" s="95"/>
      <c r="DM28" s="94"/>
      <c r="DN28" s="95"/>
      <c r="DO28" s="94"/>
      <c r="DP28" s="95"/>
      <c r="DQ28" s="96"/>
    </row>
    <row r="29" ht="14.25" spans="1:121">
      <c r="B29" s="98"/>
      <c r="C29" s="99"/>
      <c r="D29" s="100"/>
      <c r="E29" s="101"/>
      <c r="F29" s="102" t="s">
        <v>101</v>
      </c>
      <c r="G29" s="102" t="s">
        <v>102</v>
      </c>
      <c r="H29" s="103" t="s">
        <v>103</v>
      </c>
      <c r="I29" s="104" t="s">
        <v>104</v>
      </c>
      <c r="J29" s="104" t="s">
        <v>105</v>
      </c>
      <c r="K29" s="105" t="s">
        <v>106</v>
      </c>
      <c r="L29" s="106" t="s">
        <v>107</v>
      </c>
      <c r="M29" s="107" t="s">
        <v>108</v>
      </c>
      <c r="N29" s="7" t="s">
        <v>109</v>
      </c>
      <c r="O29" s="108" t="s">
        <v>110</v>
      </c>
      <c r="P29" s="109" t="s">
        <v>111</v>
      </c>
      <c r="Q29" s="110" t="s">
        <v>112</v>
      </c>
      <c r="R29" s="102" t="s">
        <v>113</v>
      </c>
      <c r="S29" s="102" t="s">
        <v>114</v>
      </c>
      <c r="T29" s="104" t="s">
        <v>115</v>
      </c>
      <c r="U29" s="111" t="s">
        <v>116</v>
      </c>
      <c r="V29" s="102" t="s">
        <v>117</v>
      </c>
      <c r="W29" s="103" t="s">
        <v>118</v>
      </c>
      <c r="X29" s="104" t="s">
        <v>119</v>
      </c>
      <c r="Y29" s="103" t="s">
        <v>120</v>
      </c>
      <c r="Z29" s="104" t="s">
        <v>121</v>
      </c>
      <c r="AA29" s="103" t="s">
        <v>122</v>
      </c>
      <c r="AB29" s="104" t="s">
        <v>123</v>
      </c>
      <c r="AC29" s="103" t="s">
        <v>124</v>
      </c>
      <c r="AD29" s="104" t="s">
        <v>125</v>
      </c>
      <c r="AE29" s="112" t="s">
        <v>126</v>
      </c>
      <c r="AF29" s="113" t="s">
        <v>112</v>
      </c>
      <c r="AG29" s="103" t="s">
        <v>113</v>
      </c>
      <c r="AH29" s="103" t="s">
        <v>114</v>
      </c>
      <c r="AI29" s="104" t="s">
        <v>115</v>
      </c>
      <c r="AJ29" s="111" t="s">
        <v>116</v>
      </c>
      <c r="AK29" s="102" t="s">
        <v>117</v>
      </c>
      <c r="AL29" s="103" t="s">
        <v>118</v>
      </c>
      <c r="AM29" s="104" t="s">
        <v>119</v>
      </c>
      <c r="AN29" s="103" t="s">
        <v>120</v>
      </c>
      <c r="AO29" s="104" t="s">
        <v>121</v>
      </c>
      <c r="AP29" s="103" t="s">
        <v>122</v>
      </c>
      <c r="AQ29" s="104" t="s">
        <v>123</v>
      </c>
      <c r="AR29" s="103" t="s">
        <v>124</v>
      </c>
      <c r="AS29" s="104" t="s">
        <v>125</v>
      </c>
      <c r="AT29" s="112" t="s">
        <v>126</v>
      </c>
      <c r="AU29" s="110" t="s">
        <v>112</v>
      </c>
      <c r="AV29" s="102" t="s">
        <v>113</v>
      </c>
      <c r="AW29" s="102" t="s">
        <v>114</v>
      </c>
      <c r="AX29" s="104" t="s">
        <v>115</v>
      </c>
      <c r="AY29" s="111" t="s">
        <v>116</v>
      </c>
      <c r="AZ29" s="102" t="s">
        <v>117</v>
      </c>
      <c r="BA29" s="103" t="s">
        <v>118</v>
      </c>
      <c r="BB29" s="104" t="s">
        <v>119</v>
      </c>
      <c r="BC29" s="103" t="s">
        <v>120</v>
      </c>
      <c r="BD29" s="104" t="s">
        <v>121</v>
      </c>
      <c r="BE29" s="103" t="s">
        <v>122</v>
      </c>
      <c r="BF29" s="104" t="s">
        <v>123</v>
      </c>
      <c r="BG29" s="103" t="s">
        <v>124</v>
      </c>
      <c r="BH29" s="104" t="s">
        <v>125</v>
      </c>
      <c r="BI29" s="112" t="s">
        <v>126</v>
      </c>
      <c r="BJ29" s="110" t="s">
        <v>112</v>
      </c>
      <c r="BK29" s="102" t="s">
        <v>113</v>
      </c>
      <c r="BL29" s="102" t="s">
        <v>114</v>
      </c>
      <c r="BM29" s="104" t="s">
        <v>115</v>
      </c>
      <c r="BN29" s="111" t="s">
        <v>116</v>
      </c>
      <c r="BO29" s="102" t="s">
        <v>117</v>
      </c>
      <c r="BP29" s="103" t="s">
        <v>118</v>
      </c>
      <c r="BQ29" s="104" t="s">
        <v>119</v>
      </c>
      <c r="BR29" s="103" t="s">
        <v>120</v>
      </c>
      <c r="BS29" s="104" t="s">
        <v>121</v>
      </c>
      <c r="BT29" s="103" t="s">
        <v>122</v>
      </c>
      <c r="BU29" s="104" t="s">
        <v>123</v>
      </c>
      <c r="BV29" s="103" t="s">
        <v>124</v>
      </c>
      <c r="BW29" s="104" t="s">
        <v>125</v>
      </c>
      <c r="BX29" s="112" t="s">
        <v>126</v>
      </c>
      <c r="BY29" s="110" t="s">
        <v>112</v>
      </c>
      <c r="BZ29" s="102" t="s">
        <v>113</v>
      </c>
      <c r="CA29" s="102" t="s">
        <v>114</v>
      </c>
      <c r="CB29" s="104" t="s">
        <v>115</v>
      </c>
      <c r="CC29" s="111" t="s">
        <v>116</v>
      </c>
      <c r="CD29" s="102" t="s">
        <v>117</v>
      </c>
      <c r="CE29" s="103" t="s">
        <v>118</v>
      </c>
      <c r="CF29" s="104" t="s">
        <v>119</v>
      </c>
      <c r="CG29" s="103" t="s">
        <v>120</v>
      </c>
      <c r="CH29" s="104" t="s">
        <v>121</v>
      </c>
      <c r="CI29" s="103" t="s">
        <v>122</v>
      </c>
      <c r="CJ29" s="104" t="s">
        <v>123</v>
      </c>
      <c r="CK29" s="103" t="s">
        <v>124</v>
      </c>
      <c r="CL29" s="104" t="s">
        <v>125</v>
      </c>
      <c r="CM29" s="112" t="s">
        <v>126</v>
      </c>
      <c r="CN29" s="110" t="s">
        <v>112</v>
      </c>
      <c r="CO29" s="102" t="s">
        <v>113</v>
      </c>
      <c r="CP29" s="102" t="s">
        <v>114</v>
      </c>
      <c r="CQ29" s="104" t="s">
        <v>115</v>
      </c>
      <c r="CR29" s="111" t="s">
        <v>116</v>
      </c>
      <c r="CS29" s="102" t="s">
        <v>117</v>
      </c>
      <c r="CT29" s="103" t="s">
        <v>118</v>
      </c>
      <c r="CU29" s="104" t="s">
        <v>119</v>
      </c>
      <c r="CV29" s="103" t="s">
        <v>120</v>
      </c>
      <c r="CW29" s="104" t="s">
        <v>121</v>
      </c>
      <c r="CX29" s="103" t="s">
        <v>122</v>
      </c>
      <c r="CY29" s="104" t="s">
        <v>123</v>
      </c>
      <c r="CZ29" s="103" t="s">
        <v>124</v>
      </c>
      <c r="DA29" s="104" t="s">
        <v>125</v>
      </c>
      <c r="DB29" s="112" t="s">
        <v>126</v>
      </c>
      <c r="DC29" s="110" t="s">
        <v>112</v>
      </c>
      <c r="DD29" s="102" t="s">
        <v>113</v>
      </c>
      <c r="DE29" s="102" t="s">
        <v>114</v>
      </c>
      <c r="DF29" s="104" t="s">
        <v>115</v>
      </c>
      <c r="DG29" s="111" t="s">
        <v>116</v>
      </c>
      <c r="DH29" s="102" t="s">
        <v>117</v>
      </c>
      <c r="DI29" s="103" t="s">
        <v>118</v>
      </c>
      <c r="DJ29" s="104" t="s">
        <v>119</v>
      </c>
      <c r="DK29" s="103" t="s">
        <v>120</v>
      </c>
      <c r="DL29" s="104" t="s">
        <v>121</v>
      </c>
      <c r="DM29" s="103" t="s">
        <v>122</v>
      </c>
      <c r="DN29" s="104" t="s">
        <v>123</v>
      </c>
      <c r="DO29" s="103" t="s">
        <v>124</v>
      </c>
      <c r="DP29" s="104" t="s">
        <v>125</v>
      </c>
      <c r="DQ29" s="112" t="s">
        <v>126</v>
      </c>
    </row>
    <row r="30" spans="1:121">
      <c r="B30" s="83" t="s">
        <v>127</v>
      </c>
      <c r="C30" s="20">
        <f>SUM(H30:H103)</f>
        <v>8676792.75964847</v>
      </c>
      <c r="D30" s="114"/>
      <c r="E30" s="115" t="s">
        <v>128</v>
      </c>
      <c r="F30" s="116">
        <v>1</v>
      </c>
      <c r="G30" s="117"/>
      <c r="H30" s="103">
        <f>IF(VLOOKUP($E30,武器奇术!$A:$R,18,FALSE)="天工",AE30,(AE30+AT30+BI30+BX30+CM30+DB30+DQ30))*(1+J30)*F30*K30*(1+G30)</f>
        <v>49906.2682944346</v>
      </c>
      <c r="I30" s="104">
        <f t="shared" ref="I30:I32" si="0">H30/$C$30</f>
        <v>0.00575169531840432</v>
      </c>
      <c r="J30" s="118">
        <f>$F$3+VLOOKUP($E30,武器奇术!$A:$R,12,FALSE)+VLOOKUP($E30,武器奇术!$A:$R,14,FALSE)*$G$3+$P30+IF($F$21="√",5%,0)</f>
        <v>0.523</v>
      </c>
      <c r="K30" s="105">
        <f>VLOOKUP($E30,武器奇术!$A:$R,11,FALSE)</f>
        <v>1</v>
      </c>
      <c r="L30" s="119">
        <f>IF(VLOOKUP($E30,武器奇术!$A:$R,15,FALSE)="天工",0%,IF($C$17+VLOOKUP($E30,武器奇术!$A:$R,7,FALSE)&gt;80%,80%,$C$17+VLOOKUP($E30,武器奇术!$A:$R,7,FALSE))+IF($C$19&gt;20%,20%,$C$19))</f>
        <v>0.8703</v>
      </c>
      <c r="M30" s="120">
        <f>IF(VLOOKUP($E30,武器奇术!$A:$R,15,FALSE)="天工",0%,IF($C$18+VLOOKUP($E30,武器奇术!$A:$R,9,FALSE)&gt;40%,40%,$C$18+VLOOKUP($E30,武器奇术!$A:$R,9,FALSE))+IF($C$20&gt;10%,10%,$C$20))</f>
        <v>0.0986</v>
      </c>
      <c r="N30" s="121">
        <f>IF(VLOOKUP($E30,武器奇术!$A:$R,15,FALSE)="天工",100%,MIN($C$16,1))</f>
        <v>1</v>
      </c>
      <c r="O30" s="122" t="str">
        <f>VLOOKUP($E30,武器奇术!$A:$R,16,FALSE)</f>
        <v>伞</v>
      </c>
      <c r="P30" s="123">
        <f>VLOOKUP($O30,$B$22:$C$27,2,FALSE)+IF(OR($O30="伞",$O30="扇"),$C$24,0)</f>
        <v>0.17</v>
      </c>
      <c r="Q30" s="110">
        <f>$B$5*(1+VLOOKUP($E30,武器奇术!$A:$R,5,FALSE))*(1+VLOOKUP($E30,武器奇术!$A:$S,19,FALSE)+IF($G$5="飞隼",0.1,0)+IF($G$5="撼天",0.05,0))-$F$9+IF($J$5="√",160,0)</f>
        <v>3081.85</v>
      </c>
      <c r="R30" s="102">
        <f>IF(VLOOKUP($E30,武器奇术!$A:$Z,18,FALSE)="叶龙",(S30-(Q30+S30)*0.5)*($G$15-0.5)*2+(Q30+S30)*0.5,(Q30+S30)*0.5)</f>
        <v>3161.85</v>
      </c>
      <c r="S30" s="102">
        <f>MAX($C$5,$B$5)*(1+VLOOKUP($E30,武器奇术!$A:$R,6,FALSE))*(1+VLOOKUP($E30,武器奇术!$A:$S,19,FALSE)+IF($G$5="飞隼",0.1,0)+IF($G$5="撼天",0.05,0))-$F$9+IF($J$5="√",320,0)</f>
        <v>3241.85</v>
      </c>
      <c r="T30" s="104">
        <f>IF(($D$5+VLOOKUP($E30,武器奇术!$A:$R,13,FALSE)+IF($I$3="√",10,0)-VLOOKUP($F$7,目标属性!$A:$R,5,FALSE))&gt;0,($D$5+VLOOKUP($E30,武器奇术!$A:$R,13,FALSE)+IF($I$3="√",10,0)-VLOOKUP($F$7,目标属性!$A:$R,5,FALSE))/200,($D$5+VLOOKUP($E30,武器奇术!$A:$R,13,FALSE)+IF($I$3="√",10,0)-VLOOKUP($F$7,目标属性!$A:$R,5,FALSE))/100)</f>
        <v>0.2925</v>
      </c>
      <c r="U30" s="111">
        <f>$E$5+IF($G$5="烟柳",IF(VLOOKUP($E30,武器奇术!$A:$T,20,FALSE)=1,0.1,0),0)</f>
        <v>0.1</v>
      </c>
      <c r="V30" s="102">
        <v>1</v>
      </c>
      <c r="W30" s="103">
        <f>Q30*VLOOKUP($E30,武器奇术!$A:$R,2,FALSE)*(1+T30)*(1+U30)*V30</f>
        <v>10251.6768696788</v>
      </c>
      <c r="X30" s="104">
        <f>(1-IF(VLOOKUP($E30,武器奇术!$A:$R,18,FALSE)="叶龙",1,$N30))*(1-$M30)</f>
        <v>0</v>
      </c>
      <c r="Y30" s="103">
        <f>R30*VLOOKUP($E30,武器奇术!$A:$R,2,FALSE)*(1+T30)*(1+U30)*V30*(1+$E$16+VLOOKUP($E30,武器奇术!$A:$R,8,FALSE))</f>
        <v>21077.6598727482</v>
      </c>
      <c r="Z30" s="104">
        <f>IF($L30+$M30&lt;=100%,$N30*$L30,$N30*(1-$M30))</f>
        <v>0.8703</v>
      </c>
      <c r="AA30" s="103">
        <f>S30*VLOOKUP($E30,武器奇术!$A:$R,2,FALSE)*(1+T30)*(1+U30)*V30*(1+$E$17+VLOOKUP($E30,武器奇术!$A:$R,10,FALSE))</f>
        <v>14558.2809646663</v>
      </c>
      <c r="AB30" s="104">
        <f>$M30</f>
        <v>0.0986</v>
      </c>
      <c r="AC30" s="103">
        <f>R30*VLOOKUP($E30,武器奇术!$A:$R,2,FALSE)*(1+T30)*(1+U30)*V30</f>
        <v>10517.7943476788</v>
      </c>
      <c r="AD30" s="104">
        <f>MAX((1-X30-Z30-AB30),0)</f>
        <v>0.0311</v>
      </c>
      <c r="AE30" s="112">
        <f>W30*X30+Y30*Z30+AA30*AB30+AC30*AD30</f>
        <v>20106.4372945817</v>
      </c>
      <c r="AF30" s="113">
        <f>VLOOKUP($E30,武器奇术!$A:$R,3,FALSE)*(1+IF(VLOOKUP($E30,武器奇术!$A:$R,15,FALSE)="武器",$E$15,0))</f>
        <v>842.4</v>
      </c>
      <c r="AG30" s="103">
        <f t="shared" ref="AG30:AG93" si="1">(AF30+AH30)/2</f>
        <v>842.4</v>
      </c>
      <c r="AH30" s="103">
        <f>VLOOKUP($E30,武器奇术!$A:$R,3,FALSE)*(1+IF(VLOOKUP($E30,武器奇术!$A:$R,15,FALSE)="武器",$E$15,0))</f>
        <v>842.4</v>
      </c>
      <c r="AI30" s="104">
        <f>IF(($D$5+VLOOKUP($E30,武器奇术!$A:$R,13,FALSE)+IF($I$3="√",10,0)-VLOOKUP($F$7,目标属性!$A:$R,5,FALSE))&gt;0,($D$5+VLOOKUP($E30,武器奇术!$A:$R,13,FALSE)+IF($I$3="√",10,0)-VLOOKUP($F$7,目标属性!$A:$R,5,FALSE))/200,($D$5+VLOOKUP($E30,武器奇术!$A:$R,13,FALSE)+IF($I$3="√",10,0)-VLOOKUP($F$7,目标属性!$A:$R,5,FALSE))/100)</f>
        <v>0.2925</v>
      </c>
      <c r="AJ30" s="111">
        <f>$E$5+IF($G$5="烟柳",IF(VLOOKUP($E30,武器奇术!$A:$T,20,FALSE)=1,0.1,0),0)</f>
        <v>0.1</v>
      </c>
      <c r="AK30" s="102">
        <v>1</v>
      </c>
      <c r="AL30" s="103">
        <f>AF30*(1+AI30)*(1+AJ30)*AK30</f>
        <v>1197.6822</v>
      </c>
      <c r="AM30" s="104">
        <f>(1-IF(VLOOKUP($E30,武器奇术!$A:$R,18,FALSE)="叶龙",1,$N30))*(1-$M30)</f>
        <v>0</v>
      </c>
      <c r="AN30" s="103">
        <f>AG30*(1+AI30)*(1+AJ30)*AK30*(1+$E$16+VLOOKUP($E30,武器奇术!$A:$R,8,FALSE))</f>
        <v>2400.1551288</v>
      </c>
      <c r="AO30" s="104">
        <f t="shared" ref="AO30:AO93" si="2">IF($L30+$M30&lt;=100%,$N30*$L30,$N30*(1-$M30))</f>
        <v>0.8703</v>
      </c>
      <c r="AP30" s="103">
        <f>AH30*(1+AI30)*(1+AJ30)*AK30*(1+$E$17+VLOOKUP($E30,武器奇术!$A:$R,10,FALSE))</f>
        <v>1616.87097</v>
      </c>
      <c r="AQ30" s="104">
        <f t="shared" ref="AQ30:AQ93" si="3">$M30</f>
        <v>0.0986</v>
      </c>
      <c r="AR30" s="103">
        <f>AG30*(1+AI30)*(1+AJ30)*AK30</f>
        <v>1197.6822</v>
      </c>
      <c r="AS30" s="104">
        <f t="shared" ref="AS30:AS93" si="4">MAX((1-AM30-AO30-AQ30),0)</f>
        <v>0.0311</v>
      </c>
      <c r="AT30" s="112">
        <f t="shared" ref="AT30:AT93" si="5">AL30*AM30+AN30*AO30+AP30*AQ30+AR30*AS30</f>
        <v>2285.52640265664</v>
      </c>
      <c r="AU30" s="110">
        <f>$B$7*IF($G$5="撼天",1.05,1)+IF(AND(VLOOKUP($E30,武器奇术!$A:$R,15,FALSE)="武器",VLOOKUP($E30,武器奇术!$A:$R,17,FALSE)="鸣金"),$E$3*(1+$E$15),0)</f>
        <v>0</v>
      </c>
      <c r="AV30" s="102">
        <f t="shared" ref="AV30:AV93" si="6">(AU30+AW30)/2</f>
        <v>0</v>
      </c>
      <c r="AW30" s="102">
        <f>MAX($C$7*IF($G$5="撼天",1.05,1)+IF(AND(VLOOKUP($E30,武器奇术!$A:$R,15,FALSE)="武器",VLOOKUP($E30,武器奇术!$A:$R,17,FALSE)="鸣金"),$E$3*(1+$E$15),0),AU30)</f>
        <v>0</v>
      </c>
      <c r="AX30" s="104">
        <f>IF(($D$7+IF(VLOOKUP($E30,武器奇术!$A:$R,17,FALSE)="鸣金",$D$15,0)-VLOOKUP($F$7,目标属性!$A:$R,6,FALSE))&gt;0,($D$7+IF(VLOOKUP($E30,武器奇术!$A:$R,17,FALSE)="鸣金",$D$15,0)-VLOOKUP($F$7,目标属性!$A:$R,6,FALSE))/200,($D$7+IF(VLOOKUP($E30,武器奇术!$A:$R,17,FALSE)="鸣金",$D$15,0)-VLOOKUP($F$7,目标属性!$A:$R,6,FALSE))/100)</f>
        <v>-0.24</v>
      </c>
      <c r="AY30" s="111">
        <f t="shared" ref="AY30:AY93" si="7">$E$7</f>
        <v>0</v>
      </c>
      <c r="AZ30" s="102">
        <v>1</v>
      </c>
      <c r="BA30" s="103">
        <f>AU30*IF(VLOOKUP($E30,武器奇术!$A:$R,17,FALSE)="鸣金",VLOOKUP($E30,武器奇术!$A:$R,4,FALSE),VLOOKUP($E30,武器奇术!$A:$R,2,FALSE))*(1+AX30)*(1+AY30)*AZ30</f>
        <v>0</v>
      </c>
      <c r="BB30" s="104">
        <f>(1-IF(VLOOKUP($E30,武器奇术!$A:$R,18,FALSE)="叶龙",1,$N30))*(1-$M30)</f>
        <v>0</v>
      </c>
      <c r="BC30" s="103">
        <f>AV30*IF(VLOOKUP($E30,武器奇术!$A:$R,17,FALSE)="鸣金",VLOOKUP($E30,武器奇术!$A:$R,4,FALSE),VLOOKUP($E30,武器奇术!$A:$R,2,FALSE))*(1+AX30)*(1+AY30)*AZ30*(1+$E$16+VLOOKUP($E30,武器奇术!$A:$R,8,FALSE))</f>
        <v>0</v>
      </c>
      <c r="BD30" s="104">
        <f t="shared" ref="BD30:BD93" si="8">IF($L30+$M30&lt;=100%,$N30*$L30,$N30*(1-$M30))</f>
        <v>0.8703</v>
      </c>
      <c r="BE30" s="103">
        <f>AW30*IF(VLOOKUP($E30,武器奇术!$A:$R,17,FALSE)="鸣金",VLOOKUP($E30,武器奇术!$A:$R,4,FALSE),VLOOKUP($E30,武器奇术!$A:$R,2,FALSE))*(1+AX30)*(1+AY30)*AZ30*(1+$E$17+VLOOKUP($E30,武器奇术!$A:$R,10,FALSE))</f>
        <v>0</v>
      </c>
      <c r="BF30" s="104">
        <f t="shared" ref="BF30:BF93" si="9">$M30</f>
        <v>0.0986</v>
      </c>
      <c r="BG30" s="103">
        <f>AV30*IF(VLOOKUP($E30,武器奇术!$A:$R,17,FALSE)="鸣金",VLOOKUP($E30,武器奇术!$A:$R,4,FALSE),VLOOKUP($E30,武器奇术!$A:$R,2,FALSE))*(1+AX30)*(1+AY30)*AZ30</f>
        <v>0</v>
      </c>
      <c r="BH30" s="104">
        <f t="shared" ref="BH30:BH93" si="10">MAX((1-BB30-BD30-BF30),0)</f>
        <v>0.0311</v>
      </c>
      <c r="BI30" s="112">
        <f t="shared" ref="BI30:BI93" si="11">BA30*BB30+BC30*BD30+BE30*BF30+BG30*BH30</f>
        <v>0</v>
      </c>
      <c r="BJ30" s="110">
        <f>$B$9*IF($G$5="撼天",1.05,1)+IF(AND(VLOOKUP($E30,武器奇术!$A:$R,15,FALSE)="武器",VLOOKUP($E30,武器奇术!$A:$R,17,FALSE)="裂石"),$E$3*(1+$E$15),0)</f>
        <v>0</v>
      </c>
      <c r="BK30" s="102">
        <f t="shared" ref="BK30:BK93" si="12">(BJ30+BL30)/2</f>
        <v>0</v>
      </c>
      <c r="BL30" s="102">
        <f>MAX($C$9*IF($G$5="撼天",1.05,1)+IF(AND(VLOOKUP($E30,武器奇术!$A:$R,15,FALSE)="武器",VLOOKUP($E30,武器奇术!$A:$R,17,FALSE)="裂石"),$E$3*(1+$E$15),0),BJ30)</f>
        <v>0</v>
      </c>
      <c r="BM30" s="104">
        <f>IF(($D$9+IF(VLOOKUP($E30,武器奇术!$A:$R,17,FALSE)="裂石",$D$15,0)-VLOOKUP($F$7,目标属性!$A:$R,6,FALSE))&gt;0,($D$9+IF(VLOOKUP($E30,武器奇术!$A:$R,17,FALSE)="裂石",$D$15,0)-VLOOKUP($F$7,目标属性!$A:$R,6,FALSE))/200,($D$9+IF(VLOOKUP($E30,武器奇术!$A:$R,17,FALSE)="裂石",$D$15,0)-VLOOKUP($F$7,目标属性!$A:$R,6,FALSE))/100)</f>
        <v>-0.24</v>
      </c>
      <c r="BN30" s="111">
        <f t="shared" ref="BN30:BN93" si="13">$E$9</f>
        <v>0</v>
      </c>
      <c r="BO30" s="102">
        <v>1</v>
      </c>
      <c r="BP30" s="103">
        <f>BJ30*IF(VLOOKUP($E30,武器奇术!$A:$R,17,FALSE)="裂石",VLOOKUP($E30,武器奇术!$A:$R,4,FALSE),VLOOKUP($E30,武器奇术!$A:$R,2,FALSE))*(1+BM30)*(1+BN30)*BO30</f>
        <v>0</v>
      </c>
      <c r="BQ30" s="104">
        <f>(1-IF(VLOOKUP($E30,武器奇术!$A:$R,18,FALSE)="叶龙",1,$N30))*(1-$M30)</f>
        <v>0</v>
      </c>
      <c r="BR30" s="103">
        <f>BK30*IF(VLOOKUP($E30,武器奇术!$A:$R,17,FALSE)="裂石",VLOOKUP($E30,武器奇术!$A:$R,4,FALSE),VLOOKUP($E30,武器奇术!$A:$R,2,FALSE))*(1+BM30)*(1+BN30)*BO30*(1+$E$16+VLOOKUP($E30,武器奇术!$A:$R,8,FALSE))</f>
        <v>0</v>
      </c>
      <c r="BS30" s="104">
        <f t="shared" ref="BS30:BS93" si="14">IF($L30+$M30&lt;=100%,$N30*$L30,$N30*(1-$M30))</f>
        <v>0.8703</v>
      </c>
      <c r="BT30" s="103">
        <f>BL30*IF(VLOOKUP($E30,武器奇术!$A:$R,17,FALSE)="裂石",VLOOKUP($E30,武器奇术!$A:$R,4,FALSE),VLOOKUP($E30,武器奇术!$A:$R,2,FALSE))*(1+BM30)*(1+BN30)*BO30*(1+$E$17+VLOOKUP($E30,武器奇术!$A:$R,10,FALSE))</f>
        <v>0</v>
      </c>
      <c r="BU30" s="104">
        <f t="shared" ref="BU30:BU93" si="15">$M30</f>
        <v>0.0986</v>
      </c>
      <c r="BV30" s="103">
        <f>BK30*IF(VLOOKUP($E30,武器奇术!$A:$R,17,FALSE)="裂石",VLOOKUP($E30,武器奇术!$A:$R,4,FALSE),VLOOKUP($E30,武器奇术!$A:$R,2,FALSE))*(1+BM30)*(1+BN30)*BO30</f>
        <v>0</v>
      </c>
      <c r="BW30" s="104">
        <f t="shared" ref="BW30:BW93" si="16">MAX((1-BQ30-BS30-BU30),0)</f>
        <v>0.0311</v>
      </c>
      <c r="BX30" s="112">
        <f t="shared" ref="BX30:BX93" si="17">BP30*BQ30+BR30*BS30+BT30*BU30+BV30*BW30</f>
        <v>0</v>
      </c>
      <c r="BY30" s="110">
        <f>$B$11*IF($G$5="撼天",1.05,1)+IF(AND(VLOOKUP($E30,武器奇术!$A:$R,15,FALSE)="武器",VLOOKUP($E30,武器奇术!$A:$R,17,FALSE)="牵丝"),$E$3*(1+$E$15),0)</f>
        <v>686.71</v>
      </c>
      <c r="BZ30" s="102">
        <f>IF(VLOOKUP($E30,武器奇术!$A:$Z,18,FALSE)="叶龙",(CA30-(BY30+CA30)*0.5)*($G$15-0.5)*2+(BY30+CA30)*0.5,(BY30+CA30)*0.5)</f>
        <v>1052.21</v>
      </c>
      <c r="CA30" s="102">
        <f>MAX($C$11*IF($G$5="撼天",1.05,1)+IF(AND(VLOOKUP($E30,武器奇术!$A:$R,15,FALSE)="武器",VLOOKUP($E30,武器奇术!$A:$R,17,FALSE)="牵丝"),$E$3*(1+$E$15),0),BY30)</f>
        <v>1417.71</v>
      </c>
      <c r="CB30" s="104">
        <f>IF(($D$11+IF(VLOOKUP($E30,武器奇术!$A:$R,17,FALSE)="牵丝",$D$15,0)-VLOOKUP($F$7,目标属性!$A:$R,6,FALSE))&gt;0,($D$11+IF(VLOOKUP($E30,武器奇术!$A:$R,17,FALSE)="牵丝",$D$15,0)-VLOOKUP($F$7,目标属性!$A:$R,6,FALSE))/200,($D$11+IF(VLOOKUP($E30,武器奇术!$A:$R,17,FALSE)="牵丝",$D$15,0)-VLOOKUP($F$7,目标属性!$A:$R,6,FALSE))/100)</f>
        <v>0.028</v>
      </c>
      <c r="CC30" s="111">
        <f>$E$11+IF($G$5="烟柳",IF(VLOOKUP($E30,武器奇术!$A:$T,20,FALSE)=1,0.1,0),0)</f>
        <v>0.248</v>
      </c>
      <c r="CD30" s="102">
        <v>1</v>
      </c>
      <c r="CE30" s="103">
        <f>BY30*IF(VLOOKUP($E30,武器奇术!$A:$R,17,FALSE)="牵丝",VLOOKUP($E30,武器奇术!$A:$R,4,FALSE),VLOOKUP($E30,武器奇术!$A:$R,2,FALSE))*(1+CB30)*(1+CC30)*CD30</f>
        <v>3091.90625934528</v>
      </c>
      <c r="CF30" s="104">
        <f>(1-IF(VLOOKUP($E30,武器奇术!$A:$R,18,FALSE)="叶龙",1,$N30))*(1-$M30)</f>
        <v>0</v>
      </c>
      <c r="CG30" s="124">
        <f>BZ30*IF(VLOOKUP($E30,武器奇术!$A:$R,17,FALSE)="牵丝",VLOOKUP($E30,武器奇术!$A:$R,4,FALSE),VLOOKUP($E30,武器奇术!$A:$R,2,FALSE))*(1+CB30)*(1+CC30)*CD30*(1+$E$16+VLOOKUP($E30,武器奇术!$A:$R,8,FALSE))</f>
        <v>9494.08441559316</v>
      </c>
      <c r="CH30" s="104">
        <f t="shared" ref="CH30:CH93" si="18">IF($L30+$M30&lt;=100%,$N30*$L30,$N30*(1-$M30))</f>
        <v>0.8703</v>
      </c>
      <c r="CI30" s="103">
        <f>CA30*IF(VLOOKUP($E30,武器奇术!$A:$R,17,FALSE)="牵丝",VLOOKUP($E30,武器奇术!$A:$R,4,FALSE),VLOOKUP($E30,武器奇术!$A:$R,2,FALSE))*(1+CB30)*(1+CC30)*CD30*(1+$E$17+VLOOKUP($E30,武器奇术!$A:$R,10,FALSE))</f>
        <v>8617.35764873693</v>
      </c>
      <c r="CJ30" s="104">
        <f t="shared" ref="CJ30:CJ93" si="19">$M30</f>
        <v>0.0986</v>
      </c>
      <c r="CK30" s="124">
        <f>BZ30*IF(VLOOKUP($E30,武器奇术!$A:$R,17,FALSE)="牵丝",VLOOKUP($E30,武器奇术!$A:$R,4,FALSE),VLOOKUP($E30,武器奇术!$A:$R,2,FALSE))*(1+CB30)*(1+CC30)*CD30</f>
        <v>4737.56707364928</v>
      </c>
      <c r="CL30" s="104">
        <f t="shared" ref="CL30:CL93" si="20">MAX((1-CF30-CH30-CJ30),0)</f>
        <v>0.0311</v>
      </c>
      <c r="CM30" s="112">
        <f>CE30*CF30+CG30*CH30+CI30*CJ30+CK30*CL30</f>
        <v>9259.71146704668</v>
      </c>
      <c r="CN30" s="110">
        <f>$B$13*IF($G$5="撼天",1.05,1)+IF(AND(VLOOKUP($E30,武器奇术!$A:$R,15,FALSE)="武器",VLOOKUP($E30,武器奇术!$A:$R,17,FALSE)="破竹"),$E$3*(1+$E$15),0)</f>
        <v>0</v>
      </c>
      <c r="CO30" s="102">
        <f t="shared" ref="CO30:CO93" si="21">(CN30+CP30)/2</f>
        <v>0</v>
      </c>
      <c r="CP30" s="102">
        <f>MAX($C$13*IF($G$5="撼天",1.05,1)+IF(AND(VLOOKUP($E30,武器奇术!$A:$R,15,FALSE)="武器",VLOOKUP($E30,武器奇术!$A:$R,17,FALSE)="破竹"),$E$3*(1+$E$15),0),CN30)</f>
        <v>0</v>
      </c>
      <c r="CQ30" s="104">
        <f>IF(($D$13+IF(VLOOKUP($E30,武器奇术!$A:$R,17,FALSE)="破竹",$D$15,0)-VLOOKUP($F$7,目标属性!$A:$R,6,FALSE))&gt;0,($D$13+IF(VLOOKUP($E30,武器奇术!$A:$R,17,FALSE)="破竹",$D$15,0)-VLOOKUP($F$7,目标属性!$A:$R,6,FALSE))/200,($D$13+IF(VLOOKUP($E30,武器奇术!$A:$R,17,FALSE)="破竹",$D$15,0)-VLOOKUP($F$7,目标属性!$A:$R,6,FALSE))/100)</f>
        <v>-0.24</v>
      </c>
      <c r="CR30" s="111">
        <f t="shared" ref="CR30:CR93" si="22">$E$13</f>
        <v>0</v>
      </c>
      <c r="CS30" s="102">
        <v>1</v>
      </c>
      <c r="CT30" s="103">
        <f>CN30*IF(VLOOKUP($E30,武器奇术!$A:$R,17,FALSE)="破竹",VLOOKUP($E30,武器奇术!$A:$R,4,FALSE),VLOOKUP($E30,武器奇术!$A:$R,2,FALSE))*(1+CQ30)*(1+CR30)*CS30</f>
        <v>0</v>
      </c>
      <c r="CU30" s="104">
        <f>(1-IF(VLOOKUP($E30,武器奇术!$A:$R,18,FALSE)="叶龙",1,$N30))*(1-$M30)</f>
        <v>0</v>
      </c>
      <c r="CV30" s="103">
        <f>CO30*IF(VLOOKUP($E30,武器奇术!$A:$R,17,FALSE)="破竹",VLOOKUP($E30,武器奇术!$A:$R,4,FALSE),VLOOKUP($E30,武器奇术!$A:$R,2,FALSE))*(1+CQ30)*(1+CR30)*CS30*(1+$E$16+VLOOKUP($E30,武器奇术!$A:$R,8,FALSE))</f>
        <v>0</v>
      </c>
      <c r="CW30" s="104">
        <f t="shared" ref="CW30:CW93" si="23">IF($L30+$M30&lt;=100%,$N30*$L30,$N30*(1-$M30))</f>
        <v>0.8703</v>
      </c>
      <c r="CX30" s="103">
        <f>CP30*IF(VLOOKUP($E30,武器奇术!$A:$R,17,FALSE)="破竹",VLOOKUP($E30,武器奇术!$A:$R,4,FALSE),VLOOKUP($E30,武器奇术!$A:$R,2,FALSE))*(1+CQ30)*(1+CR30)*CS30*(1+$E$17+VLOOKUP($E30,武器奇术!$A:$R,10,FALSE))</f>
        <v>0</v>
      </c>
      <c r="CY30" s="104">
        <f t="shared" ref="CY30:CY93" si="24">$M30</f>
        <v>0.0986</v>
      </c>
      <c r="CZ30" s="103">
        <f>CO30*IF(VLOOKUP($E30,武器奇术!$A:$R,17,FALSE)="破竹",VLOOKUP($E30,武器奇术!$A:$R,4,FALSE),VLOOKUP($E30,武器奇术!$A:$R,2,FALSE))*(1+CQ30)*(1+CR30)*CS30</f>
        <v>0</v>
      </c>
      <c r="DA30" s="104">
        <f t="shared" ref="DA30:DA93" si="25">MAX((1-CU30-CW30-CY30),0)</f>
        <v>0.0311</v>
      </c>
      <c r="DB30" s="112">
        <f t="shared" ref="DB30:DB93" si="26">CT30*CU30+CV30*CW30+CX30*CY30+CZ30*DA30</f>
        <v>0</v>
      </c>
      <c r="DC30" s="110">
        <f>$B$15*IF($G$5="撼天",1.05,1)</f>
        <v>66</v>
      </c>
      <c r="DD30" s="102">
        <f t="shared" ref="DD30:DD93" si="27">(DC30+DE30)/2</f>
        <v>125.8</v>
      </c>
      <c r="DE30" s="102">
        <f>$C$15*IF($G$5="撼天",1.05,1)</f>
        <v>185.6</v>
      </c>
      <c r="DF30" s="104">
        <f>IF((IF(VLOOKUP($E30,武器奇术!$A:$R,17,FALSE)="鸣金",$D$7,0)+IF(VLOOKUP($E30,武器奇术!$A:$R,17,FALSE)="裂石",$D$9,0)+IF(VLOOKUP($E30,武器奇术!$A:$R,17,FALSE)="牵丝",$D$11,0)+IF(VLOOKUP($E30,武器奇术!$A:$R,17,FALSE)="破竹",$D$13,0)+$D$15-VLOOKUP($F$7,目标属性!$A:$R,6,FALSE))&gt;0,(IF(VLOOKUP($E30,武器奇术!$A:$R,17,FALSE)="鸣金",$D$7,0)+IF(VLOOKUP($E30,武器奇术!$A:$R,17,FALSE)="裂石",$D$9,0)+IF(VLOOKUP($E30,武器奇术!$A:$R,17,FALSE)="牵丝",$D$11,0)+IF(VLOOKUP($E30,武器奇术!$A:$R,17,FALSE)="破竹",$D$13,0)+$D$15-VLOOKUP($F$7,目标属性!$A:$R,6,FALSE))/200,(IF(VLOOKUP($E30,武器奇术!$A:$R,17,FALSE)="鸣金",$D$7,0)+IF(VLOOKUP($E30,武器奇术!$A:$R,17,FALSE)="裂石",$D$9,0)+IF(VLOOKUP($E30,武器奇术!$A:$R,17,FALSE)="牵丝",$D$11,0)+IF(VLOOKUP($E30,武器奇术!$A:$R,17,FALSE)="破竹",$D$13,0)+$D$15-VLOOKUP($F$7,目标属性!$A:$R,6,FALSE))/100)</f>
        <v>0.028</v>
      </c>
      <c r="DG30" s="111">
        <f>$E$11+IF($G$5="烟柳",IF(VLOOKUP($E30,武器奇术!$A:$T,20,FALSE)=1,0.1,0),0)</f>
        <v>0.248</v>
      </c>
      <c r="DH30" s="102">
        <v>1</v>
      </c>
      <c r="DI30" s="103">
        <f>DC30*IF(VLOOKUP($E30,武器奇术!$A:$R,17,FALSE)="牵丝",VLOOKUP($E30,武器奇术!$A:$R,4,FALSE),VLOOKUP($E30,武器奇术!$A:$R,2,FALSE))*(1+DF30)*(1+DG30)*DH30</f>
        <v>297.164469888</v>
      </c>
      <c r="DJ30" s="104">
        <f>(1-IF(VLOOKUP($E30,武器奇术!$A:$R,18,FALSE)="叶龙",1,$N30))*(1-$M30)</f>
        <v>0</v>
      </c>
      <c r="DK30" s="124">
        <f>DD30*IF(VLOOKUP($E30,武器奇术!$A:$R,17,FALSE)="牵丝",VLOOKUP($E30,武器奇术!$A:$R,4,FALSE),VLOOKUP($E30,武器奇术!$A:$R,2,FALSE))*(1+DF30)*(1+DG30)*DH30*(1+$E$16+VLOOKUP($E30,武器奇术!$A:$R,8,FALSE))</f>
        <v>1135.0926331071</v>
      </c>
      <c r="DL30" s="104">
        <f t="shared" ref="DL30:DL93" si="28">IF($L30+$M30&lt;=100%,$N30*$L30,$N30*(1-$M30))</f>
        <v>0.8703</v>
      </c>
      <c r="DM30" s="103">
        <f>DE30*IF(VLOOKUP($E30,武器奇术!$A:$R,17,FALSE)="牵丝",VLOOKUP($E30,武器奇术!$A:$R,4,FALSE),VLOOKUP($E30,武器奇术!$A:$R,2,FALSE))*(1+DF30)*(1+DG30)*DH30*(1+$E$17+VLOOKUP($E30,武器奇术!$A:$R,10,FALSE))</f>
        <v>1128.14438750208</v>
      </c>
      <c r="DN30" s="104">
        <f t="shared" ref="DN30:DN93" si="29">$M30</f>
        <v>0.0986</v>
      </c>
      <c r="DO30" s="124">
        <f>DD30*IF(VLOOKUP($E30,武器奇术!$A:$R,17,FALSE)="牵丝",VLOOKUP($E30,武器奇术!$A:$R,4,FALSE),VLOOKUP($E30,武器奇术!$A:$R,2,FALSE))*(1+DF30)*(1+DG30)*DH30</f>
        <v>566.4134895744</v>
      </c>
      <c r="DP30" s="104">
        <f t="shared" ref="DP30:DP93" si="30">MAX((1-DJ30-DL30-DN30),0)</f>
        <v>0.0311</v>
      </c>
      <c r="DQ30" s="112">
        <f t="shared" ref="DQ30:DQ93" si="31">DI30*DJ30+DK30*DL30+DM30*DN30+DO30*DP30</f>
        <v>1116.72161472658</v>
      </c>
    </row>
    <row r="31" spans="1:121">
      <c r="B31" s="125"/>
      <c r="C31" s="21"/>
      <c r="D31" s="126"/>
      <c r="E31" s="115" t="s">
        <v>129</v>
      </c>
      <c r="F31" s="116">
        <v>1</v>
      </c>
      <c r="G31" s="117"/>
      <c r="H31" s="103">
        <f>IF(VLOOKUP($E31,武器奇术!$A:$R,18,FALSE)="天工",AE31,(AE31+AT31+BI31+BX31+CM31+DB31+DQ31))*(1+J31)*F31*K31*(1+G31)</f>
        <v>8569.34961819159</v>
      </c>
      <c r="I31" s="104">
        <f t="shared" si="0"/>
        <v>0.000987617182473627</v>
      </c>
      <c r="J31" s="118">
        <f>$F$3+VLOOKUP($E31,武器奇术!$A:$R,12,FALSE)+VLOOKUP($E31,武器奇术!$A:$R,14,FALSE)*$G$3+$P31+IF($F$21="√",5%,0)</f>
        <v>0.523</v>
      </c>
      <c r="K31" s="105">
        <f>VLOOKUP($E31,武器奇术!$A:$R,11,FALSE)</f>
        <v>1</v>
      </c>
      <c r="L31" s="119">
        <f>IF(VLOOKUP($E31,武器奇术!$A:$R,15,FALSE)="天工",0%,IF($C$17+VLOOKUP($E31,武器奇术!$A:$R,7,FALSE)&gt;80%,80%,$C$17+VLOOKUP($E31,武器奇术!$A:$R,7,FALSE))+IF($C$19&gt;20%,20%,$C$19))</f>
        <v>0.8703</v>
      </c>
      <c r="M31" s="120">
        <f>IF(VLOOKUP($E31,武器奇术!$A:$R,15,FALSE)="天工",0%,IF($C$18+VLOOKUP($E31,武器奇术!$A:$R,9,FALSE)&gt;40%,40%,$C$18+VLOOKUP($E31,武器奇术!$A:$R,9,FALSE))+IF($C$20&gt;10%,10%,$C$20))</f>
        <v>0.0986</v>
      </c>
      <c r="N31" s="121">
        <f>IF(VLOOKUP($E31,武器奇术!$A:$R,15,FALSE)="天工",100%,MIN($C$16,1))</f>
        <v>1</v>
      </c>
      <c r="O31" s="122" t="str">
        <f>VLOOKUP($E31,武器奇术!$A:$R,16,FALSE)</f>
        <v>伞</v>
      </c>
      <c r="P31" s="123">
        <f t="shared" ref="P31:P62" si="32">VLOOKUP($O31,$B$22:$C$27,2,FALSE)+IF(OR($O31="伞",$O31="扇"),$C$24,0)</f>
        <v>0.17</v>
      </c>
      <c r="Q31" s="110">
        <f>$B$5*(1+VLOOKUP($E31,武器奇术!$A:$R,5,FALSE))*(1+VLOOKUP($E31,武器奇术!$A:$S,19,FALSE)+IF($G$5="飞隼",0.1,0)+IF($G$5="撼天",0.05,0))-$F$9+IF($J$5="√",160,0)</f>
        <v>3081.85</v>
      </c>
      <c r="R31" s="102">
        <f>IF(VLOOKUP($E31,武器奇术!$A:$Z,18,FALSE)="叶龙",(S31-(Q31+S31)*0.5)*($G$15-0.5)*2+(Q31+S31)*0.5,(Q31+S31)*0.5)</f>
        <v>3161.85</v>
      </c>
      <c r="S31" s="102">
        <f>MAX($C$5,$B$5)*(1+VLOOKUP($E31,武器奇术!$A:$R,6,FALSE))*(1+VLOOKUP($E31,武器奇术!$A:$S,19,FALSE)+IF($G$5="飞隼",0.1,0)+IF($G$5="撼天",0.05,0))-$F$9+IF($J$5="√",320,0)</f>
        <v>3241.85</v>
      </c>
      <c r="T31" s="104">
        <f>IF(($D$5+VLOOKUP($E31,武器奇术!$A:$R,13,FALSE)+IF($I$3="√",10,0)-VLOOKUP($F$7,目标属性!$A:$R,5,FALSE))&gt;0,($D$5+VLOOKUP($E31,武器奇术!$A:$R,13,FALSE)+IF($I$3="√",10,0)-VLOOKUP($F$7,目标属性!$A:$R,5,FALSE))/200,($D$5+VLOOKUP($E31,武器奇术!$A:$R,13,FALSE)+IF($I$3="√",10,0)-VLOOKUP($F$7,目标属性!$A:$R,5,FALSE))/100)</f>
        <v>0.2675</v>
      </c>
      <c r="U31" s="111">
        <f>$E$5+IF($G$5="烟柳",IF(VLOOKUP($E31,武器奇术!$A:$T,20,FALSE)=1,0.1,0),0)</f>
        <v>0</v>
      </c>
      <c r="V31" s="102">
        <v>1</v>
      </c>
      <c r="W31" s="103">
        <f>Q31*VLOOKUP($E31,武器奇术!$A:$R,2,FALSE)*(1+T31)*(1+U31)*V31</f>
        <v>2105.465987625</v>
      </c>
      <c r="X31" s="104">
        <f>(1-IF(VLOOKUP($E31,武器奇术!$A:$R,18,FALSE)="叶龙",1,$N31))*(1-$M31)</f>
        <v>0</v>
      </c>
      <c r="Y31" s="103">
        <f>R31*VLOOKUP($E31,武器奇术!$A:$R,2,FALSE)*(1+T31)*(1+U31)*V31*(1+$E$16+VLOOKUP($E31,武器奇术!$A:$R,8,FALSE))</f>
        <v>3551.2382460555</v>
      </c>
      <c r="Z31" s="104">
        <f t="shared" ref="Z31:Z94" si="33">IF($L31+$M31&lt;=100%,$N31*$L31,$N31*(1-$M31))</f>
        <v>0.8703</v>
      </c>
      <c r="AA31" s="103">
        <f>S31*VLOOKUP($E31,武器奇术!$A:$R,2,FALSE)*(1+T31)*(1+U31)*V31*(1+$E$17+VLOOKUP($E31,武器奇术!$A:$R,10,FALSE))</f>
        <v>2989.94650329375</v>
      </c>
      <c r="AB31" s="104">
        <f t="shared" ref="AB31:AB94" si="34">$M31</f>
        <v>0.0986</v>
      </c>
      <c r="AC31" s="103">
        <f>R31*VLOOKUP($E31,武器奇术!$A:$R,2,FALSE)*(1+T31)*(1+U31)*V31</f>
        <v>2160.120587625</v>
      </c>
      <c r="AD31" s="104">
        <f t="shared" ref="AD31:AD94" si="35">MAX((1-X31-Z31-AB31),0)</f>
        <v>0.0311</v>
      </c>
      <c r="AE31" s="112">
        <f t="shared" ref="AE30:AE93" si="36">W31*X31+Y31*Z31+AA31*AB31+AC31*AD31</f>
        <v>3452.631121042</v>
      </c>
      <c r="AF31" s="113">
        <f>VLOOKUP($E31,武器奇术!$A:$R,3,FALSE)*(1+IF(VLOOKUP($E31,武器奇术!$A:$R,15,FALSE)="武器",$E$15,0))</f>
        <v>161.8617</v>
      </c>
      <c r="AG31" s="103">
        <f t="shared" si="1"/>
        <v>161.8617</v>
      </c>
      <c r="AH31" s="103">
        <f>VLOOKUP($E31,武器奇术!$A:$R,3,FALSE)*(1+IF(VLOOKUP($E31,武器奇术!$A:$R,15,FALSE)="武器",$E$15,0))</f>
        <v>161.8617</v>
      </c>
      <c r="AI31" s="104">
        <f>IF(($D$5+VLOOKUP($E31,武器奇术!$A:$R,13,FALSE)+IF($I$3="√",10,0)-VLOOKUP($F$7,目标属性!$A:$R,5,FALSE))&gt;0,($D$5+VLOOKUP($E31,武器奇术!$A:$R,13,FALSE)+IF($I$3="√",10,0)-VLOOKUP($F$7,目标属性!$A:$R,5,FALSE))/200,($D$5+VLOOKUP($E31,武器奇术!$A:$R,13,FALSE)+IF($I$3="√",10,0)-VLOOKUP($F$7,目标属性!$A:$R,5,FALSE))/100)</f>
        <v>0.2675</v>
      </c>
      <c r="AJ31" s="111">
        <f>$E$5+IF($G$5="烟柳",IF(VLOOKUP($E31,武器奇术!$A:$T,20,FALSE)=1,0.1,0),0)</f>
        <v>0</v>
      </c>
      <c r="AK31" s="102">
        <v>1</v>
      </c>
      <c r="AL31" s="103">
        <f t="shared" ref="AL31:AL62" si="37">AF31*(1+AI31)*(1+AJ31)*AK31</f>
        <v>205.15970475</v>
      </c>
      <c r="AM31" s="104">
        <f>(1-IF(VLOOKUP($E31,武器奇术!$A:$R,18,FALSE)="叶龙",1,$N31))*(1-$M31)</f>
        <v>0</v>
      </c>
      <c r="AN31" s="103">
        <f>AG31*(1+AI31)*(1+AJ31)*AK31*(1+$E$16+VLOOKUP($E31,武器奇术!$A:$R,8,FALSE))</f>
        <v>337.282554609</v>
      </c>
      <c r="AO31" s="104">
        <f t="shared" si="2"/>
        <v>0.8703</v>
      </c>
      <c r="AP31" s="103">
        <f>AH31*(1+AI31)*(1+AJ31)*AK31*(1+$E$17+VLOOKUP($E31,武器奇术!$A:$R,10,FALSE))</f>
        <v>276.9656014125</v>
      </c>
      <c r="AQ31" s="104">
        <f t="shared" si="3"/>
        <v>0.0986</v>
      </c>
      <c r="AR31" s="103">
        <f t="shared" ref="AR31:AR94" si="38">AG31*(1+AI31)*(1+AJ31)*AK31</f>
        <v>205.15970475</v>
      </c>
      <c r="AS31" s="104">
        <f t="shared" si="4"/>
        <v>0.0311</v>
      </c>
      <c r="AT31" s="112">
        <f t="shared" si="5"/>
        <v>327.22628239321</v>
      </c>
      <c r="AU31" s="110">
        <f>$B$7*IF($G$5="撼天",1.05,1)+IF(AND(VLOOKUP($E31,武器奇术!$A:$R,15,FALSE)="武器",VLOOKUP($E31,武器奇术!$A:$R,17,FALSE)="鸣金"),$E$3*(1+$E$15),0)</f>
        <v>0</v>
      </c>
      <c r="AV31" s="102">
        <f t="shared" si="6"/>
        <v>0</v>
      </c>
      <c r="AW31" s="102">
        <f>MAX($C$7*IF($G$5="撼天",1.05,1)+IF(AND(VLOOKUP($E31,武器奇术!$A:$R,15,FALSE)="武器",VLOOKUP($E31,武器奇术!$A:$R,17,FALSE)="鸣金"),$E$3*(1+$E$15),0),AU31)</f>
        <v>0</v>
      </c>
      <c r="AX31" s="104">
        <f>IF(($D$7+IF(VLOOKUP($E31,武器奇术!$A:$R,17,FALSE)="鸣金",$D$15,0)-VLOOKUP($F$7,目标属性!$A:$R,6,FALSE))&gt;0,($D$7+IF(VLOOKUP($E31,武器奇术!$A:$R,17,FALSE)="鸣金",$D$15,0)-VLOOKUP($F$7,目标属性!$A:$R,6,FALSE))/200,($D$7+IF(VLOOKUP($E31,武器奇术!$A:$R,17,FALSE)="鸣金",$D$15,0)-VLOOKUP($F$7,目标属性!$A:$R,6,FALSE))/100)</f>
        <v>-0.24</v>
      </c>
      <c r="AY31" s="111">
        <f t="shared" si="7"/>
        <v>0</v>
      </c>
      <c r="AZ31" s="102">
        <v>1</v>
      </c>
      <c r="BA31" s="103">
        <f>AU31*IF(VLOOKUP($E31,武器奇术!$A:$R,17,FALSE)="鸣金",VLOOKUP($E31,武器奇术!$A:$R,4,FALSE),VLOOKUP($E31,武器奇术!$A:$R,2,FALSE))*(1+AX31)*(1+AY31)*AZ31</f>
        <v>0</v>
      </c>
      <c r="BB31" s="104">
        <f>(1-IF(VLOOKUP($E31,武器奇术!$A:$R,18,FALSE)="叶龙",1,$N31))*(1-$M31)</f>
        <v>0</v>
      </c>
      <c r="BC31" s="103">
        <f>AV31*IF(VLOOKUP($E31,武器奇术!$A:$R,17,FALSE)="鸣金",VLOOKUP($E31,武器奇术!$A:$R,4,FALSE),VLOOKUP($E31,武器奇术!$A:$R,2,FALSE))*(1+AX31)*(1+AY31)*AZ31*(1+$E$16+VLOOKUP($E31,武器奇术!$A:$R,8,FALSE))</f>
        <v>0</v>
      </c>
      <c r="BD31" s="104">
        <f t="shared" si="8"/>
        <v>0.8703</v>
      </c>
      <c r="BE31" s="103">
        <f>AW31*IF(VLOOKUP($E31,武器奇术!$A:$R,17,FALSE)="鸣金",VLOOKUP($E31,武器奇术!$A:$R,4,FALSE),VLOOKUP($E31,武器奇术!$A:$R,2,FALSE))*(1+AX31)*(1+AY31)*AZ31*(1+$E$17+VLOOKUP($E31,武器奇术!$A:$R,10,FALSE))</f>
        <v>0</v>
      </c>
      <c r="BF31" s="104">
        <f t="shared" si="9"/>
        <v>0.0986</v>
      </c>
      <c r="BG31" s="103">
        <f>AV31*IF(VLOOKUP($E31,武器奇术!$A:$R,17,FALSE)="鸣金",VLOOKUP($E31,武器奇术!$A:$R,4,FALSE),VLOOKUP($E31,武器奇术!$A:$R,2,FALSE))*(1+AX31)*(1+AY31)*AZ31</f>
        <v>0</v>
      </c>
      <c r="BH31" s="104">
        <f t="shared" si="10"/>
        <v>0.0311</v>
      </c>
      <c r="BI31" s="112">
        <f t="shared" si="11"/>
        <v>0</v>
      </c>
      <c r="BJ31" s="110">
        <f>$B$9*IF($G$5="撼天",1.05,1)+IF(AND(VLOOKUP($E31,武器奇术!$A:$R,15,FALSE)="武器",VLOOKUP($E31,武器奇术!$A:$R,17,FALSE)="裂石"),$E$3*(1+$E$15),0)</f>
        <v>0</v>
      </c>
      <c r="BK31" s="102">
        <f t="shared" si="12"/>
        <v>0</v>
      </c>
      <c r="BL31" s="102">
        <f>MAX($C$9*IF($G$5="撼天",1.05,1)+IF(AND(VLOOKUP($E31,武器奇术!$A:$R,15,FALSE)="武器",VLOOKUP($E31,武器奇术!$A:$R,17,FALSE)="裂石"),$E$3*(1+$E$15),0),BJ31)</f>
        <v>0</v>
      </c>
      <c r="BM31" s="104">
        <f>IF(($D$9+IF(VLOOKUP($E31,武器奇术!$A:$R,17,FALSE)="裂石",$D$15,0)-VLOOKUP($F$7,目标属性!$A:$R,6,FALSE))&gt;0,($D$9+IF(VLOOKUP($E31,武器奇术!$A:$R,17,FALSE)="裂石",$D$15,0)-VLOOKUP($F$7,目标属性!$A:$R,6,FALSE))/200,($D$9+IF(VLOOKUP($E31,武器奇术!$A:$R,17,FALSE)="裂石",$D$15,0)-VLOOKUP($F$7,目标属性!$A:$R,6,FALSE))/100)</f>
        <v>-0.24</v>
      </c>
      <c r="BN31" s="111">
        <f t="shared" si="13"/>
        <v>0</v>
      </c>
      <c r="BO31" s="102">
        <v>1</v>
      </c>
      <c r="BP31" s="103">
        <f>BJ31*IF(VLOOKUP($E31,武器奇术!$A:$R,17,FALSE)="裂石",VLOOKUP($E31,武器奇术!$A:$R,4,FALSE),VLOOKUP($E31,武器奇术!$A:$R,2,FALSE))*(1+BM31)*(1+BN31)*BO31</f>
        <v>0</v>
      </c>
      <c r="BQ31" s="104">
        <f>(1-IF(VLOOKUP($E31,武器奇术!$A:$R,18,FALSE)="叶龙",1,$N31))*(1-$M31)</f>
        <v>0</v>
      </c>
      <c r="BR31" s="103">
        <f>BK31*IF(VLOOKUP($E31,武器奇术!$A:$R,17,FALSE)="裂石",VLOOKUP($E31,武器奇术!$A:$R,4,FALSE),VLOOKUP($E31,武器奇术!$A:$R,2,FALSE))*(1+BM31)*(1+BN31)*BO31*(1+$E$16+VLOOKUP($E31,武器奇术!$A:$R,8,FALSE))</f>
        <v>0</v>
      </c>
      <c r="BS31" s="104">
        <f t="shared" si="14"/>
        <v>0.8703</v>
      </c>
      <c r="BT31" s="103">
        <f>BL31*IF(VLOOKUP($E31,武器奇术!$A:$R,17,FALSE)="裂石",VLOOKUP($E31,武器奇术!$A:$R,4,FALSE),VLOOKUP($E31,武器奇术!$A:$R,2,FALSE))*(1+BM31)*(1+BN31)*BO31*(1+$E$17+VLOOKUP($E31,武器奇术!$A:$R,10,FALSE))</f>
        <v>0</v>
      </c>
      <c r="BU31" s="104">
        <f t="shared" si="15"/>
        <v>0.0986</v>
      </c>
      <c r="BV31" s="103">
        <f>BK31*IF(VLOOKUP($E31,武器奇术!$A:$R,17,FALSE)="裂石",VLOOKUP($E31,武器奇术!$A:$R,4,FALSE),VLOOKUP($E31,武器奇术!$A:$R,2,FALSE))*(1+BM31)*(1+BN31)*BO31</f>
        <v>0</v>
      </c>
      <c r="BW31" s="104">
        <f t="shared" si="16"/>
        <v>0.0311</v>
      </c>
      <c r="BX31" s="112">
        <f t="shared" si="17"/>
        <v>0</v>
      </c>
      <c r="BY31" s="110">
        <f>$B$11*IF($G$5="撼天",1.05,1)+IF(AND(VLOOKUP($E31,武器奇术!$A:$R,15,FALSE)="武器",VLOOKUP($E31,武器奇术!$A:$R,17,FALSE)="牵丝"),$E$3*(1+$E$15),0)</f>
        <v>686.71</v>
      </c>
      <c r="BZ31" s="102">
        <f>IF(VLOOKUP($E31,武器奇术!$A:$Z,18,FALSE)="叶龙",(CA31-(BY31+CA31)*0.5)*($G$15-0.5)*2+(BY31+CA31)*0.5,(BY31+CA31)*0.5)</f>
        <v>1052.21</v>
      </c>
      <c r="CA31" s="102">
        <f>MAX($C$11*IF($G$5="撼天",1.05,1)+IF(AND(VLOOKUP($E31,武器奇术!$A:$R,15,FALSE)="武器",VLOOKUP($E31,武器奇术!$A:$R,17,FALSE)="牵丝"),$E$3*(1+$E$15),0),BY31)</f>
        <v>1417.71</v>
      </c>
      <c r="CB31" s="104">
        <f>IF(($D$11+IF(VLOOKUP($E31,武器奇术!$A:$R,17,FALSE)="牵丝",$D$15,0)-VLOOKUP($F$7,目标属性!$A:$R,6,FALSE))&gt;0,($D$11+IF(VLOOKUP($E31,武器奇术!$A:$R,17,FALSE)="牵丝",$D$15,0)-VLOOKUP($F$7,目标属性!$A:$R,6,FALSE))/200,($D$11+IF(VLOOKUP($E31,武器奇术!$A:$R,17,FALSE)="牵丝",$D$15,0)-VLOOKUP($F$7,目标属性!$A:$R,6,FALSE))/100)</f>
        <v>0.028</v>
      </c>
      <c r="CC31" s="111">
        <f>$E$11+IF($G$5="烟柳",IF(VLOOKUP($E31,武器奇术!$A:$T,20,FALSE)=1,0.1,0),0)</f>
        <v>0.148</v>
      </c>
      <c r="CD31" s="102">
        <v>1</v>
      </c>
      <c r="CE31" s="103">
        <f>BY31*IF(VLOOKUP($E31,武器奇术!$A:$R,17,FALSE)="牵丝",VLOOKUP($E31,武器奇术!$A:$R,4,FALSE),VLOOKUP($E31,武器奇术!$A:$R,2,FALSE))*(1+CB31)*(1+CC31)*CD31</f>
        <v>655.22189082504</v>
      </c>
      <c r="CF31" s="104">
        <f>(1-IF(VLOOKUP($E31,武器奇术!$A:$R,18,FALSE)="叶龙",1,$N31))*(1-$M31)</f>
        <v>0</v>
      </c>
      <c r="CG31" s="124">
        <f>BZ31*IF(VLOOKUP($E31,武器奇术!$A:$R,17,FALSE)="牵丝",VLOOKUP($E31,武器奇术!$A:$R,4,FALSE),VLOOKUP($E31,武器奇术!$A:$R,2,FALSE))*(1+CB31)*(1+CC31)*CD31*(1+$E$16+VLOOKUP($E31,武器奇术!$A:$R,8,FALSE))</f>
        <v>1650.51420006233</v>
      </c>
      <c r="CH31" s="104">
        <f t="shared" si="18"/>
        <v>0.8703</v>
      </c>
      <c r="CI31" s="103">
        <f>CA31*IF(VLOOKUP($E31,武器奇术!$A:$R,17,FALSE)="牵丝",VLOOKUP($E31,武器奇术!$A:$R,4,FALSE),VLOOKUP($E31,武器奇术!$A:$R,2,FALSE))*(1+CB31)*(1+CC31)*CD31*(1+$E$17+VLOOKUP($E31,武器奇术!$A:$R,10,FALSE))</f>
        <v>1826.1489511382</v>
      </c>
      <c r="CJ31" s="104">
        <f t="shared" si="19"/>
        <v>0.0986</v>
      </c>
      <c r="CK31" s="124">
        <f>BZ31*IF(VLOOKUP($E31,武器奇术!$A:$R,17,FALSE)="牵丝",VLOOKUP($E31,武器奇术!$A:$R,4,FALSE),VLOOKUP($E31,武器奇术!$A:$R,2,FALSE))*(1+CB31)*(1+CC31)*CD31</f>
        <v>1003.96240879704</v>
      </c>
      <c r="CL31" s="104">
        <f t="shared" si="20"/>
        <v>0.0311</v>
      </c>
      <c r="CM31" s="112">
        <f t="shared" ref="CM30:CM94" si="39">CE31*CF31+CG31*CH31+CI31*CJ31+CK31*CL31</f>
        <v>1647.72402581006</v>
      </c>
      <c r="CN31" s="110">
        <f>$B$13*IF($G$5="撼天",1.05,1)+IF(AND(VLOOKUP($E31,武器奇术!$A:$R,15,FALSE)="武器",VLOOKUP($E31,武器奇术!$A:$R,17,FALSE)="破竹"),$E$3*(1+$E$15),0)</f>
        <v>0</v>
      </c>
      <c r="CO31" s="102">
        <f t="shared" si="21"/>
        <v>0</v>
      </c>
      <c r="CP31" s="102">
        <f>MAX($C$13*IF($G$5="撼天",1.05,1)+IF(AND(VLOOKUP($E31,武器奇术!$A:$R,15,FALSE)="武器",VLOOKUP($E31,武器奇术!$A:$R,17,FALSE)="破竹"),$E$3*(1+$E$15),0),CN31)</f>
        <v>0</v>
      </c>
      <c r="CQ31" s="104">
        <f>IF(($D$13+IF(VLOOKUP($E31,武器奇术!$A:$R,17,FALSE)="破竹",$D$15,0)-VLOOKUP($F$7,目标属性!$A:$R,6,FALSE))&gt;0,($D$13+IF(VLOOKUP($E31,武器奇术!$A:$R,17,FALSE)="破竹",$D$15,0)-VLOOKUP($F$7,目标属性!$A:$R,6,FALSE))/200,($D$13+IF(VLOOKUP($E31,武器奇术!$A:$R,17,FALSE)="破竹",$D$15,0)-VLOOKUP($F$7,目标属性!$A:$R,6,FALSE))/100)</f>
        <v>-0.24</v>
      </c>
      <c r="CR31" s="111">
        <f t="shared" si="22"/>
        <v>0</v>
      </c>
      <c r="CS31" s="102">
        <v>1</v>
      </c>
      <c r="CT31" s="103">
        <f>CN31*IF(VLOOKUP($E31,武器奇术!$A:$R,17,FALSE)="破竹",VLOOKUP($E31,武器奇术!$A:$R,4,FALSE),VLOOKUP($E31,武器奇术!$A:$R,2,FALSE))*(1+CQ31)*(1+CR31)*CS31</f>
        <v>0</v>
      </c>
      <c r="CU31" s="104">
        <f>(1-IF(VLOOKUP($E31,武器奇术!$A:$R,18,FALSE)="叶龙",1,$N31))*(1-$M31)</f>
        <v>0</v>
      </c>
      <c r="CV31" s="103">
        <f>CO31*IF(VLOOKUP($E31,武器奇术!$A:$R,17,FALSE)="破竹",VLOOKUP($E31,武器奇术!$A:$R,4,FALSE),VLOOKUP($E31,武器奇术!$A:$R,2,FALSE))*(1+CQ31)*(1+CR31)*CS31*(1+$E$16+VLOOKUP($E31,武器奇术!$A:$R,8,FALSE))</f>
        <v>0</v>
      </c>
      <c r="CW31" s="104">
        <f t="shared" si="23"/>
        <v>0.8703</v>
      </c>
      <c r="CX31" s="103">
        <f>CP31*IF(VLOOKUP($E31,武器奇术!$A:$R,17,FALSE)="破竹",VLOOKUP($E31,武器奇术!$A:$R,4,FALSE),VLOOKUP($E31,武器奇术!$A:$R,2,FALSE))*(1+CQ31)*(1+CR31)*CS31*(1+$E$17+VLOOKUP($E31,武器奇术!$A:$R,10,FALSE))</f>
        <v>0</v>
      </c>
      <c r="CY31" s="104">
        <f t="shared" si="24"/>
        <v>0.0986</v>
      </c>
      <c r="CZ31" s="103">
        <f>CO31*IF(VLOOKUP($E31,武器奇术!$A:$R,17,FALSE)="破竹",VLOOKUP($E31,武器奇术!$A:$R,4,FALSE),VLOOKUP($E31,武器奇术!$A:$R,2,FALSE))*(1+CQ31)*(1+CR31)*CS31</f>
        <v>0</v>
      </c>
      <c r="DA31" s="104">
        <f t="shared" si="25"/>
        <v>0.0311</v>
      </c>
      <c r="DB31" s="112">
        <f t="shared" si="26"/>
        <v>0</v>
      </c>
      <c r="DC31" s="110">
        <f t="shared" ref="DC31:DC103" si="40">$B$15*IF($G$5="撼天",1.05,1)</f>
        <v>66</v>
      </c>
      <c r="DD31" s="102">
        <f t="shared" si="27"/>
        <v>125.8</v>
      </c>
      <c r="DE31" s="102">
        <f t="shared" ref="DE31:DE103" si="41">$C$15*IF($G$5="撼天",1.05,1)</f>
        <v>185.6</v>
      </c>
      <c r="DF31" s="104">
        <f>IF((IF(VLOOKUP($E31,武器奇术!$A:$R,17,FALSE)="鸣金",$D$7,0)+IF(VLOOKUP($E31,武器奇术!$A:$R,17,FALSE)="裂石",$D$9,0)+IF(VLOOKUP($E31,武器奇术!$A:$R,17,FALSE)="牵丝",$D$11,0)+IF(VLOOKUP($E31,武器奇术!$A:$R,17,FALSE)="破竹",$D$13,0)+$D$15-VLOOKUP($F$7,目标属性!$A:$R,6,FALSE))&gt;0,(IF(VLOOKUP($E31,武器奇术!$A:$R,17,FALSE)="鸣金",$D$7,0)+IF(VLOOKUP($E31,武器奇术!$A:$R,17,FALSE)="裂石",$D$9,0)+IF(VLOOKUP($E31,武器奇术!$A:$R,17,FALSE)="牵丝",$D$11,0)+IF(VLOOKUP($E31,武器奇术!$A:$R,17,FALSE)="破竹",$D$13,0)+$D$15-VLOOKUP($F$7,目标属性!$A:$R,6,FALSE))/200,(IF(VLOOKUP($E31,武器奇术!$A:$R,17,FALSE)="鸣金",$D$7,0)+IF(VLOOKUP($E31,武器奇术!$A:$R,17,FALSE)="裂石",$D$9,0)+IF(VLOOKUP($E31,武器奇术!$A:$R,17,FALSE)="牵丝",$D$11,0)+IF(VLOOKUP($E31,武器奇术!$A:$R,17,FALSE)="破竹",$D$13,0)+$D$15-VLOOKUP($F$7,目标属性!$A:$R,6,FALSE))/100)</f>
        <v>0.028</v>
      </c>
      <c r="DG31" s="111">
        <f>$E$11+IF($G$5="烟柳",IF(VLOOKUP($E31,武器奇术!$A:$T,20,FALSE)=1,0.1,0),0)</f>
        <v>0.148</v>
      </c>
      <c r="DH31" s="102">
        <v>1</v>
      </c>
      <c r="DI31" s="103">
        <f>DC31*IF(VLOOKUP($E31,武器奇术!$A:$R,17,FALSE)="牵丝",VLOOKUP($E31,武器奇术!$A:$R,4,FALSE),VLOOKUP($E31,武器奇术!$A:$R,2,FALSE))*(1+DF31)*(1+DG31)*DH31</f>
        <v>62.973663984</v>
      </c>
      <c r="DJ31" s="104">
        <f>(1-IF(VLOOKUP($E31,武器奇术!$A:$R,18,FALSE)="叶龙",1,$N31))*(1-$M31)</f>
        <v>0</v>
      </c>
      <c r="DK31" s="124">
        <f>DD31*IF(VLOOKUP($E31,武器奇术!$A:$R,17,FALSE)="牵丝",VLOOKUP($E31,武器奇术!$A:$R,4,FALSE),VLOOKUP($E31,武器奇术!$A:$R,2,FALSE))*(1+DF31)*(1+DG31)*DH31*(1+$E$16+VLOOKUP($E31,武器奇术!$A:$R,8,FALSE))</f>
        <v>197.331983508845</v>
      </c>
      <c r="DL31" s="104">
        <f t="shared" si="28"/>
        <v>0.8703</v>
      </c>
      <c r="DM31" s="103">
        <f>DE31*IF(VLOOKUP($E31,武器奇术!$A:$R,17,FALSE)="牵丝",VLOOKUP($E31,武器奇术!$A:$R,4,FALSE),VLOOKUP($E31,武器奇术!$A:$R,2,FALSE))*(1+DF31)*(1+DG31)*DH31*(1+$E$17+VLOOKUP($E31,武器奇术!$A:$R,10,FALSE))</f>
        <v>239.07092799744</v>
      </c>
      <c r="DN31" s="104">
        <f t="shared" si="29"/>
        <v>0.0986</v>
      </c>
      <c r="DO31" s="124">
        <f>DD31*IF(VLOOKUP($E31,武器奇术!$A:$R,17,FALSE)="牵丝",VLOOKUP($E31,武器奇术!$A:$R,4,FALSE),VLOOKUP($E31,武器奇术!$A:$R,2,FALSE))*(1+DF31)*(1+DG31)*DH31</f>
        <v>120.0316201392</v>
      </c>
      <c r="DP31" s="104">
        <f t="shared" si="30"/>
        <v>0.0311</v>
      </c>
      <c r="DQ31" s="112">
        <f t="shared" si="31"/>
        <v>199.043402134624</v>
      </c>
    </row>
    <row r="32" spans="1:121">
      <c r="B32" s="125"/>
      <c r="C32" s="21"/>
      <c r="D32" s="126"/>
      <c r="E32" s="115" t="s">
        <v>130</v>
      </c>
      <c r="F32" s="116">
        <v>1</v>
      </c>
      <c r="G32" s="117"/>
      <c r="H32" s="103">
        <f>IF(VLOOKUP($E32,武器奇术!$A:$R,18,FALSE)="天工",AE32,(AE32+AT32+BI32+BX32+CM32+DB32+DQ32))*(1+J32)*F32*K32*(1+G32)</f>
        <v>19593.2548974584</v>
      </c>
      <c r="I32" s="104">
        <f t="shared" si="0"/>
        <v>0.00225812180147682</v>
      </c>
      <c r="J32" s="118">
        <f>$F$3+VLOOKUP($E32,武器奇术!$A:$R,12,FALSE)+VLOOKUP($E32,武器奇术!$A:$R,14,FALSE)*$G$3+$P32+IF($F$21="√",5%,0)</f>
        <v>0.467</v>
      </c>
      <c r="K32" s="105">
        <f>VLOOKUP($E32,武器奇术!$A:$R,11,FALSE)</f>
        <v>1</v>
      </c>
      <c r="L32" s="119">
        <f>IF(VLOOKUP($E32,武器奇术!$A:$R,15,FALSE)="天工",0%,IF($C$17+VLOOKUP($E32,武器奇术!$A:$R,7,FALSE)&gt;80%,80%,$C$17+VLOOKUP($E32,武器奇术!$A:$R,7,FALSE))+IF($C$19&gt;20%,20%,$C$19))</f>
        <v>0.8703</v>
      </c>
      <c r="M32" s="120">
        <f>IF(VLOOKUP($E32,武器奇术!$A:$R,15,FALSE)="天工",0%,IF($C$18+VLOOKUP($E32,武器奇术!$A:$R,9,FALSE)&gt;40%,40%,$C$18+VLOOKUP($E32,武器奇术!$A:$R,9,FALSE))+IF($C$20&gt;10%,10%,$C$20))</f>
        <v>0.0986</v>
      </c>
      <c r="N32" s="121">
        <f>IF(VLOOKUP($E32,武器奇术!$A:$R,15,FALSE)="天工",100%,MIN($C$16,1))</f>
        <v>1</v>
      </c>
      <c r="O32" s="122" t="str">
        <f>VLOOKUP($E32,武器奇术!$A:$R,16,FALSE)</f>
        <v>扇</v>
      </c>
      <c r="P32" s="123">
        <f t="shared" si="32"/>
        <v>0.084</v>
      </c>
      <c r="Q32" s="110">
        <f>$B$5*(1+VLOOKUP($E32,武器奇术!$A:$R,5,FALSE))*(1+VLOOKUP($E32,武器奇术!$A:$S,19,FALSE)+IF($G$5="飞隼",0.1,0)+IF($G$5="撼天",0.05,0))-$F$9+IF($J$5="√",160,0)</f>
        <v>3081.85</v>
      </c>
      <c r="R32" s="102">
        <f>IF(VLOOKUP($E32,武器奇术!$A:$Z,18,FALSE)="叶龙",(S32-(Q32+S32)*0.5)*($G$15-0.5)*2+(Q32+S32)*0.5,(Q32+S32)*0.5)</f>
        <v>3161.85</v>
      </c>
      <c r="S32" s="102">
        <f>MAX($C$5,$B$5)*(1+VLOOKUP($E32,武器奇术!$A:$R,6,FALSE))*(1+VLOOKUP($E32,武器奇术!$A:$S,19,FALSE)+IF($G$5="飞隼",0.1,0)+IF($G$5="撼天",0.05,0))-$F$9+IF($J$5="√",320,0)</f>
        <v>3241.85</v>
      </c>
      <c r="T32" s="104">
        <f>IF(($D$5+VLOOKUP($E32,武器奇术!$A:$R,13,FALSE)+IF($I$3="√",10,0)-VLOOKUP($F$7,目标属性!$A:$R,5,FALSE))&gt;0,($D$5+VLOOKUP($E32,武器奇术!$A:$R,13,FALSE)+IF($I$3="√",10,0)-VLOOKUP($F$7,目标属性!$A:$R,5,FALSE))/200,($D$5+VLOOKUP($E32,武器奇术!$A:$R,13,FALSE)+IF($I$3="√",10,0)-VLOOKUP($F$7,目标属性!$A:$R,5,FALSE))/100)</f>
        <v>0.2675</v>
      </c>
      <c r="U32" s="111">
        <f>$E$5+IF($G$5="烟柳",IF(VLOOKUP($E32,武器奇术!$A:$T,20,FALSE)=1,0.1,0),0)</f>
        <v>0</v>
      </c>
      <c r="V32" s="102">
        <v>1</v>
      </c>
      <c r="W32" s="103">
        <f>Q32*VLOOKUP($E32,武器奇术!$A:$R,2,FALSE)*(1+T32)*(1+U32)*V32</f>
        <v>4997.2590685875</v>
      </c>
      <c r="X32" s="104">
        <f>(1-IF(VLOOKUP($E32,武器奇术!$A:$R,18,FALSE)="叶龙",1,$N32))*(1-$M32)</f>
        <v>0</v>
      </c>
      <c r="Y32" s="103">
        <f>R32*VLOOKUP($E32,武器奇术!$A:$R,2,FALSE)*(1+T32)*(1+U32)*V32*(1+$E$16+VLOOKUP($E32,武器奇术!$A:$R,8,FALSE))</f>
        <v>8428.75526563785</v>
      </c>
      <c r="Z32" s="104">
        <f t="shared" si="33"/>
        <v>0.8703</v>
      </c>
      <c r="AA32" s="103">
        <f>S32*VLOOKUP($E32,武器奇术!$A:$R,2,FALSE)*(1+T32)*(1+U32)*V32*(1+$E$17+VLOOKUP($E32,武器奇术!$A:$R,10,FALSE))</f>
        <v>7096.54649659313</v>
      </c>
      <c r="AB32" s="104">
        <f t="shared" si="34"/>
        <v>0.0986</v>
      </c>
      <c r="AC32" s="103">
        <f>R32*VLOOKUP($E32,武器奇术!$A:$R,2,FALSE)*(1+T32)*(1+U32)*V32</f>
        <v>5126.9800885875</v>
      </c>
      <c r="AD32" s="104">
        <f t="shared" si="35"/>
        <v>0.0311</v>
      </c>
      <c r="AE32" s="112">
        <f t="shared" si="36"/>
        <v>8194.71427300377</v>
      </c>
      <c r="AF32" s="113">
        <f>VLOOKUP($E32,武器奇术!$A:$R,3,FALSE)*(1+IF(VLOOKUP($E32,武器奇术!$A:$R,15,FALSE)="武器",$E$15,0))</f>
        <v>384.8</v>
      </c>
      <c r="AG32" s="103">
        <f t="shared" si="1"/>
        <v>384.8</v>
      </c>
      <c r="AH32" s="103">
        <f>VLOOKUP($E32,武器奇术!$A:$R,3,FALSE)*(1+IF(VLOOKUP($E32,武器奇术!$A:$R,15,FALSE)="武器",$E$15,0))</f>
        <v>384.8</v>
      </c>
      <c r="AI32" s="104">
        <f>IF(($D$5+VLOOKUP($E32,武器奇术!$A:$R,13,FALSE)+IF($I$3="√",10,0)-VLOOKUP($F$7,目标属性!$A:$R,5,FALSE))&gt;0,($D$5+VLOOKUP($E32,武器奇术!$A:$R,13,FALSE)+IF($I$3="√",10,0)-VLOOKUP($F$7,目标属性!$A:$R,5,FALSE))/200,($D$5+VLOOKUP($E32,武器奇术!$A:$R,13,FALSE)+IF($I$3="√",10,0)-VLOOKUP($F$7,目标属性!$A:$R,5,FALSE))/100)</f>
        <v>0.2675</v>
      </c>
      <c r="AJ32" s="111">
        <f>$E$5+IF($G$5="烟柳",IF(VLOOKUP($E32,武器奇术!$A:$T,20,FALSE)=1,0.1,0),0)</f>
        <v>0</v>
      </c>
      <c r="AK32" s="102">
        <v>1</v>
      </c>
      <c r="AL32" s="103">
        <f t="shared" si="37"/>
        <v>487.734</v>
      </c>
      <c r="AM32" s="104">
        <f>(1-IF(VLOOKUP($E32,武器奇术!$A:$R,18,FALSE)="叶龙",1,$N32))*(1-$M32)</f>
        <v>0</v>
      </c>
      <c r="AN32" s="103">
        <f>AG32*(1+AI32)*(1+AJ32)*AK32*(1+$E$16+VLOOKUP($E32,武器奇术!$A:$R,8,FALSE))</f>
        <v>801.834696</v>
      </c>
      <c r="AO32" s="104">
        <f t="shared" si="2"/>
        <v>0.8703</v>
      </c>
      <c r="AP32" s="103">
        <f>AH32*(1+AI32)*(1+AJ32)*AK32*(1+$E$17+VLOOKUP($E32,武器奇术!$A:$R,10,FALSE))</f>
        <v>658.4409</v>
      </c>
      <c r="AQ32" s="104">
        <f t="shared" si="3"/>
        <v>0.0986</v>
      </c>
      <c r="AR32" s="103">
        <f t="shared" si="38"/>
        <v>487.734</v>
      </c>
      <c r="AS32" s="104">
        <f t="shared" si="4"/>
        <v>0.0311</v>
      </c>
      <c r="AT32" s="112">
        <f t="shared" si="5"/>
        <v>777.9275360688</v>
      </c>
      <c r="AU32" s="110">
        <f>$B$7*IF($G$5="撼天",1.05,1)+IF(AND(VLOOKUP($E32,武器奇术!$A:$R,15,FALSE)="武器",VLOOKUP($E32,武器奇术!$A:$R,17,FALSE)="鸣金"),$E$3*(1+$E$15),0)</f>
        <v>0</v>
      </c>
      <c r="AV32" s="102">
        <f t="shared" si="6"/>
        <v>0</v>
      </c>
      <c r="AW32" s="102">
        <f>MAX($C$7*IF($G$5="撼天",1.05,1)+IF(AND(VLOOKUP($E32,武器奇术!$A:$R,15,FALSE)="武器",VLOOKUP($E32,武器奇术!$A:$R,17,FALSE)="鸣金"),$E$3*(1+$E$15),0),AU32)</f>
        <v>0</v>
      </c>
      <c r="AX32" s="104">
        <f>IF(($D$7+IF(VLOOKUP($E32,武器奇术!$A:$R,17,FALSE)="鸣金",$D$15,0)-VLOOKUP($F$7,目标属性!$A:$R,6,FALSE))&gt;0,($D$7+IF(VLOOKUP($E32,武器奇术!$A:$R,17,FALSE)="鸣金",$D$15,0)-VLOOKUP($F$7,目标属性!$A:$R,6,FALSE))/200,($D$7+IF(VLOOKUP($E32,武器奇术!$A:$R,17,FALSE)="鸣金",$D$15,0)-VLOOKUP($F$7,目标属性!$A:$R,6,FALSE))/100)</f>
        <v>-0.24</v>
      </c>
      <c r="AY32" s="111">
        <f t="shared" si="7"/>
        <v>0</v>
      </c>
      <c r="AZ32" s="102">
        <v>1</v>
      </c>
      <c r="BA32" s="103">
        <f>AU32*IF(VLOOKUP($E32,武器奇术!$A:$R,17,FALSE)="鸣金",VLOOKUP($E32,武器奇术!$A:$R,4,FALSE),VLOOKUP($E32,武器奇术!$A:$R,2,FALSE))*(1+AX32)*(1+AY32)*AZ32</f>
        <v>0</v>
      </c>
      <c r="BB32" s="104">
        <f>(1-IF(VLOOKUP($E32,武器奇术!$A:$R,18,FALSE)="叶龙",1,$N32))*(1-$M32)</f>
        <v>0</v>
      </c>
      <c r="BC32" s="103">
        <f>AV32*IF(VLOOKUP($E32,武器奇术!$A:$R,17,FALSE)="鸣金",VLOOKUP($E32,武器奇术!$A:$R,4,FALSE),VLOOKUP($E32,武器奇术!$A:$R,2,FALSE))*(1+AX32)*(1+AY32)*AZ32*(1+$E$16+VLOOKUP($E32,武器奇术!$A:$R,8,FALSE))</f>
        <v>0</v>
      </c>
      <c r="BD32" s="104">
        <f t="shared" si="8"/>
        <v>0.8703</v>
      </c>
      <c r="BE32" s="103">
        <f>AW32*IF(VLOOKUP($E32,武器奇术!$A:$R,17,FALSE)="鸣金",VLOOKUP($E32,武器奇术!$A:$R,4,FALSE),VLOOKUP($E32,武器奇术!$A:$R,2,FALSE))*(1+AX32)*(1+AY32)*AZ32*(1+$E$17+VLOOKUP($E32,武器奇术!$A:$R,10,FALSE))</f>
        <v>0</v>
      </c>
      <c r="BF32" s="104">
        <f t="shared" si="9"/>
        <v>0.0986</v>
      </c>
      <c r="BG32" s="103">
        <f>AV32*IF(VLOOKUP($E32,武器奇术!$A:$R,17,FALSE)="鸣金",VLOOKUP($E32,武器奇术!$A:$R,4,FALSE),VLOOKUP($E32,武器奇术!$A:$R,2,FALSE))*(1+AX32)*(1+AY32)*AZ32</f>
        <v>0</v>
      </c>
      <c r="BH32" s="104">
        <f t="shared" si="10"/>
        <v>0.0311</v>
      </c>
      <c r="BI32" s="112">
        <f t="shared" si="11"/>
        <v>0</v>
      </c>
      <c r="BJ32" s="110">
        <f>$B$9*IF($G$5="撼天",1.05,1)+IF(AND(VLOOKUP($E32,武器奇术!$A:$R,15,FALSE)="武器",VLOOKUP($E32,武器奇术!$A:$R,17,FALSE)="裂石"),$E$3*(1+$E$15),0)</f>
        <v>0</v>
      </c>
      <c r="BK32" s="102">
        <f t="shared" si="12"/>
        <v>0</v>
      </c>
      <c r="BL32" s="102">
        <f>MAX($C$9*IF($G$5="撼天",1.05,1)+IF(AND(VLOOKUP($E32,武器奇术!$A:$R,15,FALSE)="武器",VLOOKUP($E32,武器奇术!$A:$R,17,FALSE)="裂石"),$E$3*(1+$E$15),0),BJ32)</f>
        <v>0</v>
      </c>
      <c r="BM32" s="104">
        <f>IF(($D$9+IF(VLOOKUP($E32,武器奇术!$A:$R,17,FALSE)="裂石",$D$15,0)-VLOOKUP($F$7,目标属性!$A:$R,6,FALSE))&gt;0,($D$9+IF(VLOOKUP($E32,武器奇术!$A:$R,17,FALSE)="裂石",$D$15,0)-VLOOKUP($F$7,目标属性!$A:$R,6,FALSE))/200,($D$9+IF(VLOOKUP($E32,武器奇术!$A:$R,17,FALSE)="裂石",$D$15,0)-VLOOKUP($F$7,目标属性!$A:$R,6,FALSE))/100)</f>
        <v>-0.24</v>
      </c>
      <c r="BN32" s="111">
        <f t="shared" si="13"/>
        <v>0</v>
      </c>
      <c r="BO32" s="102">
        <v>1</v>
      </c>
      <c r="BP32" s="103">
        <f>BJ32*IF(VLOOKUP($E32,武器奇术!$A:$R,17,FALSE)="裂石",VLOOKUP($E32,武器奇术!$A:$R,4,FALSE),VLOOKUP($E32,武器奇术!$A:$R,2,FALSE))*(1+BM32)*(1+BN32)*BO32</f>
        <v>0</v>
      </c>
      <c r="BQ32" s="104">
        <f>(1-IF(VLOOKUP($E32,武器奇术!$A:$R,18,FALSE)="叶龙",1,$N32))*(1-$M32)</f>
        <v>0</v>
      </c>
      <c r="BR32" s="103">
        <f>BK32*IF(VLOOKUP($E32,武器奇术!$A:$R,17,FALSE)="裂石",VLOOKUP($E32,武器奇术!$A:$R,4,FALSE),VLOOKUP($E32,武器奇术!$A:$R,2,FALSE))*(1+BM32)*(1+BN32)*BO32*(1+$E$16+VLOOKUP($E32,武器奇术!$A:$R,8,FALSE))</f>
        <v>0</v>
      </c>
      <c r="BS32" s="104">
        <f t="shared" si="14"/>
        <v>0.8703</v>
      </c>
      <c r="BT32" s="103">
        <f>BL32*IF(VLOOKUP($E32,武器奇术!$A:$R,17,FALSE)="裂石",VLOOKUP($E32,武器奇术!$A:$R,4,FALSE),VLOOKUP($E32,武器奇术!$A:$R,2,FALSE))*(1+BM32)*(1+BN32)*BO32*(1+$E$17+VLOOKUP($E32,武器奇术!$A:$R,10,FALSE))</f>
        <v>0</v>
      </c>
      <c r="BU32" s="104">
        <f t="shared" si="15"/>
        <v>0.0986</v>
      </c>
      <c r="BV32" s="103">
        <f>BK32*IF(VLOOKUP($E32,武器奇术!$A:$R,17,FALSE)="裂石",VLOOKUP($E32,武器奇术!$A:$R,4,FALSE),VLOOKUP($E32,武器奇术!$A:$R,2,FALSE))*(1+BM32)*(1+BN32)*BO32</f>
        <v>0</v>
      </c>
      <c r="BW32" s="104">
        <f t="shared" si="16"/>
        <v>0.0311</v>
      </c>
      <c r="BX32" s="112">
        <f t="shared" si="17"/>
        <v>0</v>
      </c>
      <c r="BY32" s="110">
        <f>$B$11*IF($G$5="撼天",1.05,1)+IF(AND(VLOOKUP($E32,武器奇术!$A:$R,15,FALSE)="武器",VLOOKUP($E32,武器奇术!$A:$R,17,FALSE)="牵丝"),$E$3*(1+$E$15),0)</f>
        <v>686.71</v>
      </c>
      <c r="BZ32" s="102">
        <f>IF(VLOOKUP($E32,武器奇术!$A:$Z,18,FALSE)="叶龙",(CA32-(BY32+CA32)*0.5)*($G$15-0.5)*2+(BY32+CA32)*0.5,(BY32+CA32)*0.5)</f>
        <v>1052.21</v>
      </c>
      <c r="CA32" s="102">
        <f>MAX($C$11*IF($G$5="撼天",1.05,1)+IF(AND(VLOOKUP($E32,武器奇术!$A:$R,15,FALSE)="武器",VLOOKUP($E32,武器奇术!$A:$R,17,FALSE)="牵丝"),$E$3*(1+$E$15),0),BY32)</f>
        <v>1417.71</v>
      </c>
      <c r="CB32" s="104">
        <f>IF(($D$11+IF(VLOOKUP($E32,武器奇术!$A:$R,17,FALSE)="牵丝",$D$15,0)-VLOOKUP($F$7,目标属性!$A:$R,6,FALSE))&gt;0,($D$11+IF(VLOOKUP($E32,武器奇术!$A:$R,17,FALSE)="牵丝",$D$15,0)-VLOOKUP($F$7,目标属性!$A:$R,6,FALSE))/200,($D$11+IF(VLOOKUP($E32,武器奇术!$A:$R,17,FALSE)="牵丝",$D$15,0)-VLOOKUP($F$7,目标属性!$A:$R,6,FALSE))/100)</f>
        <v>0.028</v>
      </c>
      <c r="CC32" s="111">
        <f>$E$11+IF($G$5="烟柳",IF(VLOOKUP($E32,武器奇术!$A:$T,20,FALSE)=1,0.1,0),0)</f>
        <v>0.148</v>
      </c>
      <c r="CD32" s="102">
        <v>1</v>
      </c>
      <c r="CE32" s="103">
        <f>BY32*IF(VLOOKUP($E32,武器奇术!$A:$R,17,FALSE)="牵丝",VLOOKUP($E32,武器奇术!$A:$R,4,FALSE),VLOOKUP($E32,武器奇术!$A:$R,2,FALSE))*(1+CB32)*(1+CC32)*CD32</f>
        <v>1555.18962089456</v>
      </c>
      <c r="CF32" s="104">
        <f>(1-IF(VLOOKUP($E32,武器奇术!$A:$R,18,FALSE)="叶龙",1,$N32))*(1-$M32)</f>
        <v>0</v>
      </c>
      <c r="CG32" s="124">
        <f>BZ32*IF(VLOOKUP($E32,武器奇术!$A:$R,17,FALSE)="牵丝",VLOOKUP($E32,武器奇术!$A:$R,4,FALSE),VLOOKUP($E32,武器奇术!$A:$R,2,FALSE))*(1+CB32)*(1+CC32)*CD32*(1+$E$16+VLOOKUP($E32,武器奇术!$A:$R,8,FALSE))</f>
        <v>3917.54700051901</v>
      </c>
      <c r="CH32" s="104">
        <f t="shared" si="18"/>
        <v>0.8703</v>
      </c>
      <c r="CI32" s="103">
        <f>CA32*IF(VLOOKUP($E32,武器奇术!$A:$R,17,FALSE)="牵丝",VLOOKUP($E32,武器奇术!$A:$R,4,FALSE),VLOOKUP($E32,武器奇术!$A:$R,2,FALSE))*(1+CB32)*(1+CC32)*CD32*(1+$E$17+VLOOKUP($E32,武器奇术!$A:$R,10,FALSE))</f>
        <v>4334.42156738926</v>
      </c>
      <c r="CJ32" s="104">
        <f t="shared" si="19"/>
        <v>0.0986</v>
      </c>
      <c r="CK32" s="124">
        <f>BZ32*IF(VLOOKUP($E32,武器奇术!$A:$R,17,FALSE)="牵丝",VLOOKUP($E32,武器奇术!$A:$R,4,FALSE),VLOOKUP($E32,武器奇术!$A:$R,2,FALSE))*(1+CB32)*(1+CC32)*CD32</f>
        <v>2382.93613170256</v>
      </c>
      <c r="CL32" s="104">
        <f t="shared" si="20"/>
        <v>0.0311</v>
      </c>
      <c r="CM32" s="112">
        <f t="shared" si="39"/>
        <v>3910.92443479222</v>
      </c>
      <c r="CN32" s="110">
        <f>$B$13*IF($G$5="撼天",1.05,1)+IF(AND(VLOOKUP($E32,武器奇术!$A:$R,15,FALSE)="武器",VLOOKUP($E32,武器奇术!$A:$R,17,FALSE)="破竹"),$E$3*(1+$E$15),0)</f>
        <v>0</v>
      </c>
      <c r="CO32" s="102">
        <f t="shared" si="21"/>
        <v>0</v>
      </c>
      <c r="CP32" s="102">
        <f>MAX($C$13*IF($G$5="撼天",1.05,1)+IF(AND(VLOOKUP($E32,武器奇术!$A:$R,15,FALSE)="武器",VLOOKUP($E32,武器奇术!$A:$R,17,FALSE)="破竹"),$E$3*(1+$E$15),0),CN32)</f>
        <v>0</v>
      </c>
      <c r="CQ32" s="104">
        <f>IF(($D$13+IF(VLOOKUP($E32,武器奇术!$A:$R,17,FALSE)="破竹",$D$15,0)-VLOOKUP($F$7,目标属性!$A:$R,6,FALSE))&gt;0,($D$13+IF(VLOOKUP($E32,武器奇术!$A:$R,17,FALSE)="破竹",$D$15,0)-VLOOKUP($F$7,目标属性!$A:$R,6,FALSE))/200,($D$13+IF(VLOOKUP($E32,武器奇术!$A:$R,17,FALSE)="破竹",$D$15,0)-VLOOKUP($F$7,目标属性!$A:$R,6,FALSE))/100)</f>
        <v>-0.24</v>
      </c>
      <c r="CR32" s="111">
        <f t="shared" si="22"/>
        <v>0</v>
      </c>
      <c r="CS32" s="102">
        <v>1</v>
      </c>
      <c r="CT32" s="103">
        <f>CN32*IF(VLOOKUP($E32,武器奇术!$A:$R,17,FALSE)="破竹",VLOOKUP($E32,武器奇术!$A:$R,4,FALSE),VLOOKUP($E32,武器奇术!$A:$R,2,FALSE))*(1+CQ32)*(1+CR32)*CS32</f>
        <v>0</v>
      </c>
      <c r="CU32" s="104">
        <f>(1-IF(VLOOKUP($E32,武器奇术!$A:$R,18,FALSE)="叶龙",1,$N32))*(1-$M32)</f>
        <v>0</v>
      </c>
      <c r="CV32" s="103">
        <f>CO32*IF(VLOOKUP($E32,武器奇术!$A:$R,17,FALSE)="破竹",VLOOKUP($E32,武器奇术!$A:$R,4,FALSE),VLOOKUP($E32,武器奇术!$A:$R,2,FALSE))*(1+CQ32)*(1+CR32)*CS32*(1+$E$16+VLOOKUP($E32,武器奇术!$A:$R,8,FALSE))</f>
        <v>0</v>
      </c>
      <c r="CW32" s="104">
        <f t="shared" si="23"/>
        <v>0.8703</v>
      </c>
      <c r="CX32" s="103">
        <f>CP32*IF(VLOOKUP($E32,武器奇术!$A:$R,17,FALSE)="破竹",VLOOKUP($E32,武器奇术!$A:$R,4,FALSE),VLOOKUP($E32,武器奇术!$A:$R,2,FALSE))*(1+CQ32)*(1+CR32)*CS32*(1+$E$17+VLOOKUP($E32,武器奇术!$A:$R,10,FALSE))</f>
        <v>0</v>
      </c>
      <c r="CY32" s="104">
        <f t="shared" si="24"/>
        <v>0.0986</v>
      </c>
      <c r="CZ32" s="103">
        <f>CO32*IF(VLOOKUP($E32,武器奇术!$A:$R,17,FALSE)="破竹",VLOOKUP($E32,武器奇术!$A:$R,4,FALSE),VLOOKUP($E32,武器奇术!$A:$R,2,FALSE))*(1+CQ32)*(1+CR32)*CS32</f>
        <v>0</v>
      </c>
      <c r="DA32" s="104">
        <f t="shared" si="25"/>
        <v>0.0311</v>
      </c>
      <c r="DB32" s="112">
        <f t="shared" si="26"/>
        <v>0</v>
      </c>
      <c r="DC32" s="110">
        <f t="shared" si="40"/>
        <v>66</v>
      </c>
      <c r="DD32" s="102">
        <f t="shared" si="27"/>
        <v>125.8</v>
      </c>
      <c r="DE32" s="102">
        <f t="shared" si="41"/>
        <v>185.6</v>
      </c>
      <c r="DF32" s="104">
        <f>IF((IF(VLOOKUP($E32,武器奇术!$A:$R,17,FALSE)="鸣金",$D$7,0)+IF(VLOOKUP($E32,武器奇术!$A:$R,17,FALSE)="裂石",$D$9,0)+IF(VLOOKUP($E32,武器奇术!$A:$R,17,FALSE)="牵丝",$D$11,0)+IF(VLOOKUP($E32,武器奇术!$A:$R,17,FALSE)="破竹",$D$13,0)+$D$15-VLOOKUP($F$7,目标属性!$A:$R,6,FALSE))&gt;0,(IF(VLOOKUP($E32,武器奇术!$A:$R,17,FALSE)="鸣金",$D$7,0)+IF(VLOOKUP($E32,武器奇术!$A:$R,17,FALSE)="裂石",$D$9,0)+IF(VLOOKUP($E32,武器奇术!$A:$R,17,FALSE)="牵丝",$D$11,0)+IF(VLOOKUP($E32,武器奇术!$A:$R,17,FALSE)="破竹",$D$13,0)+$D$15-VLOOKUP($F$7,目标属性!$A:$R,6,FALSE))/200,(IF(VLOOKUP($E32,武器奇术!$A:$R,17,FALSE)="鸣金",$D$7,0)+IF(VLOOKUP($E32,武器奇术!$A:$R,17,FALSE)="裂石",$D$9,0)+IF(VLOOKUP($E32,武器奇术!$A:$R,17,FALSE)="牵丝",$D$11,0)+IF(VLOOKUP($E32,武器奇术!$A:$R,17,FALSE)="破竹",$D$13,0)+$D$15-VLOOKUP($F$7,目标属性!$A:$R,6,FALSE))/100)</f>
        <v>0.028</v>
      </c>
      <c r="DG32" s="111">
        <f>$E$11+IF($G$5="烟柳",IF(VLOOKUP($E32,武器奇术!$A:$T,20,FALSE)=1,0.1,0),0)</f>
        <v>0.148</v>
      </c>
      <c r="DH32" s="102">
        <v>1</v>
      </c>
      <c r="DI32" s="103">
        <f>DC32*IF(VLOOKUP($E32,武器奇术!$A:$R,17,FALSE)="牵丝",VLOOKUP($E32,武器奇术!$A:$R,4,FALSE),VLOOKUP($E32,武器奇术!$A:$R,2,FALSE))*(1+DF32)*(1+DG32)*DH32</f>
        <v>149.469958176</v>
      </c>
      <c r="DJ32" s="104">
        <f>(1-IF(VLOOKUP($E32,武器奇术!$A:$R,18,FALSE)="叶龙",1,$N32))*(1-$M32)</f>
        <v>0</v>
      </c>
      <c r="DK32" s="124">
        <f>DD32*IF(VLOOKUP($E32,武器奇术!$A:$R,17,FALSE)="牵丝",VLOOKUP($E32,武器奇术!$A:$R,4,FALSE),VLOOKUP($E32,武器奇术!$A:$R,2,FALSE))*(1+DF32)*(1+DG32)*DH32*(1+$E$16+VLOOKUP($E32,武器奇术!$A:$R,8,FALSE))</f>
        <v>468.373625669107</v>
      </c>
      <c r="DL32" s="104">
        <f t="shared" si="28"/>
        <v>0.8703</v>
      </c>
      <c r="DM32" s="103">
        <f>DE32*IF(VLOOKUP($E32,武器奇术!$A:$R,17,FALSE)="牵丝",VLOOKUP($E32,武器奇术!$A:$R,4,FALSE),VLOOKUP($E32,武器奇术!$A:$R,2,FALSE))*(1+DF32)*(1+DG32)*DH32*(1+$E$17+VLOOKUP($E32,武器奇术!$A:$R,10,FALSE))</f>
        <v>567.44231394816</v>
      </c>
      <c r="DN32" s="104">
        <f t="shared" si="29"/>
        <v>0.0986</v>
      </c>
      <c r="DO32" s="124">
        <f>DD32*IF(VLOOKUP($E32,武器奇术!$A:$R,17,FALSE)="牵丝",VLOOKUP($E32,武器奇术!$A:$R,4,FALSE),VLOOKUP($E32,武器奇术!$A:$R,2,FALSE))*(1+DF32)*(1+DG32)*DH32</f>
        <v>284.8987990688</v>
      </c>
      <c r="DP32" s="104">
        <f t="shared" si="30"/>
        <v>0.0311</v>
      </c>
      <c r="DQ32" s="112">
        <f t="shared" si="31"/>
        <v>472.435731226152</v>
      </c>
    </row>
    <row r="33" spans="2:121">
      <c r="B33" s="125"/>
      <c r="C33" s="21"/>
      <c r="D33" s="126"/>
      <c r="E33" s="115" t="s">
        <v>131</v>
      </c>
      <c r="F33" s="116">
        <v>1</v>
      </c>
      <c r="G33" s="117"/>
      <c r="H33" s="103">
        <f>IF(VLOOKUP($E33,武器奇术!$A:$R,18,FALSE)="天工",AE33,(AE33+AT33+BI33+BX33+CM33+DB33+DQ33))*(1+J33)*F33*K33*(1+G33)</f>
        <v>14193.6576261809</v>
      </c>
      <c r="I33" s="104">
        <f t="shared" ref="I33:I96" si="42">H33/$C$30</f>
        <v>0.00163581844344476</v>
      </c>
      <c r="J33" s="118">
        <f>$F$3+VLOOKUP($E33,武器奇术!$A:$R,12,FALSE)+VLOOKUP($E33,武器奇术!$A:$R,14,FALSE)*$G$3+$P33+IF($F$21="√",5%,0)</f>
        <v>0.467</v>
      </c>
      <c r="K33" s="105">
        <f>VLOOKUP($E33,武器奇术!$A:$R,11,FALSE)</f>
        <v>1</v>
      </c>
      <c r="L33" s="119">
        <f>IF(VLOOKUP($E33,武器奇术!$A:$R,15,FALSE)="天工",0%,IF($C$17+VLOOKUP($E33,武器奇术!$A:$R,7,FALSE)&gt;80%,80%,$C$17+VLOOKUP($E33,武器奇术!$A:$R,7,FALSE))+IF($C$19&gt;20%,20%,$C$19))</f>
        <v>0.8703</v>
      </c>
      <c r="M33" s="120">
        <f>IF(VLOOKUP($E33,武器奇术!$A:$R,15,FALSE)="天工",0%,IF($C$18+VLOOKUP($E33,武器奇术!$A:$R,9,FALSE)&gt;40%,40%,$C$18+VLOOKUP($E33,武器奇术!$A:$R,9,FALSE))+IF($C$20&gt;10%,10%,$C$20))</f>
        <v>0.0986</v>
      </c>
      <c r="N33" s="121">
        <f>IF(VLOOKUP($E33,武器奇术!$A:$R,15,FALSE)="天工",100%,MIN($C$16,1))</f>
        <v>1</v>
      </c>
      <c r="O33" s="122" t="str">
        <f>VLOOKUP($E33,武器奇术!$A:$R,16,FALSE)</f>
        <v>扇</v>
      </c>
      <c r="P33" s="123">
        <f t="shared" si="32"/>
        <v>0.084</v>
      </c>
      <c r="Q33" s="110">
        <f>$B$5*(1+VLOOKUP($E33,武器奇术!$A:$R,5,FALSE))*(1+VLOOKUP($E33,武器奇术!$A:$S,19,FALSE)+IF($G$5="飞隼",0.1,0)+IF($G$5="撼天",0.05,0))-$F$9+IF($J$5="√",160,0)</f>
        <v>3081.85</v>
      </c>
      <c r="R33" s="102">
        <f>IF(VLOOKUP($E33,武器奇术!$A:$Z,18,FALSE)="叶龙",(S33-(Q33+S33)*0.5)*($G$15-0.5)*2+(Q33+S33)*0.5,(Q33+S33)*0.5)</f>
        <v>3161.85</v>
      </c>
      <c r="S33" s="102">
        <f>MAX($C$5,$B$5)*(1+VLOOKUP($E33,武器奇术!$A:$R,6,FALSE))*(1+VLOOKUP($E33,武器奇术!$A:$S,19,FALSE)+IF($G$5="飞隼",0.1,0)+IF($G$5="撼天",0.05,0))-$F$9+IF($J$5="√",320,0)</f>
        <v>3241.85</v>
      </c>
      <c r="T33" s="104">
        <f>IF(($D$5+VLOOKUP($E33,武器奇术!$A:$R,13,FALSE)+IF($I$3="√",10,0)-VLOOKUP($F$7,目标属性!$A:$R,5,FALSE))&gt;0,($D$5+VLOOKUP($E33,武器奇术!$A:$R,13,FALSE)+IF($I$3="√",10,0)-VLOOKUP($F$7,目标属性!$A:$R,5,FALSE))/200,($D$5+VLOOKUP($E33,武器奇术!$A:$R,13,FALSE)+IF($I$3="√",10,0)-VLOOKUP($F$7,目标属性!$A:$R,5,FALSE))/100)</f>
        <v>0.2675</v>
      </c>
      <c r="U33" s="111">
        <f>$E$5+IF($G$5="烟柳",IF(VLOOKUP($E33,武器奇术!$A:$T,20,FALSE)=1,0.1,0),0)</f>
        <v>0</v>
      </c>
      <c r="V33" s="102">
        <v>1</v>
      </c>
      <c r="W33" s="103">
        <f>Q33*VLOOKUP($E33,武器奇术!$A:$R,2,FALSE)*(1+T33)*(1+U33)*V33</f>
        <v>3619.526501175</v>
      </c>
      <c r="X33" s="104">
        <f>(1-IF(VLOOKUP($E33,武器奇术!$A:$R,18,FALSE)="叶龙",1,$N33))*(1-$M33)</f>
        <v>0</v>
      </c>
      <c r="Y33" s="103">
        <f>R33*VLOOKUP($E33,武器奇术!$A:$R,2,FALSE)*(1+T33)*(1+U33)*V33*(1+$E$16+VLOOKUP($E33,武器奇术!$A:$R,8,FALSE))</f>
        <v>6104.9672704917</v>
      </c>
      <c r="Z33" s="104">
        <f t="shared" si="33"/>
        <v>0.8703</v>
      </c>
      <c r="AA33" s="103">
        <f>S33*VLOOKUP($E33,武器奇术!$A:$R,2,FALSE)*(1+T33)*(1+U33)*V33*(1+$E$17+VLOOKUP($E33,武器奇术!$A:$R,10,FALSE))</f>
        <v>5140.04532458625</v>
      </c>
      <c r="AB33" s="104">
        <f t="shared" si="34"/>
        <v>0.0986</v>
      </c>
      <c r="AC33" s="103">
        <f>R33*VLOOKUP($E33,武器奇术!$A:$R,2,FALSE)*(1+T33)*(1+U33)*V33</f>
        <v>3713.483741175</v>
      </c>
      <c r="AD33" s="104">
        <f t="shared" si="35"/>
        <v>0.0311</v>
      </c>
      <c r="AE33" s="112">
        <f t="shared" si="36"/>
        <v>5935.45082886367</v>
      </c>
      <c r="AF33" s="113">
        <f>VLOOKUP($E33,武器奇术!$A:$R,3,FALSE)*(1+IF(VLOOKUP($E33,武器奇术!$A:$R,15,FALSE)="武器",$E$15,0))</f>
        <v>279.5</v>
      </c>
      <c r="AG33" s="103">
        <f t="shared" si="1"/>
        <v>279.5</v>
      </c>
      <c r="AH33" s="103">
        <f>VLOOKUP($E33,武器奇术!$A:$R,3,FALSE)*(1+IF(VLOOKUP($E33,武器奇术!$A:$R,15,FALSE)="武器",$E$15,0))</f>
        <v>279.5</v>
      </c>
      <c r="AI33" s="104">
        <f>IF(($D$5+VLOOKUP($E33,武器奇术!$A:$R,13,FALSE)+IF($I$3="√",10,0)-VLOOKUP($F$7,目标属性!$A:$R,5,FALSE))&gt;0,($D$5+VLOOKUP($E33,武器奇术!$A:$R,13,FALSE)+IF($I$3="√",10,0)-VLOOKUP($F$7,目标属性!$A:$R,5,FALSE))/200,($D$5+VLOOKUP($E33,武器奇术!$A:$R,13,FALSE)+IF($I$3="√",10,0)-VLOOKUP($F$7,目标属性!$A:$R,5,FALSE))/100)</f>
        <v>0.2675</v>
      </c>
      <c r="AJ33" s="111">
        <f>$E$5+IF($G$5="烟柳",IF(VLOOKUP($E33,武器奇术!$A:$T,20,FALSE)=1,0.1,0),0)</f>
        <v>0</v>
      </c>
      <c r="AK33" s="102">
        <v>1</v>
      </c>
      <c r="AL33" s="103">
        <f t="shared" si="37"/>
        <v>354.26625</v>
      </c>
      <c r="AM33" s="104">
        <f>(1-IF(VLOOKUP($E33,武器奇术!$A:$R,18,FALSE)="叶龙",1,$N33))*(1-$M33)</f>
        <v>0</v>
      </c>
      <c r="AN33" s="103">
        <f>AG33*(1+AI33)*(1+AJ33)*AK33*(1+$E$16+VLOOKUP($E33,武器奇术!$A:$R,8,FALSE))</f>
        <v>582.413715</v>
      </c>
      <c r="AO33" s="104">
        <f t="shared" si="2"/>
        <v>0.8703</v>
      </c>
      <c r="AP33" s="103">
        <f>AH33*(1+AI33)*(1+AJ33)*AK33*(1+$E$17+VLOOKUP($E33,武器奇术!$A:$R,10,FALSE))</f>
        <v>478.2594375</v>
      </c>
      <c r="AQ33" s="104">
        <f t="shared" si="3"/>
        <v>0.0986</v>
      </c>
      <c r="AR33" s="103">
        <f t="shared" si="38"/>
        <v>354.26625</v>
      </c>
      <c r="AS33" s="104">
        <f t="shared" si="4"/>
        <v>0.0311</v>
      </c>
      <c r="AT33" s="112">
        <f t="shared" si="5"/>
        <v>565.048717077</v>
      </c>
      <c r="AU33" s="110">
        <f>$B$7*IF($G$5="撼天",1.05,1)+IF(AND(VLOOKUP($E33,武器奇术!$A:$R,15,FALSE)="武器",VLOOKUP($E33,武器奇术!$A:$R,17,FALSE)="鸣金"),$E$3*(1+$E$15),0)</f>
        <v>0</v>
      </c>
      <c r="AV33" s="102">
        <f t="shared" si="6"/>
        <v>0</v>
      </c>
      <c r="AW33" s="102">
        <f>MAX($C$7*IF($G$5="撼天",1.05,1)+IF(AND(VLOOKUP($E33,武器奇术!$A:$R,15,FALSE)="武器",VLOOKUP($E33,武器奇术!$A:$R,17,FALSE)="鸣金"),$E$3*(1+$E$15),0),AU33)</f>
        <v>0</v>
      </c>
      <c r="AX33" s="104">
        <f>IF(($D$7+IF(VLOOKUP($E33,武器奇术!$A:$R,17,FALSE)="鸣金",$D$15,0)-VLOOKUP($F$7,目标属性!$A:$R,6,FALSE))&gt;0,($D$7+IF(VLOOKUP($E33,武器奇术!$A:$R,17,FALSE)="鸣金",$D$15,0)-VLOOKUP($F$7,目标属性!$A:$R,6,FALSE))/200,($D$7+IF(VLOOKUP($E33,武器奇术!$A:$R,17,FALSE)="鸣金",$D$15,0)-VLOOKUP($F$7,目标属性!$A:$R,6,FALSE))/100)</f>
        <v>-0.24</v>
      </c>
      <c r="AY33" s="111">
        <f t="shared" si="7"/>
        <v>0</v>
      </c>
      <c r="AZ33" s="102">
        <v>1</v>
      </c>
      <c r="BA33" s="103">
        <f>AU33*IF(VLOOKUP($E33,武器奇术!$A:$R,17,FALSE)="鸣金",VLOOKUP($E33,武器奇术!$A:$R,4,FALSE),VLOOKUP($E33,武器奇术!$A:$R,2,FALSE))*(1+AX33)*(1+AY33)*AZ33</f>
        <v>0</v>
      </c>
      <c r="BB33" s="104">
        <f>(1-IF(VLOOKUP($E33,武器奇术!$A:$R,18,FALSE)="叶龙",1,$N33))*(1-$M33)</f>
        <v>0</v>
      </c>
      <c r="BC33" s="103">
        <f>AV33*IF(VLOOKUP($E33,武器奇术!$A:$R,17,FALSE)="鸣金",VLOOKUP($E33,武器奇术!$A:$R,4,FALSE),VLOOKUP($E33,武器奇术!$A:$R,2,FALSE))*(1+AX33)*(1+AY33)*AZ33*(1+$E$16+VLOOKUP($E33,武器奇术!$A:$R,8,FALSE))</f>
        <v>0</v>
      </c>
      <c r="BD33" s="104">
        <f t="shared" si="8"/>
        <v>0.8703</v>
      </c>
      <c r="BE33" s="103">
        <f>AW33*IF(VLOOKUP($E33,武器奇术!$A:$R,17,FALSE)="鸣金",VLOOKUP($E33,武器奇术!$A:$R,4,FALSE),VLOOKUP($E33,武器奇术!$A:$R,2,FALSE))*(1+AX33)*(1+AY33)*AZ33*(1+$E$17+VLOOKUP($E33,武器奇术!$A:$R,10,FALSE))</f>
        <v>0</v>
      </c>
      <c r="BF33" s="104">
        <f t="shared" si="9"/>
        <v>0.0986</v>
      </c>
      <c r="BG33" s="103">
        <f>AV33*IF(VLOOKUP($E33,武器奇术!$A:$R,17,FALSE)="鸣金",VLOOKUP($E33,武器奇术!$A:$R,4,FALSE),VLOOKUP($E33,武器奇术!$A:$R,2,FALSE))*(1+AX33)*(1+AY33)*AZ33</f>
        <v>0</v>
      </c>
      <c r="BH33" s="104">
        <f t="shared" si="10"/>
        <v>0.0311</v>
      </c>
      <c r="BI33" s="112">
        <f t="shared" si="11"/>
        <v>0</v>
      </c>
      <c r="BJ33" s="110">
        <f>$B$9*IF($G$5="撼天",1.05,1)+IF(AND(VLOOKUP($E33,武器奇术!$A:$R,15,FALSE)="武器",VLOOKUP($E33,武器奇术!$A:$R,17,FALSE)="裂石"),$E$3*(1+$E$15),0)</f>
        <v>0</v>
      </c>
      <c r="BK33" s="102">
        <f t="shared" si="12"/>
        <v>0</v>
      </c>
      <c r="BL33" s="102">
        <f>MAX($C$9*IF($G$5="撼天",1.05,1)+IF(AND(VLOOKUP($E33,武器奇术!$A:$R,15,FALSE)="武器",VLOOKUP($E33,武器奇术!$A:$R,17,FALSE)="裂石"),$E$3*(1+$E$15),0),BJ33)</f>
        <v>0</v>
      </c>
      <c r="BM33" s="104">
        <f>IF(($D$9+IF(VLOOKUP($E33,武器奇术!$A:$R,17,FALSE)="裂石",$D$15,0)-VLOOKUP($F$7,目标属性!$A:$R,6,FALSE))&gt;0,($D$9+IF(VLOOKUP($E33,武器奇术!$A:$R,17,FALSE)="裂石",$D$15,0)-VLOOKUP($F$7,目标属性!$A:$R,6,FALSE))/200,($D$9+IF(VLOOKUP($E33,武器奇术!$A:$R,17,FALSE)="裂石",$D$15,0)-VLOOKUP($F$7,目标属性!$A:$R,6,FALSE))/100)</f>
        <v>-0.24</v>
      </c>
      <c r="BN33" s="111">
        <f t="shared" si="13"/>
        <v>0</v>
      </c>
      <c r="BO33" s="102">
        <v>1</v>
      </c>
      <c r="BP33" s="103">
        <f>BJ33*IF(VLOOKUP($E33,武器奇术!$A:$R,17,FALSE)="裂石",VLOOKUP($E33,武器奇术!$A:$R,4,FALSE),VLOOKUP($E33,武器奇术!$A:$R,2,FALSE))*(1+BM33)*(1+BN33)*BO33</f>
        <v>0</v>
      </c>
      <c r="BQ33" s="104">
        <f>(1-IF(VLOOKUP($E33,武器奇术!$A:$R,18,FALSE)="叶龙",1,$N33))*(1-$M33)</f>
        <v>0</v>
      </c>
      <c r="BR33" s="103">
        <f>BK33*IF(VLOOKUP($E33,武器奇术!$A:$R,17,FALSE)="裂石",VLOOKUP($E33,武器奇术!$A:$R,4,FALSE),VLOOKUP($E33,武器奇术!$A:$R,2,FALSE))*(1+BM33)*(1+BN33)*BO33*(1+$E$16+VLOOKUP($E33,武器奇术!$A:$R,8,FALSE))</f>
        <v>0</v>
      </c>
      <c r="BS33" s="104">
        <f t="shared" si="14"/>
        <v>0.8703</v>
      </c>
      <c r="BT33" s="103">
        <f>BL33*IF(VLOOKUP($E33,武器奇术!$A:$R,17,FALSE)="裂石",VLOOKUP($E33,武器奇术!$A:$R,4,FALSE),VLOOKUP($E33,武器奇术!$A:$R,2,FALSE))*(1+BM33)*(1+BN33)*BO33*(1+$E$17+VLOOKUP($E33,武器奇术!$A:$R,10,FALSE))</f>
        <v>0</v>
      </c>
      <c r="BU33" s="104">
        <f t="shared" si="15"/>
        <v>0.0986</v>
      </c>
      <c r="BV33" s="103">
        <f>BK33*IF(VLOOKUP($E33,武器奇术!$A:$R,17,FALSE)="裂石",VLOOKUP($E33,武器奇术!$A:$R,4,FALSE),VLOOKUP($E33,武器奇术!$A:$R,2,FALSE))*(1+BM33)*(1+BN33)*BO33</f>
        <v>0</v>
      </c>
      <c r="BW33" s="104">
        <f t="shared" si="16"/>
        <v>0.0311</v>
      </c>
      <c r="BX33" s="112">
        <f t="shared" si="17"/>
        <v>0</v>
      </c>
      <c r="BY33" s="110">
        <f>$B$11*IF($G$5="撼天",1.05,1)+IF(AND(VLOOKUP($E33,武器奇术!$A:$R,15,FALSE)="武器",VLOOKUP($E33,武器奇术!$A:$R,17,FALSE)="牵丝"),$E$3*(1+$E$15),0)</f>
        <v>686.71</v>
      </c>
      <c r="BZ33" s="102">
        <f>IF(VLOOKUP($E33,武器奇术!$A:$Z,18,FALSE)="叶龙",(CA33-(BY33+CA33)*0.5)*($G$15-0.5)*2+(BY33+CA33)*0.5,(BY33+CA33)*0.5)</f>
        <v>1052.21</v>
      </c>
      <c r="CA33" s="102">
        <f>MAX($C$11*IF($G$5="撼天",1.05,1)+IF(AND(VLOOKUP($E33,武器奇术!$A:$R,15,FALSE)="武器",VLOOKUP($E33,武器奇术!$A:$R,17,FALSE)="牵丝"),$E$3*(1+$E$15),0),BY33)</f>
        <v>1417.71</v>
      </c>
      <c r="CB33" s="104">
        <f>IF(($D$11+IF(VLOOKUP($E33,武器奇术!$A:$R,17,FALSE)="牵丝",$D$15,0)-VLOOKUP($F$7,目标属性!$A:$R,6,FALSE))&gt;0,($D$11+IF(VLOOKUP($E33,武器奇术!$A:$R,17,FALSE)="牵丝",$D$15,0)-VLOOKUP($F$7,目标属性!$A:$R,6,FALSE))/200,($D$11+IF(VLOOKUP($E33,武器奇术!$A:$R,17,FALSE)="牵丝",$D$15,0)-VLOOKUP($F$7,目标属性!$A:$R,6,FALSE))/100)</f>
        <v>0.028</v>
      </c>
      <c r="CC33" s="111">
        <f>$E$11+IF($G$5="烟柳",IF(VLOOKUP($E33,武器奇术!$A:$T,20,FALSE)=1,0.1,0),0)</f>
        <v>0.148</v>
      </c>
      <c r="CD33" s="102">
        <v>1</v>
      </c>
      <c r="CE33" s="103">
        <f>BY33*IF(VLOOKUP($E33,武器奇术!$A:$R,17,FALSE)="牵丝",VLOOKUP($E33,武器奇术!$A:$R,4,FALSE),VLOOKUP($E33,武器奇术!$A:$R,2,FALSE))*(1+CB33)*(1+CC33)*CD33</f>
        <v>1126.39815220498</v>
      </c>
      <c r="CF33" s="104">
        <f>(1-IF(VLOOKUP($E33,武器奇术!$A:$R,18,FALSE)="叶龙",1,$N33))*(1-$M33)</f>
        <v>0</v>
      </c>
      <c r="CG33" s="124">
        <f>BZ33*IF(VLOOKUP($E33,武器奇术!$A:$R,17,FALSE)="牵丝",VLOOKUP($E33,武器奇术!$A:$R,4,FALSE),VLOOKUP($E33,武器奇术!$A:$R,2,FALSE))*(1+CB33)*(1+CC33)*CD33*(1+$E$16+VLOOKUP($E33,武器奇术!$A:$R,8,FALSE))</f>
        <v>2837.4145784374</v>
      </c>
      <c r="CH33" s="104">
        <f t="shared" si="18"/>
        <v>0.8703</v>
      </c>
      <c r="CI33" s="103">
        <f>CA33*IF(VLOOKUP($E33,武器奇术!$A:$R,17,FALSE)="牵丝",VLOOKUP($E33,武器奇术!$A:$R,4,FALSE),VLOOKUP($E33,武器奇术!$A:$R,2,FALSE))*(1+CB33)*(1+CC33)*CD33*(1+$E$17+VLOOKUP($E33,武器奇术!$A:$R,10,FALSE))</f>
        <v>3139.34994086208</v>
      </c>
      <c r="CJ33" s="104">
        <f t="shared" si="19"/>
        <v>0.0986</v>
      </c>
      <c r="CK33" s="124">
        <f>BZ33*IF(VLOOKUP($E33,武器奇术!$A:$R,17,FALSE)="牵丝",VLOOKUP($E33,武器奇术!$A:$R,4,FALSE),VLOOKUP($E33,武器奇术!$A:$R,2,FALSE))*(1+CB33)*(1+CC33)*CD33</f>
        <v>1725.92127642178</v>
      </c>
      <c r="CL33" s="104">
        <f t="shared" si="20"/>
        <v>0.0311</v>
      </c>
      <c r="CM33" s="112">
        <f t="shared" si="39"/>
        <v>2832.61796347979</v>
      </c>
      <c r="CN33" s="110">
        <f>$B$13*IF($G$5="撼天",1.05,1)+IF(AND(VLOOKUP($E33,武器奇术!$A:$R,15,FALSE)="武器",VLOOKUP($E33,武器奇术!$A:$R,17,FALSE)="破竹"),$E$3*(1+$E$15),0)</f>
        <v>0</v>
      </c>
      <c r="CO33" s="102">
        <f t="shared" si="21"/>
        <v>0</v>
      </c>
      <c r="CP33" s="102">
        <f>MAX($C$13*IF($G$5="撼天",1.05,1)+IF(AND(VLOOKUP($E33,武器奇术!$A:$R,15,FALSE)="武器",VLOOKUP($E33,武器奇术!$A:$R,17,FALSE)="破竹"),$E$3*(1+$E$15),0),CN33)</f>
        <v>0</v>
      </c>
      <c r="CQ33" s="104">
        <f>IF(($D$13+IF(VLOOKUP($E33,武器奇术!$A:$R,17,FALSE)="破竹",$D$15,0)-VLOOKUP($F$7,目标属性!$A:$R,6,FALSE))&gt;0,($D$13+IF(VLOOKUP($E33,武器奇术!$A:$R,17,FALSE)="破竹",$D$15,0)-VLOOKUP($F$7,目标属性!$A:$R,6,FALSE))/200,($D$13+IF(VLOOKUP($E33,武器奇术!$A:$R,17,FALSE)="破竹",$D$15,0)-VLOOKUP($F$7,目标属性!$A:$R,6,FALSE))/100)</f>
        <v>-0.24</v>
      </c>
      <c r="CR33" s="111">
        <f t="shared" si="22"/>
        <v>0</v>
      </c>
      <c r="CS33" s="102">
        <v>1</v>
      </c>
      <c r="CT33" s="103">
        <f>CN33*IF(VLOOKUP($E33,武器奇术!$A:$R,17,FALSE)="破竹",VLOOKUP($E33,武器奇术!$A:$R,4,FALSE),VLOOKUP($E33,武器奇术!$A:$R,2,FALSE))*(1+CQ33)*(1+CR33)*CS33</f>
        <v>0</v>
      </c>
      <c r="CU33" s="104">
        <f>(1-IF(VLOOKUP($E33,武器奇术!$A:$R,18,FALSE)="叶龙",1,$N33))*(1-$M33)</f>
        <v>0</v>
      </c>
      <c r="CV33" s="103">
        <f>CO33*IF(VLOOKUP($E33,武器奇术!$A:$R,17,FALSE)="破竹",VLOOKUP($E33,武器奇术!$A:$R,4,FALSE),VLOOKUP($E33,武器奇术!$A:$R,2,FALSE))*(1+CQ33)*(1+CR33)*CS33*(1+$E$16+VLOOKUP($E33,武器奇术!$A:$R,8,FALSE))</f>
        <v>0</v>
      </c>
      <c r="CW33" s="104">
        <f t="shared" si="23"/>
        <v>0.8703</v>
      </c>
      <c r="CX33" s="103">
        <f>CP33*IF(VLOOKUP($E33,武器奇术!$A:$R,17,FALSE)="破竹",VLOOKUP($E33,武器奇术!$A:$R,4,FALSE),VLOOKUP($E33,武器奇术!$A:$R,2,FALSE))*(1+CQ33)*(1+CR33)*CS33*(1+$E$17+VLOOKUP($E33,武器奇术!$A:$R,10,FALSE))</f>
        <v>0</v>
      </c>
      <c r="CY33" s="104">
        <f t="shared" si="24"/>
        <v>0.0986</v>
      </c>
      <c r="CZ33" s="103">
        <f>CO33*IF(VLOOKUP($E33,武器奇术!$A:$R,17,FALSE)="破竹",VLOOKUP($E33,武器奇术!$A:$R,4,FALSE),VLOOKUP($E33,武器奇术!$A:$R,2,FALSE))*(1+CQ33)*(1+CR33)*CS33</f>
        <v>0</v>
      </c>
      <c r="DA33" s="104">
        <f t="shared" si="25"/>
        <v>0.0311</v>
      </c>
      <c r="DB33" s="112">
        <f t="shared" si="26"/>
        <v>0</v>
      </c>
      <c r="DC33" s="110">
        <f t="shared" si="40"/>
        <v>66</v>
      </c>
      <c r="DD33" s="102">
        <f t="shared" si="27"/>
        <v>125.8</v>
      </c>
      <c r="DE33" s="102">
        <f t="shared" si="41"/>
        <v>185.6</v>
      </c>
      <c r="DF33" s="104">
        <f>IF((IF(VLOOKUP($E33,武器奇术!$A:$R,17,FALSE)="鸣金",$D$7,0)+IF(VLOOKUP($E33,武器奇术!$A:$R,17,FALSE)="裂石",$D$9,0)+IF(VLOOKUP($E33,武器奇术!$A:$R,17,FALSE)="牵丝",$D$11,0)+IF(VLOOKUP($E33,武器奇术!$A:$R,17,FALSE)="破竹",$D$13,0)+$D$15-VLOOKUP($F$7,目标属性!$A:$R,6,FALSE))&gt;0,(IF(VLOOKUP($E33,武器奇术!$A:$R,17,FALSE)="鸣金",$D$7,0)+IF(VLOOKUP($E33,武器奇术!$A:$R,17,FALSE)="裂石",$D$9,0)+IF(VLOOKUP($E33,武器奇术!$A:$R,17,FALSE)="牵丝",$D$11,0)+IF(VLOOKUP($E33,武器奇术!$A:$R,17,FALSE)="破竹",$D$13,0)+$D$15-VLOOKUP($F$7,目标属性!$A:$R,6,FALSE))/200,(IF(VLOOKUP($E33,武器奇术!$A:$R,17,FALSE)="鸣金",$D$7,0)+IF(VLOOKUP($E33,武器奇术!$A:$R,17,FALSE)="裂石",$D$9,0)+IF(VLOOKUP($E33,武器奇术!$A:$R,17,FALSE)="牵丝",$D$11,0)+IF(VLOOKUP($E33,武器奇术!$A:$R,17,FALSE)="破竹",$D$13,0)+$D$15-VLOOKUP($F$7,目标属性!$A:$R,6,FALSE))/100)</f>
        <v>0.028</v>
      </c>
      <c r="DG33" s="111">
        <f>$E$11+IF($G$5="烟柳",IF(VLOOKUP($E33,武器奇术!$A:$T,20,FALSE)=1,0.1,0),0)</f>
        <v>0.148</v>
      </c>
      <c r="DH33" s="102">
        <v>1</v>
      </c>
      <c r="DI33" s="103">
        <f>DC33*IF(VLOOKUP($E33,武器奇术!$A:$R,17,FALSE)="牵丝",VLOOKUP($E33,武器奇术!$A:$R,4,FALSE),VLOOKUP($E33,武器奇术!$A:$R,2,FALSE))*(1+DF33)*(1+DG33)*DH33</f>
        <v>108.2586216096</v>
      </c>
      <c r="DJ33" s="104">
        <f>(1-IF(VLOOKUP($E33,武器奇术!$A:$R,18,FALSE)="叶龙",1,$N33))*(1-$M33)</f>
        <v>0</v>
      </c>
      <c r="DK33" s="124">
        <f>DD33*IF(VLOOKUP($E33,武器奇术!$A:$R,17,FALSE)="牵丝",VLOOKUP($E33,武器奇术!$A:$R,4,FALSE),VLOOKUP($E33,武器奇术!$A:$R,2,FALSE))*(1+DF33)*(1+DG33)*DH33*(1+$E$16+VLOOKUP($E33,武器奇术!$A:$R,8,FALSE))</f>
        <v>339.235279998693</v>
      </c>
      <c r="DL33" s="104">
        <f t="shared" si="28"/>
        <v>0.8703</v>
      </c>
      <c r="DM33" s="103">
        <f>DE33*IF(VLOOKUP($E33,武器奇术!$A:$R,17,FALSE)="牵丝",VLOOKUP($E33,武器奇术!$A:$R,4,FALSE),VLOOKUP($E33,武器奇术!$A:$R,2,FALSE))*(1+DF33)*(1+DG33)*DH33*(1+$E$17+VLOOKUP($E33,武器奇术!$A:$R,10,FALSE))</f>
        <v>410.989094401536</v>
      </c>
      <c r="DN33" s="104">
        <f t="shared" si="29"/>
        <v>0.0986</v>
      </c>
      <c r="DO33" s="124">
        <f>DD33*IF(VLOOKUP($E33,武器奇术!$A:$R,17,FALSE)="牵丝",VLOOKUP($E33,武器奇术!$A:$R,4,FALSE),VLOOKUP($E33,武器奇术!$A:$R,2,FALSE))*(1+DF33)*(1+DG33)*DH33</f>
        <v>206.34749391648</v>
      </c>
      <c r="DP33" s="104">
        <f t="shared" si="30"/>
        <v>0.0311</v>
      </c>
      <c r="DQ33" s="112">
        <f t="shared" si="31"/>
        <v>342.177395951657</v>
      </c>
    </row>
    <row r="34" ht="14.25" spans="2:121">
      <c r="B34" s="98"/>
      <c r="C34" s="127"/>
      <c r="D34" s="128"/>
      <c r="E34" s="115" t="s">
        <v>132</v>
      </c>
      <c r="F34" s="116">
        <v>1</v>
      </c>
      <c r="G34" s="117"/>
      <c r="H34" s="103">
        <f>IF(VLOOKUP($E34,武器奇术!$A:$R,18,FALSE)="天工",AE34,(AE34+AT34+BI34+BX34+CM34+DB34+DQ34))*(1+J34)*F34*K34*(1+G34)</f>
        <v>39185.809438957</v>
      </c>
      <c r="I34" s="104">
        <f t="shared" si="42"/>
        <v>0.00451616288695877</v>
      </c>
      <c r="J34" s="118">
        <f>$F$3+VLOOKUP($E34,武器奇术!$A:$R,12,FALSE)+VLOOKUP($E34,武器奇术!$A:$R,14,FALSE)*$G$3+$P34+IF($F$21="√",5%,0)</f>
        <v>0.567</v>
      </c>
      <c r="K34" s="105">
        <f>VLOOKUP($E34,武器奇术!$A:$R,11,FALSE)</f>
        <v>1</v>
      </c>
      <c r="L34" s="119">
        <f>IF(VLOOKUP($E34,武器奇术!$A:$R,15,FALSE)="天工",0%,IF($C$17+VLOOKUP($E34,武器奇术!$A:$R,7,FALSE)&gt;80%,80%,$C$17+VLOOKUP($E34,武器奇术!$A:$R,7,FALSE))+IF($C$19&gt;20%,20%,$C$19))</f>
        <v>0.8703</v>
      </c>
      <c r="M34" s="120">
        <f>IF(VLOOKUP($E34,武器奇术!$A:$R,15,FALSE)="天工",0%,IF($C$18+VLOOKUP($E34,武器奇术!$A:$R,9,FALSE)&gt;40%,40%,$C$18+VLOOKUP($E34,武器奇术!$A:$R,9,FALSE))+IF($C$20&gt;10%,10%,$C$20))</f>
        <v>0.0986</v>
      </c>
      <c r="N34" s="121">
        <f>IF(VLOOKUP($E34,武器奇术!$A:$R,15,FALSE)="天工",100%,MIN($C$16,1))</f>
        <v>1</v>
      </c>
      <c r="O34" s="122" t="str">
        <f>VLOOKUP($E34,武器奇术!$A:$R,16,FALSE)</f>
        <v>扇</v>
      </c>
      <c r="P34" s="123">
        <f t="shared" si="32"/>
        <v>0.084</v>
      </c>
      <c r="Q34" s="110">
        <f>$B$5*(1+VLOOKUP($E34,武器奇术!$A:$R,5,FALSE))*(1+VLOOKUP($E34,武器奇术!$A:$S,19,FALSE)+IF($G$5="飞隼",0.1,0)+IF($G$5="撼天",0.05,0))-$F$9+IF($J$5="√",160,0)</f>
        <v>3081.85</v>
      </c>
      <c r="R34" s="102">
        <f>IF(VLOOKUP($E34,武器奇术!$A:$Z,18,FALSE)="叶龙",(S34-(Q34+S34)*0.5)*($G$15-0.5)*2+(Q34+S34)*0.5,(Q34+S34)*0.5)</f>
        <v>3161.85</v>
      </c>
      <c r="S34" s="102">
        <f>MAX($C$5,$B$5)*(1+VLOOKUP($E34,武器奇术!$A:$R,6,FALSE))*(1+VLOOKUP($E34,武器奇术!$A:$S,19,FALSE)+IF($G$5="飞隼",0.1,0)+IF($G$5="撼天",0.05,0))-$F$9+IF($J$5="√",320,0)</f>
        <v>3241.85</v>
      </c>
      <c r="T34" s="104">
        <f>IF(($D$5+VLOOKUP($E34,武器奇术!$A:$R,13,FALSE)+IF($I$3="√",10,0)-VLOOKUP($F$7,目标属性!$A:$R,5,FALSE))&gt;0,($D$5+VLOOKUP($E34,武器奇术!$A:$R,13,FALSE)+IF($I$3="√",10,0)-VLOOKUP($F$7,目标属性!$A:$R,5,FALSE))/200,($D$5+VLOOKUP($E34,武器奇术!$A:$R,13,FALSE)+IF($I$3="√",10,0)-VLOOKUP($F$7,目标属性!$A:$R,5,FALSE))/100)</f>
        <v>0.2675</v>
      </c>
      <c r="U34" s="111">
        <f>$E$5+IF($G$5="烟柳",IF(VLOOKUP($E34,武器奇术!$A:$T,20,FALSE)=1,0.1,0),0)</f>
        <v>0.1</v>
      </c>
      <c r="V34" s="102">
        <v>1</v>
      </c>
      <c r="W34" s="103">
        <f>Q34*VLOOKUP($E34,武器奇术!$A:$R,2,FALSE)*(1+T34)*(1+U34)*V34</f>
        <v>7774.36870626488</v>
      </c>
      <c r="X34" s="104">
        <f>(1-IF(VLOOKUP($E34,武器奇术!$A:$R,18,FALSE)="叶龙",1,$N34))*(1-$M34)</f>
        <v>0</v>
      </c>
      <c r="Y34" s="103">
        <f>R34*VLOOKUP($E34,武器奇术!$A:$R,2,FALSE)*(1+T34)*(1+U34)*V34*(1+$E$16+VLOOKUP($E34,武器奇术!$A:$R,8,FALSE))</f>
        <v>15984.2630039044</v>
      </c>
      <c r="Z34" s="104">
        <f t="shared" si="33"/>
        <v>0.8703</v>
      </c>
      <c r="AA34" s="103">
        <f>S34*VLOOKUP($E34,武器奇术!$A:$R,2,FALSE)*(1+T34)*(1+U34)*V34*(1+$E$17+VLOOKUP($E34,武器奇术!$A:$R,10,FALSE))</f>
        <v>11040.2859344376</v>
      </c>
      <c r="AB34" s="104">
        <f t="shared" si="34"/>
        <v>0.0986</v>
      </c>
      <c r="AC34" s="103">
        <f>R34*VLOOKUP($E34,武器奇术!$A:$R,2,FALSE)*(1+T34)*(1+U34)*V34</f>
        <v>7976.17914366488</v>
      </c>
      <c r="AD34" s="104">
        <f t="shared" si="35"/>
        <v>0.0311</v>
      </c>
      <c r="AE34" s="112">
        <f t="shared" si="36"/>
        <v>15247.7354568015</v>
      </c>
      <c r="AF34" s="113">
        <f>VLOOKUP($E34,武器奇术!$A:$R,3,FALSE)*(1+IF(VLOOKUP($E34,武器奇术!$A:$R,15,FALSE)="武器",$E$15,0))</f>
        <v>652.21</v>
      </c>
      <c r="AG34" s="103">
        <f t="shared" si="1"/>
        <v>652.21</v>
      </c>
      <c r="AH34" s="103">
        <f>VLOOKUP($E34,武器奇术!$A:$R,3,FALSE)*(1+IF(VLOOKUP($E34,武器奇术!$A:$R,15,FALSE)="武器",$E$15,0))</f>
        <v>652.21</v>
      </c>
      <c r="AI34" s="104">
        <f>IF(($D$5+VLOOKUP($E34,武器奇术!$A:$R,13,FALSE)+IF($I$3="√",10,0)-VLOOKUP($F$7,目标属性!$A:$R,5,FALSE))&gt;0,($D$5+VLOOKUP($E34,武器奇术!$A:$R,13,FALSE)+IF($I$3="√",10,0)-VLOOKUP($F$7,目标属性!$A:$R,5,FALSE))/200,($D$5+VLOOKUP($E34,武器奇术!$A:$R,13,FALSE)+IF($I$3="√",10,0)-VLOOKUP($F$7,目标属性!$A:$R,5,FALSE))/100)</f>
        <v>0.2675</v>
      </c>
      <c r="AJ34" s="111">
        <f>$E$5+IF($G$5="烟柳",IF(VLOOKUP($E34,武器奇术!$A:$T,20,FALSE)=1,0.1,0),0)</f>
        <v>0.1</v>
      </c>
      <c r="AK34" s="102">
        <v>1</v>
      </c>
      <c r="AL34" s="103">
        <f t="shared" si="37"/>
        <v>909.3437925</v>
      </c>
      <c r="AM34" s="104">
        <f>(1-IF(VLOOKUP($E34,武器奇术!$A:$R,18,FALSE)="叶龙",1,$N34))*(1-$M34)</f>
        <v>0</v>
      </c>
      <c r="AN34" s="103">
        <f>AG34*(1+AI34)*(1+AJ34)*AK34*(1+$E$16+VLOOKUP($E34,武器奇术!$A:$R,8,FALSE))</f>
        <v>1822.32496017</v>
      </c>
      <c r="AO34" s="104">
        <f t="shared" si="2"/>
        <v>0.8703</v>
      </c>
      <c r="AP34" s="103">
        <f>AH34*(1+AI34)*(1+AJ34)*AK34*(1+$E$17+VLOOKUP($E34,武器奇术!$A:$R,10,FALSE))</f>
        <v>1227.614119875</v>
      </c>
      <c r="AQ34" s="104">
        <f t="shared" si="3"/>
        <v>0.0986</v>
      </c>
      <c r="AR34" s="103">
        <f t="shared" si="38"/>
        <v>909.3437925</v>
      </c>
      <c r="AS34" s="104">
        <f t="shared" si="4"/>
        <v>0.0311</v>
      </c>
      <c r="AT34" s="112">
        <f t="shared" si="5"/>
        <v>1735.29275700238</v>
      </c>
      <c r="AU34" s="110">
        <f>$B$7*IF($G$5="撼天",1.05,1)+IF(AND(VLOOKUP($E34,武器奇术!$A:$R,15,FALSE)="武器",VLOOKUP($E34,武器奇术!$A:$R,17,FALSE)="鸣金"),$E$3*(1+$E$15),0)</f>
        <v>0</v>
      </c>
      <c r="AV34" s="102">
        <f t="shared" si="6"/>
        <v>0</v>
      </c>
      <c r="AW34" s="102">
        <f>MAX($C$7*IF($G$5="撼天",1.05,1)+IF(AND(VLOOKUP($E34,武器奇术!$A:$R,15,FALSE)="武器",VLOOKUP($E34,武器奇术!$A:$R,17,FALSE)="鸣金"),$E$3*(1+$E$15),0),AU34)</f>
        <v>0</v>
      </c>
      <c r="AX34" s="104">
        <f>IF(($D$7+IF(VLOOKUP($E34,武器奇术!$A:$R,17,FALSE)="鸣金",$D$15,0)-VLOOKUP($F$7,目标属性!$A:$R,6,FALSE))&gt;0,($D$7+IF(VLOOKUP($E34,武器奇术!$A:$R,17,FALSE)="鸣金",$D$15,0)-VLOOKUP($F$7,目标属性!$A:$R,6,FALSE))/200,($D$7+IF(VLOOKUP($E34,武器奇术!$A:$R,17,FALSE)="鸣金",$D$15,0)-VLOOKUP($F$7,目标属性!$A:$R,6,FALSE))/100)</f>
        <v>-0.24</v>
      </c>
      <c r="AY34" s="111">
        <f t="shared" si="7"/>
        <v>0</v>
      </c>
      <c r="AZ34" s="102">
        <v>1</v>
      </c>
      <c r="BA34" s="103">
        <f>AU34*IF(VLOOKUP($E34,武器奇术!$A:$R,17,FALSE)="鸣金",VLOOKUP($E34,武器奇术!$A:$R,4,FALSE),VLOOKUP($E34,武器奇术!$A:$R,2,FALSE))*(1+AX34)*(1+AY34)*AZ34</f>
        <v>0</v>
      </c>
      <c r="BB34" s="104">
        <f>(1-IF(VLOOKUP($E34,武器奇术!$A:$R,18,FALSE)="叶龙",1,$N34))*(1-$M34)</f>
        <v>0</v>
      </c>
      <c r="BC34" s="103">
        <f>AV34*IF(VLOOKUP($E34,武器奇术!$A:$R,17,FALSE)="鸣金",VLOOKUP($E34,武器奇术!$A:$R,4,FALSE),VLOOKUP($E34,武器奇术!$A:$R,2,FALSE))*(1+AX34)*(1+AY34)*AZ34*(1+$E$16+VLOOKUP($E34,武器奇术!$A:$R,8,FALSE))</f>
        <v>0</v>
      </c>
      <c r="BD34" s="104">
        <f t="shared" si="8"/>
        <v>0.8703</v>
      </c>
      <c r="BE34" s="103">
        <f>AW34*IF(VLOOKUP($E34,武器奇术!$A:$R,17,FALSE)="鸣金",VLOOKUP($E34,武器奇术!$A:$R,4,FALSE),VLOOKUP($E34,武器奇术!$A:$R,2,FALSE))*(1+AX34)*(1+AY34)*AZ34*(1+$E$17+VLOOKUP($E34,武器奇术!$A:$R,10,FALSE))</f>
        <v>0</v>
      </c>
      <c r="BF34" s="104">
        <f t="shared" si="9"/>
        <v>0.0986</v>
      </c>
      <c r="BG34" s="103">
        <f>AV34*IF(VLOOKUP($E34,武器奇术!$A:$R,17,FALSE)="鸣金",VLOOKUP($E34,武器奇术!$A:$R,4,FALSE),VLOOKUP($E34,武器奇术!$A:$R,2,FALSE))*(1+AX34)*(1+AY34)*AZ34</f>
        <v>0</v>
      </c>
      <c r="BH34" s="104">
        <f t="shared" si="10"/>
        <v>0.0311</v>
      </c>
      <c r="BI34" s="112">
        <f t="shared" si="11"/>
        <v>0</v>
      </c>
      <c r="BJ34" s="110">
        <f>$B$9*IF($G$5="撼天",1.05,1)+IF(AND(VLOOKUP($E34,武器奇术!$A:$R,15,FALSE)="武器",VLOOKUP($E34,武器奇术!$A:$R,17,FALSE)="裂石"),$E$3*(1+$E$15),0)</f>
        <v>0</v>
      </c>
      <c r="BK34" s="102">
        <f t="shared" si="12"/>
        <v>0</v>
      </c>
      <c r="BL34" s="102">
        <f>MAX($C$9*IF($G$5="撼天",1.05,1)+IF(AND(VLOOKUP($E34,武器奇术!$A:$R,15,FALSE)="武器",VLOOKUP($E34,武器奇术!$A:$R,17,FALSE)="裂石"),$E$3*(1+$E$15),0),BJ34)</f>
        <v>0</v>
      </c>
      <c r="BM34" s="104">
        <f>IF(($D$9+IF(VLOOKUP($E34,武器奇术!$A:$R,17,FALSE)="裂石",$D$15,0)-VLOOKUP($F$7,目标属性!$A:$R,6,FALSE))&gt;0,($D$9+IF(VLOOKUP($E34,武器奇术!$A:$R,17,FALSE)="裂石",$D$15,0)-VLOOKUP($F$7,目标属性!$A:$R,6,FALSE))/200,($D$9+IF(VLOOKUP($E34,武器奇术!$A:$R,17,FALSE)="裂石",$D$15,0)-VLOOKUP($F$7,目标属性!$A:$R,6,FALSE))/100)</f>
        <v>-0.24</v>
      </c>
      <c r="BN34" s="111">
        <f t="shared" si="13"/>
        <v>0</v>
      </c>
      <c r="BO34" s="102">
        <v>1</v>
      </c>
      <c r="BP34" s="103">
        <f>BJ34*IF(VLOOKUP($E34,武器奇术!$A:$R,17,FALSE)="裂石",VLOOKUP($E34,武器奇术!$A:$R,4,FALSE),VLOOKUP($E34,武器奇术!$A:$R,2,FALSE))*(1+BM34)*(1+BN34)*BO34</f>
        <v>0</v>
      </c>
      <c r="BQ34" s="104">
        <f>(1-IF(VLOOKUP($E34,武器奇术!$A:$R,18,FALSE)="叶龙",1,$N34))*(1-$M34)</f>
        <v>0</v>
      </c>
      <c r="BR34" s="103">
        <f>BK34*IF(VLOOKUP($E34,武器奇术!$A:$R,17,FALSE)="裂石",VLOOKUP($E34,武器奇术!$A:$R,4,FALSE),VLOOKUP($E34,武器奇术!$A:$R,2,FALSE))*(1+BM34)*(1+BN34)*BO34*(1+$E$16+VLOOKUP($E34,武器奇术!$A:$R,8,FALSE))</f>
        <v>0</v>
      </c>
      <c r="BS34" s="104">
        <f t="shared" si="14"/>
        <v>0.8703</v>
      </c>
      <c r="BT34" s="103">
        <f>BL34*IF(VLOOKUP($E34,武器奇术!$A:$R,17,FALSE)="裂石",VLOOKUP($E34,武器奇术!$A:$R,4,FALSE),VLOOKUP($E34,武器奇术!$A:$R,2,FALSE))*(1+BM34)*(1+BN34)*BO34*(1+$E$17+VLOOKUP($E34,武器奇术!$A:$R,10,FALSE))</f>
        <v>0</v>
      </c>
      <c r="BU34" s="104">
        <f t="shared" si="15"/>
        <v>0.0986</v>
      </c>
      <c r="BV34" s="103">
        <f>BK34*IF(VLOOKUP($E34,武器奇术!$A:$R,17,FALSE)="裂石",VLOOKUP($E34,武器奇术!$A:$R,4,FALSE),VLOOKUP($E34,武器奇术!$A:$R,2,FALSE))*(1+BM34)*(1+BN34)*BO34</f>
        <v>0</v>
      </c>
      <c r="BW34" s="104">
        <f t="shared" si="16"/>
        <v>0.0311</v>
      </c>
      <c r="BX34" s="112">
        <f t="shared" si="17"/>
        <v>0</v>
      </c>
      <c r="BY34" s="110">
        <f>$B$11*IF($G$5="撼天",1.05,1)+IF(AND(VLOOKUP($E34,武器奇术!$A:$R,15,FALSE)="武器",VLOOKUP($E34,武器奇术!$A:$R,17,FALSE)="牵丝"),$E$3*(1+$E$15),0)</f>
        <v>686.71</v>
      </c>
      <c r="BZ34" s="102">
        <f>IF(VLOOKUP($E34,武器奇术!$A:$Z,18,FALSE)="叶龙",(CA34-(BY34+CA34)*0.5)*($G$15-0.5)*2+(BY34+CA34)*0.5,(BY34+CA34)*0.5)</f>
        <v>1052.21</v>
      </c>
      <c r="CA34" s="102">
        <f>MAX($C$11*IF($G$5="撼天",1.05,1)+IF(AND(VLOOKUP($E34,武器奇术!$A:$R,15,FALSE)="武器",VLOOKUP($E34,武器奇术!$A:$R,17,FALSE)="牵丝"),$E$3*(1+$E$15),0),BY34)</f>
        <v>1417.71</v>
      </c>
      <c r="CB34" s="104">
        <f>IF(($D$11+IF(VLOOKUP($E34,武器奇术!$A:$R,17,FALSE)="牵丝",$D$15,0)-VLOOKUP($F$7,目标属性!$A:$R,6,FALSE))&gt;0,($D$11+IF(VLOOKUP($E34,武器奇术!$A:$R,17,FALSE)="牵丝",$D$15,0)-VLOOKUP($F$7,目标属性!$A:$R,6,FALSE))/200,($D$11+IF(VLOOKUP($E34,武器奇术!$A:$R,17,FALSE)="牵丝",$D$15,0)-VLOOKUP($F$7,目标属性!$A:$R,6,FALSE))/100)</f>
        <v>0.028</v>
      </c>
      <c r="CC34" s="111">
        <f>$E$11+IF($G$5="烟柳",IF(VLOOKUP($E34,武器奇术!$A:$T,20,FALSE)=1,0.1,0),0)</f>
        <v>0.248</v>
      </c>
      <c r="CD34" s="102">
        <v>1</v>
      </c>
      <c r="CE34" s="103">
        <f>BY34*IF(VLOOKUP($E34,武器奇术!$A:$R,17,FALSE)="牵丝",VLOOKUP($E34,武器奇术!$A:$R,4,FALSE),VLOOKUP($E34,武器奇术!$A:$R,2,FALSE))*(1+CB34)*(1+CC34)*CD34</f>
        <v>2390.903845202</v>
      </c>
      <c r="CF34" s="104">
        <f>(1-IF(VLOOKUP($E34,武器奇术!$A:$R,18,FALSE)="叶龙",1,$N34))*(1-$M34)</f>
        <v>0</v>
      </c>
      <c r="CG34" s="124">
        <f>BZ34*IF(VLOOKUP($E34,武器奇术!$A:$R,17,FALSE)="牵丝",VLOOKUP($E34,武器奇术!$A:$R,4,FALSE),VLOOKUP($E34,武器奇术!$A:$R,2,FALSE))*(1+CB34)*(1+CC34)*CD34*(1+$E$16+VLOOKUP($E34,武器奇术!$A:$R,8,FALSE))</f>
        <v>7341.56893253313</v>
      </c>
      <c r="CH34" s="104">
        <f t="shared" si="18"/>
        <v>0.8703</v>
      </c>
      <c r="CI34" s="103">
        <f>CA34*IF(VLOOKUP($E34,武器奇术!$A:$R,17,FALSE)="牵丝",VLOOKUP($E34,武器奇术!$A:$R,4,FALSE),VLOOKUP($E34,武器奇术!$A:$R,2,FALSE))*(1+CB34)*(1+CC34)*CD34*(1+$E$17+VLOOKUP($E34,武器奇术!$A:$R,10,FALSE))</f>
        <v>6663.61519712074</v>
      </c>
      <c r="CJ34" s="104">
        <f t="shared" si="19"/>
        <v>0.0986</v>
      </c>
      <c r="CK34" s="124">
        <f>BZ34*IF(VLOOKUP($E34,武器奇术!$A:$R,17,FALSE)="牵丝",VLOOKUP($E34,武器奇术!$A:$R,4,FALSE),VLOOKUP($E34,武器奇术!$A:$R,2,FALSE))*(1+CB34)*(1+CC34)*CD34</f>
        <v>3663.45755116424</v>
      </c>
      <c r="CL34" s="104">
        <f t="shared" si="20"/>
        <v>0.0311</v>
      </c>
      <c r="CM34" s="112">
        <f t="shared" si="39"/>
        <v>7160.3334302609</v>
      </c>
      <c r="CN34" s="110">
        <f>$B$13*IF($G$5="撼天",1.05,1)+IF(AND(VLOOKUP($E34,武器奇术!$A:$R,15,FALSE)="武器",VLOOKUP($E34,武器奇术!$A:$R,17,FALSE)="破竹"),$E$3*(1+$E$15),0)</f>
        <v>0</v>
      </c>
      <c r="CO34" s="102">
        <f t="shared" si="21"/>
        <v>0</v>
      </c>
      <c r="CP34" s="102">
        <f>MAX($C$13*IF($G$5="撼天",1.05,1)+IF(AND(VLOOKUP($E34,武器奇术!$A:$R,15,FALSE)="武器",VLOOKUP($E34,武器奇术!$A:$R,17,FALSE)="破竹"),$E$3*(1+$E$15),0),CN34)</f>
        <v>0</v>
      </c>
      <c r="CQ34" s="104">
        <f>IF(($D$13+IF(VLOOKUP($E34,武器奇术!$A:$R,17,FALSE)="破竹",$D$15,0)-VLOOKUP($F$7,目标属性!$A:$R,6,FALSE))&gt;0,($D$13+IF(VLOOKUP($E34,武器奇术!$A:$R,17,FALSE)="破竹",$D$15,0)-VLOOKUP($F$7,目标属性!$A:$R,6,FALSE))/200,($D$13+IF(VLOOKUP($E34,武器奇术!$A:$R,17,FALSE)="破竹",$D$15,0)-VLOOKUP($F$7,目标属性!$A:$R,6,FALSE))/100)</f>
        <v>-0.24</v>
      </c>
      <c r="CR34" s="111">
        <f t="shared" si="22"/>
        <v>0</v>
      </c>
      <c r="CS34" s="102">
        <v>1</v>
      </c>
      <c r="CT34" s="103">
        <f>CN34*IF(VLOOKUP($E34,武器奇术!$A:$R,17,FALSE)="破竹",VLOOKUP($E34,武器奇术!$A:$R,4,FALSE),VLOOKUP($E34,武器奇术!$A:$R,2,FALSE))*(1+CQ34)*(1+CR34)*CS34</f>
        <v>0</v>
      </c>
      <c r="CU34" s="104">
        <f>(1-IF(VLOOKUP($E34,武器奇术!$A:$R,18,FALSE)="叶龙",1,$N34))*(1-$M34)</f>
        <v>0</v>
      </c>
      <c r="CV34" s="103">
        <f>CO34*IF(VLOOKUP($E34,武器奇术!$A:$R,17,FALSE)="破竹",VLOOKUP($E34,武器奇术!$A:$R,4,FALSE),VLOOKUP($E34,武器奇术!$A:$R,2,FALSE))*(1+CQ34)*(1+CR34)*CS34*(1+$E$16+VLOOKUP($E34,武器奇术!$A:$R,8,FALSE))</f>
        <v>0</v>
      </c>
      <c r="CW34" s="104">
        <f t="shared" si="23"/>
        <v>0.8703</v>
      </c>
      <c r="CX34" s="103">
        <f>CP34*IF(VLOOKUP($E34,武器奇术!$A:$R,17,FALSE)="破竹",VLOOKUP($E34,武器奇术!$A:$R,4,FALSE),VLOOKUP($E34,武器奇术!$A:$R,2,FALSE))*(1+CQ34)*(1+CR34)*CS34*(1+$E$17+VLOOKUP($E34,武器奇术!$A:$R,10,FALSE))</f>
        <v>0</v>
      </c>
      <c r="CY34" s="104">
        <f t="shared" si="24"/>
        <v>0.0986</v>
      </c>
      <c r="CZ34" s="103">
        <f>CO34*IF(VLOOKUP($E34,武器奇术!$A:$R,17,FALSE)="破竹",VLOOKUP($E34,武器奇术!$A:$R,4,FALSE),VLOOKUP($E34,武器奇术!$A:$R,2,FALSE))*(1+CQ34)*(1+CR34)*CS34</f>
        <v>0</v>
      </c>
      <c r="DA34" s="104">
        <f t="shared" si="25"/>
        <v>0.0311</v>
      </c>
      <c r="DB34" s="112">
        <f t="shared" si="26"/>
        <v>0</v>
      </c>
      <c r="DC34" s="110">
        <f t="shared" si="40"/>
        <v>66</v>
      </c>
      <c r="DD34" s="102">
        <f t="shared" si="27"/>
        <v>125.8</v>
      </c>
      <c r="DE34" s="102">
        <f t="shared" si="41"/>
        <v>185.6</v>
      </c>
      <c r="DF34" s="104">
        <f>IF((IF(VLOOKUP($E34,武器奇术!$A:$R,17,FALSE)="鸣金",$D$7,0)+IF(VLOOKUP($E34,武器奇术!$A:$R,17,FALSE)="裂石",$D$9,0)+IF(VLOOKUP($E34,武器奇术!$A:$R,17,FALSE)="牵丝",$D$11,0)+IF(VLOOKUP($E34,武器奇术!$A:$R,17,FALSE)="破竹",$D$13,0)+$D$15-VLOOKUP($F$7,目标属性!$A:$R,6,FALSE))&gt;0,(IF(VLOOKUP($E34,武器奇术!$A:$R,17,FALSE)="鸣金",$D$7,0)+IF(VLOOKUP($E34,武器奇术!$A:$R,17,FALSE)="裂石",$D$9,0)+IF(VLOOKUP($E34,武器奇术!$A:$R,17,FALSE)="牵丝",$D$11,0)+IF(VLOOKUP($E34,武器奇术!$A:$R,17,FALSE)="破竹",$D$13,0)+$D$15-VLOOKUP($F$7,目标属性!$A:$R,6,FALSE))/200,(IF(VLOOKUP($E34,武器奇术!$A:$R,17,FALSE)="鸣金",$D$7,0)+IF(VLOOKUP($E34,武器奇术!$A:$R,17,FALSE)="裂石",$D$9,0)+IF(VLOOKUP($E34,武器奇术!$A:$R,17,FALSE)="牵丝",$D$11,0)+IF(VLOOKUP($E34,武器奇术!$A:$R,17,FALSE)="破竹",$D$13,0)+$D$15-VLOOKUP($F$7,目标属性!$A:$R,6,FALSE))/100)</f>
        <v>0.028</v>
      </c>
      <c r="DG34" s="111">
        <f>$E$11+IF($G$5="烟柳",IF(VLOOKUP($E34,武器奇术!$A:$T,20,FALSE)=1,0.1,0),0)</f>
        <v>0.248</v>
      </c>
      <c r="DH34" s="102">
        <v>1</v>
      </c>
      <c r="DI34" s="103">
        <f>DC34*IF(VLOOKUP($E34,武器奇术!$A:$R,17,FALSE)="牵丝",VLOOKUP($E34,武器奇术!$A:$R,4,FALSE),VLOOKUP($E34,武器奇术!$A:$R,2,FALSE))*(1+DF34)*(1+DG34)*DH34</f>
        <v>229.79081968128</v>
      </c>
      <c r="DJ34" s="104">
        <f>(1-IF(VLOOKUP($E34,武器奇术!$A:$R,18,FALSE)="叶龙",1,$N34))*(1-$M34)</f>
        <v>0</v>
      </c>
      <c r="DK34" s="124">
        <f>DD34*IF(VLOOKUP($E34,武器奇术!$A:$R,17,FALSE)="牵丝",VLOOKUP($E34,武器奇术!$A:$R,4,FALSE),VLOOKUP($E34,武器奇术!$A:$R,2,FALSE))*(1+DF34)*(1+DG34)*DH34*(1+$E$16+VLOOKUP($E34,武器奇术!$A:$R,8,FALSE))</f>
        <v>877.742438973843</v>
      </c>
      <c r="DL34" s="104">
        <f t="shared" si="28"/>
        <v>0.8703</v>
      </c>
      <c r="DM34" s="103">
        <f>DE34*IF(VLOOKUP($E34,武器奇术!$A:$R,17,FALSE)="牵丝",VLOOKUP($E34,武器奇术!$A:$R,4,FALSE),VLOOKUP($E34,武器奇术!$A:$R,2,FALSE))*(1+DF34)*(1+DG34)*DH34*(1+$E$17+VLOOKUP($E34,武器奇术!$A:$R,10,FALSE))</f>
        <v>872.369511808205</v>
      </c>
      <c r="DN34" s="104">
        <f t="shared" si="29"/>
        <v>0.0986</v>
      </c>
      <c r="DO34" s="124">
        <f>DD34*IF(VLOOKUP($E34,武器奇术!$A:$R,17,FALSE)="牵丝",VLOOKUP($E34,武器奇术!$A:$R,4,FALSE),VLOOKUP($E34,武器奇术!$A:$R,2,FALSE))*(1+DF34)*(1+DG34)*DH34</f>
        <v>437.995229028864</v>
      </c>
      <c r="DP34" s="104">
        <f t="shared" si="30"/>
        <v>0.0311</v>
      </c>
      <c r="DQ34" s="112">
        <f t="shared" si="31"/>
        <v>863.536530126023</v>
      </c>
    </row>
    <row r="35" spans="2:121">
      <c r="B35" s="83" t="s">
        <v>133</v>
      </c>
      <c r="C35" s="20">
        <f>C30/C28</f>
        <v>114168.325784848</v>
      </c>
      <c r="D35" s="114"/>
      <c r="E35" s="115" t="s">
        <v>134</v>
      </c>
      <c r="F35" s="116">
        <v>1</v>
      </c>
      <c r="G35" s="117"/>
      <c r="H35" s="103">
        <f>IF(VLOOKUP($E35,武器奇术!$A:$R,18,FALSE)="天工",AE35,(AE35+AT35+BI35+BX35+CM35+DB35+DQ35))*(1+J35)*F35*K35*(1+G35)</f>
        <v>75681.3225241113</v>
      </c>
      <c r="I35" s="104">
        <f t="shared" si="42"/>
        <v>0.00872226923248278</v>
      </c>
      <c r="J35" s="118">
        <f>$F$3+VLOOKUP($E35,武器奇术!$A:$R,12,FALSE)+VLOOKUP($E35,武器奇术!$A:$R,14,FALSE)*$G$3+$P35+IF($F$21="√",5%,0)</f>
        <v>0.957</v>
      </c>
      <c r="K35" s="105">
        <f>VLOOKUP($E35,武器奇术!$A:$R,11,FALSE)</f>
        <v>1</v>
      </c>
      <c r="L35" s="119">
        <f>IF(VLOOKUP($E35,武器奇术!$A:$R,15,FALSE)="天工",0%,IF($C$17+VLOOKUP($E35,武器奇术!$A:$R,7,FALSE)&gt;80%,80%,$C$17+VLOOKUP($E35,武器奇术!$A:$R,7,FALSE))+IF($C$19&gt;20%,20%,$C$19))</f>
        <v>0.8703</v>
      </c>
      <c r="M35" s="120">
        <f>IF(VLOOKUP($E35,武器奇术!$A:$R,15,FALSE)="天工",0%,IF($C$18+VLOOKUP($E35,武器奇术!$A:$R,9,FALSE)&gt;40%,40%,$C$18+VLOOKUP($E35,武器奇术!$A:$R,9,FALSE))+IF($C$20&gt;10%,10%,$C$20))</f>
        <v>0.0986</v>
      </c>
      <c r="N35" s="121">
        <f>IF(VLOOKUP($E35,武器奇术!$A:$R,15,FALSE)="天工",100%,MIN($C$16,1))</f>
        <v>1</v>
      </c>
      <c r="O35" s="122" t="str">
        <f>VLOOKUP($E35,武器奇术!$A:$R,16,FALSE)</f>
        <v>扇</v>
      </c>
      <c r="P35" s="123">
        <f t="shared" si="32"/>
        <v>0.084</v>
      </c>
      <c r="Q35" s="110">
        <f>$B$5*(1+VLOOKUP($E35,武器奇术!$A:$R,5,FALSE))*(1+VLOOKUP($E35,武器奇术!$A:$S,19,FALSE)+IF($G$5="飞隼",0.1,0)+IF($G$5="撼天",0.05,0))-$F$9+IF($J$5="√",160,0)</f>
        <v>3081.85</v>
      </c>
      <c r="R35" s="102">
        <f>IF(VLOOKUP($E35,武器奇术!$A:$Z,18,FALSE)="叶龙",(S35-(Q35+S35)*0.5)*($G$15-0.5)*2+(Q35+S35)*0.5,(Q35+S35)*0.5)</f>
        <v>3161.85</v>
      </c>
      <c r="S35" s="102">
        <f>MAX($C$5,$B$5)*(1+VLOOKUP($E35,武器奇术!$A:$R,6,FALSE))*(1+VLOOKUP($E35,武器奇术!$A:$S,19,FALSE)+IF($G$5="飞隼",0.1,0)+IF($G$5="撼天",0.05,0))-$F$9+IF($J$5="√",320,0)</f>
        <v>3241.85</v>
      </c>
      <c r="T35" s="104">
        <f>IF(($D$5+VLOOKUP($E35,武器奇术!$A:$R,13,FALSE)+IF($I$3="√",10,0)-VLOOKUP($F$7,目标属性!$A:$R,5,FALSE))&gt;0,($D$5+VLOOKUP($E35,武器奇术!$A:$R,13,FALSE)+IF($I$3="√",10,0)-VLOOKUP($F$7,目标属性!$A:$R,5,FALSE))/200,($D$5+VLOOKUP($E35,武器奇术!$A:$R,13,FALSE)+IF($I$3="√",10,0)-VLOOKUP($F$7,目标属性!$A:$R,5,FALSE))/100)</f>
        <v>0.2925</v>
      </c>
      <c r="U35" s="111">
        <f>$E$5+IF($G$5="烟柳",IF(VLOOKUP($E35,武器奇术!$A:$T,20,FALSE)=1,0.1,0),0)</f>
        <v>0.1</v>
      </c>
      <c r="V35" s="102">
        <v>1</v>
      </c>
      <c r="W35" s="103">
        <f>Q35*VLOOKUP($E35,武器奇术!$A:$R,2,FALSE)*(1+T35)*(1+U35)*V35</f>
        <v>12099.3184914278</v>
      </c>
      <c r="X35" s="104">
        <f>(1-IF(VLOOKUP($E35,武器奇术!$A:$R,18,FALSE)="叶龙",1,$N35))*(1-$M35)</f>
        <v>0</v>
      </c>
      <c r="Y35" s="103">
        <f>R35*VLOOKUP($E35,武器奇术!$A:$R,2,FALSE)*(1+T35)*(1+U35)*V35*(1+$E$16+VLOOKUP($E35,武器奇术!$A:$R,8,FALSE))</f>
        <v>24876.449296666</v>
      </c>
      <c r="Z35" s="104">
        <f t="shared" si="33"/>
        <v>0.8703</v>
      </c>
      <c r="AA35" s="103">
        <f>S35*VLOOKUP($E35,武器奇术!$A:$R,2,FALSE)*(1+T35)*(1+U35)*V35*(1+$E$17+VLOOKUP($E35,武器奇术!$A:$R,10,FALSE))</f>
        <v>17182.0942386675</v>
      </c>
      <c r="AB35" s="104">
        <f t="shared" si="34"/>
        <v>0.0986</v>
      </c>
      <c r="AC35" s="103">
        <f>R35*VLOOKUP($E35,武器奇术!$A:$R,2,FALSE)*(1+T35)*(1+U35)*V35</f>
        <v>12413.3978526277</v>
      </c>
      <c r="AD35" s="104">
        <f t="shared" si="35"/>
        <v>0.0311</v>
      </c>
      <c r="AE35" s="112">
        <f t="shared" si="36"/>
        <v>23730.1849880378</v>
      </c>
      <c r="AF35" s="113">
        <f>VLOOKUP($E35,武器奇术!$A:$R,3,FALSE)*(1+IF(VLOOKUP($E35,武器奇术!$A:$R,15,FALSE)="武器",$E$15,0))</f>
        <v>993.395</v>
      </c>
      <c r="AG35" s="103">
        <f t="shared" si="1"/>
        <v>993.395</v>
      </c>
      <c r="AH35" s="103">
        <f>VLOOKUP($E35,武器奇术!$A:$R,3,FALSE)*(1+IF(VLOOKUP($E35,武器奇术!$A:$R,15,FALSE)="武器",$E$15,0))</f>
        <v>993.395</v>
      </c>
      <c r="AI35" s="104">
        <f>IF(($D$5+VLOOKUP($E35,武器奇术!$A:$R,13,FALSE)+IF($I$3="√",10,0)-VLOOKUP($F$7,目标属性!$A:$R,5,FALSE))&gt;0,($D$5+VLOOKUP($E35,武器奇术!$A:$R,13,FALSE)+IF($I$3="√",10,0)-VLOOKUP($F$7,目标属性!$A:$R,5,FALSE))/200,($D$5+VLOOKUP($E35,武器奇术!$A:$R,13,FALSE)+IF($I$3="√",10,0)-VLOOKUP($F$7,目标属性!$A:$R,5,FALSE))/100)</f>
        <v>0.2925</v>
      </c>
      <c r="AJ35" s="111">
        <f>$E$5+IF($G$5="烟柳",IF(VLOOKUP($E35,武器奇术!$A:$T,20,FALSE)=1,0.1,0),0)</f>
        <v>0.1</v>
      </c>
      <c r="AK35" s="102">
        <v>1</v>
      </c>
      <c r="AL35" s="103">
        <f t="shared" si="37"/>
        <v>1412.35934125</v>
      </c>
      <c r="AM35" s="104">
        <f>(1-IF(VLOOKUP($E35,武器奇术!$A:$R,18,FALSE)="叶龙",1,$N35))*(1-$M35)</f>
        <v>0</v>
      </c>
      <c r="AN35" s="103">
        <f>AG35*(1+AI35)*(1+AJ35)*AK35*(1+$E$16+VLOOKUP($E35,武器奇术!$A:$R,8,FALSE))</f>
        <v>2830.368119865</v>
      </c>
      <c r="AO35" s="104">
        <f t="shared" si="2"/>
        <v>0.8703</v>
      </c>
      <c r="AP35" s="103">
        <f>AH35*(1+AI35)*(1+AJ35)*AK35*(1+$E$17+VLOOKUP($E35,武器奇术!$A:$R,10,FALSE))</f>
        <v>1906.6851106875</v>
      </c>
      <c r="AQ35" s="104">
        <f t="shared" si="3"/>
        <v>0.0986</v>
      </c>
      <c r="AR35" s="103">
        <f t="shared" si="38"/>
        <v>1412.35934125</v>
      </c>
      <c r="AS35" s="104">
        <f t="shared" si="4"/>
        <v>0.0311</v>
      </c>
      <c r="AT35" s="112">
        <f t="shared" si="5"/>
        <v>2695.19290214517</v>
      </c>
      <c r="AU35" s="110">
        <f>$B$7*IF($G$5="撼天",1.05,1)+IF(AND(VLOOKUP($E35,武器奇术!$A:$R,15,FALSE)="武器",VLOOKUP($E35,武器奇术!$A:$R,17,FALSE)="鸣金"),$E$3*(1+$E$15),0)</f>
        <v>0</v>
      </c>
      <c r="AV35" s="102">
        <f t="shared" si="6"/>
        <v>0</v>
      </c>
      <c r="AW35" s="102">
        <f>MAX($C$7*IF($G$5="撼天",1.05,1)+IF(AND(VLOOKUP($E35,武器奇术!$A:$R,15,FALSE)="武器",VLOOKUP($E35,武器奇术!$A:$R,17,FALSE)="鸣金"),$E$3*(1+$E$15),0),AU35)</f>
        <v>0</v>
      </c>
      <c r="AX35" s="104">
        <f>IF(($D$7+IF(VLOOKUP($E35,武器奇术!$A:$R,17,FALSE)="鸣金",$D$15,0)-VLOOKUP($F$7,目标属性!$A:$R,6,FALSE))&gt;0,($D$7+IF(VLOOKUP($E35,武器奇术!$A:$R,17,FALSE)="鸣金",$D$15,0)-VLOOKUP($F$7,目标属性!$A:$R,6,FALSE))/200,($D$7+IF(VLOOKUP($E35,武器奇术!$A:$R,17,FALSE)="鸣金",$D$15,0)-VLOOKUP($F$7,目标属性!$A:$R,6,FALSE))/100)</f>
        <v>-0.24</v>
      </c>
      <c r="AY35" s="111">
        <f t="shared" si="7"/>
        <v>0</v>
      </c>
      <c r="AZ35" s="102">
        <v>1</v>
      </c>
      <c r="BA35" s="103">
        <f>AU35*IF(VLOOKUP($E35,武器奇术!$A:$R,17,FALSE)="鸣金",VLOOKUP($E35,武器奇术!$A:$R,4,FALSE),VLOOKUP($E35,武器奇术!$A:$R,2,FALSE))*(1+AX35)*(1+AY35)*AZ35</f>
        <v>0</v>
      </c>
      <c r="BB35" s="104">
        <f>(1-IF(VLOOKUP($E35,武器奇术!$A:$R,18,FALSE)="叶龙",1,$N35))*(1-$M35)</f>
        <v>0</v>
      </c>
      <c r="BC35" s="103">
        <f>AV35*IF(VLOOKUP($E35,武器奇术!$A:$R,17,FALSE)="鸣金",VLOOKUP($E35,武器奇术!$A:$R,4,FALSE),VLOOKUP($E35,武器奇术!$A:$R,2,FALSE))*(1+AX35)*(1+AY35)*AZ35*(1+$E$16+VLOOKUP($E35,武器奇术!$A:$R,8,FALSE))</f>
        <v>0</v>
      </c>
      <c r="BD35" s="104">
        <f t="shared" si="8"/>
        <v>0.8703</v>
      </c>
      <c r="BE35" s="103">
        <f>AW35*IF(VLOOKUP($E35,武器奇术!$A:$R,17,FALSE)="鸣金",VLOOKUP($E35,武器奇术!$A:$R,4,FALSE),VLOOKUP($E35,武器奇术!$A:$R,2,FALSE))*(1+AX35)*(1+AY35)*AZ35*(1+$E$17+VLOOKUP($E35,武器奇术!$A:$R,10,FALSE))</f>
        <v>0</v>
      </c>
      <c r="BF35" s="104">
        <f t="shared" si="9"/>
        <v>0.0986</v>
      </c>
      <c r="BG35" s="103">
        <f>AV35*IF(VLOOKUP($E35,武器奇术!$A:$R,17,FALSE)="鸣金",VLOOKUP($E35,武器奇术!$A:$R,4,FALSE),VLOOKUP($E35,武器奇术!$A:$R,2,FALSE))*(1+AX35)*(1+AY35)*AZ35</f>
        <v>0</v>
      </c>
      <c r="BH35" s="104">
        <f t="shared" si="10"/>
        <v>0.0311</v>
      </c>
      <c r="BI35" s="112">
        <f t="shared" si="11"/>
        <v>0</v>
      </c>
      <c r="BJ35" s="110">
        <f>$B$9*IF($G$5="撼天",1.05,1)+IF(AND(VLOOKUP($E35,武器奇术!$A:$R,15,FALSE)="武器",VLOOKUP($E35,武器奇术!$A:$R,17,FALSE)="裂石"),$E$3*(1+$E$15),0)</f>
        <v>0</v>
      </c>
      <c r="BK35" s="102">
        <f t="shared" si="12"/>
        <v>0</v>
      </c>
      <c r="BL35" s="102">
        <f>MAX($C$9*IF($G$5="撼天",1.05,1)+IF(AND(VLOOKUP($E35,武器奇术!$A:$R,15,FALSE)="武器",VLOOKUP($E35,武器奇术!$A:$R,17,FALSE)="裂石"),$E$3*(1+$E$15),0),BJ35)</f>
        <v>0</v>
      </c>
      <c r="BM35" s="104">
        <f>IF(($D$9+IF(VLOOKUP($E35,武器奇术!$A:$R,17,FALSE)="裂石",$D$15,0)-VLOOKUP($F$7,目标属性!$A:$R,6,FALSE))&gt;0,($D$9+IF(VLOOKUP($E35,武器奇术!$A:$R,17,FALSE)="裂石",$D$15,0)-VLOOKUP($F$7,目标属性!$A:$R,6,FALSE))/200,($D$9+IF(VLOOKUP($E35,武器奇术!$A:$R,17,FALSE)="裂石",$D$15,0)-VLOOKUP($F$7,目标属性!$A:$R,6,FALSE))/100)</f>
        <v>-0.24</v>
      </c>
      <c r="BN35" s="111">
        <f t="shared" si="13"/>
        <v>0</v>
      </c>
      <c r="BO35" s="102">
        <v>1</v>
      </c>
      <c r="BP35" s="103">
        <f>BJ35*IF(VLOOKUP($E35,武器奇术!$A:$R,17,FALSE)="裂石",VLOOKUP($E35,武器奇术!$A:$R,4,FALSE),VLOOKUP($E35,武器奇术!$A:$R,2,FALSE))*(1+BM35)*(1+BN35)*BO35</f>
        <v>0</v>
      </c>
      <c r="BQ35" s="104">
        <f>(1-IF(VLOOKUP($E35,武器奇术!$A:$R,18,FALSE)="叶龙",1,$N35))*(1-$M35)</f>
        <v>0</v>
      </c>
      <c r="BR35" s="103">
        <f>BK35*IF(VLOOKUP($E35,武器奇术!$A:$R,17,FALSE)="裂石",VLOOKUP($E35,武器奇术!$A:$R,4,FALSE),VLOOKUP($E35,武器奇术!$A:$R,2,FALSE))*(1+BM35)*(1+BN35)*BO35*(1+$E$16+VLOOKUP($E35,武器奇术!$A:$R,8,FALSE))</f>
        <v>0</v>
      </c>
      <c r="BS35" s="104">
        <f t="shared" si="14"/>
        <v>0.8703</v>
      </c>
      <c r="BT35" s="103">
        <f>BL35*IF(VLOOKUP($E35,武器奇术!$A:$R,17,FALSE)="裂石",VLOOKUP($E35,武器奇术!$A:$R,4,FALSE),VLOOKUP($E35,武器奇术!$A:$R,2,FALSE))*(1+BM35)*(1+BN35)*BO35*(1+$E$17+VLOOKUP($E35,武器奇术!$A:$R,10,FALSE))</f>
        <v>0</v>
      </c>
      <c r="BU35" s="104">
        <f t="shared" si="15"/>
        <v>0.0986</v>
      </c>
      <c r="BV35" s="103">
        <f>BK35*IF(VLOOKUP($E35,武器奇术!$A:$R,17,FALSE)="裂石",VLOOKUP($E35,武器奇术!$A:$R,4,FALSE),VLOOKUP($E35,武器奇术!$A:$R,2,FALSE))*(1+BM35)*(1+BN35)*BO35</f>
        <v>0</v>
      </c>
      <c r="BW35" s="104">
        <f t="shared" si="16"/>
        <v>0.0311</v>
      </c>
      <c r="BX35" s="112">
        <f t="shared" si="17"/>
        <v>0</v>
      </c>
      <c r="BY35" s="110">
        <f>$B$11*IF($G$5="撼天",1.05,1)+IF(AND(VLOOKUP($E35,武器奇术!$A:$R,15,FALSE)="武器",VLOOKUP($E35,武器奇术!$A:$R,17,FALSE)="牵丝"),$E$3*(1+$E$15),0)</f>
        <v>686.71</v>
      </c>
      <c r="BZ35" s="102">
        <f>IF(VLOOKUP($E35,武器奇术!$A:$Z,18,FALSE)="叶龙",(CA35-(BY35+CA35)*0.5)*($G$15-0.5)*2+(BY35+CA35)*0.5,(BY35+CA35)*0.5)</f>
        <v>1052.21</v>
      </c>
      <c r="CA35" s="102">
        <f>MAX($C$11*IF($G$5="撼天",1.05,1)+IF(AND(VLOOKUP($E35,武器奇术!$A:$R,15,FALSE)="武器",VLOOKUP($E35,武器奇术!$A:$R,17,FALSE)="牵丝"),$E$3*(1+$E$15),0),BY35)</f>
        <v>1417.71</v>
      </c>
      <c r="CB35" s="104">
        <f>IF(($D$11+IF(VLOOKUP($E35,武器奇术!$A:$R,17,FALSE)="牵丝",$D$15,0)-VLOOKUP($F$7,目标属性!$A:$R,6,FALSE))&gt;0,($D$11+IF(VLOOKUP($E35,武器奇术!$A:$R,17,FALSE)="牵丝",$D$15,0)-VLOOKUP($F$7,目标属性!$A:$R,6,FALSE))/200,($D$11+IF(VLOOKUP($E35,武器奇术!$A:$R,17,FALSE)="牵丝",$D$15,0)-VLOOKUP($F$7,目标属性!$A:$R,6,FALSE))/100)</f>
        <v>0.028</v>
      </c>
      <c r="CC35" s="111">
        <f>$E$11+IF($G$5="烟柳",IF(VLOOKUP($E35,武器奇术!$A:$T,20,FALSE)=1,0.1,0),0)</f>
        <v>0.248</v>
      </c>
      <c r="CD35" s="102">
        <v>1</v>
      </c>
      <c r="CE35" s="103">
        <f>BY35*IF(VLOOKUP($E35,武器奇术!$A:$R,17,FALSE)="牵丝",VLOOKUP($E35,武器奇术!$A:$R,4,FALSE),VLOOKUP($E35,武器奇术!$A:$R,2,FALSE))*(1+CB35)*(1+CC35)*CD35</f>
        <v>3649.20705503528</v>
      </c>
      <c r="CF35" s="104">
        <f>(1-IF(VLOOKUP($E35,武器奇术!$A:$R,18,FALSE)="叶龙",1,$N35))*(1-$M35)</f>
        <v>0</v>
      </c>
      <c r="CG35" s="124">
        <f>BZ35*IF(VLOOKUP($E35,武器奇术!$A:$R,17,FALSE)="牵丝",VLOOKUP($E35,武器奇术!$A:$R,4,FALSE),VLOOKUP($E35,武器奇术!$A:$R,2,FALSE))*(1+CB35)*(1+CC35)*CD35*(1+$E$16+VLOOKUP($E35,武器奇术!$A:$R,8,FALSE))</f>
        <v>11205.3461277378</v>
      </c>
      <c r="CH35" s="104">
        <f t="shared" si="18"/>
        <v>0.8703</v>
      </c>
      <c r="CI35" s="103">
        <f>CA35*IF(VLOOKUP($E35,武器奇术!$A:$R,17,FALSE)="牵丝",VLOOKUP($E35,武器奇术!$A:$R,4,FALSE),VLOOKUP($E35,武器奇术!$A:$R,2,FALSE))*(1+CB35)*(1+CC35)*CD35*(1+$E$17+VLOOKUP($E35,武器奇术!$A:$R,10,FALSE))</f>
        <v>10170.5937016965</v>
      </c>
      <c r="CJ35" s="104">
        <f t="shared" si="19"/>
        <v>0.0986</v>
      </c>
      <c r="CK35" s="124">
        <f>BZ35*IF(VLOOKUP($E35,武器奇术!$A:$R,17,FALSE)="牵丝",VLOOKUP($E35,武器奇术!$A:$R,4,FALSE),VLOOKUP($E35,武器奇术!$A:$R,2,FALSE))*(1+CB35)*(1+CC35)*CD35</f>
        <v>5591.49008370152</v>
      </c>
      <c r="CL35" s="104">
        <f t="shared" si="20"/>
        <v>0.0311</v>
      </c>
      <c r="CM35" s="112">
        <f t="shared" si="39"/>
        <v>10928.7286155606</v>
      </c>
      <c r="CN35" s="110">
        <f>$B$13*IF($G$5="撼天",1.05,1)+IF(AND(VLOOKUP($E35,武器奇术!$A:$R,15,FALSE)="武器",VLOOKUP($E35,武器奇术!$A:$R,17,FALSE)="破竹"),$E$3*(1+$E$15),0)</f>
        <v>0</v>
      </c>
      <c r="CO35" s="102">
        <f t="shared" si="21"/>
        <v>0</v>
      </c>
      <c r="CP35" s="102">
        <f>MAX($C$13*IF($G$5="撼天",1.05,1)+IF(AND(VLOOKUP($E35,武器奇术!$A:$R,15,FALSE)="武器",VLOOKUP($E35,武器奇术!$A:$R,17,FALSE)="破竹"),$E$3*(1+$E$15),0),CN35)</f>
        <v>0</v>
      </c>
      <c r="CQ35" s="104">
        <f>IF(($D$13+IF(VLOOKUP($E35,武器奇术!$A:$R,17,FALSE)="破竹",$D$15,0)-VLOOKUP($F$7,目标属性!$A:$R,6,FALSE))&gt;0,($D$13+IF(VLOOKUP($E35,武器奇术!$A:$R,17,FALSE)="破竹",$D$15,0)-VLOOKUP($F$7,目标属性!$A:$R,6,FALSE))/200,($D$13+IF(VLOOKUP($E35,武器奇术!$A:$R,17,FALSE)="破竹",$D$15,0)-VLOOKUP($F$7,目标属性!$A:$R,6,FALSE))/100)</f>
        <v>-0.24</v>
      </c>
      <c r="CR35" s="111">
        <f t="shared" si="22"/>
        <v>0</v>
      </c>
      <c r="CS35" s="102">
        <v>1</v>
      </c>
      <c r="CT35" s="103">
        <f>CN35*IF(VLOOKUP($E35,武器奇术!$A:$R,17,FALSE)="破竹",VLOOKUP($E35,武器奇术!$A:$R,4,FALSE),VLOOKUP($E35,武器奇术!$A:$R,2,FALSE))*(1+CQ35)*(1+CR35)*CS35</f>
        <v>0</v>
      </c>
      <c r="CU35" s="104">
        <f>(1-IF(VLOOKUP($E35,武器奇术!$A:$R,18,FALSE)="叶龙",1,$N35))*(1-$M35)</f>
        <v>0</v>
      </c>
      <c r="CV35" s="103">
        <f>CO35*IF(VLOOKUP($E35,武器奇术!$A:$R,17,FALSE)="破竹",VLOOKUP($E35,武器奇术!$A:$R,4,FALSE),VLOOKUP($E35,武器奇术!$A:$R,2,FALSE))*(1+CQ35)*(1+CR35)*CS35*(1+$E$16+VLOOKUP($E35,武器奇术!$A:$R,8,FALSE))</f>
        <v>0</v>
      </c>
      <c r="CW35" s="104">
        <f t="shared" si="23"/>
        <v>0.8703</v>
      </c>
      <c r="CX35" s="103">
        <f>CP35*IF(VLOOKUP($E35,武器奇术!$A:$R,17,FALSE)="破竹",VLOOKUP($E35,武器奇术!$A:$R,4,FALSE),VLOOKUP($E35,武器奇术!$A:$R,2,FALSE))*(1+CQ35)*(1+CR35)*CS35*(1+$E$17+VLOOKUP($E35,武器奇术!$A:$R,10,FALSE))</f>
        <v>0</v>
      </c>
      <c r="CY35" s="104">
        <f t="shared" si="24"/>
        <v>0.0986</v>
      </c>
      <c r="CZ35" s="103">
        <f>CO35*IF(VLOOKUP($E35,武器奇术!$A:$R,17,FALSE)="破竹",VLOOKUP($E35,武器奇术!$A:$R,4,FALSE),VLOOKUP($E35,武器奇术!$A:$R,2,FALSE))*(1+CQ35)*(1+CR35)*CS35</f>
        <v>0</v>
      </c>
      <c r="DA35" s="104">
        <f t="shared" si="25"/>
        <v>0.0311</v>
      </c>
      <c r="DB35" s="112">
        <f t="shared" si="26"/>
        <v>0</v>
      </c>
      <c r="DC35" s="110">
        <f t="shared" si="40"/>
        <v>66</v>
      </c>
      <c r="DD35" s="102">
        <f t="shared" si="27"/>
        <v>125.8</v>
      </c>
      <c r="DE35" s="102">
        <f t="shared" si="41"/>
        <v>185.6</v>
      </c>
      <c r="DF35" s="104">
        <f>IF((IF(VLOOKUP($E35,武器奇术!$A:$R,17,FALSE)="鸣金",$D$7,0)+IF(VLOOKUP($E35,武器奇术!$A:$R,17,FALSE)="裂石",$D$9,0)+IF(VLOOKUP($E35,武器奇术!$A:$R,17,FALSE)="牵丝",$D$11,0)+IF(VLOOKUP($E35,武器奇术!$A:$R,17,FALSE)="破竹",$D$13,0)+$D$15-VLOOKUP($F$7,目标属性!$A:$R,6,FALSE))&gt;0,(IF(VLOOKUP($E35,武器奇术!$A:$R,17,FALSE)="鸣金",$D$7,0)+IF(VLOOKUP($E35,武器奇术!$A:$R,17,FALSE)="裂石",$D$9,0)+IF(VLOOKUP($E35,武器奇术!$A:$R,17,FALSE)="牵丝",$D$11,0)+IF(VLOOKUP($E35,武器奇术!$A:$R,17,FALSE)="破竹",$D$13,0)+$D$15-VLOOKUP($F$7,目标属性!$A:$R,6,FALSE))/200,(IF(VLOOKUP($E35,武器奇术!$A:$R,17,FALSE)="鸣金",$D$7,0)+IF(VLOOKUP($E35,武器奇术!$A:$R,17,FALSE)="裂石",$D$9,0)+IF(VLOOKUP($E35,武器奇术!$A:$R,17,FALSE)="牵丝",$D$11,0)+IF(VLOOKUP($E35,武器奇术!$A:$R,17,FALSE)="破竹",$D$13,0)+$D$15-VLOOKUP($F$7,目标属性!$A:$R,6,FALSE))/100)</f>
        <v>0.028</v>
      </c>
      <c r="DG35" s="111">
        <f>$E$11+IF($G$5="烟柳",IF(VLOOKUP($E35,武器奇术!$A:$T,20,FALSE)=1,0.1,0),0)</f>
        <v>0.248</v>
      </c>
      <c r="DH35" s="102">
        <v>1</v>
      </c>
      <c r="DI35" s="103">
        <f>DC35*IF(VLOOKUP($E35,武器奇术!$A:$R,17,FALSE)="牵丝",VLOOKUP($E35,武器奇术!$A:$R,4,FALSE),VLOOKUP($E35,武器奇术!$A:$R,2,FALSE))*(1+DF35)*(1+DG35)*DH35</f>
        <v>350.72689436928</v>
      </c>
      <c r="DJ35" s="104">
        <f>(1-IF(VLOOKUP($E35,武器奇术!$A:$R,18,FALSE)="叶龙",1,$N35))*(1-$M35)</f>
        <v>0</v>
      </c>
      <c r="DK35" s="124">
        <f>DD35*IF(VLOOKUP($E35,武器奇术!$A:$R,17,FALSE)="牵丝",VLOOKUP($E35,武器奇术!$A:$R,4,FALSE),VLOOKUP($E35,武器奇术!$A:$R,2,FALSE))*(1+DF35)*(1+DG35)*DH35*(1+$E$16+VLOOKUP($E35,武器奇术!$A:$R,8,FALSE))</f>
        <v>1339.6874605539</v>
      </c>
      <c r="DL35" s="104">
        <f t="shared" si="28"/>
        <v>0.8703</v>
      </c>
      <c r="DM35" s="103">
        <f>DE35*IF(VLOOKUP($E35,武器奇术!$A:$R,17,FALSE)="牵丝",VLOOKUP($E35,武器奇术!$A:$R,4,FALSE),VLOOKUP($E35,武器奇术!$A:$R,2,FALSE))*(1+DF35)*(1+DG35)*DH35*(1+$E$17+VLOOKUP($E35,武器奇术!$A:$R,10,FALSE))</f>
        <v>1331.48682807829</v>
      </c>
      <c r="DN35" s="104">
        <f t="shared" si="29"/>
        <v>0.0986</v>
      </c>
      <c r="DO35" s="124">
        <f>DD35*IF(VLOOKUP($E35,武器奇术!$A:$R,17,FALSE)="牵丝",VLOOKUP($E35,武器奇术!$A:$R,4,FALSE),VLOOKUP($E35,武器奇术!$A:$R,2,FALSE))*(1+DF35)*(1+DG35)*DH35</f>
        <v>668.506716843264</v>
      </c>
      <c r="DP35" s="104">
        <f t="shared" si="30"/>
        <v>0.0311</v>
      </c>
      <c r="DQ35" s="112">
        <f t="shared" si="31"/>
        <v>1318.0051570624</v>
      </c>
    </row>
    <row r="36" spans="2:121">
      <c r="B36" s="125"/>
      <c r="C36" s="21"/>
      <c r="D36" s="129"/>
      <c r="E36" s="115" t="s">
        <v>135</v>
      </c>
      <c r="F36" s="116">
        <v>0.5</v>
      </c>
      <c r="G36" s="117">
        <f t="shared" ref="G36:G38" si="43">$E$23</f>
        <v>0.32</v>
      </c>
      <c r="H36" s="103">
        <f>IF(VLOOKUP($E36,武器奇术!$A:$R,18,FALSE)="天工",AE36,(AE36+AT36+BI36+BX36+CM36+DB36+DQ36))*(1+J36)*F36*K36*(1+G36)</f>
        <v>18708.5117064144</v>
      </c>
      <c r="I36" s="104">
        <f t="shared" si="42"/>
        <v>0.00215615518598284</v>
      </c>
      <c r="J36" s="118">
        <f>$F$3+VLOOKUP($E36,武器奇术!$A:$R,12,FALSE)+VLOOKUP($E36,武器奇术!$A:$R,14,FALSE)*$G$3+$P36+IF($F$21="√",5%,0)</f>
        <v>0.723</v>
      </c>
      <c r="K36" s="105">
        <f>VLOOKUP($E36,武器奇术!$A:$R,11,FALSE)</f>
        <v>1</v>
      </c>
      <c r="L36" s="119">
        <f>IF(VLOOKUP($E36,武器奇术!$A:$R,15,FALSE)="天工",0%,IF($C$17+VLOOKUP($E36,武器奇术!$A:$R,7,FALSE)&gt;80%,80%,$C$17+VLOOKUP($E36,武器奇术!$A:$R,7,FALSE))+IF($C$19&gt;20%,20%,$C$19))</f>
        <v>0.8703</v>
      </c>
      <c r="M36" s="120">
        <f>IF(VLOOKUP($E36,武器奇术!$A:$R,15,FALSE)="天工",0%,IF($C$18+VLOOKUP($E36,武器奇术!$A:$R,9,FALSE)&gt;40%,40%,$C$18+VLOOKUP($E36,武器奇术!$A:$R,9,FALSE))+IF($C$20&gt;10%,10%,$C$20))</f>
        <v>0.0986</v>
      </c>
      <c r="N36" s="121">
        <f>IF(VLOOKUP($E36,武器奇术!$A:$R,15,FALSE)="天工",100%,MIN($C$16,1))</f>
        <v>1</v>
      </c>
      <c r="O36" s="122" t="str">
        <f>VLOOKUP($E36,武器奇术!$A:$R,16,FALSE)</f>
        <v>伞</v>
      </c>
      <c r="P36" s="123">
        <f t="shared" si="32"/>
        <v>0.17</v>
      </c>
      <c r="Q36" s="110">
        <f>$B$5*(1+VLOOKUP($E36,武器奇术!$A:$R,5,FALSE))*(1+VLOOKUP($E36,武器奇术!$A:$S,19,FALSE)+IF($G$5="飞隼",0.1,0)+IF($G$5="撼天",0.05,0))-$F$9+IF($J$5="√",160,0)</f>
        <v>3081.85</v>
      </c>
      <c r="R36" s="102">
        <f>IF(VLOOKUP($E36,武器奇术!$A:$Z,18,FALSE)="叶龙",(S36-(Q36+S36)*0.5)*($G$15-0.5)*2+(Q36+S36)*0.5,(Q36+S36)*0.5)</f>
        <v>3161.85</v>
      </c>
      <c r="S36" s="102">
        <f>MAX($C$5,$B$5)*(1+VLOOKUP($E36,武器奇术!$A:$R,6,FALSE))*(1+VLOOKUP($E36,武器奇术!$A:$S,19,FALSE)+IF($G$5="飞隼",0.1,0)+IF($G$5="撼天",0.05,0))-$F$9+IF($J$5="√",320,0)</f>
        <v>3241.85</v>
      </c>
      <c r="T36" s="104">
        <f>IF(($D$5+VLOOKUP($E36,武器奇术!$A:$R,13,FALSE)+IF($I$3="√",10,0)-VLOOKUP($F$7,目标属性!$A:$R,5,FALSE))&gt;0,($D$5+VLOOKUP($E36,武器奇术!$A:$R,13,FALSE)+IF($I$3="√",10,0)-VLOOKUP($F$7,目标属性!$A:$R,5,FALSE))/200,($D$5+VLOOKUP($E36,武器奇术!$A:$R,13,FALSE)+IF($I$3="√",10,0)-VLOOKUP($F$7,目标属性!$A:$R,5,FALSE))/100)</f>
        <v>0.2925</v>
      </c>
      <c r="U36" s="111">
        <f>$E$5+IF($G$5="烟柳",IF(VLOOKUP($E36,武器奇术!$A:$T,20,FALSE)=1,0.1,0),0)</f>
        <v>0.1</v>
      </c>
      <c r="V36" s="102">
        <v>1</v>
      </c>
      <c r="W36" s="103">
        <f>Q36*VLOOKUP($E36,武器奇术!$A:$R,2,FALSE)*(1+T36)*(1+U36)*V36</f>
        <v>5148.20660615181</v>
      </c>
      <c r="X36" s="104">
        <f>(1-IF(VLOOKUP($E36,武器奇术!$A:$R,18,FALSE)="叶龙",1,$N36))*(1-$M36)</f>
        <v>0</v>
      </c>
      <c r="Y36" s="103">
        <f>R36*VLOOKUP($E36,武器奇术!$A:$R,2,FALSE)*(1+T36)*(1+U36)*V36*(1+$E$16+VLOOKUP($E36,武器奇术!$A:$R,8,FALSE))</f>
        <v>10584.819359655</v>
      </c>
      <c r="Z36" s="104">
        <f t="shared" si="33"/>
        <v>0.8703</v>
      </c>
      <c r="AA36" s="103">
        <f>S36*VLOOKUP($E36,武器奇术!$A:$R,2,FALSE)*(1+T36)*(1+U36)*V36*(1+$E$17+VLOOKUP($E36,武器奇术!$A:$R,10,FALSE))</f>
        <v>7310.90524889495</v>
      </c>
      <c r="AB36" s="104">
        <f t="shared" si="34"/>
        <v>0.0986</v>
      </c>
      <c r="AC36" s="103">
        <f>R36*VLOOKUP($E36,武器奇术!$A:$R,2,FALSE)*(1+T36)*(1+U36)*V36</f>
        <v>5281.84598785181</v>
      </c>
      <c r="AD36" s="104">
        <f t="shared" si="35"/>
        <v>0.0311</v>
      </c>
      <c r="AE36" s="112">
        <f t="shared" si="36"/>
        <v>10097.088956471</v>
      </c>
      <c r="AF36" s="113">
        <f>VLOOKUP($E36,武器奇术!$A:$R,3,FALSE)*(1+IF(VLOOKUP($E36,武器奇术!$A:$R,15,FALSE)="武器",$E$15,0))</f>
        <v>421.59</v>
      </c>
      <c r="AG36" s="103">
        <f t="shared" si="1"/>
        <v>421.59</v>
      </c>
      <c r="AH36" s="103">
        <f>VLOOKUP($E36,武器奇术!$A:$R,3,FALSE)*(1+IF(VLOOKUP($E36,武器奇术!$A:$R,15,FALSE)="武器",$E$15,0))</f>
        <v>421.59</v>
      </c>
      <c r="AI36" s="104">
        <f>IF(($D$5+VLOOKUP($E36,武器奇术!$A:$R,13,FALSE)+IF($I$3="√",10,0)-VLOOKUP($F$7,目标属性!$A:$R,5,FALSE))&gt;0,($D$5+VLOOKUP($E36,武器奇术!$A:$R,13,FALSE)+IF($I$3="√",10,0)-VLOOKUP($F$7,目标属性!$A:$R,5,FALSE))/200,($D$5+VLOOKUP($E36,武器奇术!$A:$R,13,FALSE)+IF($I$3="√",10,0)-VLOOKUP($F$7,目标属性!$A:$R,5,FALSE))/100)</f>
        <v>0.2925</v>
      </c>
      <c r="AJ36" s="111">
        <f>$E$5+IF($G$5="烟柳",IF(VLOOKUP($E36,武器奇术!$A:$T,20,FALSE)=1,0.1,0),0)</f>
        <v>0.1</v>
      </c>
      <c r="AK36" s="102">
        <v>1</v>
      </c>
      <c r="AL36" s="103">
        <f t="shared" si="37"/>
        <v>599.3955825</v>
      </c>
      <c r="AM36" s="104">
        <f>(1-IF(VLOOKUP($E36,武器奇术!$A:$R,18,FALSE)="叶龙",1,$N36))*(1-$M36)</f>
        <v>0</v>
      </c>
      <c r="AN36" s="103">
        <f>AG36*(1+AI36)*(1+AJ36)*AK36*(1+$E$16+VLOOKUP($E36,武器奇术!$A:$R,8,FALSE))</f>
        <v>1201.18874733</v>
      </c>
      <c r="AO36" s="104">
        <f t="shared" si="2"/>
        <v>0.8703</v>
      </c>
      <c r="AP36" s="103">
        <f>AH36*(1+AI36)*(1+AJ36)*AK36*(1+$E$17+VLOOKUP($E36,武器奇术!$A:$R,10,FALSE))</f>
        <v>809.184036375</v>
      </c>
      <c r="AQ36" s="104">
        <f t="shared" si="3"/>
        <v>0.0986</v>
      </c>
      <c r="AR36" s="103">
        <f t="shared" si="38"/>
        <v>599.3955825</v>
      </c>
      <c r="AS36" s="104">
        <f t="shared" si="4"/>
        <v>0.0311</v>
      </c>
      <c r="AT36" s="112">
        <f t="shared" si="5"/>
        <v>1143.82131540362</v>
      </c>
      <c r="AU36" s="110">
        <f>$B$7*IF($G$5="撼天",1.05,1)+IF(AND(VLOOKUP($E36,武器奇术!$A:$R,15,FALSE)="武器",VLOOKUP($E36,武器奇术!$A:$R,17,FALSE)="鸣金"),$E$3*(1+$E$15),0)</f>
        <v>0</v>
      </c>
      <c r="AV36" s="102">
        <f t="shared" si="6"/>
        <v>0</v>
      </c>
      <c r="AW36" s="102">
        <f>MAX($C$7*IF($G$5="撼天",1.05,1)+IF(AND(VLOOKUP($E36,武器奇术!$A:$R,15,FALSE)="武器",VLOOKUP($E36,武器奇术!$A:$R,17,FALSE)="鸣金"),$E$3*(1+$E$15),0),AU36)</f>
        <v>0</v>
      </c>
      <c r="AX36" s="104">
        <f>IF(($D$7+IF(VLOOKUP($E36,武器奇术!$A:$R,17,FALSE)="鸣金",$D$15,0)-VLOOKUP($F$7,目标属性!$A:$R,6,FALSE))&gt;0,($D$7+IF(VLOOKUP($E36,武器奇术!$A:$R,17,FALSE)="鸣金",$D$15,0)-VLOOKUP($F$7,目标属性!$A:$R,6,FALSE))/200,($D$7+IF(VLOOKUP($E36,武器奇术!$A:$R,17,FALSE)="鸣金",$D$15,0)-VLOOKUP($F$7,目标属性!$A:$R,6,FALSE))/100)</f>
        <v>-0.24</v>
      </c>
      <c r="AY36" s="111">
        <f t="shared" si="7"/>
        <v>0</v>
      </c>
      <c r="AZ36" s="102">
        <v>1</v>
      </c>
      <c r="BA36" s="103">
        <f>AU36*IF(VLOOKUP($E36,武器奇术!$A:$R,17,FALSE)="鸣金",VLOOKUP($E36,武器奇术!$A:$R,4,FALSE),VLOOKUP($E36,武器奇术!$A:$R,2,FALSE))*(1+AX36)*(1+AY36)*AZ36</f>
        <v>0</v>
      </c>
      <c r="BB36" s="104">
        <f>(1-IF(VLOOKUP($E36,武器奇术!$A:$R,18,FALSE)="叶龙",1,$N36))*(1-$M36)</f>
        <v>0</v>
      </c>
      <c r="BC36" s="103">
        <f>AV36*IF(VLOOKUP($E36,武器奇术!$A:$R,17,FALSE)="鸣金",VLOOKUP($E36,武器奇术!$A:$R,4,FALSE),VLOOKUP($E36,武器奇术!$A:$R,2,FALSE))*(1+AX36)*(1+AY36)*AZ36*(1+$E$16+VLOOKUP($E36,武器奇术!$A:$R,8,FALSE))</f>
        <v>0</v>
      </c>
      <c r="BD36" s="104">
        <f t="shared" si="8"/>
        <v>0.8703</v>
      </c>
      <c r="BE36" s="103">
        <f>AW36*IF(VLOOKUP($E36,武器奇术!$A:$R,17,FALSE)="鸣金",VLOOKUP($E36,武器奇术!$A:$R,4,FALSE),VLOOKUP($E36,武器奇术!$A:$R,2,FALSE))*(1+AX36)*(1+AY36)*AZ36*(1+$E$17+VLOOKUP($E36,武器奇术!$A:$R,10,FALSE))</f>
        <v>0</v>
      </c>
      <c r="BF36" s="104">
        <f t="shared" si="9"/>
        <v>0.0986</v>
      </c>
      <c r="BG36" s="103">
        <f>AV36*IF(VLOOKUP($E36,武器奇术!$A:$R,17,FALSE)="鸣金",VLOOKUP($E36,武器奇术!$A:$R,4,FALSE),VLOOKUP($E36,武器奇术!$A:$R,2,FALSE))*(1+AX36)*(1+AY36)*AZ36</f>
        <v>0</v>
      </c>
      <c r="BH36" s="104">
        <f t="shared" si="10"/>
        <v>0.0311</v>
      </c>
      <c r="BI36" s="112">
        <f t="shared" si="11"/>
        <v>0</v>
      </c>
      <c r="BJ36" s="110">
        <f>$B$9*IF($G$5="撼天",1.05,1)+IF(AND(VLOOKUP($E36,武器奇术!$A:$R,15,FALSE)="武器",VLOOKUP($E36,武器奇术!$A:$R,17,FALSE)="裂石"),$E$3*(1+$E$15),0)</f>
        <v>0</v>
      </c>
      <c r="BK36" s="102">
        <f t="shared" si="12"/>
        <v>0</v>
      </c>
      <c r="BL36" s="102">
        <f>MAX($C$9*IF($G$5="撼天",1.05,1)+IF(AND(VLOOKUP($E36,武器奇术!$A:$R,15,FALSE)="武器",VLOOKUP($E36,武器奇术!$A:$R,17,FALSE)="裂石"),$E$3*(1+$E$15),0),BJ36)</f>
        <v>0</v>
      </c>
      <c r="BM36" s="104">
        <f>IF(($D$9+IF(VLOOKUP($E36,武器奇术!$A:$R,17,FALSE)="裂石",$D$15,0)-VLOOKUP($F$7,目标属性!$A:$R,6,FALSE))&gt;0,($D$9+IF(VLOOKUP($E36,武器奇术!$A:$R,17,FALSE)="裂石",$D$15,0)-VLOOKUP($F$7,目标属性!$A:$R,6,FALSE))/200,($D$9+IF(VLOOKUP($E36,武器奇术!$A:$R,17,FALSE)="裂石",$D$15,0)-VLOOKUP($F$7,目标属性!$A:$R,6,FALSE))/100)</f>
        <v>-0.24</v>
      </c>
      <c r="BN36" s="111">
        <f t="shared" si="13"/>
        <v>0</v>
      </c>
      <c r="BO36" s="102">
        <v>1</v>
      </c>
      <c r="BP36" s="103">
        <f>BJ36*IF(VLOOKUP($E36,武器奇术!$A:$R,17,FALSE)="裂石",VLOOKUP($E36,武器奇术!$A:$R,4,FALSE),VLOOKUP($E36,武器奇术!$A:$R,2,FALSE))*(1+BM36)*(1+BN36)*BO36</f>
        <v>0</v>
      </c>
      <c r="BQ36" s="104">
        <f>(1-IF(VLOOKUP($E36,武器奇术!$A:$R,18,FALSE)="叶龙",1,$N36))*(1-$M36)</f>
        <v>0</v>
      </c>
      <c r="BR36" s="103">
        <f>BK36*IF(VLOOKUP($E36,武器奇术!$A:$R,17,FALSE)="裂石",VLOOKUP($E36,武器奇术!$A:$R,4,FALSE),VLOOKUP($E36,武器奇术!$A:$R,2,FALSE))*(1+BM36)*(1+BN36)*BO36*(1+$E$16+VLOOKUP($E36,武器奇术!$A:$R,8,FALSE))</f>
        <v>0</v>
      </c>
      <c r="BS36" s="104">
        <f t="shared" si="14"/>
        <v>0.8703</v>
      </c>
      <c r="BT36" s="103">
        <f>BL36*IF(VLOOKUP($E36,武器奇术!$A:$R,17,FALSE)="裂石",VLOOKUP($E36,武器奇术!$A:$R,4,FALSE),VLOOKUP($E36,武器奇术!$A:$R,2,FALSE))*(1+BM36)*(1+BN36)*BO36*(1+$E$17+VLOOKUP($E36,武器奇术!$A:$R,10,FALSE))</f>
        <v>0</v>
      </c>
      <c r="BU36" s="104">
        <f t="shared" si="15"/>
        <v>0.0986</v>
      </c>
      <c r="BV36" s="103">
        <f>BK36*IF(VLOOKUP($E36,武器奇术!$A:$R,17,FALSE)="裂石",VLOOKUP($E36,武器奇术!$A:$R,4,FALSE),VLOOKUP($E36,武器奇术!$A:$R,2,FALSE))*(1+BM36)*(1+BN36)*BO36</f>
        <v>0</v>
      </c>
      <c r="BW36" s="104">
        <f t="shared" si="16"/>
        <v>0.0311</v>
      </c>
      <c r="BX36" s="112">
        <f t="shared" si="17"/>
        <v>0</v>
      </c>
      <c r="BY36" s="110">
        <f>$B$11*IF($G$5="撼天",1.05,1)+IF(AND(VLOOKUP($E36,武器奇术!$A:$R,15,FALSE)="武器",VLOOKUP($E36,武器奇术!$A:$R,17,FALSE)="牵丝"),$E$3*(1+$E$15),0)</f>
        <v>686.71</v>
      </c>
      <c r="BZ36" s="102">
        <f>IF(VLOOKUP($E36,武器奇术!$A:$Z,18,FALSE)="叶龙",(CA36-(BY36+CA36)*0.5)*($G$15-0.5)*2+(BY36+CA36)*0.5,(BY36+CA36)*0.5)</f>
        <v>1052.21</v>
      </c>
      <c r="CA36" s="102">
        <f>MAX($C$11*IF($G$5="撼天",1.05,1)+IF(AND(VLOOKUP($E36,武器奇术!$A:$R,15,FALSE)="武器",VLOOKUP($E36,武器奇术!$A:$R,17,FALSE)="牵丝"),$E$3*(1+$E$15),0),BY36)</f>
        <v>1417.71</v>
      </c>
      <c r="CB36" s="104">
        <f>IF(($D$11+IF(VLOOKUP($E36,武器奇术!$A:$R,17,FALSE)="牵丝",$D$15,0)-VLOOKUP($F$7,目标属性!$A:$R,6,FALSE))&gt;0,($D$11+IF(VLOOKUP($E36,武器奇术!$A:$R,17,FALSE)="牵丝",$D$15,0)-VLOOKUP($F$7,目标属性!$A:$R,6,FALSE))/200,($D$11+IF(VLOOKUP($E36,武器奇术!$A:$R,17,FALSE)="牵丝",$D$15,0)-VLOOKUP($F$7,目标属性!$A:$R,6,FALSE))/100)</f>
        <v>0.028</v>
      </c>
      <c r="CC36" s="111">
        <f>$E$11+IF($G$5="烟柳",IF(VLOOKUP($E36,武器奇术!$A:$T,20,FALSE)=1,0.1,0),0)</f>
        <v>0.248</v>
      </c>
      <c r="CD36" s="102">
        <v>1</v>
      </c>
      <c r="CE36" s="103">
        <f>BY36*IF(VLOOKUP($E36,武器奇术!$A:$R,17,FALSE)="牵丝",VLOOKUP($E36,武器奇术!$A:$R,4,FALSE),VLOOKUP($E36,武器奇术!$A:$R,2,FALSE))*(1+CB36)*(1+CC36)*CD36</f>
        <v>1552.67083453872</v>
      </c>
      <c r="CF36" s="104">
        <f>(1-IF(VLOOKUP($E36,武器奇术!$A:$R,18,FALSE)="叶龙",1,$N36))*(1-$M36)</f>
        <v>0</v>
      </c>
      <c r="CG36" s="124">
        <f>BZ36*IF(VLOOKUP($E36,武器奇术!$A:$R,17,FALSE)="牵丝",VLOOKUP($E36,武器奇术!$A:$R,4,FALSE),VLOOKUP($E36,武器奇术!$A:$R,2,FALSE))*(1+CB36)*(1+CC36)*CD36*(1+$E$16+VLOOKUP($E36,武器奇术!$A:$R,8,FALSE))</f>
        <v>4767.66975977518</v>
      </c>
      <c r="CH36" s="104">
        <f t="shared" si="18"/>
        <v>0.8703</v>
      </c>
      <c r="CI36" s="103">
        <f>CA36*IF(VLOOKUP($E36,武器奇术!$A:$R,17,FALSE)="牵丝",VLOOKUP($E36,武器奇术!$A:$R,4,FALSE),VLOOKUP($E36,武器奇术!$A:$R,2,FALSE))*(1+CB36)*(1+CC36)*CD36*(1+$E$17+VLOOKUP($E36,武器奇术!$A:$R,10,FALSE))</f>
        <v>4327.40153474647</v>
      </c>
      <c r="CJ36" s="104">
        <f t="shared" si="19"/>
        <v>0.0986</v>
      </c>
      <c r="CK36" s="124">
        <f>BZ36*IF(VLOOKUP($E36,武器奇术!$A:$R,17,FALSE)="牵丝",VLOOKUP($E36,武器奇术!$A:$R,4,FALSE),VLOOKUP($E36,武器奇术!$A:$R,2,FALSE))*(1+CB36)*(1+CC36)*CD36</f>
        <v>2379.07672643472</v>
      </c>
      <c r="CL36" s="104">
        <f t="shared" si="20"/>
        <v>0.0311</v>
      </c>
      <c r="CM36" s="112">
        <f t="shared" si="39"/>
        <v>4649.97406945046</v>
      </c>
      <c r="CN36" s="110">
        <f>$B$13*IF($G$5="撼天",1.05,1)+IF(AND(VLOOKUP($E36,武器奇术!$A:$R,15,FALSE)="武器",VLOOKUP($E36,武器奇术!$A:$R,17,FALSE)="破竹"),$E$3*(1+$E$15),0)</f>
        <v>0</v>
      </c>
      <c r="CO36" s="102">
        <f t="shared" si="21"/>
        <v>0</v>
      </c>
      <c r="CP36" s="102">
        <f>MAX($C$13*IF($G$5="撼天",1.05,1)+IF(AND(VLOOKUP($E36,武器奇术!$A:$R,15,FALSE)="武器",VLOOKUP($E36,武器奇术!$A:$R,17,FALSE)="破竹"),$E$3*(1+$E$15),0),CN36)</f>
        <v>0</v>
      </c>
      <c r="CQ36" s="104">
        <f>IF(($D$13+IF(VLOOKUP($E36,武器奇术!$A:$R,17,FALSE)="破竹",$D$15,0)-VLOOKUP($F$7,目标属性!$A:$R,6,FALSE))&gt;0,($D$13+IF(VLOOKUP($E36,武器奇术!$A:$R,17,FALSE)="破竹",$D$15,0)-VLOOKUP($F$7,目标属性!$A:$R,6,FALSE))/200,($D$13+IF(VLOOKUP($E36,武器奇术!$A:$R,17,FALSE)="破竹",$D$15,0)-VLOOKUP($F$7,目标属性!$A:$R,6,FALSE))/100)</f>
        <v>-0.24</v>
      </c>
      <c r="CR36" s="111">
        <f t="shared" si="22"/>
        <v>0</v>
      </c>
      <c r="CS36" s="102">
        <v>1</v>
      </c>
      <c r="CT36" s="103">
        <f>CN36*IF(VLOOKUP($E36,武器奇术!$A:$R,17,FALSE)="破竹",VLOOKUP($E36,武器奇术!$A:$R,4,FALSE),VLOOKUP($E36,武器奇术!$A:$R,2,FALSE))*(1+CQ36)*(1+CR36)*CS36</f>
        <v>0</v>
      </c>
      <c r="CU36" s="104">
        <f>(1-IF(VLOOKUP($E36,武器奇术!$A:$R,18,FALSE)="叶龙",1,$N36))*(1-$M36)</f>
        <v>0</v>
      </c>
      <c r="CV36" s="103">
        <f>CO36*IF(VLOOKUP($E36,武器奇术!$A:$R,17,FALSE)="破竹",VLOOKUP($E36,武器奇术!$A:$R,4,FALSE),VLOOKUP($E36,武器奇术!$A:$R,2,FALSE))*(1+CQ36)*(1+CR36)*CS36*(1+$E$16+VLOOKUP($E36,武器奇术!$A:$R,8,FALSE))</f>
        <v>0</v>
      </c>
      <c r="CW36" s="104">
        <f t="shared" si="23"/>
        <v>0.8703</v>
      </c>
      <c r="CX36" s="103">
        <f>CP36*IF(VLOOKUP($E36,武器奇术!$A:$R,17,FALSE)="破竹",VLOOKUP($E36,武器奇术!$A:$R,4,FALSE),VLOOKUP($E36,武器奇术!$A:$R,2,FALSE))*(1+CQ36)*(1+CR36)*CS36*(1+$E$17+VLOOKUP($E36,武器奇术!$A:$R,10,FALSE))</f>
        <v>0</v>
      </c>
      <c r="CY36" s="104">
        <f t="shared" si="24"/>
        <v>0.0986</v>
      </c>
      <c r="CZ36" s="103">
        <f>CO36*IF(VLOOKUP($E36,武器奇术!$A:$R,17,FALSE)="破竹",VLOOKUP($E36,武器奇术!$A:$R,4,FALSE),VLOOKUP($E36,武器奇术!$A:$R,2,FALSE))*(1+CQ36)*(1+CR36)*CS36</f>
        <v>0</v>
      </c>
      <c r="DA36" s="104">
        <f t="shared" si="25"/>
        <v>0.0311</v>
      </c>
      <c r="DB36" s="112">
        <f t="shared" si="26"/>
        <v>0</v>
      </c>
      <c r="DC36" s="110">
        <f t="shared" si="40"/>
        <v>66</v>
      </c>
      <c r="DD36" s="102">
        <f t="shared" si="27"/>
        <v>125.8</v>
      </c>
      <c r="DE36" s="102">
        <f t="shared" si="41"/>
        <v>185.6</v>
      </c>
      <c r="DF36" s="104">
        <f>IF((IF(VLOOKUP($E36,武器奇术!$A:$R,17,FALSE)="鸣金",$D$7,0)+IF(VLOOKUP($E36,武器奇术!$A:$R,17,FALSE)="裂石",$D$9,0)+IF(VLOOKUP($E36,武器奇术!$A:$R,17,FALSE)="牵丝",$D$11,0)+IF(VLOOKUP($E36,武器奇术!$A:$R,17,FALSE)="破竹",$D$13,0)+$D$15-VLOOKUP($F$7,目标属性!$A:$R,6,FALSE))&gt;0,(IF(VLOOKUP($E36,武器奇术!$A:$R,17,FALSE)="鸣金",$D$7,0)+IF(VLOOKUP($E36,武器奇术!$A:$R,17,FALSE)="裂石",$D$9,0)+IF(VLOOKUP($E36,武器奇术!$A:$R,17,FALSE)="牵丝",$D$11,0)+IF(VLOOKUP($E36,武器奇术!$A:$R,17,FALSE)="破竹",$D$13,0)+$D$15-VLOOKUP($F$7,目标属性!$A:$R,6,FALSE))/200,(IF(VLOOKUP($E36,武器奇术!$A:$R,17,FALSE)="鸣金",$D$7,0)+IF(VLOOKUP($E36,武器奇术!$A:$R,17,FALSE)="裂石",$D$9,0)+IF(VLOOKUP($E36,武器奇术!$A:$R,17,FALSE)="牵丝",$D$11,0)+IF(VLOOKUP($E36,武器奇术!$A:$R,17,FALSE)="破竹",$D$13,0)+$D$15-VLOOKUP($F$7,目标属性!$A:$R,6,FALSE))/100)</f>
        <v>0.028</v>
      </c>
      <c r="DG36" s="111">
        <f>$E$11+IF($G$5="烟柳",IF(VLOOKUP($E36,武器奇术!$A:$T,20,FALSE)=1,0.1,0),0)</f>
        <v>0.248</v>
      </c>
      <c r="DH36" s="102">
        <v>1</v>
      </c>
      <c r="DI36" s="103">
        <f>DC36*IF(VLOOKUP($E36,武器奇术!$A:$R,17,FALSE)="牵丝",VLOOKUP($E36,武器奇术!$A:$R,4,FALSE),VLOOKUP($E36,武器奇术!$A:$R,2,FALSE))*(1+DF36)*(1+DG36)*DH36</f>
        <v>149.227876512</v>
      </c>
      <c r="DJ36" s="104">
        <f>(1-IF(VLOOKUP($E36,武器奇术!$A:$R,18,FALSE)="叶龙",1,$N36))*(1-$M36)</f>
        <v>0</v>
      </c>
      <c r="DK36" s="124">
        <f>DD36*IF(VLOOKUP($E36,武器奇术!$A:$R,17,FALSE)="牵丝",VLOOKUP($E36,武器奇术!$A:$R,4,FALSE),VLOOKUP($E36,武器奇术!$A:$R,2,FALSE))*(1+DF36)*(1+DG36)*DH36*(1+$E$16+VLOOKUP($E36,武器奇术!$A:$R,8,FALSE))</f>
        <v>570.012502998182</v>
      </c>
      <c r="DL36" s="104">
        <f t="shared" si="28"/>
        <v>0.8703</v>
      </c>
      <c r="DM36" s="103">
        <f>DE36*IF(VLOOKUP($E36,武器奇术!$A:$R,17,FALSE)="牵丝",VLOOKUP($E36,武器奇术!$A:$R,4,FALSE),VLOOKUP($E36,武器奇术!$A:$R,2,FALSE))*(1+DF36)*(1+DG36)*DH36*(1+$E$17+VLOOKUP($E36,武器奇术!$A:$R,10,FALSE))</f>
        <v>566.52328392192</v>
      </c>
      <c r="DN36" s="104">
        <f t="shared" si="29"/>
        <v>0.0986</v>
      </c>
      <c r="DO36" s="124">
        <f>DD36*IF(VLOOKUP($E36,武器奇术!$A:$R,17,FALSE)="牵丝",VLOOKUP($E36,武器奇术!$A:$R,4,FALSE),VLOOKUP($E36,武器奇术!$A:$R,2,FALSE))*(1+DF36)*(1+DG36)*DH36</f>
        <v>284.4373767456</v>
      </c>
      <c r="DP36" s="104">
        <f t="shared" si="30"/>
        <v>0.0311</v>
      </c>
      <c r="DQ36" s="112">
        <f t="shared" si="31"/>
        <v>560.787079570808</v>
      </c>
    </row>
    <row r="37" spans="2:121">
      <c r="B37" s="125"/>
      <c r="C37" s="21"/>
      <c r="D37" s="129"/>
      <c r="E37" s="115" t="s">
        <v>136</v>
      </c>
      <c r="F37" s="116">
        <v>1</v>
      </c>
      <c r="G37" s="117">
        <f t="shared" si="43"/>
        <v>0.32</v>
      </c>
      <c r="H37" s="103">
        <f>IF(VLOOKUP($E37,武器奇术!$A:$R,18,FALSE)="天工",AE37,(AE37+AT37+BI37+BX37+CM37+DB37+DQ37))*(1+J37)*F37*K37*(1+G37)</f>
        <v>38068.5096010963</v>
      </c>
      <c r="I37" s="104">
        <f t="shared" si="42"/>
        <v>0.00438739412771668</v>
      </c>
      <c r="J37" s="118">
        <f>$F$3+VLOOKUP($E37,武器奇术!$A:$R,12,FALSE)+VLOOKUP($E37,武器奇术!$A:$R,14,FALSE)*$G$3+$P37+IF($F$21="√",5%,0)</f>
        <v>0.753</v>
      </c>
      <c r="K37" s="105">
        <f>VLOOKUP($E37,武器奇术!$A:$R,11,FALSE)</f>
        <v>1</v>
      </c>
      <c r="L37" s="119">
        <f>IF(VLOOKUP($E37,武器奇术!$A:$R,15,FALSE)="天工",0%,IF($C$17+VLOOKUP($E37,武器奇术!$A:$R,7,FALSE)&gt;80%,80%,$C$17+VLOOKUP($E37,武器奇术!$A:$R,7,FALSE))+IF($C$19&gt;20%,20%,$C$19))</f>
        <v>0.8703</v>
      </c>
      <c r="M37" s="120">
        <f>IF(VLOOKUP($E37,武器奇术!$A:$R,15,FALSE)="天工",0%,IF($C$18+VLOOKUP($E37,武器奇术!$A:$R,9,FALSE)&gt;40%,40%,$C$18+VLOOKUP($E37,武器奇术!$A:$R,9,FALSE))+IF($C$20&gt;10%,10%,$C$20))</f>
        <v>0.0986</v>
      </c>
      <c r="N37" s="121">
        <f>IF(VLOOKUP($E37,武器奇术!$A:$R,15,FALSE)="天工",100%,MIN($C$16,1))</f>
        <v>1</v>
      </c>
      <c r="O37" s="122" t="str">
        <f>VLOOKUP($E37,武器奇术!$A:$R,16,FALSE)</f>
        <v>伞</v>
      </c>
      <c r="P37" s="123">
        <f t="shared" si="32"/>
        <v>0.17</v>
      </c>
      <c r="Q37" s="110">
        <f>$B$5*(1+VLOOKUP($E37,武器奇术!$A:$R,5,FALSE))*(1+VLOOKUP($E37,武器奇术!$A:$S,19,FALSE)+IF($G$5="飞隼",0.1,0)+IF($G$5="撼天",0.05,0))-$F$9+IF($J$5="√",160,0)</f>
        <v>3081.85</v>
      </c>
      <c r="R37" s="102">
        <f>IF(VLOOKUP($E37,武器奇术!$A:$Z,18,FALSE)="叶龙",(S37-(Q37+S37)*0.5)*($G$15-0.5)*2+(Q37+S37)*0.5,(Q37+S37)*0.5)</f>
        <v>3161.85</v>
      </c>
      <c r="S37" s="102">
        <f>MAX($C$5,$B$5)*(1+VLOOKUP($E37,武器奇术!$A:$R,6,FALSE))*(1+VLOOKUP($E37,武器奇术!$A:$S,19,FALSE)+IF($G$5="飞隼",0.1,0)+IF($G$5="撼天",0.05,0))-$F$9+IF($J$5="√",320,0)</f>
        <v>3241.85</v>
      </c>
      <c r="T37" s="104">
        <f>IF(($D$5+VLOOKUP($E37,武器奇术!$A:$R,13,FALSE)+IF($I$3="√",10,0)-VLOOKUP($F$7,目标属性!$A:$R,5,FALSE))&gt;0,($D$5+VLOOKUP($E37,武器奇术!$A:$R,13,FALSE)+IF($I$3="√",10,0)-VLOOKUP($F$7,目标属性!$A:$R,5,FALSE))/200,($D$5+VLOOKUP($E37,武器奇术!$A:$R,13,FALSE)+IF($I$3="√",10,0)-VLOOKUP($F$7,目标属性!$A:$R,5,FALSE))/100)</f>
        <v>0.2925</v>
      </c>
      <c r="U37" s="111">
        <f>$E$5+IF($G$5="烟柳",IF(VLOOKUP($E37,武器奇术!$A:$T,20,FALSE)=1,0.1,0),0)</f>
        <v>0.1</v>
      </c>
      <c r="V37" s="102">
        <v>1</v>
      </c>
      <c r="W37" s="103">
        <f>Q37*VLOOKUP($E37,武器奇术!$A:$R,2,FALSE)*(1+T37)*(1+U37)*V37</f>
        <v>5148.20660615181</v>
      </c>
      <c r="X37" s="104">
        <f>(1-IF(VLOOKUP($E37,武器奇术!$A:$R,18,FALSE)="叶龙",1,$N37))*(1-$M37)</f>
        <v>0</v>
      </c>
      <c r="Y37" s="103">
        <f>R37*VLOOKUP($E37,武器奇术!$A:$R,2,FALSE)*(1+T37)*(1+U37)*V37*(1+$E$16+VLOOKUP($E37,武器奇术!$A:$R,8,FALSE))</f>
        <v>10584.819359655</v>
      </c>
      <c r="Z37" s="104">
        <f t="shared" si="33"/>
        <v>0.8703</v>
      </c>
      <c r="AA37" s="103">
        <f>S37*VLOOKUP($E37,武器奇术!$A:$R,2,FALSE)*(1+T37)*(1+U37)*V37*(1+$E$17+VLOOKUP($E37,武器奇术!$A:$R,10,FALSE))</f>
        <v>7310.90524889495</v>
      </c>
      <c r="AB37" s="104">
        <f t="shared" si="34"/>
        <v>0.0986</v>
      </c>
      <c r="AC37" s="103">
        <f>R37*VLOOKUP($E37,武器奇术!$A:$R,2,FALSE)*(1+T37)*(1+U37)*V37</f>
        <v>5281.84598785181</v>
      </c>
      <c r="AD37" s="104">
        <f t="shared" si="35"/>
        <v>0.0311</v>
      </c>
      <c r="AE37" s="112">
        <f t="shared" si="36"/>
        <v>10097.088956471</v>
      </c>
      <c r="AF37" s="113">
        <f>VLOOKUP($E37,武器奇术!$A:$R,3,FALSE)*(1+IF(VLOOKUP($E37,武器奇术!$A:$R,15,FALSE)="武器",$E$15,0))</f>
        <v>421.59</v>
      </c>
      <c r="AG37" s="103">
        <f t="shared" si="1"/>
        <v>421.59</v>
      </c>
      <c r="AH37" s="103">
        <f>VLOOKUP($E37,武器奇术!$A:$R,3,FALSE)*(1+IF(VLOOKUP($E37,武器奇术!$A:$R,15,FALSE)="武器",$E$15,0))</f>
        <v>421.59</v>
      </c>
      <c r="AI37" s="104">
        <f>IF(($D$5+VLOOKUP($E37,武器奇术!$A:$R,13,FALSE)+IF($I$3="√",10,0)-VLOOKUP($F$7,目标属性!$A:$R,5,FALSE))&gt;0,($D$5+VLOOKUP($E37,武器奇术!$A:$R,13,FALSE)+IF($I$3="√",10,0)-VLOOKUP($F$7,目标属性!$A:$R,5,FALSE))/200,($D$5+VLOOKUP($E37,武器奇术!$A:$R,13,FALSE)+IF($I$3="√",10,0)-VLOOKUP($F$7,目标属性!$A:$R,5,FALSE))/100)</f>
        <v>0.2925</v>
      </c>
      <c r="AJ37" s="111">
        <f>$E$5+IF($G$5="烟柳",IF(VLOOKUP($E37,武器奇术!$A:$T,20,FALSE)=1,0.1,0),0)</f>
        <v>0.1</v>
      </c>
      <c r="AK37" s="102">
        <v>1</v>
      </c>
      <c r="AL37" s="103">
        <f t="shared" si="37"/>
        <v>599.3955825</v>
      </c>
      <c r="AM37" s="104">
        <f>(1-IF(VLOOKUP($E37,武器奇术!$A:$R,18,FALSE)="叶龙",1,$N37))*(1-$M37)</f>
        <v>0</v>
      </c>
      <c r="AN37" s="103">
        <f>AG37*(1+AI37)*(1+AJ37)*AK37*(1+$E$16+VLOOKUP($E37,武器奇术!$A:$R,8,FALSE))</f>
        <v>1201.18874733</v>
      </c>
      <c r="AO37" s="104">
        <f t="shared" si="2"/>
        <v>0.8703</v>
      </c>
      <c r="AP37" s="103">
        <f>AH37*(1+AI37)*(1+AJ37)*AK37*(1+$E$17+VLOOKUP($E37,武器奇术!$A:$R,10,FALSE))</f>
        <v>809.184036375</v>
      </c>
      <c r="AQ37" s="104">
        <f t="shared" si="3"/>
        <v>0.0986</v>
      </c>
      <c r="AR37" s="103">
        <f t="shared" si="38"/>
        <v>599.3955825</v>
      </c>
      <c r="AS37" s="104">
        <f t="shared" si="4"/>
        <v>0.0311</v>
      </c>
      <c r="AT37" s="112">
        <f t="shared" si="5"/>
        <v>1143.82131540362</v>
      </c>
      <c r="AU37" s="110">
        <f>$B$7*IF($G$5="撼天",1.05,1)+IF(AND(VLOOKUP($E37,武器奇术!$A:$R,15,FALSE)="武器",VLOOKUP($E37,武器奇术!$A:$R,17,FALSE)="鸣金"),$E$3*(1+$E$15),0)</f>
        <v>0</v>
      </c>
      <c r="AV37" s="102">
        <f t="shared" si="6"/>
        <v>0</v>
      </c>
      <c r="AW37" s="102">
        <f>MAX($C$7*IF($G$5="撼天",1.05,1)+IF(AND(VLOOKUP($E37,武器奇术!$A:$R,15,FALSE)="武器",VLOOKUP($E37,武器奇术!$A:$R,17,FALSE)="鸣金"),$E$3*(1+$E$15),0),AU37)</f>
        <v>0</v>
      </c>
      <c r="AX37" s="104">
        <f>IF(($D$7+IF(VLOOKUP($E37,武器奇术!$A:$R,17,FALSE)="鸣金",$D$15,0)-VLOOKUP($F$7,目标属性!$A:$R,6,FALSE))&gt;0,($D$7+IF(VLOOKUP($E37,武器奇术!$A:$R,17,FALSE)="鸣金",$D$15,0)-VLOOKUP($F$7,目标属性!$A:$R,6,FALSE))/200,($D$7+IF(VLOOKUP($E37,武器奇术!$A:$R,17,FALSE)="鸣金",$D$15,0)-VLOOKUP($F$7,目标属性!$A:$R,6,FALSE))/100)</f>
        <v>-0.24</v>
      </c>
      <c r="AY37" s="111">
        <f t="shared" si="7"/>
        <v>0</v>
      </c>
      <c r="AZ37" s="102">
        <v>1</v>
      </c>
      <c r="BA37" s="103">
        <f>AU37*IF(VLOOKUP($E37,武器奇术!$A:$R,17,FALSE)="鸣金",VLOOKUP($E37,武器奇术!$A:$R,4,FALSE),VLOOKUP($E37,武器奇术!$A:$R,2,FALSE))*(1+AX37)*(1+AY37)*AZ37</f>
        <v>0</v>
      </c>
      <c r="BB37" s="104">
        <f>(1-IF(VLOOKUP($E37,武器奇术!$A:$R,18,FALSE)="叶龙",1,$N37))*(1-$M37)</f>
        <v>0</v>
      </c>
      <c r="BC37" s="103">
        <f>AV37*IF(VLOOKUP($E37,武器奇术!$A:$R,17,FALSE)="鸣金",VLOOKUP($E37,武器奇术!$A:$R,4,FALSE),VLOOKUP($E37,武器奇术!$A:$R,2,FALSE))*(1+AX37)*(1+AY37)*AZ37*(1+$E$16+VLOOKUP($E37,武器奇术!$A:$R,8,FALSE))</f>
        <v>0</v>
      </c>
      <c r="BD37" s="104">
        <f t="shared" si="8"/>
        <v>0.8703</v>
      </c>
      <c r="BE37" s="103">
        <f>AW37*IF(VLOOKUP($E37,武器奇术!$A:$R,17,FALSE)="鸣金",VLOOKUP($E37,武器奇术!$A:$R,4,FALSE),VLOOKUP($E37,武器奇术!$A:$R,2,FALSE))*(1+AX37)*(1+AY37)*AZ37*(1+$E$17+VLOOKUP($E37,武器奇术!$A:$R,10,FALSE))</f>
        <v>0</v>
      </c>
      <c r="BF37" s="104">
        <f t="shared" si="9"/>
        <v>0.0986</v>
      </c>
      <c r="BG37" s="103">
        <f>AV37*IF(VLOOKUP($E37,武器奇术!$A:$R,17,FALSE)="鸣金",VLOOKUP($E37,武器奇术!$A:$R,4,FALSE),VLOOKUP($E37,武器奇术!$A:$R,2,FALSE))*(1+AX37)*(1+AY37)*AZ37</f>
        <v>0</v>
      </c>
      <c r="BH37" s="104">
        <f t="shared" si="10"/>
        <v>0.0311</v>
      </c>
      <c r="BI37" s="112">
        <f t="shared" si="11"/>
        <v>0</v>
      </c>
      <c r="BJ37" s="110">
        <f>$B$9*IF($G$5="撼天",1.05,1)+IF(AND(VLOOKUP($E37,武器奇术!$A:$R,15,FALSE)="武器",VLOOKUP($E37,武器奇术!$A:$R,17,FALSE)="裂石"),$E$3*(1+$E$15),0)</f>
        <v>0</v>
      </c>
      <c r="BK37" s="102">
        <f t="shared" si="12"/>
        <v>0</v>
      </c>
      <c r="BL37" s="102">
        <f>MAX($C$9*IF($G$5="撼天",1.05,1)+IF(AND(VLOOKUP($E37,武器奇术!$A:$R,15,FALSE)="武器",VLOOKUP($E37,武器奇术!$A:$R,17,FALSE)="裂石"),$E$3*(1+$E$15),0),BJ37)</f>
        <v>0</v>
      </c>
      <c r="BM37" s="104">
        <f>IF(($D$9+IF(VLOOKUP($E37,武器奇术!$A:$R,17,FALSE)="裂石",$D$15,0)-VLOOKUP($F$7,目标属性!$A:$R,6,FALSE))&gt;0,($D$9+IF(VLOOKUP($E37,武器奇术!$A:$R,17,FALSE)="裂石",$D$15,0)-VLOOKUP($F$7,目标属性!$A:$R,6,FALSE))/200,($D$9+IF(VLOOKUP($E37,武器奇术!$A:$R,17,FALSE)="裂石",$D$15,0)-VLOOKUP($F$7,目标属性!$A:$R,6,FALSE))/100)</f>
        <v>-0.24</v>
      </c>
      <c r="BN37" s="111">
        <f t="shared" si="13"/>
        <v>0</v>
      </c>
      <c r="BO37" s="102">
        <v>1</v>
      </c>
      <c r="BP37" s="103">
        <f>BJ37*IF(VLOOKUP($E37,武器奇术!$A:$R,17,FALSE)="裂石",VLOOKUP($E37,武器奇术!$A:$R,4,FALSE),VLOOKUP($E37,武器奇术!$A:$R,2,FALSE))*(1+BM37)*(1+BN37)*BO37</f>
        <v>0</v>
      </c>
      <c r="BQ37" s="104">
        <f>(1-IF(VLOOKUP($E37,武器奇术!$A:$R,18,FALSE)="叶龙",1,$N37))*(1-$M37)</f>
        <v>0</v>
      </c>
      <c r="BR37" s="103">
        <f>BK37*IF(VLOOKUP($E37,武器奇术!$A:$R,17,FALSE)="裂石",VLOOKUP($E37,武器奇术!$A:$R,4,FALSE),VLOOKUP($E37,武器奇术!$A:$R,2,FALSE))*(1+BM37)*(1+BN37)*BO37*(1+$E$16+VLOOKUP($E37,武器奇术!$A:$R,8,FALSE))</f>
        <v>0</v>
      </c>
      <c r="BS37" s="104">
        <f t="shared" si="14"/>
        <v>0.8703</v>
      </c>
      <c r="BT37" s="103">
        <f>BL37*IF(VLOOKUP($E37,武器奇术!$A:$R,17,FALSE)="裂石",VLOOKUP($E37,武器奇术!$A:$R,4,FALSE),VLOOKUP($E37,武器奇术!$A:$R,2,FALSE))*(1+BM37)*(1+BN37)*BO37*(1+$E$17+VLOOKUP($E37,武器奇术!$A:$R,10,FALSE))</f>
        <v>0</v>
      </c>
      <c r="BU37" s="104">
        <f t="shared" si="15"/>
        <v>0.0986</v>
      </c>
      <c r="BV37" s="103">
        <f>BK37*IF(VLOOKUP($E37,武器奇术!$A:$R,17,FALSE)="裂石",VLOOKUP($E37,武器奇术!$A:$R,4,FALSE),VLOOKUP($E37,武器奇术!$A:$R,2,FALSE))*(1+BM37)*(1+BN37)*BO37</f>
        <v>0</v>
      </c>
      <c r="BW37" s="104">
        <f t="shared" si="16"/>
        <v>0.0311</v>
      </c>
      <c r="BX37" s="112">
        <f t="shared" si="17"/>
        <v>0</v>
      </c>
      <c r="BY37" s="110">
        <f>$B$11*IF($G$5="撼天",1.05,1)+IF(AND(VLOOKUP($E37,武器奇术!$A:$R,15,FALSE)="武器",VLOOKUP($E37,武器奇术!$A:$R,17,FALSE)="牵丝"),$E$3*(1+$E$15),0)</f>
        <v>686.71</v>
      </c>
      <c r="BZ37" s="102">
        <f>IF(VLOOKUP($E37,武器奇术!$A:$Z,18,FALSE)="叶龙",(CA37-(BY37+CA37)*0.5)*($G$15-0.5)*2+(BY37+CA37)*0.5,(BY37+CA37)*0.5)</f>
        <v>1052.21</v>
      </c>
      <c r="CA37" s="102">
        <f>MAX($C$11*IF($G$5="撼天",1.05,1)+IF(AND(VLOOKUP($E37,武器奇术!$A:$R,15,FALSE)="武器",VLOOKUP($E37,武器奇术!$A:$R,17,FALSE)="牵丝"),$E$3*(1+$E$15),0),BY37)</f>
        <v>1417.71</v>
      </c>
      <c r="CB37" s="104">
        <f>IF(($D$11+IF(VLOOKUP($E37,武器奇术!$A:$R,17,FALSE)="牵丝",$D$15,0)-VLOOKUP($F$7,目标属性!$A:$R,6,FALSE))&gt;0,($D$11+IF(VLOOKUP($E37,武器奇术!$A:$R,17,FALSE)="牵丝",$D$15,0)-VLOOKUP($F$7,目标属性!$A:$R,6,FALSE))/200,($D$11+IF(VLOOKUP($E37,武器奇术!$A:$R,17,FALSE)="牵丝",$D$15,0)-VLOOKUP($F$7,目标属性!$A:$R,6,FALSE))/100)</f>
        <v>0.028</v>
      </c>
      <c r="CC37" s="111">
        <f>$E$11+IF($G$5="烟柳",IF(VLOOKUP($E37,武器奇术!$A:$T,20,FALSE)=1,0.1,0),0)</f>
        <v>0.248</v>
      </c>
      <c r="CD37" s="102">
        <v>1</v>
      </c>
      <c r="CE37" s="103">
        <f>BY37*IF(VLOOKUP($E37,武器奇术!$A:$R,17,FALSE)="牵丝",VLOOKUP($E37,武器奇术!$A:$R,4,FALSE),VLOOKUP($E37,武器奇术!$A:$R,2,FALSE))*(1+CB37)*(1+CC37)*CD37</f>
        <v>1552.67083453872</v>
      </c>
      <c r="CF37" s="104">
        <f>(1-IF(VLOOKUP($E37,武器奇术!$A:$R,18,FALSE)="叶龙",1,$N37))*(1-$M37)</f>
        <v>0</v>
      </c>
      <c r="CG37" s="124">
        <f>BZ37*IF(VLOOKUP($E37,武器奇术!$A:$R,17,FALSE)="牵丝",VLOOKUP($E37,武器奇术!$A:$R,4,FALSE),VLOOKUP($E37,武器奇术!$A:$R,2,FALSE))*(1+CB37)*(1+CC37)*CD37*(1+$E$16+VLOOKUP($E37,武器奇术!$A:$R,8,FALSE))</f>
        <v>4767.66975977518</v>
      </c>
      <c r="CH37" s="104">
        <f t="shared" si="18"/>
        <v>0.8703</v>
      </c>
      <c r="CI37" s="103">
        <f>CA37*IF(VLOOKUP($E37,武器奇术!$A:$R,17,FALSE)="牵丝",VLOOKUP($E37,武器奇术!$A:$R,4,FALSE),VLOOKUP($E37,武器奇术!$A:$R,2,FALSE))*(1+CB37)*(1+CC37)*CD37*(1+$E$17+VLOOKUP($E37,武器奇术!$A:$R,10,FALSE))</f>
        <v>4327.40153474647</v>
      </c>
      <c r="CJ37" s="104">
        <f t="shared" si="19"/>
        <v>0.0986</v>
      </c>
      <c r="CK37" s="124">
        <f>BZ37*IF(VLOOKUP($E37,武器奇术!$A:$R,17,FALSE)="牵丝",VLOOKUP($E37,武器奇术!$A:$R,4,FALSE),VLOOKUP($E37,武器奇术!$A:$R,2,FALSE))*(1+CB37)*(1+CC37)*CD37</f>
        <v>2379.07672643472</v>
      </c>
      <c r="CL37" s="104">
        <f t="shared" si="20"/>
        <v>0.0311</v>
      </c>
      <c r="CM37" s="112">
        <f t="shared" si="39"/>
        <v>4649.97406945046</v>
      </c>
      <c r="CN37" s="110">
        <f>$B$13*IF($G$5="撼天",1.05,1)+IF(AND(VLOOKUP($E37,武器奇术!$A:$R,15,FALSE)="武器",VLOOKUP($E37,武器奇术!$A:$R,17,FALSE)="破竹"),$E$3*(1+$E$15),0)</f>
        <v>0</v>
      </c>
      <c r="CO37" s="102">
        <f t="shared" si="21"/>
        <v>0</v>
      </c>
      <c r="CP37" s="102">
        <f>MAX($C$13*IF($G$5="撼天",1.05,1)+IF(AND(VLOOKUP($E37,武器奇术!$A:$R,15,FALSE)="武器",VLOOKUP($E37,武器奇术!$A:$R,17,FALSE)="破竹"),$E$3*(1+$E$15),0),CN37)</f>
        <v>0</v>
      </c>
      <c r="CQ37" s="104">
        <f>IF(($D$13+IF(VLOOKUP($E37,武器奇术!$A:$R,17,FALSE)="破竹",$D$15,0)-VLOOKUP($F$7,目标属性!$A:$R,6,FALSE))&gt;0,($D$13+IF(VLOOKUP($E37,武器奇术!$A:$R,17,FALSE)="破竹",$D$15,0)-VLOOKUP($F$7,目标属性!$A:$R,6,FALSE))/200,($D$13+IF(VLOOKUP($E37,武器奇术!$A:$R,17,FALSE)="破竹",$D$15,0)-VLOOKUP($F$7,目标属性!$A:$R,6,FALSE))/100)</f>
        <v>-0.24</v>
      </c>
      <c r="CR37" s="111">
        <f t="shared" si="22"/>
        <v>0</v>
      </c>
      <c r="CS37" s="102">
        <v>1</v>
      </c>
      <c r="CT37" s="103">
        <f>CN37*IF(VLOOKUP($E37,武器奇术!$A:$R,17,FALSE)="破竹",VLOOKUP($E37,武器奇术!$A:$R,4,FALSE),VLOOKUP($E37,武器奇术!$A:$R,2,FALSE))*(1+CQ37)*(1+CR37)*CS37</f>
        <v>0</v>
      </c>
      <c r="CU37" s="104">
        <f>(1-IF(VLOOKUP($E37,武器奇术!$A:$R,18,FALSE)="叶龙",1,$N37))*(1-$M37)</f>
        <v>0</v>
      </c>
      <c r="CV37" s="103">
        <f>CO37*IF(VLOOKUP($E37,武器奇术!$A:$R,17,FALSE)="破竹",VLOOKUP($E37,武器奇术!$A:$R,4,FALSE),VLOOKUP($E37,武器奇术!$A:$R,2,FALSE))*(1+CQ37)*(1+CR37)*CS37*(1+$E$16+VLOOKUP($E37,武器奇术!$A:$R,8,FALSE))</f>
        <v>0</v>
      </c>
      <c r="CW37" s="104">
        <f t="shared" si="23"/>
        <v>0.8703</v>
      </c>
      <c r="CX37" s="103">
        <f>CP37*IF(VLOOKUP($E37,武器奇术!$A:$R,17,FALSE)="破竹",VLOOKUP($E37,武器奇术!$A:$R,4,FALSE),VLOOKUP($E37,武器奇术!$A:$R,2,FALSE))*(1+CQ37)*(1+CR37)*CS37*(1+$E$17+VLOOKUP($E37,武器奇术!$A:$R,10,FALSE))</f>
        <v>0</v>
      </c>
      <c r="CY37" s="104">
        <f t="shared" si="24"/>
        <v>0.0986</v>
      </c>
      <c r="CZ37" s="103">
        <f>CO37*IF(VLOOKUP($E37,武器奇术!$A:$R,17,FALSE)="破竹",VLOOKUP($E37,武器奇术!$A:$R,4,FALSE),VLOOKUP($E37,武器奇术!$A:$R,2,FALSE))*(1+CQ37)*(1+CR37)*CS37</f>
        <v>0</v>
      </c>
      <c r="DA37" s="104">
        <f t="shared" si="25"/>
        <v>0.0311</v>
      </c>
      <c r="DB37" s="112">
        <f t="shared" si="26"/>
        <v>0</v>
      </c>
      <c r="DC37" s="110">
        <f t="shared" si="40"/>
        <v>66</v>
      </c>
      <c r="DD37" s="102">
        <f t="shared" si="27"/>
        <v>125.8</v>
      </c>
      <c r="DE37" s="102">
        <f t="shared" si="41"/>
        <v>185.6</v>
      </c>
      <c r="DF37" s="104">
        <f>IF((IF(VLOOKUP($E37,武器奇术!$A:$R,17,FALSE)="鸣金",$D$7,0)+IF(VLOOKUP($E37,武器奇术!$A:$R,17,FALSE)="裂石",$D$9,0)+IF(VLOOKUP($E37,武器奇术!$A:$R,17,FALSE)="牵丝",$D$11,0)+IF(VLOOKUP($E37,武器奇术!$A:$R,17,FALSE)="破竹",$D$13,0)+$D$15-VLOOKUP($F$7,目标属性!$A:$R,6,FALSE))&gt;0,(IF(VLOOKUP($E37,武器奇术!$A:$R,17,FALSE)="鸣金",$D$7,0)+IF(VLOOKUP($E37,武器奇术!$A:$R,17,FALSE)="裂石",$D$9,0)+IF(VLOOKUP($E37,武器奇术!$A:$R,17,FALSE)="牵丝",$D$11,0)+IF(VLOOKUP($E37,武器奇术!$A:$R,17,FALSE)="破竹",$D$13,0)+$D$15-VLOOKUP($F$7,目标属性!$A:$R,6,FALSE))/200,(IF(VLOOKUP($E37,武器奇术!$A:$R,17,FALSE)="鸣金",$D$7,0)+IF(VLOOKUP($E37,武器奇术!$A:$R,17,FALSE)="裂石",$D$9,0)+IF(VLOOKUP($E37,武器奇术!$A:$R,17,FALSE)="牵丝",$D$11,0)+IF(VLOOKUP($E37,武器奇术!$A:$R,17,FALSE)="破竹",$D$13,0)+$D$15-VLOOKUP($F$7,目标属性!$A:$R,6,FALSE))/100)</f>
        <v>0.028</v>
      </c>
      <c r="DG37" s="111">
        <f>$E$11+IF($G$5="烟柳",IF(VLOOKUP($E37,武器奇术!$A:$T,20,FALSE)=1,0.1,0),0)</f>
        <v>0.248</v>
      </c>
      <c r="DH37" s="102">
        <v>1</v>
      </c>
      <c r="DI37" s="103">
        <f>DC37*IF(VLOOKUP($E37,武器奇术!$A:$R,17,FALSE)="牵丝",VLOOKUP($E37,武器奇术!$A:$R,4,FALSE),VLOOKUP($E37,武器奇术!$A:$R,2,FALSE))*(1+DF37)*(1+DG37)*DH37</f>
        <v>149.227876512</v>
      </c>
      <c r="DJ37" s="104">
        <f>(1-IF(VLOOKUP($E37,武器奇术!$A:$R,18,FALSE)="叶龙",1,$N37))*(1-$M37)</f>
        <v>0</v>
      </c>
      <c r="DK37" s="124">
        <f>DD37*IF(VLOOKUP($E37,武器奇术!$A:$R,17,FALSE)="牵丝",VLOOKUP($E37,武器奇术!$A:$R,4,FALSE),VLOOKUP($E37,武器奇术!$A:$R,2,FALSE))*(1+DF37)*(1+DG37)*DH37*(1+$E$16+VLOOKUP($E37,武器奇术!$A:$R,8,FALSE))</f>
        <v>570.012502998182</v>
      </c>
      <c r="DL37" s="104">
        <f t="shared" si="28"/>
        <v>0.8703</v>
      </c>
      <c r="DM37" s="103">
        <f>DE37*IF(VLOOKUP($E37,武器奇术!$A:$R,17,FALSE)="牵丝",VLOOKUP($E37,武器奇术!$A:$R,4,FALSE),VLOOKUP($E37,武器奇术!$A:$R,2,FALSE))*(1+DF37)*(1+DG37)*DH37*(1+$E$17+VLOOKUP($E37,武器奇术!$A:$R,10,FALSE))</f>
        <v>566.52328392192</v>
      </c>
      <c r="DN37" s="104">
        <f t="shared" si="29"/>
        <v>0.0986</v>
      </c>
      <c r="DO37" s="124">
        <f>DD37*IF(VLOOKUP($E37,武器奇术!$A:$R,17,FALSE)="牵丝",VLOOKUP($E37,武器奇术!$A:$R,4,FALSE),VLOOKUP($E37,武器奇术!$A:$R,2,FALSE))*(1+DF37)*(1+DG37)*DH37</f>
        <v>284.4373767456</v>
      </c>
      <c r="DP37" s="104">
        <f t="shared" si="30"/>
        <v>0.0311</v>
      </c>
      <c r="DQ37" s="112">
        <f t="shared" si="31"/>
        <v>560.787079570808</v>
      </c>
    </row>
    <row r="38" spans="2:121">
      <c r="B38" s="125"/>
      <c r="C38" s="21"/>
      <c r="D38" s="129"/>
      <c r="E38" s="115" t="s">
        <v>137</v>
      </c>
      <c r="F38" s="116">
        <v>8.5</v>
      </c>
      <c r="G38" s="117">
        <f t="shared" si="43"/>
        <v>0.32</v>
      </c>
      <c r="H38" s="103">
        <f>IF(VLOOKUP($E38,武器奇术!$A:$R,18,FALSE)="天工",AE38,(AE38+AT38+BI38+BX38+CM38+DB38+DQ38))*(1+J38)*F38*K38*(1+G38)</f>
        <v>397417.432946299</v>
      </c>
      <c r="I38" s="104">
        <f t="shared" si="42"/>
        <v>0.0458023424040382</v>
      </c>
      <c r="J38" s="118">
        <f>$F$3+VLOOKUP($E38,武器奇术!$A:$R,12,FALSE)+VLOOKUP($E38,武器奇术!$A:$R,14,FALSE)*$G$3+$P38+IF($F$21="√",5%,0)</f>
        <v>1.153</v>
      </c>
      <c r="K38" s="105">
        <f>VLOOKUP($E38,武器奇术!$A:$R,11,FALSE)</f>
        <v>1</v>
      </c>
      <c r="L38" s="119">
        <f>IF(VLOOKUP($E38,武器奇术!$A:$R,15,FALSE)="天工",0%,IF($C$17+VLOOKUP($E38,武器奇术!$A:$R,7,FALSE)&gt;80%,80%,$C$17+VLOOKUP($E38,武器奇术!$A:$R,7,FALSE))+IF($C$19&gt;20%,20%,$C$19))</f>
        <v>0.8703</v>
      </c>
      <c r="M38" s="120">
        <f>IF(VLOOKUP($E38,武器奇术!$A:$R,15,FALSE)="天工",0%,IF($C$18+VLOOKUP($E38,武器奇术!$A:$R,9,FALSE)&gt;40%,40%,$C$18+VLOOKUP($E38,武器奇术!$A:$R,9,FALSE))+IF($C$20&gt;10%,10%,$C$20))</f>
        <v>0.0986</v>
      </c>
      <c r="N38" s="121">
        <f>IF(VLOOKUP($E38,武器奇术!$A:$R,15,FALSE)="天工",100%,MIN($C$16,1))</f>
        <v>1</v>
      </c>
      <c r="O38" s="122" t="str">
        <f>VLOOKUP($E38,武器奇术!$A:$R,16,FALSE)</f>
        <v>伞</v>
      </c>
      <c r="P38" s="123">
        <f t="shared" si="32"/>
        <v>0.17</v>
      </c>
      <c r="Q38" s="110">
        <f>$B$5*(1+VLOOKUP($E38,武器奇术!$A:$R,5,FALSE))*(1+VLOOKUP($E38,武器奇术!$A:$S,19,FALSE)+IF($G$5="飞隼",0.1,0)+IF($G$5="撼天",0.05,0))-$F$9+IF($J$5="√",160,0)</f>
        <v>3081.85</v>
      </c>
      <c r="R38" s="102">
        <f>IF(VLOOKUP($E38,武器奇术!$A:$Z,18,FALSE)="叶龙",(S38-(Q38+S38)*0.5)*($G$15-0.5)*2+(Q38+S38)*0.5,(Q38+S38)*0.5)</f>
        <v>3161.85</v>
      </c>
      <c r="S38" s="102">
        <f>MAX($C$5,$B$5)*(1+VLOOKUP($E38,武器奇术!$A:$R,6,FALSE))*(1+VLOOKUP($E38,武器奇术!$A:$S,19,FALSE)+IF($G$5="飞隼",0.1,0)+IF($G$5="撼天",0.05,0))-$F$9+IF($J$5="√",320,0)</f>
        <v>3241.85</v>
      </c>
      <c r="T38" s="104">
        <f>IF(($D$5+VLOOKUP($E38,武器奇术!$A:$R,13,FALSE)+IF($I$3="√",10,0)-VLOOKUP($F$7,目标属性!$A:$R,5,FALSE))&gt;0,($D$5+VLOOKUP($E38,武器奇术!$A:$R,13,FALSE)+IF($I$3="√",10,0)-VLOOKUP($F$7,目标属性!$A:$R,5,FALSE))/200,($D$5+VLOOKUP($E38,武器奇术!$A:$R,13,FALSE)+IF($I$3="√",10,0)-VLOOKUP($F$7,目标属性!$A:$R,5,FALSE))/100)</f>
        <v>0.2925</v>
      </c>
      <c r="U38" s="111">
        <f>$E$5+IF($G$5="烟柳",IF(VLOOKUP($E38,武器奇术!$A:$T,20,FALSE)=1,0.1,0),0)</f>
        <v>0.1</v>
      </c>
      <c r="V38" s="102">
        <v>1</v>
      </c>
      <c r="W38" s="103">
        <f>Q38*VLOOKUP($E38,武器奇术!$A:$R,2,FALSE)*(1+T38)*(1+U38)*V38</f>
        <v>5148.20660615181</v>
      </c>
      <c r="X38" s="104">
        <f>(1-IF(VLOOKUP($E38,武器奇术!$A:$R,18,FALSE)="叶龙",1,$N38))*(1-$M38)</f>
        <v>0</v>
      </c>
      <c r="Y38" s="103">
        <f>R38*VLOOKUP($E38,武器奇术!$A:$R,2,FALSE)*(1+T38)*(1+U38)*V38*(1+$E$16+VLOOKUP($E38,武器奇术!$A:$R,8,FALSE))</f>
        <v>10584.819359655</v>
      </c>
      <c r="Z38" s="104">
        <f t="shared" si="33"/>
        <v>0.8703</v>
      </c>
      <c r="AA38" s="103">
        <f>S38*VLOOKUP($E38,武器奇术!$A:$R,2,FALSE)*(1+T38)*(1+U38)*V38*(1+$E$17+VLOOKUP($E38,武器奇术!$A:$R,10,FALSE))</f>
        <v>7310.90524889495</v>
      </c>
      <c r="AB38" s="104">
        <f t="shared" si="34"/>
        <v>0.0986</v>
      </c>
      <c r="AC38" s="103">
        <f>R38*VLOOKUP($E38,武器奇术!$A:$R,2,FALSE)*(1+T38)*(1+U38)*V38</f>
        <v>5281.84598785181</v>
      </c>
      <c r="AD38" s="104">
        <f t="shared" si="35"/>
        <v>0.0311</v>
      </c>
      <c r="AE38" s="112">
        <f t="shared" si="36"/>
        <v>10097.088956471</v>
      </c>
      <c r="AF38" s="113">
        <f>VLOOKUP($E38,武器奇术!$A:$R,3,FALSE)*(1+IF(VLOOKUP($E38,武器奇术!$A:$R,15,FALSE)="武器",$E$15,0))</f>
        <v>421.59</v>
      </c>
      <c r="AG38" s="103">
        <f t="shared" si="1"/>
        <v>421.59</v>
      </c>
      <c r="AH38" s="103">
        <f>VLOOKUP($E38,武器奇术!$A:$R,3,FALSE)*(1+IF(VLOOKUP($E38,武器奇术!$A:$R,15,FALSE)="武器",$E$15,0))</f>
        <v>421.59</v>
      </c>
      <c r="AI38" s="104">
        <f>IF(($D$5+VLOOKUP($E38,武器奇术!$A:$R,13,FALSE)+IF($I$3="√",10,0)-VLOOKUP($F$7,目标属性!$A:$R,5,FALSE))&gt;0,($D$5+VLOOKUP($E38,武器奇术!$A:$R,13,FALSE)+IF($I$3="√",10,0)-VLOOKUP($F$7,目标属性!$A:$R,5,FALSE))/200,($D$5+VLOOKUP($E38,武器奇术!$A:$R,13,FALSE)+IF($I$3="√",10,0)-VLOOKUP($F$7,目标属性!$A:$R,5,FALSE))/100)</f>
        <v>0.2925</v>
      </c>
      <c r="AJ38" s="111">
        <f>$E$5+IF($G$5="烟柳",IF(VLOOKUP($E38,武器奇术!$A:$T,20,FALSE)=1,0.1,0),0)</f>
        <v>0.1</v>
      </c>
      <c r="AK38" s="102">
        <v>1</v>
      </c>
      <c r="AL38" s="103">
        <f t="shared" si="37"/>
        <v>599.3955825</v>
      </c>
      <c r="AM38" s="104">
        <f>(1-IF(VLOOKUP($E38,武器奇术!$A:$R,18,FALSE)="叶龙",1,$N38))*(1-$M38)</f>
        <v>0</v>
      </c>
      <c r="AN38" s="103">
        <f>AG38*(1+AI38)*(1+AJ38)*AK38*(1+$E$16+VLOOKUP($E38,武器奇术!$A:$R,8,FALSE))</f>
        <v>1201.18874733</v>
      </c>
      <c r="AO38" s="104">
        <f t="shared" si="2"/>
        <v>0.8703</v>
      </c>
      <c r="AP38" s="103">
        <f>AH38*(1+AI38)*(1+AJ38)*AK38*(1+$E$17+VLOOKUP($E38,武器奇术!$A:$R,10,FALSE))</f>
        <v>809.184036375</v>
      </c>
      <c r="AQ38" s="104">
        <f t="shared" si="3"/>
        <v>0.0986</v>
      </c>
      <c r="AR38" s="103">
        <f t="shared" si="38"/>
        <v>599.3955825</v>
      </c>
      <c r="AS38" s="104">
        <f t="shared" si="4"/>
        <v>0.0311</v>
      </c>
      <c r="AT38" s="112">
        <f t="shared" si="5"/>
        <v>1143.82131540362</v>
      </c>
      <c r="AU38" s="110">
        <f>$B$7*IF($G$5="撼天",1.05,1)+IF(AND(VLOOKUP($E38,武器奇术!$A:$R,15,FALSE)="武器",VLOOKUP($E38,武器奇术!$A:$R,17,FALSE)="鸣金"),$E$3*(1+$E$15),0)</f>
        <v>0</v>
      </c>
      <c r="AV38" s="102">
        <f t="shared" si="6"/>
        <v>0</v>
      </c>
      <c r="AW38" s="102">
        <f>MAX($C$7*IF($G$5="撼天",1.05,1)+IF(AND(VLOOKUP($E38,武器奇术!$A:$R,15,FALSE)="武器",VLOOKUP($E38,武器奇术!$A:$R,17,FALSE)="鸣金"),$E$3*(1+$E$15),0),AU38)</f>
        <v>0</v>
      </c>
      <c r="AX38" s="104">
        <f>IF(($D$7+IF(VLOOKUP($E38,武器奇术!$A:$R,17,FALSE)="鸣金",$D$15,0)-VLOOKUP($F$7,目标属性!$A:$R,6,FALSE))&gt;0,($D$7+IF(VLOOKUP($E38,武器奇术!$A:$R,17,FALSE)="鸣金",$D$15,0)-VLOOKUP($F$7,目标属性!$A:$R,6,FALSE))/200,($D$7+IF(VLOOKUP($E38,武器奇术!$A:$R,17,FALSE)="鸣金",$D$15,0)-VLOOKUP($F$7,目标属性!$A:$R,6,FALSE))/100)</f>
        <v>-0.24</v>
      </c>
      <c r="AY38" s="111">
        <f t="shared" si="7"/>
        <v>0</v>
      </c>
      <c r="AZ38" s="102">
        <v>1</v>
      </c>
      <c r="BA38" s="103">
        <f>AU38*IF(VLOOKUP($E38,武器奇术!$A:$R,17,FALSE)="鸣金",VLOOKUP($E38,武器奇术!$A:$R,4,FALSE),VLOOKUP($E38,武器奇术!$A:$R,2,FALSE))*(1+AX38)*(1+AY38)*AZ38</f>
        <v>0</v>
      </c>
      <c r="BB38" s="104">
        <f>(1-IF(VLOOKUP($E38,武器奇术!$A:$R,18,FALSE)="叶龙",1,$N38))*(1-$M38)</f>
        <v>0</v>
      </c>
      <c r="BC38" s="103">
        <f>AV38*IF(VLOOKUP($E38,武器奇术!$A:$R,17,FALSE)="鸣金",VLOOKUP($E38,武器奇术!$A:$R,4,FALSE),VLOOKUP($E38,武器奇术!$A:$R,2,FALSE))*(1+AX38)*(1+AY38)*AZ38*(1+$E$16+VLOOKUP($E38,武器奇术!$A:$R,8,FALSE))</f>
        <v>0</v>
      </c>
      <c r="BD38" s="104">
        <f t="shared" si="8"/>
        <v>0.8703</v>
      </c>
      <c r="BE38" s="103">
        <f>AW38*IF(VLOOKUP($E38,武器奇术!$A:$R,17,FALSE)="鸣金",VLOOKUP($E38,武器奇术!$A:$R,4,FALSE),VLOOKUP($E38,武器奇术!$A:$R,2,FALSE))*(1+AX38)*(1+AY38)*AZ38*(1+$E$17+VLOOKUP($E38,武器奇术!$A:$R,10,FALSE))</f>
        <v>0</v>
      </c>
      <c r="BF38" s="104">
        <f t="shared" si="9"/>
        <v>0.0986</v>
      </c>
      <c r="BG38" s="103">
        <f>AV38*IF(VLOOKUP($E38,武器奇术!$A:$R,17,FALSE)="鸣金",VLOOKUP($E38,武器奇术!$A:$R,4,FALSE),VLOOKUP($E38,武器奇术!$A:$R,2,FALSE))*(1+AX38)*(1+AY38)*AZ38</f>
        <v>0</v>
      </c>
      <c r="BH38" s="104">
        <f t="shared" si="10"/>
        <v>0.0311</v>
      </c>
      <c r="BI38" s="112">
        <f t="shared" si="11"/>
        <v>0</v>
      </c>
      <c r="BJ38" s="110">
        <f>$B$9*IF($G$5="撼天",1.05,1)+IF(AND(VLOOKUP($E38,武器奇术!$A:$R,15,FALSE)="武器",VLOOKUP($E38,武器奇术!$A:$R,17,FALSE)="裂石"),$E$3*(1+$E$15),0)</f>
        <v>0</v>
      </c>
      <c r="BK38" s="102">
        <f t="shared" si="12"/>
        <v>0</v>
      </c>
      <c r="BL38" s="102">
        <f>MAX($C$9*IF($G$5="撼天",1.05,1)+IF(AND(VLOOKUP($E38,武器奇术!$A:$R,15,FALSE)="武器",VLOOKUP($E38,武器奇术!$A:$R,17,FALSE)="裂石"),$E$3*(1+$E$15),0),BJ38)</f>
        <v>0</v>
      </c>
      <c r="BM38" s="104">
        <f>IF(($D$9+IF(VLOOKUP($E38,武器奇术!$A:$R,17,FALSE)="裂石",$D$15,0)-VLOOKUP($F$7,目标属性!$A:$R,6,FALSE))&gt;0,($D$9+IF(VLOOKUP($E38,武器奇术!$A:$R,17,FALSE)="裂石",$D$15,0)-VLOOKUP($F$7,目标属性!$A:$R,6,FALSE))/200,($D$9+IF(VLOOKUP($E38,武器奇术!$A:$R,17,FALSE)="裂石",$D$15,0)-VLOOKUP($F$7,目标属性!$A:$R,6,FALSE))/100)</f>
        <v>-0.24</v>
      </c>
      <c r="BN38" s="111">
        <f t="shared" si="13"/>
        <v>0</v>
      </c>
      <c r="BO38" s="102">
        <v>1</v>
      </c>
      <c r="BP38" s="103">
        <f>BJ38*IF(VLOOKUP($E38,武器奇术!$A:$R,17,FALSE)="裂石",VLOOKUP($E38,武器奇术!$A:$R,4,FALSE),VLOOKUP($E38,武器奇术!$A:$R,2,FALSE))*(1+BM38)*(1+BN38)*BO38</f>
        <v>0</v>
      </c>
      <c r="BQ38" s="104">
        <f>(1-IF(VLOOKUP($E38,武器奇术!$A:$R,18,FALSE)="叶龙",1,$N38))*(1-$M38)</f>
        <v>0</v>
      </c>
      <c r="BR38" s="103">
        <f>BK38*IF(VLOOKUP($E38,武器奇术!$A:$R,17,FALSE)="裂石",VLOOKUP($E38,武器奇术!$A:$R,4,FALSE),VLOOKUP($E38,武器奇术!$A:$R,2,FALSE))*(1+BM38)*(1+BN38)*BO38*(1+$E$16+VLOOKUP($E38,武器奇术!$A:$R,8,FALSE))</f>
        <v>0</v>
      </c>
      <c r="BS38" s="104">
        <f t="shared" si="14"/>
        <v>0.8703</v>
      </c>
      <c r="BT38" s="103">
        <f>BL38*IF(VLOOKUP($E38,武器奇术!$A:$R,17,FALSE)="裂石",VLOOKUP($E38,武器奇术!$A:$R,4,FALSE),VLOOKUP($E38,武器奇术!$A:$R,2,FALSE))*(1+BM38)*(1+BN38)*BO38*(1+$E$17+VLOOKUP($E38,武器奇术!$A:$R,10,FALSE))</f>
        <v>0</v>
      </c>
      <c r="BU38" s="104">
        <f t="shared" si="15"/>
        <v>0.0986</v>
      </c>
      <c r="BV38" s="103">
        <f>BK38*IF(VLOOKUP($E38,武器奇术!$A:$R,17,FALSE)="裂石",VLOOKUP($E38,武器奇术!$A:$R,4,FALSE),VLOOKUP($E38,武器奇术!$A:$R,2,FALSE))*(1+BM38)*(1+BN38)*BO38</f>
        <v>0</v>
      </c>
      <c r="BW38" s="104">
        <f t="shared" si="16"/>
        <v>0.0311</v>
      </c>
      <c r="BX38" s="112">
        <f t="shared" si="17"/>
        <v>0</v>
      </c>
      <c r="BY38" s="110">
        <f>$B$11*IF($G$5="撼天",1.05,1)+IF(AND(VLOOKUP($E38,武器奇术!$A:$R,15,FALSE)="武器",VLOOKUP($E38,武器奇术!$A:$R,17,FALSE)="牵丝"),$E$3*(1+$E$15),0)</f>
        <v>686.71</v>
      </c>
      <c r="BZ38" s="102">
        <f>IF(VLOOKUP($E38,武器奇术!$A:$Z,18,FALSE)="叶龙",(CA38-(BY38+CA38)*0.5)*($G$15-0.5)*2+(BY38+CA38)*0.5,(BY38+CA38)*0.5)</f>
        <v>1052.21</v>
      </c>
      <c r="CA38" s="102">
        <f>MAX($C$11*IF($G$5="撼天",1.05,1)+IF(AND(VLOOKUP($E38,武器奇术!$A:$R,15,FALSE)="武器",VLOOKUP($E38,武器奇术!$A:$R,17,FALSE)="牵丝"),$E$3*(1+$E$15),0),BY38)</f>
        <v>1417.71</v>
      </c>
      <c r="CB38" s="104">
        <f>IF(($D$11+IF(VLOOKUP($E38,武器奇术!$A:$R,17,FALSE)="牵丝",$D$15,0)-VLOOKUP($F$7,目标属性!$A:$R,6,FALSE))&gt;0,($D$11+IF(VLOOKUP($E38,武器奇术!$A:$R,17,FALSE)="牵丝",$D$15,0)-VLOOKUP($F$7,目标属性!$A:$R,6,FALSE))/200,($D$11+IF(VLOOKUP($E38,武器奇术!$A:$R,17,FALSE)="牵丝",$D$15,0)-VLOOKUP($F$7,目标属性!$A:$R,6,FALSE))/100)</f>
        <v>0.028</v>
      </c>
      <c r="CC38" s="111">
        <f>$E$11+IF($G$5="烟柳",IF(VLOOKUP($E38,武器奇术!$A:$T,20,FALSE)=1,0.1,0),0)</f>
        <v>0.248</v>
      </c>
      <c r="CD38" s="102">
        <v>1</v>
      </c>
      <c r="CE38" s="103">
        <f>BY38*IF(VLOOKUP($E38,武器奇术!$A:$R,17,FALSE)="牵丝",VLOOKUP($E38,武器奇术!$A:$R,4,FALSE),VLOOKUP($E38,武器奇术!$A:$R,2,FALSE))*(1+CB38)*(1+CC38)*CD38</f>
        <v>1552.67083453872</v>
      </c>
      <c r="CF38" s="104">
        <f>(1-IF(VLOOKUP($E38,武器奇术!$A:$R,18,FALSE)="叶龙",1,$N38))*(1-$M38)</f>
        <v>0</v>
      </c>
      <c r="CG38" s="124">
        <f>BZ38*IF(VLOOKUP($E38,武器奇术!$A:$R,17,FALSE)="牵丝",VLOOKUP($E38,武器奇术!$A:$R,4,FALSE),VLOOKUP($E38,武器奇术!$A:$R,2,FALSE))*(1+CB38)*(1+CC38)*CD38*(1+$E$16+VLOOKUP($E38,武器奇术!$A:$R,8,FALSE))</f>
        <v>4767.66975977518</v>
      </c>
      <c r="CH38" s="104">
        <f t="shared" si="18"/>
        <v>0.8703</v>
      </c>
      <c r="CI38" s="103">
        <f>CA38*IF(VLOOKUP($E38,武器奇术!$A:$R,17,FALSE)="牵丝",VLOOKUP($E38,武器奇术!$A:$R,4,FALSE),VLOOKUP($E38,武器奇术!$A:$R,2,FALSE))*(1+CB38)*(1+CC38)*CD38*(1+$E$17+VLOOKUP($E38,武器奇术!$A:$R,10,FALSE))</f>
        <v>4327.40153474647</v>
      </c>
      <c r="CJ38" s="104">
        <f t="shared" si="19"/>
        <v>0.0986</v>
      </c>
      <c r="CK38" s="124">
        <f>BZ38*IF(VLOOKUP($E38,武器奇术!$A:$R,17,FALSE)="牵丝",VLOOKUP($E38,武器奇术!$A:$R,4,FALSE),VLOOKUP($E38,武器奇术!$A:$R,2,FALSE))*(1+CB38)*(1+CC38)*CD38</f>
        <v>2379.07672643472</v>
      </c>
      <c r="CL38" s="104">
        <f t="shared" si="20"/>
        <v>0.0311</v>
      </c>
      <c r="CM38" s="112">
        <f t="shared" si="39"/>
        <v>4649.97406945046</v>
      </c>
      <c r="CN38" s="110">
        <f>$B$13*IF($G$5="撼天",1.05,1)+IF(AND(VLOOKUP($E38,武器奇术!$A:$R,15,FALSE)="武器",VLOOKUP($E38,武器奇术!$A:$R,17,FALSE)="破竹"),$E$3*(1+$E$15),0)</f>
        <v>0</v>
      </c>
      <c r="CO38" s="102">
        <f t="shared" si="21"/>
        <v>0</v>
      </c>
      <c r="CP38" s="102">
        <f>MAX($C$13*IF($G$5="撼天",1.05,1)+IF(AND(VLOOKUP($E38,武器奇术!$A:$R,15,FALSE)="武器",VLOOKUP($E38,武器奇术!$A:$R,17,FALSE)="破竹"),$E$3*(1+$E$15),0),CN38)</f>
        <v>0</v>
      </c>
      <c r="CQ38" s="104">
        <f>IF(($D$13+IF(VLOOKUP($E38,武器奇术!$A:$R,17,FALSE)="破竹",$D$15,0)-VLOOKUP($F$7,目标属性!$A:$R,6,FALSE))&gt;0,($D$13+IF(VLOOKUP($E38,武器奇术!$A:$R,17,FALSE)="破竹",$D$15,0)-VLOOKUP($F$7,目标属性!$A:$R,6,FALSE))/200,($D$13+IF(VLOOKUP($E38,武器奇术!$A:$R,17,FALSE)="破竹",$D$15,0)-VLOOKUP($F$7,目标属性!$A:$R,6,FALSE))/100)</f>
        <v>-0.24</v>
      </c>
      <c r="CR38" s="111">
        <f t="shared" si="22"/>
        <v>0</v>
      </c>
      <c r="CS38" s="102">
        <v>1</v>
      </c>
      <c r="CT38" s="103">
        <f>CN38*IF(VLOOKUP($E38,武器奇术!$A:$R,17,FALSE)="破竹",VLOOKUP($E38,武器奇术!$A:$R,4,FALSE),VLOOKUP($E38,武器奇术!$A:$R,2,FALSE))*(1+CQ38)*(1+CR38)*CS38</f>
        <v>0</v>
      </c>
      <c r="CU38" s="104">
        <f>(1-IF(VLOOKUP($E38,武器奇术!$A:$R,18,FALSE)="叶龙",1,$N38))*(1-$M38)</f>
        <v>0</v>
      </c>
      <c r="CV38" s="103">
        <f>CO38*IF(VLOOKUP($E38,武器奇术!$A:$R,17,FALSE)="破竹",VLOOKUP($E38,武器奇术!$A:$R,4,FALSE),VLOOKUP($E38,武器奇术!$A:$R,2,FALSE))*(1+CQ38)*(1+CR38)*CS38*(1+$E$16+VLOOKUP($E38,武器奇术!$A:$R,8,FALSE))</f>
        <v>0</v>
      </c>
      <c r="CW38" s="104">
        <f t="shared" si="23"/>
        <v>0.8703</v>
      </c>
      <c r="CX38" s="103">
        <f>CP38*IF(VLOOKUP($E38,武器奇术!$A:$R,17,FALSE)="破竹",VLOOKUP($E38,武器奇术!$A:$R,4,FALSE),VLOOKUP($E38,武器奇术!$A:$R,2,FALSE))*(1+CQ38)*(1+CR38)*CS38*(1+$E$17+VLOOKUP($E38,武器奇术!$A:$R,10,FALSE))</f>
        <v>0</v>
      </c>
      <c r="CY38" s="104">
        <f t="shared" si="24"/>
        <v>0.0986</v>
      </c>
      <c r="CZ38" s="103">
        <f>CO38*IF(VLOOKUP($E38,武器奇术!$A:$R,17,FALSE)="破竹",VLOOKUP($E38,武器奇术!$A:$R,4,FALSE),VLOOKUP($E38,武器奇术!$A:$R,2,FALSE))*(1+CQ38)*(1+CR38)*CS38</f>
        <v>0</v>
      </c>
      <c r="DA38" s="104">
        <f t="shared" si="25"/>
        <v>0.0311</v>
      </c>
      <c r="DB38" s="112">
        <f t="shared" si="26"/>
        <v>0</v>
      </c>
      <c r="DC38" s="110">
        <f t="shared" si="40"/>
        <v>66</v>
      </c>
      <c r="DD38" s="102">
        <f t="shared" si="27"/>
        <v>125.8</v>
      </c>
      <c r="DE38" s="102">
        <f t="shared" si="41"/>
        <v>185.6</v>
      </c>
      <c r="DF38" s="104">
        <f>IF((IF(VLOOKUP($E38,武器奇术!$A:$R,17,FALSE)="鸣金",$D$7,0)+IF(VLOOKUP($E38,武器奇术!$A:$R,17,FALSE)="裂石",$D$9,0)+IF(VLOOKUP($E38,武器奇术!$A:$R,17,FALSE)="牵丝",$D$11,0)+IF(VLOOKUP($E38,武器奇术!$A:$R,17,FALSE)="破竹",$D$13,0)+$D$15-VLOOKUP($F$7,目标属性!$A:$R,6,FALSE))&gt;0,(IF(VLOOKUP($E38,武器奇术!$A:$R,17,FALSE)="鸣金",$D$7,0)+IF(VLOOKUP($E38,武器奇术!$A:$R,17,FALSE)="裂石",$D$9,0)+IF(VLOOKUP($E38,武器奇术!$A:$R,17,FALSE)="牵丝",$D$11,0)+IF(VLOOKUP($E38,武器奇术!$A:$R,17,FALSE)="破竹",$D$13,0)+$D$15-VLOOKUP($F$7,目标属性!$A:$R,6,FALSE))/200,(IF(VLOOKUP($E38,武器奇术!$A:$R,17,FALSE)="鸣金",$D$7,0)+IF(VLOOKUP($E38,武器奇术!$A:$R,17,FALSE)="裂石",$D$9,0)+IF(VLOOKUP($E38,武器奇术!$A:$R,17,FALSE)="牵丝",$D$11,0)+IF(VLOOKUP($E38,武器奇术!$A:$R,17,FALSE)="破竹",$D$13,0)+$D$15-VLOOKUP($F$7,目标属性!$A:$R,6,FALSE))/100)</f>
        <v>0.028</v>
      </c>
      <c r="DG38" s="111">
        <f>$E$11+IF($G$5="烟柳",IF(VLOOKUP($E38,武器奇术!$A:$T,20,FALSE)=1,0.1,0),0)</f>
        <v>0.248</v>
      </c>
      <c r="DH38" s="102">
        <v>1</v>
      </c>
      <c r="DI38" s="103">
        <f>DC38*IF(VLOOKUP($E38,武器奇术!$A:$R,17,FALSE)="牵丝",VLOOKUP($E38,武器奇术!$A:$R,4,FALSE),VLOOKUP($E38,武器奇术!$A:$R,2,FALSE))*(1+DF38)*(1+DG38)*DH38</f>
        <v>149.227876512</v>
      </c>
      <c r="DJ38" s="104">
        <f>(1-IF(VLOOKUP($E38,武器奇术!$A:$R,18,FALSE)="叶龙",1,$N38))*(1-$M38)</f>
        <v>0</v>
      </c>
      <c r="DK38" s="124">
        <f>DD38*IF(VLOOKUP($E38,武器奇术!$A:$R,17,FALSE)="牵丝",VLOOKUP($E38,武器奇术!$A:$R,4,FALSE),VLOOKUP($E38,武器奇术!$A:$R,2,FALSE))*(1+DF38)*(1+DG38)*DH38*(1+$E$16+VLOOKUP($E38,武器奇术!$A:$R,8,FALSE))</f>
        <v>570.012502998182</v>
      </c>
      <c r="DL38" s="104">
        <f t="shared" si="28"/>
        <v>0.8703</v>
      </c>
      <c r="DM38" s="103">
        <f>DE38*IF(VLOOKUP($E38,武器奇术!$A:$R,17,FALSE)="牵丝",VLOOKUP($E38,武器奇术!$A:$R,4,FALSE),VLOOKUP($E38,武器奇术!$A:$R,2,FALSE))*(1+DF38)*(1+DG38)*DH38*(1+$E$17+VLOOKUP($E38,武器奇术!$A:$R,10,FALSE))</f>
        <v>566.52328392192</v>
      </c>
      <c r="DN38" s="104">
        <f t="shared" si="29"/>
        <v>0.0986</v>
      </c>
      <c r="DO38" s="124">
        <f>DD38*IF(VLOOKUP($E38,武器奇术!$A:$R,17,FALSE)="牵丝",VLOOKUP($E38,武器奇术!$A:$R,4,FALSE),VLOOKUP($E38,武器奇术!$A:$R,2,FALSE))*(1+DF38)*(1+DG38)*DH38</f>
        <v>284.4373767456</v>
      </c>
      <c r="DP38" s="104">
        <f t="shared" si="30"/>
        <v>0.0311</v>
      </c>
      <c r="DQ38" s="112">
        <f t="shared" si="31"/>
        <v>560.787079570808</v>
      </c>
    </row>
    <row r="39" spans="2:121">
      <c r="B39" s="98"/>
      <c r="C39" s="127"/>
      <c r="D39" s="128"/>
      <c r="E39" s="115" t="s">
        <v>138</v>
      </c>
      <c r="F39" s="116">
        <v>1</v>
      </c>
      <c r="G39" s="117"/>
      <c r="H39" s="103">
        <f>IF(VLOOKUP($E39,武器奇术!$A:$R,18,FALSE)="天工",AE39,(AE39+AT39+BI39+BX39+CM39+DB39+DQ39))*(1+J39)*F39*K39*(1+G39)</f>
        <v>70550.3582652119</v>
      </c>
      <c r="I39" s="104">
        <f t="shared" si="42"/>
        <v>0.00813092581780992</v>
      </c>
      <c r="J39" s="118">
        <f>$F$3+VLOOKUP($E39,武器奇术!$A:$R,12,FALSE)+VLOOKUP($E39,武器奇术!$A:$R,14,FALSE)*$G$3+$P39+IF($F$21="√",5%,0)</f>
        <v>1.153</v>
      </c>
      <c r="K39" s="105">
        <f>VLOOKUP($E39,武器奇术!$A:$R,11,FALSE)</f>
        <v>1</v>
      </c>
      <c r="L39" s="119">
        <f>IF(VLOOKUP($E39,武器奇术!$A:$R,15,FALSE)="天工",0%,IF($C$17+VLOOKUP($E39,武器奇术!$A:$R,7,FALSE)&gt;80%,80%,$C$17+VLOOKUP($E39,武器奇术!$A:$R,7,FALSE))+IF($C$19&gt;20%,20%,$C$19))</f>
        <v>0.8703</v>
      </c>
      <c r="M39" s="120">
        <f>IF(VLOOKUP($E39,武器奇术!$A:$R,15,FALSE)="天工",0%,IF($C$18+VLOOKUP($E39,武器奇术!$A:$R,9,FALSE)&gt;40%,40%,$C$18+VLOOKUP($E39,武器奇术!$A:$R,9,FALSE))+IF($C$20&gt;10%,10%,$C$20))</f>
        <v>0.0986</v>
      </c>
      <c r="N39" s="121">
        <f>IF(VLOOKUP($E39,武器奇术!$A:$R,15,FALSE)="天工",100%,MIN($C$16,1))</f>
        <v>1</v>
      </c>
      <c r="O39" s="122" t="str">
        <f>VLOOKUP($E39,武器奇术!$A:$R,16,FALSE)</f>
        <v>伞</v>
      </c>
      <c r="P39" s="123">
        <f t="shared" si="32"/>
        <v>0.17</v>
      </c>
      <c r="Q39" s="110">
        <f>$B$5*(1+VLOOKUP($E39,武器奇术!$A:$R,5,FALSE))*(1+VLOOKUP($E39,武器奇术!$A:$S,19,FALSE)+IF($G$5="飞隼",0.1,0)+IF($G$5="撼天",0.05,0))-$F$9+IF($J$5="√",160,0)</f>
        <v>3081.85</v>
      </c>
      <c r="R39" s="102">
        <f>IF(VLOOKUP($E39,武器奇术!$A:$Z,18,FALSE)="叶龙",(S39-(Q39+S39)*0.5)*($G$15-0.5)*2+(Q39+S39)*0.5,(Q39+S39)*0.5)</f>
        <v>3161.85</v>
      </c>
      <c r="S39" s="102">
        <f>MAX($C$5,$B$5)*(1+VLOOKUP($E39,武器奇术!$A:$R,6,FALSE))*(1+VLOOKUP($E39,武器奇术!$A:$S,19,FALSE)+IF($G$5="飞隼",0.1,0)+IF($G$5="撼天",0.05,0))-$F$9+IF($J$5="√",320,0)</f>
        <v>3241.85</v>
      </c>
      <c r="T39" s="104">
        <f>IF(($D$5+VLOOKUP($E39,武器奇术!$A:$R,13,FALSE)+IF($I$3="√",10,0)-VLOOKUP($F$7,目标属性!$A:$R,5,FALSE))&gt;0,($D$5+VLOOKUP($E39,武器奇术!$A:$R,13,FALSE)+IF($I$3="√",10,0)-VLOOKUP($F$7,目标属性!$A:$R,5,FALSE))/200,($D$5+VLOOKUP($E39,武器奇术!$A:$R,13,FALSE)+IF($I$3="√",10,0)-VLOOKUP($F$7,目标属性!$A:$R,5,FALSE))/100)</f>
        <v>0.2925</v>
      </c>
      <c r="U39" s="111">
        <f>$E$5+IF($G$5="烟柳",IF(VLOOKUP($E39,武器奇术!$A:$T,20,FALSE)=1,0.1,0),0)</f>
        <v>0.1</v>
      </c>
      <c r="V39" s="102">
        <v>1</v>
      </c>
      <c r="W39" s="103">
        <f>Q39*VLOOKUP($E39,武器奇术!$A:$R,2,FALSE)*(1+T39)*(1+U39)*V39</f>
        <v>10251.6768696788</v>
      </c>
      <c r="X39" s="104">
        <f>(1-IF(VLOOKUP($E39,武器奇术!$A:$R,18,FALSE)="叶龙",1,$N39))*(1-$M39)</f>
        <v>0</v>
      </c>
      <c r="Y39" s="103">
        <f>R39*VLOOKUP($E39,武器奇术!$A:$R,2,FALSE)*(1+T39)*(1+U39)*V39*(1+$E$16+VLOOKUP($E39,武器奇术!$A:$R,8,FALSE))</f>
        <v>21077.6598727482</v>
      </c>
      <c r="Z39" s="104">
        <f t="shared" si="33"/>
        <v>0.8703</v>
      </c>
      <c r="AA39" s="103">
        <f>S39*VLOOKUP($E39,武器奇术!$A:$R,2,FALSE)*(1+T39)*(1+U39)*V39*(1+$E$17+VLOOKUP($E39,武器奇术!$A:$R,10,FALSE))</f>
        <v>14558.2809646663</v>
      </c>
      <c r="AB39" s="104">
        <f t="shared" si="34"/>
        <v>0.0986</v>
      </c>
      <c r="AC39" s="103">
        <f>R39*VLOOKUP($E39,武器奇术!$A:$R,2,FALSE)*(1+T39)*(1+U39)*V39</f>
        <v>10517.7943476788</v>
      </c>
      <c r="AD39" s="104">
        <f t="shared" si="35"/>
        <v>0.0311</v>
      </c>
      <c r="AE39" s="112">
        <f t="shared" si="36"/>
        <v>20106.4372945817</v>
      </c>
      <c r="AF39" s="113">
        <f>VLOOKUP($E39,武器奇术!$A:$R,3,FALSE)*(1+IF(VLOOKUP($E39,武器奇术!$A:$R,15,FALSE)="武器",$E$15,0))</f>
        <v>842.4</v>
      </c>
      <c r="AG39" s="103">
        <f t="shared" si="1"/>
        <v>842.4</v>
      </c>
      <c r="AH39" s="103">
        <f>VLOOKUP($E39,武器奇术!$A:$R,3,FALSE)*(1+IF(VLOOKUP($E39,武器奇术!$A:$R,15,FALSE)="武器",$E$15,0))</f>
        <v>842.4</v>
      </c>
      <c r="AI39" s="104">
        <f>IF(($D$5+VLOOKUP($E39,武器奇术!$A:$R,13,FALSE)+IF($I$3="√",10,0)-VLOOKUP($F$7,目标属性!$A:$R,5,FALSE))&gt;0,($D$5+VLOOKUP($E39,武器奇术!$A:$R,13,FALSE)+IF($I$3="√",10,0)-VLOOKUP($F$7,目标属性!$A:$R,5,FALSE))/200,($D$5+VLOOKUP($E39,武器奇术!$A:$R,13,FALSE)+IF($I$3="√",10,0)-VLOOKUP($F$7,目标属性!$A:$R,5,FALSE))/100)</f>
        <v>0.2925</v>
      </c>
      <c r="AJ39" s="111">
        <f>$E$5+IF($G$5="烟柳",IF(VLOOKUP($E39,武器奇术!$A:$T,20,FALSE)=1,0.1,0),0)</f>
        <v>0.1</v>
      </c>
      <c r="AK39" s="102">
        <v>1</v>
      </c>
      <c r="AL39" s="103">
        <f t="shared" si="37"/>
        <v>1197.6822</v>
      </c>
      <c r="AM39" s="104">
        <f>(1-IF(VLOOKUP($E39,武器奇术!$A:$R,18,FALSE)="叶龙",1,$N39))*(1-$M39)</f>
        <v>0</v>
      </c>
      <c r="AN39" s="103">
        <f>AG39*(1+AI39)*(1+AJ39)*AK39*(1+$E$16+VLOOKUP($E39,武器奇术!$A:$R,8,FALSE))</f>
        <v>2400.1551288</v>
      </c>
      <c r="AO39" s="104">
        <f t="shared" si="2"/>
        <v>0.8703</v>
      </c>
      <c r="AP39" s="103">
        <f>AH39*(1+AI39)*(1+AJ39)*AK39*(1+$E$17+VLOOKUP($E39,武器奇术!$A:$R,10,FALSE))</f>
        <v>1616.87097</v>
      </c>
      <c r="AQ39" s="104">
        <f t="shared" si="3"/>
        <v>0.0986</v>
      </c>
      <c r="AR39" s="103">
        <f t="shared" si="38"/>
        <v>1197.6822</v>
      </c>
      <c r="AS39" s="104">
        <f t="shared" si="4"/>
        <v>0.0311</v>
      </c>
      <c r="AT39" s="112">
        <f t="shared" si="5"/>
        <v>2285.52640265664</v>
      </c>
      <c r="AU39" s="110">
        <f>$B$7*IF($G$5="撼天",1.05,1)+IF(AND(VLOOKUP($E39,武器奇术!$A:$R,15,FALSE)="武器",VLOOKUP($E39,武器奇术!$A:$R,17,FALSE)="鸣金"),$E$3*(1+$E$15),0)</f>
        <v>0</v>
      </c>
      <c r="AV39" s="102">
        <f t="shared" si="6"/>
        <v>0</v>
      </c>
      <c r="AW39" s="102">
        <f>MAX($C$7*IF($G$5="撼天",1.05,1)+IF(AND(VLOOKUP($E39,武器奇术!$A:$R,15,FALSE)="武器",VLOOKUP($E39,武器奇术!$A:$R,17,FALSE)="鸣金"),$E$3*(1+$E$15),0),AU39)</f>
        <v>0</v>
      </c>
      <c r="AX39" s="104">
        <f>IF(($D$7+IF(VLOOKUP($E39,武器奇术!$A:$R,17,FALSE)="鸣金",$D$15,0)-VLOOKUP($F$7,目标属性!$A:$R,6,FALSE))&gt;0,($D$7+IF(VLOOKUP($E39,武器奇术!$A:$R,17,FALSE)="鸣金",$D$15,0)-VLOOKUP($F$7,目标属性!$A:$R,6,FALSE))/200,($D$7+IF(VLOOKUP($E39,武器奇术!$A:$R,17,FALSE)="鸣金",$D$15,0)-VLOOKUP($F$7,目标属性!$A:$R,6,FALSE))/100)</f>
        <v>-0.24</v>
      </c>
      <c r="AY39" s="111">
        <f t="shared" si="7"/>
        <v>0</v>
      </c>
      <c r="AZ39" s="102">
        <v>1</v>
      </c>
      <c r="BA39" s="103">
        <f>AU39*IF(VLOOKUP($E39,武器奇术!$A:$R,17,FALSE)="鸣金",VLOOKUP($E39,武器奇术!$A:$R,4,FALSE),VLOOKUP($E39,武器奇术!$A:$R,2,FALSE))*(1+AX39)*(1+AY39)*AZ39</f>
        <v>0</v>
      </c>
      <c r="BB39" s="104">
        <f>(1-IF(VLOOKUP($E39,武器奇术!$A:$R,18,FALSE)="叶龙",1,$N39))*(1-$M39)</f>
        <v>0</v>
      </c>
      <c r="BC39" s="103">
        <f>AV39*IF(VLOOKUP($E39,武器奇术!$A:$R,17,FALSE)="鸣金",VLOOKUP($E39,武器奇术!$A:$R,4,FALSE),VLOOKUP($E39,武器奇术!$A:$R,2,FALSE))*(1+AX39)*(1+AY39)*AZ39*(1+$E$16+VLOOKUP($E39,武器奇术!$A:$R,8,FALSE))</f>
        <v>0</v>
      </c>
      <c r="BD39" s="104">
        <f t="shared" si="8"/>
        <v>0.8703</v>
      </c>
      <c r="BE39" s="103">
        <f>AW39*IF(VLOOKUP($E39,武器奇术!$A:$R,17,FALSE)="鸣金",VLOOKUP($E39,武器奇术!$A:$R,4,FALSE),VLOOKUP($E39,武器奇术!$A:$R,2,FALSE))*(1+AX39)*(1+AY39)*AZ39*(1+$E$17+VLOOKUP($E39,武器奇术!$A:$R,10,FALSE))</f>
        <v>0</v>
      </c>
      <c r="BF39" s="104">
        <f t="shared" si="9"/>
        <v>0.0986</v>
      </c>
      <c r="BG39" s="103">
        <f>AV39*IF(VLOOKUP($E39,武器奇术!$A:$R,17,FALSE)="鸣金",VLOOKUP($E39,武器奇术!$A:$R,4,FALSE),VLOOKUP($E39,武器奇术!$A:$R,2,FALSE))*(1+AX39)*(1+AY39)*AZ39</f>
        <v>0</v>
      </c>
      <c r="BH39" s="104">
        <f t="shared" si="10"/>
        <v>0.0311</v>
      </c>
      <c r="BI39" s="112">
        <f t="shared" si="11"/>
        <v>0</v>
      </c>
      <c r="BJ39" s="110">
        <f>$B$9*IF($G$5="撼天",1.05,1)+IF(AND(VLOOKUP($E39,武器奇术!$A:$R,15,FALSE)="武器",VLOOKUP($E39,武器奇术!$A:$R,17,FALSE)="裂石"),$E$3*(1+$E$15),0)</f>
        <v>0</v>
      </c>
      <c r="BK39" s="102">
        <f t="shared" si="12"/>
        <v>0</v>
      </c>
      <c r="BL39" s="102">
        <f>MAX($C$9*IF($G$5="撼天",1.05,1)+IF(AND(VLOOKUP($E39,武器奇术!$A:$R,15,FALSE)="武器",VLOOKUP($E39,武器奇术!$A:$R,17,FALSE)="裂石"),$E$3*(1+$E$15),0),BJ39)</f>
        <v>0</v>
      </c>
      <c r="BM39" s="104">
        <f>IF(($D$9+IF(VLOOKUP($E39,武器奇术!$A:$R,17,FALSE)="裂石",$D$15,0)-VLOOKUP($F$7,目标属性!$A:$R,6,FALSE))&gt;0,($D$9+IF(VLOOKUP($E39,武器奇术!$A:$R,17,FALSE)="裂石",$D$15,0)-VLOOKUP($F$7,目标属性!$A:$R,6,FALSE))/200,($D$9+IF(VLOOKUP($E39,武器奇术!$A:$R,17,FALSE)="裂石",$D$15,0)-VLOOKUP($F$7,目标属性!$A:$R,6,FALSE))/100)</f>
        <v>-0.24</v>
      </c>
      <c r="BN39" s="111">
        <f t="shared" si="13"/>
        <v>0</v>
      </c>
      <c r="BO39" s="102">
        <v>1</v>
      </c>
      <c r="BP39" s="103">
        <f>BJ39*IF(VLOOKUP($E39,武器奇术!$A:$R,17,FALSE)="裂石",VLOOKUP($E39,武器奇术!$A:$R,4,FALSE),VLOOKUP($E39,武器奇术!$A:$R,2,FALSE))*(1+BM39)*(1+BN39)*BO39</f>
        <v>0</v>
      </c>
      <c r="BQ39" s="104">
        <f>(1-IF(VLOOKUP($E39,武器奇术!$A:$R,18,FALSE)="叶龙",1,$N39))*(1-$M39)</f>
        <v>0</v>
      </c>
      <c r="BR39" s="103">
        <f>BK39*IF(VLOOKUP($E39,武器奇术!$A:$R,17,FALSE)="裂石",VLOOKUP($E39,武器奇术!$A:$R,4,FALSE),VLOOKUP($E39,武器奇术!$A:$R,2,FALSE))*(1+BM39)*(1+BN39)*BO39*(1+$E$16+VLOOKUP($E39,武器奇术!$A:$R,8,FALSE))</f>
        <v>0</v>
      </c>
      <c r="BS39" s="104">
        <f t="shared" si="14"/>
        <v>0.8703</v>
      </c>
      <c r="BT39" s="103">
        <f>BL39*IF(VLOOKUP($E39,武器奇术!$A:$R,17,FALSE)="裂石",VLOOKUP($E39,武器奇术!$A:$R,4,FALSE),VLOOKUP($E39,武器奇术!$A:$R,2,FALSE))*(1+BM39)*(1+BN39)*BO39*(1+$E$17+VLOOKUP($E39,武器奇术!$A:$R,10,FALSE))</f>
        <v>0</v>
      </c>
      <c r="BU39" s="104">
        <f t="shared" si="15"/>
        <v>0.0986</v>
      </c>
      <c r="BV39" s="103">
        <f>BK39*IF(VLOOKUP($E39,武器奇术!$A:$R,17,FALSE)="裂石",VLOOKUP($E39,武器奇术!$A:$R,4,FALSE),VLOOKUP($E39,武器奇术!$A:$R,2,FALSE))*(1+BM39)*(1+BN39)*BO39</f>
        <v>0</v>
      </c>
      <c r="BW39" s="104">
        <f t="shared" si="16"/>
        <v>0.0311</v>
      </c>
      <c r="BX39" s="112">
        <f t="shared" si="17"/>
        <v>0</v>
      </c>
      <c r="BY39" s="110">
        <f>$B$11*IF($G$5="撼天",1.05,1)+IF(AND(VLOOKUP($E39,武器奇术!$A:$R,15,FALSE)="武器",VLOOKUP($E39,武器奇术!$A:$R,17,FALSE)="牵丝"),$E$3*(1+$E$15),0)</f>
        <v>686.71</v>
      </c>
      <c r="BZ39" s="102">
        <f>IF(VLOOKUP($E39,武器奇术!$A:$Z,18,FALSE)="叶龙",(CA39-(BY39+CA39)*0.5)*($G$15-0.5)*2+(BY39+CA39)*0.5,(BY39+CA39)*0.5)</f>
        <v>1052.21</v>
      </c>
      <c r="CA39" s="102">
        <f>MAX($C$11*IF($G$5="撼天",1.05,1)+IF(AND(VLOOKUP($E39,武器奇术!$A:$R,15,FALSE)="武器",VLOOKUP($E39,武器奇术!$A:$R,17,FALSE)="牵丝"),$E$3*(1+$E$15),0),BY39)</f>
        <v>1417.71</v>
      </c>
      <c r="CB39" s="104">
        <f>IF(($D$11+IF(VLOOKUP($E39,武器奇术!$A:$R,17,FALSE)="牵丝",$D$15,0)-VLOOKUP($F$7,目标属性!$A:$R,6,FALSE))&gt;0,($D$11+IF(VLOOKUP($E39,武器奇术!$A:$R,17,FALSE)="牵丝",$D$15,0)-VLOOKUP($F$7,目标属性!$A:$R,6,FALSE))/200,($D$11+IF(VLOOKUP($E39,武器奇术!$A:$R,17,FALSE)="牵丝",$D$15,0)-VLOOKUP($F$7,目标属性!$A:$R,6,FALSE))/100)</f>
        <v>0.028</v>
      </c>
      <c r="CC39" s="111">
        <f>$E$11+IF($G$5="烟柳",IF(VLOOKUP($E39,武器奇术!$A:$T,20,FALSE)=1,0.1,0),0)</f>
        <v>0.248</v>
      </c>
      <c r="CD39" s="102">
        <v>1</v>
      </c>
      <c r="CE39" s="103">
        <f>BY39*IF(VLOOKUP($E39,武器奇术!$A:$R,17,FALSE)="牵丝",VLOOKUP($E39,武器奇术!$A:$R,4,FALSE),VLOOKUP($E39,武器奇术!$A:$R,2,FALSE))*(1+CB39)*(1+CC39)*CD39</f>
        <v>3091.90625934528</v>
      </c>
      <c r="CF39" s="104">
        <f>(1-IF(VLOOKUP($E39,武器奇术!$A:$R,18,FALSE)="叶龙",1,$N39))*(1-$M39)</f>
        <v>0</v>
      </c>
      <c r="CG39" s="124">
        <f>BZ39*IF(VLOOKUP($E39,武器奇术!$A:$R,17,FALSE)="牵丝",VLOOKUP($E39,武器奇术!$A:$R,4,FALSE),VLOOKUP($E39,武器奇术!$A:$R,2,FALSE))*(1+CB39)*(1+CC39)*CD39*(1+$E$16+VLOOKUP($E39,武器奇术!$A:$R,8,FALSE))</f>
        <v>9494.08441559316</v>
      </c>
      <c r="CH39" s="104">
        <f t="shared" si="18"/>
        <v>0.8703</v>
      </c>
      <c r="CI39" s="103">
        <f>CA39*IF(VLOOKUP($E39,武器奇术!$A:$R,17,FALSE)="牵丝",VLOOKUP($E39,武器奇术!$A:$R,4,FALSE),VLOOKUP($E39,武器奇术!$A:$R,2,FALSE))*(1+CB39)*(1+CC39)*CD39*(1+$E$17+VLOOKUP($E39,武器奇术!$A:$R,10,FALSE))</f>
        <v>8617.35764873693</v>
      </c>
      <c r="CJ39" s="104">
        <f t="shared" si="19"/>
        <v>0.0986</v>
      </c>
      <c r="CK39" s="124">
        <f>BZ39*IF(VLOOKUP($E39,武器奇术!$A:$R,17,FALSE)="牵丝",VLOOKUP($E39,武器奇术!$A:$R,4,FALSE),VLOOKUP($E39,武器奇术!$A:$R,2,FALSE))*(1+CB39)*(1+CC39)*CD39</f>
        <v>4737.56707364928</v>
      </c>
      <c r="CL39" s="104">
        <f t="shared" si="20"/>
        <v>0.0311</v>
      </c>
      <c r="CM39" s="112">
        <f t="shared" si="39"/>
        <v>9259.71146704668</v>
      </c>
      <c r="CN39" s="110">
        <f>$B$13*IF($G$5="撼天",1.05,1)+IF(AND(VLOOKUP($E39,武器奇术!$A:$R,15,FALSE)="武器",VLOOKUP($E39,武器奇术!$A:$R,17,FALSE)="破竹"),$E$3*(1+$E$15),0)</f>
        <v>0</v>
      </c>
      <c r="CO39" s="102">
        <f t="shared" si="21"/>
        <v>0</v>
      </c>
      <c r="CP39" s="102">
        <f>MAX($C$13*IF($G$5="撼天",1.05,1)+IF(AND(VLOOKUP($E39,武器奇术!$A:$R,15,FALSE)="武器",VLOOKUP($E39,武器奇术!$A:$R,17,FALSE)="破竹"),$E$3*(1+$E$15),0),CN39)</f>
        <v>0</v>
      </c>
      <c r="CQ39" s="104">
        <f>IF(($D$13+IF(VLOOKUP($E39,武器奇术!$A:$R,17,FALSE)="破竹",$D$15,0)-VLOOKUP($F$7,目标属性!$A:$R,6,FALSE))&gt;0,($D$13+IF(VLOOKUP($E39,武器奇术!$A:$R,17,FALSE)="破竹",$D$15,0)-VLOOKUP($F$7,目标属性!$A:$R,6,FALSE))/200,($D$13+IF(VLOOKUP($E39,武器奇术!$A:$R,17,FALSE)="破竹",$D$15,0)-VLOOKUP($F$7,目标属性!$A:$R,6,FALSE))/100)</f>
        <v>-0.24</v>
      </c>
      <c r="CR39" s="111">
        <f t="shared" si="22"/>
        <v>0</v>
      </c>
      <c r="CS39" s="102">
        <v>1</v>
      </c>
      <c r="CT39" s="103">
        <f>CN39*IF(VLOOKUP($E39,武器奇术!$A:$R,17,FALSE)="破竹",VLOOKUP($E39,武器奇术!$A:$R,4,FALSE),VLOOKUP($E39,武器奇术!$A:$R,2,FALSE))*(1+CQ39)*(1+CR39)*CS39</f>
        <v>0</v>
      </c>
      <c r="CU39" s="104">
        <f>(1-IF(VLOOKUP($E39,武器奇术!$A:$R,18,FALSE)="叶龙",1,$N39))*(1-$M39)</f>
        <v>0</v>
      </c>
      <c r="CV39" s="103">
        <f>CO39*IF(VLOOKUP($E39,武器奇术!$A:$R,17,FALSE)="破竹",VLOOKUP($E39,武器奇术!$A:$R,4,FALSE),VLOOKUP($E39,武器奇术!$A:$R,2,FALSE))*(1+CQ39)*(1+CR39)*CS39*(1+$E$16+VLOOKUP($E39,武器奇术!$A:$R,8,FALSE))</f>
        <v>0</v>
      </c>
      <c r="CW39" s="104">
        <f t="shared" si="23"/>
        <v>0.8703</v>
      </c>
      <c r="CX39" s="103">
        <f>CP39*IF(VLOOKUP($E39,武器奇术!$A:$R,17,FALSE)="破竹",VLOOKUP($E39,武器奇术!$A:$R,4,FALSE),VLOOKUP($E39,武器奇术!$A:$R,2,FALSE))*(1+CQ39)*(1+CR39)*CS39*(1+$E$17+VLOOKUP($E39,武器奇术!$A:$R,10,FALSE))</f>
        <v>0</v>
      </c>
      <c r="CY39" s="104">
        <f t="shared" si="24"/>
        <v>0.0986</v>
      </c>
      <c r="CZ39" s="103">
        <f>CO39*IF(VLOOKUP($E39,武器奇术!$A:$R,17,FALSE)="破竹",VLOOKUP($E39,武器奇术!$A:$R,4,FALSE),VLOOKUP($E39,武器奇术!$A:$R,2,FALSE))*(1+CQ39)*(1+CR39)*CS39</f>
        <v>0</v>
      </c>
      <c r="DA39" s="104">
        <f t="shared" si="25"/>
        <v>0.0311</v>
      </c>
      <c r="DB39" s="112">
        <f t="shared" si="26"/>
        <v>0</v>
      </c>
      <c r="DC39" s="110">
        <f t="shared" si="40"/>
        <v>66</v>
      </c>
      <c r="DD39" s="102">
        <f t="shared" si="27"/>
        <v>125.8</v>
      </c>
      <c r="DE39" s="102">
        <f t="shared" si="41"/>
        <v>185.6</v>
      </c>
      <c r="DF39" s="104">
        <f>IF((IF(VLOOKUP($E39,武器奇术!$A:$R,17,FALSE)="鸣金",$D$7,0)+IF(VLOOKUP($E39,武器奇术!$A:$R,17,FALSE)="裂石",$D$9,0)+IF(VLOOKUP($E39,武器奇术!$A:$R,17,FALSE)="牵丝",$D$11,0)+IF(VLOOKUP($E39,武器奇术!$A:$R,17,FALSE)="破竹",$D$13,0)+$D$15-VLOOKUP($F$7,目标属性!$A:$R,6,FALSE))&gt;0,(IF(VLOOKUP($E39,武器奇术!$A:$R,17,FALSE)="鸣金",$D$7,0)+IF(VLOOKUP($E39,武器奇术!$A:$R,17,FALSE)="裂石",$D$9,0)+IF(VLOOKUP($E39,武器奇术!$A:$R,17,FALSE)="牵丝",$D$11,0)+IF(VLOOKUP($E39,武器奇术!$A:$R,17,FALSE)="破竹",$D$13,0)+$D$15-VLOOKUP($F$7,目标属性!$A:$R,6,FALSE))/200,(IF(VLOOKUP($E39,武器奇术!$A:$R,17,FALSE)="鸣金",$D$7,0)+IF(VLOOKUP($E39,武器奇术!$A:$R,17,FALSE)="裂石",$D$9,0)+IF(VLOOKUP($E39,武器奇术!$A:$R,17,FALSE)="牵丝",$D$11,0)+IF(VLOOKUP($E39,武器奇术!$A:$R,17,FALSE)="破竹",$D$13,0)+$D$15-VLOOKUP($F$7,目标属性!$A:$R,6,FALSE))/100)</f>
        <v>0.028</v>
      </c>
      <c r="DG39" s="111">
        <f>$E$11+IF($G$5="烟柳",IF(VLOOKUP($E39,武器奇术!$A:$T,20,FALSE)=1,0.1,0),0)</f>
        <v>0.248</v>
      </c>
      <c r="DH39" s="102">
        <v>1</v>
      </c>
      <c r="DI39" s="103">
        <f>DC39*IF(VLOOKUP($E39,武器奇术!$A:$R,17,FALSE)="牵丝",VLOOKUP($E39,武器奇术!$A:$R,4,FALSE),VLOOKUP($E39,武器奇术!$A:$R,2,FALSE))*(1+DF39)*(1+DG39)*DH39</f>
        <v>297.164469888</v>
      </c>
      <c r="DJ39" s="104">
        <f>(1-IF(VLOOKUP($E39,武器奇术!$A:$R,18,FALSE)="叶龙",1,$N39))*(1-$M39)</f>
        <v>0</v>
      </c>
      <c r="DK39" s="124">
        <f>DD39*IF(VLOOKUP($E39,武器奇术!$A:$R,17,FALSE)="牵丝",VLOOKUP($E39,武器奇术!$A:$R,4,FALSE),VLOOKUP($E39,武器奇术!$A:$R,2,FALSE))*(1+DF39)*(1+DG39)*DH39*(1+$E$16+VLOOKUP($E39,武器奇术!$A:$R,8,FALSE))</f>
        <v>1135.0926331071</v>
      </c>
      <c r="DL39" s="104">
        <f t="shared" si="28"/>
        <v>0.8703</v>
      </c>
      <c r="DM39" s="103">
        <f>DE39*IF(VLOOKUP($E39,武器奇术!$A:$R,17,FALSE)="牵丝",VLOOKUP($E39,武器奇术!$A:$R,4,FALSE),VLOOKUP($E39,武器奇术!$A:$R,2,FALSE))*(1+DF39)*(1+DG39)*DH39*(1+$E$17+VLOOKUP($E39,武器奇术!$A:$R,10,FALSE))</f>
        <v>1128.14438750208</v>
      </c>
      <c r="DN39" s="104">
        <f t="shared" si="29"/>
        <v>0.0986</v>
      </c>
      <c r="DO39" s="124">
        <f>DD39*IF(VLOOKUP($E39,武器奇术!$A:$R,17,FALSE)="牵丝",VLOOKUP($E39,武器奇术!$A:$R,4,FALSE),VLOOKUP($E39,武器奇术!$A:$R,2,FALSE))*(1+DF39)*(1+DG39)*DH39</f>
        <v>566.4134895744</v>
      </c>
      <c r="DP39" s="104">
        <f t="shared" si="30"/>
        <v>0.0311</v>
      </c>
      <c r="DQ39" s="112">
        <f t="shared" si="31"/>
        <v>1116.72161472658</v>
      </c>
    </row>
    <row r="40" spans="2:121">
      <c r="B40" s="106" t="s">
        <v>139</v>
      </c>
      <c r="C40" s="130">
        <f>C35/114168.33</f>
        <v>0.999999963079502</v>
      </c>
      <c r="D40" s="131"/>
      <c r="E40" s="115" t="s">
        <v>140</v>
      </c>
      <c r="F40" s="116">
        <v>1</v>
      </c>
      <c r="G40" s="117"/>
      <c r="H40" s="103">
        <f>IF(VLOOKUP($E40,武器奇术!$A:$R,18,FALSE)="天工",AE40,(AE40+AT40+BI40+BX40+CM40+DB40+DQ40))*(1+J40)*F40*K40*(1+G40)</f>
        <v>32525.1430100852</v>
      </c>
      <c r="I40" s="104">
        <f t="shared" si="42"/>
        <v>0.00374852136164226</v>
      </c>
      <c r="J40" s="118">
        <f>$F$3+VLOOKUP($E40,武器奇术!$A:$R,12,FALSE)+VLOOKUP($E40,武器奇术!$A:$R,14,FALSE)*$G$3+$P40+IF($F$21="√",5%,0)</f>
        <v>0.673</v>
      </c>
      <c r="K40" s="105">
        <f>VLOOKUP($E40,武器奇术!$A:$R,11,FALSE)</f>
        <v>1</v>
      </c>
      <c r="L40" s="119">
        <f>IF(VLOOKUP($E40,武器奇术!$A:$R,15,FALSE)="天工",0%,IF($C$17+VLOOKUP($E40,武器奇术!$A:$R,7,FALSE)&gt;80%,80%,$C$17+VLOOKUP($E40,武器奇术!$A:$R,7,FALSE))+IF($C$19&gt;20%,20%,$C$19))</f>
        <v>0.8703</v>
      </c>
      <c r="M40" s="120">
        <f>IF(VLOOKUP($E40,武器奇术!$A:$R,15,FALSE)="天工",0%,IF($C$18+VLOOKUP($E40,武器奇术!$A:$R,9,FALSE)&gt;40%,40%,$C$18+VLOOKUP($E40,武器奇术!$A:$R,9,FALSE))+IF($C$20&gt;10%,10%,$C$20))</f>
        <v>0.0986</v>
      </c>
      <c r="N40" s="121">
        <f>IF(VLOOKUP($E40,武器奇术!$A:$R,15,FALSE)="天工",100%,MIN($C$16,1))</f>
        <v>1</v>
      </c>
      <c r="O40" s="122" t="str">
        <f>VLOOKUP($E40,武器奇术!$A:$R,16,FALSE)</f>
        <v>伞</v>
      </c>
      <c r="P40" s="123">
        <f t="shared" si="32"/>
        <v>0.17</v>
      </c>
      <c r="Q40" s="110">
        <f>$B$5*(1+VLOOKUP($E40,武器奇术!$A:$R,5,FALSE))*(1+VLOOKUP($E40,武器奇术!$A:$S,19,FALSE)+IF($G$5="飞隼",0.1,0)+IF($G$5="撼天",0.05,0))-$F$9+IF($J$5="√",160,0)</f>
        <v>3081.85</v>
      </c>
      <c r="R40" s="102">
        <f>IF(VLOOKUP($E40,武器奇术!$A:$Z,18,FALSE)="叶龙",(S40-(Q40+S40)*0.5)*($G$15-0.5)*2+(Q40+S40)*0.5,(Q40+S40)*0.5)</f>
        <v>3161.85</v>
      </c>
      <c r="S40" s="102">
        <f>MAX($C$5,$B$5)*(1+VLOOKUP($E40,武器奇术!$A:$R,6,FALSE))*(1+VLOOKUP($E40,武器奇术!$A:$S,19,FALSE)+IF($G$5="飞隼",0.1,0)+IF($G$5="撼天",0.05,0))-$F$9+IF($J$5="√",320,0)</f>
        <v>3241.85</v>
      </c>
      <c r="T40" s="104">
        <f>IF(($D$5+VLOOKUP($E40,武器奇术!$A:$R,13,FALSE)+IF($I$3="√",10,0)-VLOOKUP($F$7,目标属性!$A:$R,5,FALSE))&gt;0,($D$5+VLOOKUP($E40,武器奇术!$A:$R,13,FALSE)+IF($I$3="√",10,0)-VLOOKUP($F$7,目标属性!$A:$R,5,FALSE))/200,($D$5+VLOOKUP($E40,武器奇术!$A:$R,13,FALSE)+IF($I$3="√",10,0)-VLOOKUP($F$7,目标属性!$A:$R,5,FALSE))/100)</f>
        <v>0.2675</v>
      </c>
      <c r="U40" s="111">
        <f>$E$5+IF($G$5="烟柳",IF(VLOOKUP($E40,武器奇术!$A:$T,20,FALSE)=1,0.1,0),0)</f>
        <v>0.1</v>
      </c>
      <c r="V40" s="102">
        <v>1</v>
      </c>
      <c r="W40" s="103">
        <f>Q40*VLOOKUP($E40,武器奇术!$A:$R,2,FALSE)*(1+T40)*(1+U40)*V40</f>
        <v>7302.52948156875</v>
      </c>
      <c r="X40" s="104">
        <f>(1-IF(VLOOKUP($E40,武器奇术!$A:$R,18,FALSE)="叶龙",1,$N40))*(1-$M40)</f>
        <v>0</v>
      </c>
      <c r="Y40" s="103">
        <f>R40*VLOOKUP($E40,武器奇术!$A:$R,2,FALSE)*(1+T40)*(1+U40)*V40*(1+$E$16+VLOOKUP($E40,武器奇术!$A:$R,8,FALSE))</f>
        <v>12316.998773819</v>
      </c>
      <c r="Z40" s="104">
        <f t="shared" si="33"/>
        <v>0.8703</v>
      </c>
      <c r="AA40" s="103">
        <f>S40*VLOOKUP($E40,武器奇术!$A:$R,2,FALSE)*(1+T40)*(1+U40)*V40*(1+$E$17+VLOOKUP($E40,武器奇术!$A:$R,10,FALSE))</f>
        <v>10370.2328211178</v>
      </c>
      <c r="AB40" s="104">
        <f t="shared" si="34"/>
        <v>0.0986</v>
      </c>
      <c r="AC40" s="103">
        <f>R40*VLOOKUP($E40,武器奇术!$A:$R,2,FALSE)*(1+T40)*(1+U40)*V40</f>
        <v>7492.09171156875</v>
      </c>
      <c r="AD40" s="104">
        <f t="shared" si="35"/>
        <v>0.0311</v>
      </c>
      <c r="AE40" s="112">
        <f t="shared" si="36"/>
        <v>11974.9930412467</v>
      </c>
      <c r="AF40" s="113">
        <f>VLOOKUP($E40,武器奇术!$A:$R,3,FALSE)*(1+IF(VLOOKUP($E40,武器奇术!$A:$R,15,FALSE)="武器",$E$15,0))</f>
        <v>510.9</v>
      </c>
      <c r="AG40" s="103">
        <f t="shared" si="1"/>
        <v>510.9</v>
      </c>
      <c r="AH40" s="103">
        <f>VLOOKUP($E40,武器奇术!$A:$R,3,FALSE)*(1+IF(VLOOKUP($E40,武器奇术!$A:$R,15,FALSE)="武器",$E$15,0))</f>
        <v>510.9</v>
      </c>
      <c r="AI40" s="104">
        <f>IF(($D$5+VLOOKUP($E40,武器奇术!$A:$R,13,FALSE)+IF($I$3="√",10,0)-VLOOKUP($F$7,目标属性!$A:$R,5,FALSE))&gt;0,($D$5+VLOOKUP($E40,武器奇术!$A:$R,13,FALSE)+IF($I$3="√",10,0)-VLOOKUP($F$7,目标属性!$A:$R,5,FALSE))/200,($D$5+VLOOKUP($E40,武器奇术!$A:$R,13,FALSE)+IF($I$3="√",10,0)-VLOOKUP($F$7,目标属性!$A:$R,5,FALSE))/100)</f>
        <v>0.2675</v>
      </c>
      <c r="AJ40" s="111">
        <f>$E$5+IF($G$5="烟柳",IF(VLOOKUP($E40,武器奇术!$A:$T,20,FALSE)=1,0.1,0),0)</f>
        <v>0.1</v>
      </c>
      <c r="AK40" s="102">
        <v>1</v>
      </c>
      <c r="AL40" s="103">
        <f t="shared" si="37"/>
        <v>712.322325</v>
      </c>
      <c r="AM40" s="104">
        <f>(1-IF(VLOOKUP($E40,武器奇术!$A:$R,18,FALSE)="叶龙",1,$N40))*(1-$M40)</f>
        <v>0</v>
      </c>
      <c r="AN40" s="103">
        <f>AG40*(1+AI40)*(1+AJ40)*AK40*(1+$E$16+VLOOKUP($E40,武器奇术!$A:$R,8,FALSE))</f>
        <v>1171.0579023</v>
      </c>
      <c r="AO40" s="104">
        <f t="shared" si="2"/>
        <v>0.8703</v>
      </c>
      <c r="AP40" s="103">
        <f>AH40*(1+AI40)*(1+AJ40)*AK40*(1+$E$17+VLOOKUP($E40,武器奇术!$A:$R,10,FALSE))</f>
        <v>961.63513875</v>
      </c>
      <c r="AQ40" s="104">
        <f t="shared" si="3"/>
        <v>0.0986</v>
      </c>
      <c r="AR40" s="103">
        <f t="shared" si="38"/>
        <v>712.322325</v>
      </c>
      <c r="AS40" s="104">
        <f t="shared" si="4"/>
        <v>0.0311</v>
      </c>
      <c r="AT40" s="112">
        <f t="shared" si="5"/>
        <v>1136.14214135994</v>
      </c>
      <c r="AU40" s="110">
        <f>$B$7*IF($G$5="撼天",1.05,1)+IF(AND(VLOOKUP($E40,武器奇术!$A:$R,15,FALSE)="武器",VLOOKUP($E40,武器奇术!$A:$R,17,FALSE)="鸣金"),$E$3*(1+$E$15),0)</f>
        <v>0</v>
      </c>
      <c r="AV40" s="102">
        <f t="shared" si="6"/>
        <v>0</v>
      </c>
      <c r="AW40" s="102">
        <f>MAX($C$7*IF($G$5="撼天",1.05,1)+IF(AND(VLOOKUP($E40,武器奇术!$A:$R,15,FALSE)="武器",VLOOKUP($E40,武器奇术!$A:$R,17,FALSE)="鸣金"),$E$3*(1+$E$15),0),AU40)</f>
        <v>0</v>
      </c>
      <c r="AX40" s="104">
        <f>IF(($D$7+IF(VLOOKUP($E40,武器奇术!$A:$R,17,FALSE)="鸣金",$D$15,0)-VLOOKUP($F$7,目标属性!$A:$R,6,FALSE))&gt;0,($D$7+IF(VLOOKUP($E40,武器奇术!$A:$R,17,FALSE)="鸣金",$D$15,0)-VLOOKUP($F$7,目标属性!$A:$R,6,FALSE))/200,($D$7+IF(VLOOKUP($E40,武器奇术!$A:$R,17,FALSE)="鸣金",$D$15,0)-VLOOKUP($F$7,目标属性!$A:$R,6,FALSE))/100)</f>
        <v>-0.24</v>
      </c>
      <c r="AY40" s="111">
        <f t="shared" si="7"/>
        <v>0</v>
      </c>
      <c r="AZ40" s="102">
        <v>1</v>
      </c>
      <c r="BA40" s="103">
        <f>AU40*IF(VLOOKUP($E40,武器奇术!$A:$R,17,FALSE)="鸣金",VLOOKUP($E40,武器奇术!$A:$R,4,FALSE),VLOOKUP($E40,武器奇术!$A:$R,2,FALSE))*(1+AX40)*(1+AY40)*AZ40</f>
        <v>0</v>
      </c>
      <c r="BB40" s="104">
        <f>(1-IF(VLOOKUP($E40,武器奇术!$A:$R,18,FALSE)="叶龙",1,$N40))*(1-$M40)</f>
        <v>0</v>
      </c>
      <c r="BC40" s="103">
        <f>AV40*IF(VLOOKUP($E40,武器奇术!$A:$R,17,FALSE)="鸣金",VLOOKUP($E40,武器奇术!$A:$R,4,FALSE),VLOOKUP($E40,武器奇术!$A:$R,2,FALSE))*(1+AX40)*(1+AY40)*AZ40*(1+$E$16+VLOOKUP($E40,武器奇术!$A:$R,8,FALSE))</f>
        <v>0</v>
      </c>
      <c r="BD40" s="104">
        <f t="shared" si="8"/>
        <v>0.8703</v>
      </c>
      <c r="BE40" s="103">
        <f>AW40*IF(VLOOKUP($E40,武器奇术!$A:$R,17,FALSE)="鸣金",VLOOKUP($E40,武器奇术!$A:$R,4,FALSE),VLOOKUP($E40,武器奇术!$A:$R,2,FALSE))*(1+AX40)*(1+AY40)*AZ40*(1+$E$17+VLOOKUP($E40,武器奇术!$A:$R,10,FALSE))</f>
        <v>0</v>
      </c>
      <c r="BF40" s="104">
        <f t="shared" si="9"/>
        <v>0.0986</v>
      </c>
      <c r="BG40" s="103">
        <f>AV40*IF(VLOOKUP($E40,武器奇术!$A:$R,17,FALSE)="鸣金",VLOOKUP($E40,武器奇术!$A:$R,4,FALSE),VLOOKUP($E40,武器奇术!$A:$R,2,FALSE))*(1+AX40)*(1+AY40)*AZ40</f>
        <v>0</v>
      </c>
      <c r="BH40" s="104">
        <f t="shared" si="10"/>
        <v>0.0311</v>
      </c>
      <c r="BI40" s="112">
        <f t="shared" si="11"/>
        <v>0</v>
      </c>
      <c r="BJ40" s="110">
        <f>$B$9*IF($G$5="撼天",1.05,1)+IF(AND(VLOOKUP($E40,武器奇术!$A:$R,15,FALSE)="武器",VLOOKUP($E40,武器奇术!$A:$R,17,FALSE)="裂石"),$E$3*(1+$E$15),0)</f>
        <v>0</v>
      </c>
      <c r="BK40" s="102">
        <f t="shared" si="12"/>
        <v>0</v>
      </c>
      <c r="BL40" s="102">
        <f>MAX($C$9*IF($G$5="撼天",1.05,1)+IF(AND(VLOOKUP($E40,武器奇术!$A:$R,15,FALSE)="武器",VLOOKUP($E40,武器奇术!$A:$R,17,FALSE)="裂石"),$E$3*(1+$E$15),0),BJ40)</f>
        <v>0</v>
      </c>
      <c r="BM40" s="104">
        <f>IF(($D$9+IF(VLOOKUP($E40,武器奇术!$A:$R,17,FALSE)="裂石",$D$15,0)-VLOOKUP($F$7,目标属性!$A:$R,6,FALSE))&gt;0,($D$9+IF(VLOOKUP($E40,武器奇术!$A:$R,17,FALSE)="裂石",$D$15,0)-VLOOKUP($F$7,目标属性!$A:$R,6,FALSE))/200,($D$9+IF(VLOOKUP($E40,武器奇术!$A:$R,17,FALSE)="裂石",$D$15,0)-VLOOKUP($F$7,目标属性!$A:$R,6,FALSE))/100)</f>
        <v>-0.24</v>
      </c>
      <c r="BN40" s="111">
        <f t="shared" si="13"/>
        <v>0</v>
      </c>
      <c r="BO40" s="102">
        <v>1</v>
      </c>
      <c r="BP40" s="103">
        <f>BJ40*IF(VLOOKUP($E40,武器奇术!$A:$R,17,FALSE)="裂石",VLOOKUP($E40,武器奇术!$A:$R,4,FALSE),VLOOKUP($E40,武器奇术!$A:$R,2,FALSE))*(1+BM40)*(1+BN40)*BO40</f>
        <v>0</v>
      </c>
      <c r="BQ40" s="104">
        <f>(1-IF(VLOOKUP($E40,武器奇术!$A:$R,18,FALSE)="叶龙",1,$N40))*(1-$M40)</f>
        <v>0</v>
      </c>
      <c r="BR40" s="103">
        <f>BK40*IF(VLOOKUP($E40,武器奇术!$A:$R,17,FALSE)="裂石",VLOOKUP($E40,武器奇术!$A:$R,4,FALSE),VLOOKUP($E40,武器奇术!$A:$R,2,FALSE))*(1+BM40)*(1+BN40)*BO40*(1+$E$16+VLOOKUP($E40,武器奇术!$A:$R,8,FALSE))</f>
        <v>0</v>
      </c>
      <c r="BS40" s="104">
        <f t="shared" si="14"/>
        <v>0.8703</v>
      </c>
      <c r="BT40" s="103">
        <f>BL40*IF(VLOOKUP($E40,武器奇术!$A:$R,17,FALSE)="裂石",VLOOKUP($E40,武器奇术!$A:$R,4,FALSE),VLOOKUP($E40,武器奇术!$A:$R,2,FALSE))*(1+BM40)*(1+BN40)*BO40*(1+$E$17+VLOOKUP($E40,武器奇术!$A:$R,10,FALSE))</f>
        <v>0</v>
      </c>
      <c r="BU40" s="104">
        <f t="shared" si="15"/>
        <v>0.0986</v>
      </c>
      <c r="BV40" s="103">
        <f>BK40*IF(VLOOKUP($E40,武器奇术!$A:$R,17,FALSE)="裂石",VLOOKUP($E40,武器奇术!$A:$R,4,FALSE),VLOOKUP($E40,武器奇术!$A:$R,2,FALSE))*(1+BM40)*(1+BN40)*BO40</f>
        <v>0</v>
      </c>
      <c r="BW40" s="104">
        <f t="shared" si="16"/>
        <v>0.0311</v>
      </c>
      <c r="BX40" s="112">
        <f t="shared" si="17"/>
        <v>0</v>
      </c>
      <c r="BY40" s="110">
        <f>$B$11*IF($G$5="撼天",1.05,1)+IF(AND(VLOOKUP($E40,武器奇术!$A:$R,15,FALSE)="武器",VLOOKUP($E40,武器奇术!$A:$R,17,FALSE)="牵丝"),$E$3*(1+$E$15),0)</f>
        <v>686.71</v>
      </c>
      <c r="BZ40" s="102">
        <f>IF(VLOOKUP($E40,武器奇术!$A:$Z,18,FALSE)="叶龙",(CA40-(BY40+CA40)*0.5)*($G$15-0.5)*2+(BY40+CA40)*0.5,(BY40+CA40)*0.5)</f>
        <v>1052.21</v>
      </c>
      <c r="CA40" s="102">
        <f>MAX($C$11*IF($G$5="撼天",1.05,1)+IF(AND(VLOOKUP($E40,武器奇术!$A:$R,15,FALSE)="武器",VLOOKUP($E40,武器奇术!$A:$R,17,FALSE)="牵丝"),$E$3*(1+$E$15),0),BY40)</f>
        <v>1417.71</v>
      </c>
      <c r="CB40" s="104">
        <f>IF(($D$11+IF(VLOOKUP($E40,武器奇术!$A:$R,17,FALSE)="牵丝",$D$15,0)-VLOOKUP($F$7,目标属性!$A:$R,6,FALSE))&gt;0,($D$11+IF(VLOOKUP($E40,武器奇术!$A:$R,17,FALSE)="牵丝",$D$15,0)-VLOOKUP($F$7,目标属性!$A:$R,6,FALSE))/200,($D$11+IF(VLOOKUP($E40,武器奇术!$A:$R,17,FALSE)="牵丝",$D$15,0)-VLOOKUP($F$7,目标属性!$A:$R,6,FALSE))/100)</f>
        <v>0.028</v>
      </c>
      <c r="CC40" s="111">
        <f>$E$11+IF($G$5="烟柳",IF(VLOOKUP($E40,武器奇术!$A:$T,20,FALSE)=1,0.1,0),0)</f>
        <v>0.248</v>
      </c>
      <c r="CD40" s="102">
        <v>1</v>
      </c>
      <c r="CE40" s="103">
        <f>BY40*IF(VLOOKUP($E40,武器奇术!$A:$R,17,FALSE)="牵丝",VLOOKUP($E40,武器奇术!$A:$R,4,FALSE),VLOOKUP($E40,武器奇术!$A:$R,2,FALSE))*(1+CB40)*(1+CC40)*CD40</f>
        <v>2245.87190093261</v>
      </c>
      <c r="CF40" s="104">
        <f>(1-IF(VLOOKUP($E40,武器奇术!$A:$R,18,FALSE)="叶龙",1,$N40))*(1-$M40)</f>
        <v>0</v>
      </c>
      <c r="CG40" s="124">
        <f>BZ40*IF(VLOOKUP($E40,武器奇术!$A:$R,17,FALSE)="牵丝",VLOOKUP($E40,武器奇术!$A:$R,4,FALSE),VLOOKUP($E40,武器奇术!$A:$R,2,FALSE))*(1+CB40)*(1+CC40)*CD40*(1+$E$16+VLOOKUP($E40,武器奇术!$A:$R,8,FALSE))</f>
        <v>5657.38647611832</v>
      </c>
      <c r="CH40" s="104">
        <f t="shared" si="18"/>
        <v>0.8703</v>
      </c>
      <c r="CI40" s="103">
        <f>CA40*IF(VLOOKUP($E40,武器奇术!$A:$R,17,FALSE)="牵丝",VLOOKUP($E40,武器奇术!$A:$R,4,FALSE),VLOOKUP($E40,武器奇术!$A:$R,2,FALSE))*(1+CB40)*(1+CC40)*CD40*(1+$E$17+VLOOKUP($E40,武器奇术!$A:$R,10,FALSE))</f>
        <v>6259.4010879499</v>
      </c>
      <c r="CJ40" s="104">
        <f t="shared" si="19"/>
        <v>0.0986</v>
      </c>
      <c r="CK40" s="124">
        <f>BZ40*IF(VLOOKUP($E40,武器奇术!$A:$R,17,FALSE)="牵丝",VLOOKUP($E40,武器奇术!$A:$R,4,FALSE),VLOOKUP($E40,武器奇术!$A:$R,2,FALSE))*(1+CB40)*(1+CC40)*CD40</f>
        <v>3441.23264970701</v>
      </c>
      <c r="CL40" s="104">
        <f t="shared" si="20"/>
        <v>0.0311</v>
      </c>
      <c r="CM40" s="112">
        <f t="shared" si="39"/>
        <v>5647.82273284352</v>
      </c>
      <c r="CN40" s="110">
        <f>$B$13*IF($G$5="撼天",1.05,1)+IF(AND(VLOOKUP($E40,武器奇术!$A:$R,15,FALSE)="武器",VLOOKUP($E40,武器奇术!$A:$R,17,FALSE)="破竹"),$E$3*(1+$E$15),0)</f>
        <v>0</v>
      </c>
      <c r="CO40" s="102">
        <f t="shared" si="21"/>
        <v>0</v>
      </c>
      <c r="CP40" s="102">
        <f>MAX($C$13*IF($G$5="撼天",1.05,1)+IF(AND(VLOOKUP($E40,武器奇术!$A:$R,15,FALSE)="武器",VLOOKUP($E40,武器奇术!$A:$R,17,FALSE)="破竹"),$E$3*(1+$E$15),0),CN40)</f>
        <v>0</v>
      </c>
      <c r="CQ40" s="104">
        <f>IF(($D$13+IF(VLOOKUP($E40,武器奇术!$A:$R,17,FALSE)="破竹",$D$15,0)-VLOOKUP($F$7,目标属性!$A:$R,6,FALSE))&gt;0,($D$13+IF(VLOOKUP($E40,武器奇术!$A:$R,17,FALSE)="破竹",$D$15,0)-VLOOKUP($F$7,目标属性!$A:$R,6,FALSE))/200,($D$13+IF(VLOOKUP($E40,武器奇术!$A:$R,17,FALSE)="破竹",$D$15,0)-VLOOKUP($F$7,目标属性!$A:$R,6,FALSE))/100)</f>
        <v>-0.24</v>
      </c>
      <c r="CR40" s="111">
        <f t="shared" si="22"/>
        <v>0</v>
      </c>
      <c r="CS40" s="102">
        <v>1</v>
      </c>
      <c r="CT40" s="103">
        <f>CN40*IF(VLOOKUP($E40,武器奇术!$A:$R,17,FALSE)="破竹",VLOOKUP($E40,武器奇术!$A:$R,4,FALSE),VLOOKUP($E40,武器奇术!$A:$R,2,FALSE))*(1+CQ40)*(1+CR40)*CS40</f>
        <v>0</v>
      </c>
      <c r="CU40" s="104">
        <f>(1-IF(VLOOKUP($E40,武器奇术!$A:$R,18,FALSE)="叶龙",1,$N40))*(1-$M40)</f>
        <v>0</v>
      </c>
      <c r="CV40" s="103">
        <f>CO40*IF(VLOOKUP($E40,武器奇术!$A:$R,17,FALSE)="破竹",VLOOKUP($E40,武器奇术!$A:$R,4,FALSE),VLOOKUP($E40,武器奇术!$A:$R,2,FALSE))*(1+CQ40)*(1+CR40)*CS40*(1+$E$16+VLOOKUP($E40,武器奇术!$A:$R,8,FALSE))</f>
        <v>0</v>
      </c>
      <c r="CW40" s="104">
        <f t="shared" si="23"/>
        <v>0.8703</v>
      </c>
      <c r="CX40" s="103">
        <f>CP40*IF(VLOOKUP($E40,武器奇术!$A:$R,17,FALSE)="破竹",VLOOKUP($E40,武器奇术!$A:$R,4,FALSE),VLOOKUP($E40,武器奇术!$A:$R,2,FALSE))*(1+CQ40)*(1+CR40)*CS40*(1+$E$17+VLOOKUP($E40,武器奇术!$A:$R,10,FALSE))</f>
        <v>0</v>
      </c>
      <c r="CY40" s="104">
        <f t="shared" si="24"/>
        <v>0.0986</v>
      </c>
      <c r="CZ40" s="103">
        <f>CO40*IF(VLOOKUP($E40,武器奇术!$A:$R,17,FALSE)="破竹",VLOOKUP($E40,武器奇术!$A:$R,4,FALSE),VLOOKUP($E40,武器奇术!$A:$R,2,FALSE))*(1+CQ40)*(1+CR40)*CS40</f>
        <v>0</v>
      </c>
      <c r="DA40" s="104">
        <f t="shared" si="25"/>
        <v>0.0311</v>
      </c>
      <c r="DB40" s="112">
        <f t="shared" si="26"/>
        <v>0</v>
      </c>
      <c r="DC40" s="110">
        <f t="shared" si="40"/>
        <v>66</v>
      </c>
      <c r="DD40" s="102">
        <f t="shared" si="27"/>
        <v>125.8</v>
      </c>
      <c r="DE40" s="102">
        <f t="shared" si="41"/>
        <v>185.6</v>
      </c>
      <c r="DF40" s="104">
        <f>IF((IF(VLOOKUP($E40,武器奇术!$A:$R,17,FALSE)="鸣金",$D$7,0)+IF(VLOOKUP($E40,武器奇术!$A:$R,17,FALSE)="裂石",$D$9,0)+IF(VLOOKUP($E40,武器奇术!$A:$R,17,FALSE)="牵丝",$D$11,0)+IF(VLOOKUP($E40,武器奇术!$A:$R,17,FALSE)="破竹",$D$13,0)+$D$15-VLOOKUP($F$7,目标属性!$A:$R,6,FALSE))&gt;0,(IF(VLOOKUP($E40,武器奇术!$A:$R,17,FALSE)="鸣金",$D$7,0)+IF(VLOOKUP($E40,武器奇术!$A:$R,17,FALSE)="裂石",$D$9,0)+IF(VLOOKUP($E40,武器奇术!$A:$R,17,FALSE)="牵丝",$D$11,0)+IF(VLOOKUP($E40,武器奇术!$A:$R,17,FALSE)="破竹",$D$13,0)+$D$15-VLOOKUP($F$7,目标属性!$A:$R,6,FALSE))/200,(IF(VLOOKUP($E40,武器奇术!$A:$R,17,FALSE)="鸣金",$D$7,0)+IF(VLOOKUP($E40,武器奇术!$A:$R,17,FALSE)="裂石",$D$9,0)+IF(VLOOKUP($E40,武器奇术!$A:$R,17,FALSE)="牵丝",$D$11,0)+IF(VLOOKUP($E40,武器奇术!$A:$R,17,FALSE)="破竹",$D$13,0)+$D$15-VLOOKUP($F$7,目标属性!$A:$R,6,FALSE))/100)</f>
        <v>0.028</v>
      </c>
      <c r="DG40" s="111">
        <f>$E$11+IF($G$5="烟柳",IF(VLOOKUP($E40,武器奇术!$A:$T,20,FALSE)=1,0.1,0),0)</f>
        <v>0.248</v>
      </c>
      <c r="DH40" s="102">
        <v>1</v>
      </c>
      <c r="DI40" s="103">
        <f>DC40*IF(VLOOKUP($E40,武器奇术!$A:$R,17,FALSE)="牵丝",VLOOKUP($E40,武器奇术!$A:$R,4,FALSE),VLOOKUP($E40,武器奇术!$A:$R,2,FALSE))*(1+DF40)*(1+DG40)*DH40</f>
        <v>215.8517357568</v>
      </c>
      <c r="DJ40" s="104">
        <f>(1-IF(VLOOKUP($E40,武器奇术!$A:$R,18,FALSE)="叶龙",1,$N40))*(1-$M40)</f>
        <v>0</v>
      </c>
      <c r="DK40" s="124">
        <f>DD40*IF(VLOOKUP($E40,武器奇术!$A:$R,17,FALSE)="牵丝",VLOOKUP($E40,武器奇术!$A:$R,4,FALSE),VLOOKUP($E40,武器奇术!$A:$R,2,FALSE))*(1+DF40)*(1+DG40)*DH40*(1+$E$16+VLOOKUP($E40,武器奇术!$A:$R,8,FALSE))</f>
        <v>676.385150013481</v>
      </c>
      <c r="DL40" s="104">
        <f t="shared" si="28"/>
        <v>0.8703</v>
      </c>
      <c r="DM40" s="103">
        <f>DE40*IF(VLOOKUP($E40,武器奇术!$A:$R,17,FALSE)="牵丝",VLOOKUP($E40,武器奇术!$A:$R,4,FALSE),VLOOKUP($E40,武器奇术!$A:$R,2,FALSE))*(1+DF40)*(1+DG40)*DH40*(1+$E$17+VLOOKUP($E40,武器奇术!$A:$R,10,FALSE))</f>
        <v>819.451680473088</v>
      </c>
      <c r="DN40" s="104">
        <f t="shared" si="29"/>
        <v>0.0986</v>
      </c>
      <c r="DO40" s="124">
        <f>DD40*IF(VLOOKUP($E40,武器奇术!$A:$R,17,FALSE)="牵丝",VLOOKUP($E40,武器奇术!$A:$R,4,FALSE),VLOOKUP($E40,武器奇术!$A:$R,2,FALSE))*(1+DF40)*(1+DG40)*DH40</f>
        <v>411.42649027584</v>
      </c>
      <c r="DP40" s="104">
        <f t="shared" si="30"/>
        <v>0.0311</v>
      </c>
      <c r="DQ40" s="112">
        <f t="shared" si="31"/>
        <v>682.251295598958</v>
      </c>
    </row>
    <row r="41" spans="2:121">
      <c r="B41" s="132"/>
      <c r="C41" s="133"/>
      <c r="D41" s="134"/>
      <c r="E41" s="115" t="s">
        <v>141</v>
      </c>
      <c r="F41" s="116">
        <v>1</v>
      </c>
      <c r="G41" s="117"/>
      <c r="H41" s="103">
        <f>IF(VLOOKUP($E41,武器奇术!$A:$R,18,FALSE)="天工",AE41,(AE41+AT41+BI41+BX41+CM41+DB41+DQ41))*(1+J41)*F41*K41*(1+G41)</f>
        <v>8738.14836313299</v>
      </c>
      <c r="I41" s="104">
        <f t="shared" si="42"/>
        <v>0.00100707123071671</v>
      </c>
      <c r="J41" s="118">
        <f>$F$3+VLOOKUP($E41,武器奇术!$A:$R,12,FALSE)+VLOOKUP($E41,武器奇术!$A:$R,14,FALSE)*$G$3+$P41+IF($F$21="√",5%,0)</f>
        <v>0.553</v>
      </c>
      <c r="K41" s="105">
        <f>VLOOKUP($E41,武器奇术!$A:$R,11,FALSE)</f>
        <v>1</v>
      </c>
      <c r="L41" s="119">
        <f>IF(VLOOKUP($E41,武器奇术!$A:$R,15,FALSE)="天工",0%,IF($C$17+VLOOKUP($E41,武器奇术!$A:$R,7,FALSE)&gt;80%,80%,$C$17+VLOOKUP($E41,武器奇术!$A:$R,7,FALSE))+IF($C$19&gt;20%,20%,$C$19))</f>
        <v>0.8703</v>
      </c>
      <c r="M41" s="120">
        <f>IF(VLOOKUP($E41,武器奇术!$A:$R,15,FALSE)="天工",0%,IF($C$18+VLOOKUP($E41,武器奇术!$A:$R,9,FALSE)&gt;40%,40%,$C$18+VLOOKUP($E41,武器奇术!$A:$R,9,FALSE))+IF($C$20&gt;10%,10%,$C$20))</f>
        <v>0.0986</v>
      </c>
      <c r="N41" s="121">
        <f>IF(VLOOKUP($E41,武器奇术!$A:$R,15,FALSE)="天工",100%,MIN($C$16,1))</f>
        <v>1</v>
      </c>
      <c r="O41" s="122" t="str">
        <f>VLOOKUP($E41,武器奇术!$A:$R,16,FALSE)</f>
        <v>伞</v>
      </c>
      <c r="P41" s="123">
        <f t="shared" si="32"/>
        <v>0.17</v>
      </c>
      <c r="Q41" s="110">
        <f>$B$5*(1+VLOOKUP($E41,武器奇术!$A:$R,5,FALSE))*(1+VLOOKUP($E41,武器奇术!$A:$S,19,FALSE)+IF($G$5="飞隼",0.1,0)+IF($G$5="撼天",0.05,0))-$F$9+IF($J$5="√",160,0)</f>
        <v>3081.85</v>
      </c>
      <c r="R41" s="102">
        <f>IF(VLOOKUP($E41,武器奇术!$A:$Z,18,FALSE)="叶龙",(S41-(Q41+S41)*0.5)*($G$15-0.5)*2+(Q41+S41)*0.5,(Q41+S41)*0.5)</f>
        <v>3161.85</v>
      </c>
      <c r="S41" s="102">
        <f>MAX($C$5,$B$5)*(1+VLOOKUP($E41,武器奇术!$A:$R,6,FALSE))*(1+VLOOKUP($E41,武器奇术!$A:$S,19,FALSE)+IF($G$5="飞隼",0.1,0)+IF($G$5="撼天",0.05,0))-$F$9+IF($J$5="√",320,0)</f>
        <v>3241.85</v>
      </c>
      <c r="T41" s="104">
        <f>IF(($D$5+VLOOKUP($E41,武器奇术!$A:$R,13,FALSE)+IF($I$3="√",10,0)-VLOOKUP($F$7,目标属性!$A:$R,5,FALSE))&gt;0,($D$5+VLOOKUP($E41,武器奇术!$A:$R,13,FALSE)+IF($I$3="√",10,0)-VLOOKUP($F$7,目标属性!$A:$R,5,FALSE))/200,($D$5+VLOOKUP($E41,武器奇术!$A:$R,13,FALSE)+IF($I$3="√",10,0)-VLOOKUP($F$7,目标属性!$A:$R,5,FALSE))/100)</f>
        <v>0.2675</v>
      </c>
      <c r="U41" s="111">
        <f>$E$5+IF($G$5="烟柳",IF(VLOOKUP($E41,武器奇术!$A:$T,20,FALSE)=1,0.1,0),0)</f>
        <v>0</v>
      </c>
      <c r="V41" s="102">
        <v>1</v>
      </c>
      <c r="W41" s="103">
        <f>Q41*VLOOKUP($E41,武器奇术!$A:$R,2,FALSE)*(1+T41)*(1+U41)*V41</f>
        <v>2105.465987625</v>
      </c>
      <c r="X41" s="104">
        <f>(1-IF(VLOOKUP($E41,武器奇术!$A:$R,18,FALSE)="叶龙",1,$N41))*(1-$M41)</f>
        <v>0</v>
      </c>
      <c r="Y41" s="103">
        <f>R41*VLOOKUP($E41,武器奇术!$A:$R,2,FALSE)*(1+T41)*(1+U41)*V41*(1+$E$16+VLOOKUP($E41,武器奇术!$A:$R,8,FALSE))</f>
        <v>3551.2382460555</v>
      </c>
      <c r="Z41" s="104">
        <f t="shared" si="33"/>
        <v>0.8703</v>
      </c>
      <c r="AA41" s="103">
        <f>S41*VLOOKUP($E41,武器奇术!$A:$R,2,FALSE)*(1+T41)*(1+U41)*V41*(1+$E$17+VLOOKUP($E41,武器奇术!$A:$R,10,FALSE))</f>
        <v>2989.94650329375</v>
      </c>
      <c r="AB41" s="104">
        <f t="shared" si="34"/>
        <v>0.0986</v>
      </c>
      <c r="AC41" s="103">
        <f>R41*VLOOKUP($E41,武器奇术!$A:$R,2,FALSE)*(1+T41)*(1+U41)*V41</f>
        <v>2160.120587625</v>
      </c>
      <c r="AD41" s="104">
        <f t="shared" si="35"/>
        <v>0.0311</v>
      </c>
      <c r="AE41" s="112">
        <f t="shared" si="36"/>
        <v>3452.631121042</v>
      </c>
      <c r="AF41" s="113">
        <f>VLOOKUP($E41,武器奇术!$A:$R,3,FALSE)*(1+IF(VLOOKUP($E41,武器奇术!$A:$R,15,FALSE)="武器",$E$15,0))</f>
        <v>161.8617</v>
      </c>
      <c r="AG41" s="103">
        <f t="shared" si="1"/>
        <v>161.8617</v>
      </c>
      <c r="AH41" s="103">
        <f>VLOOKUP($E41,武器奇术!$A:$R,3,FALSE)*(1+IF(VLOOKUP($E41,武器奇术!$A:$R,15,FALSE)="武器",$E$15,0))</f>
        <v>161.8617</v>
      </c>
      <c r="AI41" s="104">
        <f>IF(($D$5+VLOOKUP($E41,武器奇术!$A:$R,13,FALSE)+IF($I$3="√",10,0)-VLOOKUP($F$7,目标属性!$A:$R,5,FALSE))&gt;0,($D$5+VLOOKUP($E41,武器奇术!$A:$R,13,FALSE)+IF($I$3="√",10,0)-VLOOKUP($F$7,目标属性!$A:$R,5,FALSE))/200,($D$5+VLOOKUP($E41,武器奇术!$A:$R,13,FALSE)+IF($I$3="√",10,0)-VLOOKUP($F$7,目标属性!$A:$R,5,FALSE))/100)</f>
        <v>0.2675</v>
      </c>
      <c r="AJ41" s="111">
        <f>$E$5+IF($G$5="烟柳",IF(VLOOKUP($E41,武器奇术!$A:$T,20,FALSE)=1,0.1,0),0)</f>
        <v>0</v>
      </c>
      <c r="AK41" s="102">
        <v>1</v>
      </c>
      <c r="AL41" s="103">
        <f t="shared" si="37"/>
        <v>205.15970475</v>
      </c>
      <c r="AM41" s="104">
        <f>(1-IF(VLOOKUP($E41,武器奇术!$A:$R,18,FALSE)="叶龙",1,$N41))*(1-$M41)</f>
        <v>0</v>
      </c>
      <c r="AN41" s="103">
        <f>AG41*(1+AI41)*(1+AJ41)*AK41*(1+$E$16+VLOOKUP($E41,武器奇术!$A:$R,8,FALSE))</f>
        <v>337.282554609</v>
      </c>
      <c r="AO41" s="104">
        <f t="shared" si="2"/>
        <v>0.8703</v>
      </c>
      <c r="AP41" s="103">
        <f>AH41*(1+AI41)*(1+AJ41)*AK41*(1+$E$17+VLOOKUP($E41,武器奇术!$A:$R,10,FALSE))</f>
        <v>276.9656014125</v>
      </c>
      <c r="AQ41" s="104">
        <f t="shared" si="3"/>
        <v>0.0986</v>
      </c>
      <c r="AR41" s="103">
        <f t="shared" si="38"/>
        <v>205.15970475</v>
      </c>
      <c r="AS41" s="104">
        <f t="shared" si="4"/>
        <v>0.0311</v>
      </c>
      <c r="AT41" s="112">
        <f t="shared" si="5"/>
        <v>327.22628239321</v>
      </c>
      <c r="AU41" s="110">
        <f>$B$7*IF($G$5="撼天",1.05,1)+IF(AND(VLOOKUP($E41,武器奇术!$A:$R,15,FALSE)="武器",VLOOKUP($E41,武器奇术!$A:$R,17,FALSE)="鸣金"),$E$3*(1+$E$15),0)</f>
        <v>0</v>
      </c>
      <c r="AV41" s="102">
        <f t="shared" si="6"/>
        <v>0</v>
      </c>
      <c r="AW41" s="102">
        <f>MAX($C$7*IF($G$5="撼天",1.05,1)+IF(AND(VLOOKUP($E41,武器奇术!$A:$R,15,FALSE)="武器",VLOOKUP($E41,武器奇术!$A:$R,17,FALSE)="鸣金"),$E$3*(1+$E$15),0),AU41)</f>
        <v>0</v>
      </c>
      <c r="AX41" s="104">
        <f>IF(($D$7+IF(VLOOKUP($E41,武器奇术!$A:$R,17,FALSE)="鸣金",$D$15,0)-VLOOKUP($F$7,目标属性!$A:$R,6,FALSE))&gt;0,($D$7+IF(VLOOKUP($E41,武器奇术!$A:$R,17,FALSE)="鸣金",$D$15,0)-VLOOKUP($F$7,目标属性!$A:$R,6,FALSE))/200,($D$7+IF(VLOOKUP($E41,武器奇术!$A:$R,17,FALSE)="鸣金",$D$15,0)-VLOOKUP($F$7,目标属性!$A:$R,6,FALSE))/100)</f>
        <v>-0.24</v>
      </c>
      <c r="AY41" s="111">
        <f t="shared" si="7"/>
        <v>0</v>
      </c>
      <c r="AZ41" s="102">
        <v>1</v>
      </c>
      <c r="BA41" s="103">
        <f>AU41*IF(VLOOKUP($E41,武器奇术!$A:$R,17,FALSE)="鸣金",VLOOKUP($E41,武器奇术!$A:$R,4,FALSE),VLOOKUP($E41,武器奇术!$A:$R,2,FALSE))*(1+AX41)*(1+AY41)*AZ41</f>
        <v>0</v>
      </c>
      <c r="BB41" s="104">
        <f>(1-IF(VLOOKUP($E41,武器奇术!$A:$R,18,FALSE)="叶龙",1,$N41))*(1-$M41)</f>
        <v>0</v>
      </c>
      <c r="BC41" s="103">
        <f>AV41*IF(VLOOKUP($E41,武器奇术!$A:$R,17,FALSE)="鸣金",VLOOKUP($E41,武器奇术!$A:$R,4,FALSE),VLOOKUP($E41,武器奇术!$A:$R,2,FALSE))*(1+AX41)*(1+AY41)*AZ41*(1+$E$16+VLOOKUP($E41,武器奇术!$A:$R,8,FALSE))</f>
        <v>0</v>
      </c>
      <c r="BD41" s="104">
        <f t="shared" si="8"/>
        <v>0.8703</v>
      </c>
      <c r="BE41" s="103">
        <f>AW41*IF(VLOOKUP($E41,武器奇术!$A:$R,17,FALSE)="鸣金",VLOOKUP($E41,武器奇术!$A:$R,4,FALSE),VLOOKUP($E41,武器奇术!$A:$R,2,FALSE))*(1+AX41)*(1+AY41)*AZ41*(1+$E$17+VLOOKUP($E41,武器奇术!$A:$R,10,FALSE))</f>
        <v>0</v>
      </c>
      <c r="BF41" s="104">
        <f t="shared" si="9"/>
        <v>0.0986</v>
      </c>
      <c r="BG41" s="103">
        <f>AV41*IF(VLOOKUP($E41,武器奇术!$A:$R,17,FALSE)="鸣金",VLOOKUP($E41,武器奇术!$A:$R,4,FALSE),VLOOKUP($E41,武器奇术!$A:$R,2,FALSE))*(1+AX41)*(1+AY41)*AZ41</f>
        <v>0</v>
      </c>
      <c r="BH41" s="104">
        <f t="shared" si="10"/>
        <v>0.0311</v>
      </c>
      <c r="BI41" s="112">
        <f t="shared" si="11"/>
        <v>0</v>
      </c>
      <c r="BJ41" s="110">
        <f>$B$9*IF($G$5="撼天",1.05,1)+IF(AND(VLOOKUP($E41,武器奇术!$A:$R,15,FALSE)="武器",VLOOKUP($E41,武器奇术!$A:$R,17,FALSE)="裂石"),$E$3*(1+$E$15),0)</f>
        <v>0</v>
      </c>
      <c r="BK41" s="102">
        <f t="shared" si="12"/>
        <v>0</v>
      </c>
      <c r="BL41" s="102">
        <f>MAX($C$9*IF($G$5="撼天",1.05,1)+IF(AND(VLOOKUP($E41,武器奇术!$A:$R,15,FALSE)="武器",VLOOKUP($E41,武器奇术!$A:$R,17,FALSE)="裂石"),$E$3*(1+$E$15),0),BJ41)</f>
        <v>0</v>
      </c>
      <c r="BM41" s="104">
        <f>IF(($D$9+IF(VLOOKUP($E41,武器奇术!$A:$R,17,FALSE)="裂石",$D$15,0)-VLOOKUP($F$7,目标属性!$A:$R,6,FALSE))&gt;0,($D$9+IF(VLOOKUP($E41,武器奇术!$A:$R,17,FALSE)="裂石",$D$15,0)-VLOOKUP($F$7,目标属性!$A:$R,6,FALSE))/200,($D$9+IF(VLOOKUP($E41,武器奇术!$A:$R,17,FALSE)="裂石",$D$15,0)-VLOOKUP($F$7,目标属性!$A:$R,6,FALSE))/100)</f>
        <v>-0.24</v>
      </c>
      <c r="BN41" s="111">
        <f t="shared" si="13"/>
        <v>0</v>
      </c>
      <c r="BO41" s="102">
        <v>1</v>
      </c>
      <c r="BP41" s="103">
        <f>BJ41*IF(VLOOKUP($E41,武器奇术!$A:$R,17,FALSE)="裂石",VLOOKUP($E41,武器奇术!$A:$R,4,FALSE),VLOOKUP($E41,武器奇术!$A:$R,2,FALSE))*(1+BM41)*(1+BN41)*BO41</f>
        <v>0</v>
      </c>
      <c r="BQ41" s="104">
        <f>(1-IF(VLOOKUP($E41,武器奇术!$A:$R,18,FALSE)="叶龙",1,$N41))*(1-$M41)</f>
        <v>0</v>
      </c>
      <c r="BR41" s="103">
        <f>BK41*IF(VLOOKUP($E41,武器奇术!$A:$R,17,FALSE)="裂石",VLOOKUP($E41,武器奇术!$A:$R,4,FALSE),VLOOKUP($E41,武器奇术!$A:$R,2,FALSE))*(1+BM41)*(1+BN41)*BO41*(1+$E$16+VLOOKUP($E41,武器奇术!$A:$R,8,FALSE))</f>
        <v>0</v>
      </c>
      <c r="BS41" s="104">
        <f t="shared" si="14"/>
        <v>0.8703</v>
      </c>
      <c r="BT41" s="103">
        <f>BL41*IF(VLOOKUP($E41,武器奇术!$A:$R,17,FALSE)="裂石",VLOOKUP($E41,武器奇术!$A:$R,4,FALSE),VLOOKUP($E41,武器奇术!$A:$R,2,FALSE))*(1+BM41)*(1+BN41)*BO41*(1+$E$17+VLOOKUP($E41,武器奇术!$A:$R,10,FALSE))</f>
        <v>0</v>
      </c>
      <c r="BU41" s="104">
        <f t="shared" si="15"/>
        <v>0.0986</v>
      </c>
      <c r="BV41" s="103">
        <f>BK41*IF(VLOOKUP($E41,武器奇术!$A:$R,17,FALSE)="裂石",VLOOKUP($E41,武器奇术!$A:$R,4,FALSE),VLOOKUP($E41,武器奇术!$A:$R,2,FALSE))*(1+BM41)*(1+BN41)*BO41</f>
        <v>0</v>
      </c>
      <c r="BW41" s="104">
        <f t="shared" si="16"/>
        <v>0.0311</v>
      </c>
      <c r="BX41" s="112">
        <f t="shared" si="17"/>
        <v>0</v>
      </c>
      <c r="BY41" s="110">
        <f>$B$11*IF($G$5="撼天",1.05,1)+IF(AND(VLOOKUP($E41,武器奇术!$A:$R,15,FALSE)="武器",VLOOKUP($E41,武器奇术!$A:$R,17,FALSE)="牵丝"),$E$3*(1+$E$15),0)</f>
        <v>686.71</v>
      </c>
      <c r="BZ41" s="102">
        <f>IF(VLOOKUP($E41,武器奇术!$A:$Z,18,FALSE)="叶龙",(CA41-(BY41+CA41)*0.5)*($G$15-0.5)*2+(BY41+CA41)*0.5,(BY41+CA41)*0.5)</f>
        <v>1052.21</v>
      </c>
      <c r="CA41" s="102">
        <f>MAX($C$11*IF($G$5="撼天",1.05,1)+IF(AND(VLOOKUP($E41,武器奇术!$A:$R,15,FALSE)="武器",VLOOKUP($E41,武器奇术!$A:$R,17,FALSE)="牵丝"),$E$3*(1+$E$15),0),BY41)</f>
        <v>1417.71</v>
      </c>
      <c r="CB41" s="104">
        <f>IF(($D$11+IF(VLOOKUP($E41,武器奇术!$A:$R,17,FALSE)="牵丝",$D$15,0)-VLOOKUP($F$7,目标属性!$A:$R,6,FALSE))&gt;0,($D$11+IF(VLOOKUP($E41,武器奇术!$A:$R,17,FALSE)="牵丝",$D$15,0)-VLOOKUP($F$7,目标属性!$A:$R,6,FALSE))/200,($D$11+IF(VLOOKUP($E41,武器奇术!$A:$R,17,FALSE)="牵丝",$D$15,0)-VLOOKUP($F$7,目标属性!$A:$R,6,FALSE))/100)</f>
        <v>0.028</v>
      </c>
      <c r="CC41" s="111">
        <f>$E$11+IF($G$5="烟柳",IF(VLOOKUP($E41,武器奇术!$A:$T,20,FALSE)=1,0.1,0),0)</f>
        <v>0.148</v>
      </c>
      <c r="CD41" s="102">
        <v>1</v>
      </c>
      <c r="CE41" s="103">
        <f>BY41*IF(VLOOKUP($E41,武器奇术!$A:$R,17,FALSE)="牵丝",VLOOKUP($E41,武器奇术!$A:$R,4,FALSE),VLOOKUP($E41,武器奇术!$A:$R,2,FALSE))*(1+CB41)*(1+CC41)*CD41</f>
        <v>655.22189082504</v>
      </c>
      <c r="CF41" s="104">
        <f>(1-IF(VLOOKUP($E41,武器奇术!$A:$R,18,FALSE)="叶龙",1,$N41))*(1-$M41)</f>
        <v>0</v>
      </c>
      <c r="CG41" s="124">
        <f>BZ41*IF(VLOOKUP($E41,武器奇术!$A:$R,17,FALSE)="牵丝",VLOOKUP($E41,武器奇术!$A:$R,4,FALSE),VLOOKUP($E41,武器奇术!$A:$R,2,FALSE))*(1+CB41)*(1+CC41)*CD41*(1+$E$16+VLOOKUP($E41,武器奇术!$A:$R,8,FALSE))</f>
        <v>1650.51420006233</v>
      </c>
      <c r="CH41" s="104">
        <f t="shared" si="18"/>
        <v>0.8703</v>
      </c>
      <c r="CI41" s="103">
        <f>CA41*IF(VLOOKUP($E41,武器奇术!$A:$R,17,FALSE)="牵丝",VLOOKUP($E41,武器奇术!$A:$R,4,FALSE),VLOOKUP($E41,武器奇术!$A:$R,2,FALSE))*(1+CB41)*(1+CC41)*CD41*(1+$E$17+VLOOKUP($E41,武器奇术!$A:$R,10,FALSE))</f>
        <v>1826.1489511382</v>
      </c>
      <c r="CJ41" s="104">
        <f t="shared" si="19"/>
        <v>0.0986</v>
      </c>
      <c r="CK41" s="124">
        <f>BZ41*IF(VLOOKUP($E41,武器奇术!$A:$R,17,FALSE)="牵丝",VLOOKUP($E41,武器奇术!$A:$R,4,FALSE),VLOOKUP($E41,武器奇术!$A:$R,2,FALSE))*(1+CB41)*(1+CC41)*CD41</f>
        <v>1003.96240879704</v>
      </c>
      <c r="CL41" s="104">
        <f t="shared" si="20"/>
        <v>0.0311</v>
      </c>
      <c r="CM41" s="112">
        <f t="shared" si="39"/>
        <v>1647.72402581006</v>
      </c>
      <c r="CN41" s="110">
        <f>$B$13*IF($G$5="撼天",1.05,1)+IF(AND(VLOOKUP($E41,武器奇术!$A:$R,15,FALSE)="武器",VLOOKUP($E41,武器奇术!$A:$R,17,FALSE)="破竹"),$E$3*(1+$E$15),0)</f>
        <v>0</v>
      </c>
      <c r="CO41" s="102">
        <f t="shared" si="21"/>
        <v>0</v>
      </c>
      <c r="CP41" s="102">
        <f>MAX($C$13*IF($G$5="撼天",1.05,1)+IF(AND(VLOOKUP($E41,武器奇术!$A:$R,15,FALSE)="武器",VLOOKUP($E41,武器奇术!$A:$R,17,FALSE)="破竹"),$E$3*(1+$E$15),0),CN41)</f>
        <v>0</v>
      </c>
      <c r="CQ41" s="104">
        <f>IF(($D$13+IF(VLOOKUP($E41,武器奇术!$A:$R,17,FALSE)="破竹",$D$15,0)-VLOOKUP($F$7,目标属性!$A:$R,6,FALSE))&gt;0,($D$13+IF(VLOOKUP($E41,武器奇术!$A:$R,17,FALSE)="破竹",$D$15,0)-VLOOKUP($F$7,目标属性!$A:$R,6,FALSE))/200,($D$13+IF(VLOOKUP($E41,武器奇术!$A:$R,17,FALSE)="破竹",$D$15,0)-VLOOKUP($F$7,目标属性!$A:$R,6,FALSE))/100)</f>
        <v>-0.24</v>
      </c>
      <c r="CR41" s="111">
        <f t="shared" si="22"/>
        <v>0</v>
      </c>
      <c r="CS41" s="102">
        <v>1</v>
      </c>
      <c r="CT41" s="103">
        <f>CN41*IF(VLOOKUP($E41,武器奇术!$A:$R,17,FALSE)="破竹",VLOOKUP($E41,武器奇术!$A:$R,4,FALSE),VLOOKUP($E41,武器奇术!$A:$R,2,FALSE))*(1+CQ41)*(1+CR41)*CS41</f>
        <v>0</v>
      </c>
      <c r="CU41" s="104">
        <f>(1-IF(VLOOKUP($E41,武器奇术!$A:$R,18,FALSE)="叶龙",1,$N41))*(1-$M41)</f>
        <v>0</v>
      </c>
      <c r="CV41" s="103">
        <f>CO41*IF(VLOOKUP($E41,武器奇术!$A:$R,17,FALSE)="破竹",VLOOKUP($E41,武器奇术!$A:$R,4,FALSE),VLOOKUP($E41,武器奇术!$A:$R,2,FALSE))*(1+CQ41)*(1+CR41)*CS41*(1+$E$16+VLOOKUP($E41,武器奇术!$A:$R,8,FALSE))</f>
        <v>0</v>
      </c>
      <c r="CW41" s="104">
        <f t="shared" si="23"/>
        <v>0.8703</v>
      </c>
      <c r="CX41" s="103">
        <f>CP41*IF(VLOOKUP($E41,武器奇术!$A:$R,17,FALSE)="破竹",VLOOKUP($E41,武器奇术!$A:$R,4,FALSE),VLOOKUP($E41,武器奇术!$A:$R,2,FALSE))*(1+CQ41)*(1+CR41)*CS41*(1+$E$17+VLOOKUP($E41,武器奇术!$A:$R,10,FALSE))</f>
        <v>0</v>
      </c>
      <c r="CY41" s="104">
        <f t="shared" si="24"/>
        <v>0.0986</v>
      </c>
      <c r="CZ41" s="103">
        <f>CO41*IF(VLOOKUP($E41,武器奇术!$A:$R,17,FALSE)="破竹",VLOOKUP($E41,武器奇术!$A:$R,4,FALSE),VLOOKUP($E41,武器奇术!$A:$R,2,FALSE))*(1+CQ41)*(1+CR41)*CS41</f>
        <v>0</v>
      </c>
      <c r="DA41" s="104">
        <f t="shared" si="25"/>
        <v>0.0311</v>
      </c>
      <c r="DB41" s="112">
        <f t="shared" si="26"/>
        <v>0</v>
      </c>
      <c r="DC41" s="110">
        <f t="shared" si="40"/>
        <v>66</v>
      </c>
      <c r="DD41" s="102">
        <f t="shared" si="27"/>
        <v>125.8</v>
      </c>
      <c r="DE41" s="102">
        <f t="shared" si="41"/>
        <v>185.6</v>
      </c>
      <c r="DF41" s="104">
        <f>IF((IF(VLOOKUP($E41,武器奇术!$A:$R,17,FALSE)="鸣金",$D$7,0)+IF(VLOOKUP($E41,武器奇术!$A:$R,17,FALSE)="裂石",$D$9,0)+IF(VLOOKUP($E41,武器奇术!$A:$R,17,FALSE)="牵丝",$D$11,0)+IF(VLOOKUP($E41,武器奇术!$A:$R,17,FALSE)="破竹",$D$13,0)+$D$15-VLOOKUP($F$7,目标属性!$A:$R,6,FALSE))&gt;0,(IF(VLOOKUP($E41,武器奇术!$A:$R,17,FALSE)="鸣金",$D$7,0)+IF(VLOOKUP($E41,武器奇术!$A:$R,17,FALSE)="裂石",$D$9,0)+IF(VLOOKUP($E41,武器奇术!$A:$R,17,FALSE)="牵丝",$D$11,0)+IF(VLOOKUP($E41,武器奇术!$A:$R,17,FALSE)="破竹",$D$13,0)+$D$15-VLOOKUP($F$7,目标属性!$A:$R,6,FALSE))/200,(IF(VLOOKUP($E41,武器奇术!$A:$R,17,FALSE)="鸣金",$D$7,0)+IF(VLOOKUP($E41,武器奇术!$A:$R,17,FALSE)="裂石",$D$9,0)+IF(VLOOKUP($E41,武器奇术!$A:$R,17,FALSE)="牵丝",$D$11,0)+IF(VLOOKUP($E41,武器奇术!$A:$R,17,FALSE)="破竹",$D$13,0)+$D$15-VLOOKUP($F$7,目标属性!$A:$R,6,FALSE))/100)</f>
        <v>0.028</v>
      </c>
      <c r="DG41" s="111">
        <f>$E$11+IF($G$5="烟柳",IF(VLOOKUP($E41,武器奇术!$A:$T,20,FALSE)=1,0.1,0),0)</f>
        <v>0.148</v>
      </c>
      <c r="DH41" s="102">
        <v>1</v>
      </c>
      <c r="DI41" s="103">
        <f>DC41*IF(VLOOKUP($E41,武器奇术!$A:$R,17,FALSE)="牵丝",VLOOKUP($E41,武器奇术!$A:$R,4,FALSE),VLOOKUP($E41,武器奇术!$A:$R,2,FALSE))*(1+DF41)*(1+DG41)*DH41</f>
        <v>62.973663984</v>
      </c>
      <c r="DJ41" s="104">
        <f>(1-IF(VLOOKUP($E41,武器奇术!$A:$R,18,FALSE)="叶龙",1,$N41))*(1-$M41)</f>
        <v>0</v>
      </c>
      <c r="DK41" s="124">
        <f>DD41*IF(VLOOKUP($E41,武器奇术!$A:$R,17,FALSE)="牵丝",VLOOKUP($E41,武器奇术!$A:$R,4,FALSE),VLOOKUP($E41,武器奇术!$A:$R,2,FALSE))*(1+DF41)*(1+DG41)*DH41*(1+$E$16+VLOOKUP($E41,武器奇术!$A:$R,8,FALSE))</f>
        <v>197.331983508845</v>
      </c>
      <c r="DL41" s="104">
        <f t="shared" si="28"/>
        <v>0.8703</v>
      </c>
      <c r="DM41" s="103">
        <f>DE41*IF(VLOOKUP($E41,武器奇术!$A:$R,17,FALSE)="牵丝",VLOOKUP($E41,武器奇术!$A:$R,4,FALSE),VLOOKUP($E41,武器奇术!$A:$R,2,FALSE))*(1+DF41)*(1+DG41)*DH41*(1+$E$17+VLOOKUP($E41,武器奇术!$A:$R,10,FALSE))</f>
        <v>239.07092799744</v>
      </c>
      <c r="DN41" s="104">
        <f t="shared" si="29"/>
        <v>0.0986</v>
      </c>
      <c r="DO41" s="124">
        <f>DD41*IF(VLOOKUP($E41,武器奇术!$A:$R,17,FALSE)="牵丝",VLOOKUP($E41,武器奇术!$A:$R,4,FALSE),VLOOKUP($E41,武器奇术!$A:$R,2,FALSE))*(1+DF41)*(1+DG41)*DH41</f>
        <v>120.0316201392</v>
      </c>
      <c r="DP41" s="104">
        <f t="shared" si="30"/>
        <v>0.0311</v>
      </c>
      <c r="DQ41" s="112">
        <f t="shared" si="31"/>
        <v>199.043402134624</v>
      </c>
    </row>
    <row r="42" spans="2:121">
      <c r="B42" s="132"/>
      <c r="C42" s="133"/>
      <c r="D42" s="134"/>
      <c r="E42" s="115" t="s">
        <v>134</v>
      </c>
      <c r="F42" s="116">
        <v>1</v>
      </c>
      <c r="G42" s="117"/>
      <c r="H42" s="103">
        <f>IF(VLOOKUP($E42,武器奇术!$A:$R,18,FALSE)="天工",AE42,(AE42+AT42+BI42+BX42+CM42+DB42+DQ42))*(1+J42)*F42*K42*(1+G42)</f>
        <v>75681.3225241113</v>
      </c>
      <c r="I42" s="104">
        <f t="shared" si="42"/>
        <v>0.00872226923248278</v>
      </c>
      <c r="J42" s="118">
        <f>$F$3+VLOOKUP($E42,武器奇术!$A:$R,12,FALSE)+VLOOKUP($E42,武器奇术!$A:$R,14,FALSE)*$G$3+$P42+IF($F$21="√",5%,0)</f>
        <v>0.957</v>
      </c>
      <c r="K42" s="105">
        <f>VLOOKUP($E42,武器奇术!$A:$R,11,FALSE)</f>
        <v>1</v>
      </c>
      <c r="L42" s="119">
        <f>IF(VLOOKUP($E42,武器奇术!$A:$R,15,FALSE)="天工",0%,IF($C$17+VLOOKUP($E42,武器奇术!$A:$R,7,FALSE)&gt;80%,80%,$C$17+VLOOKUP($E42,武器奇术!$A:$R,7,FALSE))+IF($C$19&gt;20%,20%,$C$19))</f>
        <v>0.8703</v>
      </c>
      <c r="M42" s="120">
        <f>IF(VLOOKUP($E42,武器奇术!$A:$R,15,FALSE)="天工",0%,IF($C$18+VLOOKUP($E42,武器奇术!$A:$R,9,FALSE)&gt;40%,40%,$C$18+VLOOKUP($E42,武器奇术!$A:$R,9,FALSE))+IF($C$20&gt;10%,10%,$C$20))</f>
        <v>0.0986</v>
      </c>
      <c r="N42" s="121">
        <f>IF(VLOOKUP($E42,武器奇术!$A:$R,15,FALSE)="天工",100%,MIN($C$16,1))</f>
        <v>1</v>
      </c>
      <c r="O42" s="122" t="str">
        <f>VLOOKUP($E42,武器奇术!$A:$R,16,FALSE)</f>
        <v>扇</v>
      </c>
      <c r="P42" s="123">
        <f t="shared" si="32"/>
        <v>0.084</v>
      </c>
      <c r="Q42" s="110">
        <f>$B$5*(1+VLOOKUP($E42,武器奇术!$A:$R,5,FALSE))*(1+VLOOKUP($E42,武器奇术!$A:$S,19,FALSE)+IF($G$5="飞隼",0.1,0)+IF($G$5="撼天",0.05,0))-$F$9+IF($J$5="√",160,0)</f>
        <v>3081.85</v>
      </c>
      <c r="R42" s="102">
        <f>IF(VLOOKUP($E42,武器奇术!$A:$Z,18,FALSE)="叶龙",(S42-(Q42+S42)*0.5)*($G$15-0.5)*2+(Q42+S42)*0.5,(Q42+S42)*0.5)</f>
        <v>3161.85</v>
      </c>
      <c r="S42" s="102">
        <f>MAX($C$5,$B$5)*(1+VLOOKUP($E42,武器奇术!$A:$R,6,FALSE))*(1+VLOOKUP($E42,武器奇术!$A:$S,19,FALSE)+IF($G$5="飞隼",0.1,0)+IF($G$5="撼天",0.05,0))-$F$9+IF($J$5="√",320,0)</f>
        <v>3241.85</v>
      </c>
      <c r="T42" s="104">
        <f>IF(($D$5+VLOOKUP($E42,武器奇术!$A:$R,13,FALSE)+IF($I$3="√",10,0)-VLOOKUP($F$7,目标属性!$A:$R,5,FALSE))&gt;0,($D$5+VLOOKUP($E42,武器奇术!$A:$R,13,FALSE)+IF($I$3="√",10,0)-VLOOKUP($F$7,目标属性!$A:$R,5,FALSE))/200,($D$5+VLOOKUP($E42,武器奇术!$A:$R,13,FALSE)+IF($I$3="√",10,0)-VLOOKUP($F$7,目标属性!$A:$R,5,FALSE))/100)</f>
        <v>0.2925</v>
      </c>
      <c r="U42" s="111">
        <f>$E$5+IF($G$5="烟柳",IF(VLOOKUP($E42,武器奇术!$A:$T,20,FALSE)=1,0.1,0),0)</f>
        <v>0.1</v>
      </c>
      <c r="V42" s="102">
        <v>1</v>
      </c>
      <c r="W42" s="103">
        <f>Q42*VLOOKUP($E42,武器奇术!$A:$R,2,FALSE)*(1+T42)*(1+U42)*V42</f>
        <v>12099.3184914278</v>
      </c>
      <c r="X42" s="104">
        <f>(1-IF(VLOOKUP($E42,武器奇术!$A:$R,18,FALSE)="叶龙",1,$N42))*(1-$M42)</f>
        <v>0</v>
      </c>
      <c r="Y42" s="103">
        <f>R42*VLOOKUP($E42,武器奇术!$A:$R,2,FALSE)*(1+T42)*(1+U42)*V42*(1+$E$16+VLOOKUP($E42,武器奇术!$A:$R,8,FALSE))</f>
        <v>24876.449296666</v>
      </c>
      <c r="Z42" s="104">
        <f t="shared" si="33"/>
        <v>0.8703</v>
      </c>
      <c r="AA42" s="103">
        <f>S42*VLOOKUP($E42,武器奇术!$A:$R,2,FALSE)*(1+T42)*(1+U42)*V42*(1+$E$17+VLOOKUP($E42,武器奇术!$A:$R,10,FALSE))</f>
        <v>17182.0942386675</v>
      </c>
      <c r="AB42" s="104">
        <f t="shared" si="34"/>
        <v>0.0986</v>
      </c>
      <c r="AC42" s="103">
        <f>R42*VLOOKUP($E42,武器奇术!$A:$R,2,FALSE)*(1+T42)*(1+U42)*V42</f>
        <v>12413.3978526277</v>
      </c>
      <c r="AD42" s="104">
        <f t="shared" si="35"/>
        <v>0.0311</v>
      </c>
      <c r="AE42" s="112">
        <f t="shared" si="36"/>
        <v>23730.1849880378</v>
      </c>
      <c r="AF42" s="113">
        <f>VLOOKUP($E42,武器奇术!$A:$R,3,FALSE)*(1+IF(VLOOKUP($E42,武器奇术!$A:$R,15,FALSE)="武器",$E$15,0))</f>
        <v>993.395</v>
      </c>
      <c r="AG42" s="103">
        <f t="shared" si="1"/>
        <v>993.395</v>
      </c>
      <c r="AH42" s="103">
        <f>VLOOKUP($E42,武器奇术!$A:$R,3,FALSE)*(1+IF(VLOOKUP($E42,武器奇术!$A:$R,15,FALSE)="武器",$E$15,0))</f>
        <v>993.395</v>
      </c>
      <c r="AI42" s="104">
        <f>IF(($D$5+VLOOKUP($E42,武器奇术!$A:$R,13,FALSE)+IF($I$3="√",10,0)-VLOOKUP($F$7,目标属性!$A:$R,5,FALSE))&gt;0,($D$5+VLOOKUP($E42,武器奇术!$A:$R,13,FALSE)+IF($I$3="√",10,0)-VLOOKUP($F$7,目标属性!$A:$R,5,FALSE))/200,($D$5+VLOOKUP($E42,武器奇术!$A:$R,13,FALSE)+IF($I$3="√",10,0)-VLOOKUP($F$7,目标属性!$A:$R,5,FALSE))/100)</f>
        <v>0.2925</v>
      </c>
      <c r="AJ42" s="111">
        <f>$E$5+IF($G$5="烟柳",IF(VLOOKUP($E42,武器奇术!$A:$T,20,FALSE)=1,0.1,0),0)</f>
        <v>0.1</v>
      </c>
      <c r="AK42" s="102">
        <v>1</v>
      </c>
      <c r="AL42" s="103">
        <f t="shared" si="37"/>
        <v>1412.35934125</v>
      </c>
      <c r="AM42" s="104">
        <f>(1-IF(VLOOKUP($E42,武器奇术!$A:$R,18,FALSE)="叶龙",1,$N42))*(1-$M42)</f>
        <v>0</v>
      </c>
      <c r="AN42" s="103">
        <f>AG42*(1+AI42)*(1+AJ42)*AK42*(1+$E$16+VLOOKUP($E42,武器奇术!$A:$R,8,FALSE))</f>
        <v>2830.368119865</v>
      </c>
      <c r="AO42" s="104">
        <f t="shared" si="2"/>
        <v>0.8703</v>
      </c>
      <c r="AP42" s="103">
        <f>AH42*(1+AI42)*(1+AJ42)*AK42*(1+$E$17+VLOOKUP($E42,武器奇术!$A:$R,10,FALSE))</f>
        <v>1906.6851106875</v>
      </c>
      <c r="AQ42" s="104">
        <f t="shared" si="3"/>
        <v>0.0986</v>
      </c>
      <c r="AR42" s="103">
        <f t="shared" si="38"/>
        <v>1412.35934125</v>
      </c>
      <c r="AS42" s="104">
        <f t="shared" si="4"/>
        <v>0.0311</v>
      </c>
      <c r="AT42" s="112">
        <f t="shared" si="5"/>
        <v>2695.19290214517</v>
      </c>
      <c r="AU42" s="110">
        <f>$B$7*IF($G$5="撼天",1.05,1)+IF(AND(VLOOKUP($E42,武器奇术!$A:$R,15,FALSE)="武器",VLOOKUP($E42,武器奇术!$A:$R,17,FALSE)="鸣金"),$E$3*(1+$E$15),0)</f>
        <v>0</v>
      </c>
      <c r="AV42" s="102">
        <f t="shared" si="6"/>
        <v>0</v>
      </c>
      <c r="AW42" s="102">
        <f>MAX($C$7*IF($G$5="撼天",1.05,1)+IF(AND(VLOOKUP($E42,武器奇术!$A:$R,15,FALSE)="武器",VLOOKUP($E42,武器奇术!$A:$R,17,FALSE)="鸣金"),$E$3*(1+$E$15),0),AU42)</f>
        <v>0</v>
      </c>
      <c r="AX42" s="104">
        <f>IF(($D$7+IF(VLOOKUP($E42,武器奇术!$A:$R,17,FALSE)="鸣金",$D$15,0)-VLOOKUP($F$7,目标属性!$A:$R,6,FALSE))&gt;0,($D$7+IF(VLOOKUP($E42,武器奇术!$A:$R,17,FALSE)="鸣金",$D$15,0)-VLOOKUP($F$7,目标属性!$A:$R,6,FALSE))/200,($D$7+IF(VLOOKUP($E42,武器奇术!$A:$R,17,FALSE)="鸣金",$D$15,0)-VLOOKUP($F$7,目标属性!$A:$R,6,FALSE))/100)</f>
        <v>-0.24</v>
      </c>
      <c r="AY42" s="111">
        <f t="shared" si="7"/>
        <v>0</v>
      </c>
      <c r="AZ42" s="102">
        <v>1</v>
      </c>
      <c r="BA42" s="103">
        <f>AU42*IF(VLOOKUP($E42,武器奇术!$A:$R,17,FALSE)="鸣金",VLOOKUP($E42,武器奇术!$A:$R,4,FALSE),VLOOKUP($E42,武器奇术!$A:$R,2,FALSE))*(1+AX42)*(1+AY42)*AZ42</f>
        <v>0</v>
      </c>
      <c r="BB42" s="104">
        <f>(1-IF(VLOOKUP($E42,武器奇术!$A:$R,18,FALSE)="叶龙",1,$N42))*(1-$M42)</f>
        <v>0</v>
      </c>
      <c r="BC42" s="103">
        <f>AV42*IF(VLOOKUP($E42,武器奇术!$A:$R,17,FALSE)="鸣金",VLOOKUP($E42,武器奇术!$A:$R,4,FALSE),VLOOKUP($E42,武器奇术!$A:$R,2,FALSE))*(1+AX42)*(1+AY42)*AZ42*(1+$E$16+VLOOKUP($E42,武器奇术!$A:$R,8,FALSE))</f>
        <v>0</v>
      </c>
      <c r="BD42" s="104">
        <f t="shared" si="8"/>
        <v>0.8703</v>
      </c>
      <c r="BE42" s="103">
        <f>AW42*IF(VLOOKUP($E42,武器奇术!$A:$R,17,FALSE)="鸣金",VLOOKUP($E42,武器奇术!$A:$R,4,FALSE),VLOOKUP($E42,武器奇术!$A:$R,2,FALSE))*(1+AX42)*(1+AY42)*AZ42*(1+$E$17+VLOOKUP($E42,武器奇术!$A:$R,10,FALSE))</f>
        <v>0</v>
      </c>
      <c r="BF42" s="104">
        <f t="shared" si="9"/>
        <v>0.0986</v>
      </c>
      <c r="BG42" s="103">
        <f>AV42*IF(VLOOKUP($E42,武器奇术!$A:$R,17,FALSE)="鸣金",VLOOKUP($E42,武器奇术!$A:$R,4,FALSE),VLOOKUP($E42,武器奇术!$A:$R,2,FALSE))*(1+AX42)*(1+AY42)*AZ42</f>
        <v>0</v>
      </c>
      <c r="BH42" s="104">
        <f t="shared" si="10"/>
        <v>0.0311</v>
      </c>
      <c r="BI42" s="112">
        <f t="shared" si="11"/>
        <v>0</v>
      </c>
      <c r="BJ42" s="110">
        <f>$B$9*IF($G$5="撼天",1.05,1)+IF(AND(VLOOKUP($E42,武器奇术!$A:$R,15,FALSE)="武器",VLOOKUP($E42,武器奇术!$A:$R,17,FALSE)="裂石"),$E$3*(1+$E$15),0)</f>
        <v>0</v>
      </c>
      <c r="BK42" s="102">
        <f t="shared" si="12"/>
        <v>0</v>
      </c>
      <c r="BL42" s="102">
        <f>MAX($C$9*IF($G$5="撼天",1.05,1)+IF(AND(VLOOKUP($E42,武器奇术!$A:$R,15,FALSE)="武器",VLOOKUP($E42,武器奇术!$A:$R,17,FALSE)="裂石"),$E$3*(1+$E$15),0),BJ42)</f>
        <v>0</v>
      </c>
      <c r="BM42" s="104">
        <f>IF(($D$9+IF(VLOOKUP($E42,武器奇术!$A:$R,17,FALSE)="裂石",$D$15,0)-VLOOKUP($F$7,目标属性!$A:$R,6,FALSE))&gt;0,($D$9+IF(VLOOKUP($E42,武器奇术!$A:$R,17,FALSE)="裂石",$D$15,0)-VLOOKUP($F$7,目标属性!$A:$R,6,FALSE))/200,($D$9+IF(VLOOKUP($E42,武器奇术!$A:$R,17,FALSE)="裂石",$D$15,0)-VLOOKUP($F$7,目标属性!$A:$R,6,FALSE))/100)</f>
        <v>-0.24</v>
      </c>
      <c r="BN42" s="111">
        <f t="shared" si="13"/>
        <v>0</v>
      </c>
      <c r="BO42" s="102">
        <v>1</v>
      </c>
      <c r="BP42" s="103">
        <f>BJ42*IF(VLOOKUP($E42,武器奇术!$A:$R,17,FALSE)="裂石",VLOOKUP($E42,武器奇术!$A:$R,4,FALSE),VLOOKUP($E42,武器奇术!$A:$R,2,FALSE))*(1+BM42)*(1+BN42)*BO42</f>
        <v>0</v>
      </c>
      <c r="BQ42" s="104">
        <f>(1-IF(VLOOKUP($E42,武器奇术!$A:$R,18,FALSE)="叶龙",1,$N42))*(1-$M42)</f>
        <v>0</v>
      </c>
      <c r="BR42" s="103">
        <f>BK42*IF(VLOOKUP($E42,武器奇术!$A:$R,17,FALSE)="裂石",VLOOKUP($E42,武器奇术!$A:$R,4,FALSE),VLOOKUP($E42,武器奇术!$A:$R,2,FALSE))*(1+BM42)*(1+BN42)*BO42*(1+$E$16+VLOOKUP($E42,武器奇术!$A:$R,8,FALSE))</f>
        <v>0</v>
      </c>
      <c r="BS42" s="104">
        <f t="shared" si="14"/>
        <v>0.8703</v>
      </c>
      <c r="BT42" s="103">
        <f>BL42*IF(VLOOKUP($E42,武器奇术!$A:$R,17,FALSE)="裂石",VLOOKUP($E42,武器奇术!$A:$R,4,FALSE),VLOOKUP($E42,武器奇术!$A:$R,2,FALSE))*(1+BM42)*(1+BN42)*BO42*(1+$E$17+VLOOKUP($E42,武器奇术!$A:$R,10,FALSE))</f>
        <v>0</v>
      </c>
      <c r="BU42" s="104">
        <f t="shared" si="15"/>
        <v>0.0986</v>
      </c>
      <c r="BV42" s="103">
        <f>BK42*IF(VLOOKUP($E42,武器奇术!$A:$R,17,FALSE)="裂石",VLOOKUP($E42,武器奇术!$A:$R,4,FALSE),VLOOKUP($E42,武器奇术!$A:$R,2,FALSE))*(1+BM42)*(1+BN42)*BO42</f>
        <v>0</v>
      </c>
      <c r="BW42" s="104">
        <f t="shared" si="16"/>
        <v>0.0311</v>
      </c>
      <c r="BX42" s="112">
        <f t="shared" si="17"/>
        <v>0</v>
      </c>
      <c r="BY42" s="110">
        <f>$B$11*IF($G$5="撼天",1.05,1)+IF(AND(VLOOKUP($E42,武器奇术!$A:$R,15,FALSE)="武器",VLOOKUP($E42,武器奇术!$A:$R,17,FALSE)="牵丝"),$E$3*(1+$E$15),0)</f>
        <v>686.71</v>
      </c>
      <c r="BZ42" s="102">
        <f>IF(VLOOKUP($E42,武器奇术!$A:$Z,18,FALSE)="叶龙",(CA42-(BY42+CA42)*0.5)*($G$15-0.5)*2+(BY42+CA42)*0.5,(BY42+CA42)*0.5)</f>
        <v>1052.21</v>
      </c>
      <c r="CA42" s="102">
        <f>MAX($C$11*IF($G$5="撼天",1.05,1)+IF(AND(VLOOKUP($E42,武器奇术!$A:$R,15,FALSE)="武器",VLOOKUP($E42,武器奇术!$A:$R,17,FALSE)="牵丝"),$E$3*(1+$E$15),0),BY42)</f>
        <v>1417.71</v>
      </c>
      <c r="CB42" s="104">
        <f>IF(($D$11+IF(VLOOKUP($E42,武器奇术!$A:$R,17,FALSE)="牵丝",$D$15,0)-VLOOKUP($F$7,目标属性!$A:$R,6,FALSE))&gt;0,($D$11+IF(VLOOKUP($E42,武器奇术!$A:$R,17,FALSE)="牵丝",$D$15,0)-VLOOKUP($F$7,目标属性!$A:$R,6,FALSE))/200,($D$11+IF(VLOOKUP($E42,武器奇术!$A:$R,17,FALSE)="牵丝",$D$15,0)-VLOOKUP($F$7,目标属性!$A:$R,6,FALSE))/100)</f>
        <v>0.028</v>
      </c>
      <c r="CC42" s="111">
        <f>$E$11+IF($G$5="烟柳",IF(VLOOKUP($E42,武器奇术!$A:$T,20,FALSE)=1,0.1,0),0)</f>
        <v>0.248</v>
      </c>
      <c r="CD42" s="102">
        <v>1</v>
      </c>
      <c r="CE42" s="103">
        <f>BY42*IF(VLOOKUP($E42,武器奇术!$A:$R,17,FALSE)="牵丝",VLOOKUP($E42,武器奇术!$A:$R,4,FALSE),VLOOKUP($E42,武器奇术!$A:$R,2,FALSE))*(1+CB42)*(1+CC42)*CD42</f>
        <v>3649.20705503528</v>
      </c>
      <c r="CF42" s="104">
        <f>(1-IF(VLOOKUP($E42,武器奇术!$A:$R,18,FALSE)="叶龙",1,$N42))*(1-$M42)</f>
        <v>0</v>
      </c>
      <c r="CG42" s="124">
        <f>BZ42*IF(VLOOKUP($E42,武器奇术!$A:$R,17,FALSE)="牵丝",VLOOKUP($E42,武器奇术!$A:$R,4,FALSE),VLOOKUP($E42,武器奇术!$A:$R,2,FALSE))*(1+CB42)*(1+CC42)*CD42*(1+$E$16+VLOOKUP($E42,武器奇术!$A:$R,8,FALSE))</f>
        <v>11205.3461277378</v>
      </c>
      <c r="CH42" s="104">
        <f t="shared" si="18"/>
        <v>0.8703</v>
      </c>
      <c r="CI42" s="103">
        <f>CA42*IF(VLOOKUP($E42,武器奇术!$A:$R,17,FALSE)="牵丝",VLOOKUP($E42,武器奇术!$A:$R,4,FALSE),VLOOKUP($E42,武器奇术!$A:$R,2,FALSE))*(1+CB42)*(1+CC42)*CD42*(1+$E$17+VLOOKUP($E42,武器奇术!$A:$R,10,FALSE))</f>
        <v>10170.5937016965</v>
      </c>
      <c r="CJ42" s="104">
        <f t="shared" si="19"/>
        <v>0.0986</v>
      </c>
      <c r="CK42" s="124">
        <f>BZ42*IF(VLOOKUP($E42,武器奇术!$A:$R,17,FALSE)="牵丝",VLOOKUP($E42,武器奇术!$A:$R,4,FALSE),VLOOKUP($E42,武器奇术!$A:$R,2,FALSE))*(1+CB42)*(1+CC42)*CD42</f>
        <v>5591.49008370152</v>
      </c>
      <c r="CL42" s="104">
        <f t="shared" si="20"/>
        <v>0.0311</v>
      </c>
      <c r="CM42" s="112">
        <f t="shared" si="39"/>
        <v>10928.7286155606</v>
      </c>
      <c r="CN42" s="110">
        <f>$B$13*IF($G$5="撼天",1.05,1)+IF(AND(VLOOKUP($E42,武器奇术!$A:$R,15,FALSE)="武器",VLOOKUP($E42,武器奇术!$A:$R,17,FALSE)="破竹"),$E$3*(1+$E$15),0)</f>
        <v>0</v>
      </c>
      <c r="CO42" s="102">
        <f t="shared" si="21"/>
        <v>0</v>
      </c>
      <c r="CP42" s="102">
        <f>MAX($C$13*IF($G$5="撼天",1.05,1)+IF(AND(VLOOKUP($E42,武器奇术!$A:$R,15,FALSE)="武器",VLOOKUP($E42,武器奇术!$A:$R,17,FALSE)="破竹"),$E$3*(1+$E$15),0),CN42)</f>
        <v>0</v>
      </c>
      <c r="CQ42" s="104">
        <f>IF(($D$13+IF(VLOOKUP($E42,武器奇术!$A:$R,17,FALSE)="破竹",$D$15,0)-VLOOKUP($F$7,目标属性!$A:$R,6,FALSE))&gt;0,($D$13+IF(VLOOKUP($E42,武器奇术!$A:$R,17,FALSE)="破竹",$D$15,0)-VLOOKUP($F$7,目标属性!$A:$R,6,FALSE))/200,($D$13+IF(VLOOKUP($E42,武器奇术!$A:$R,17,FALSE)="破竹",$D$15,0)-VLOOKUP($F$7,目标属性!$A:$R,6,FALSE))/100)</f>
        <v>-0.24</v>
      </c>
      <c r="CR42" s="111">
        <f t="shared" si="22"/>
        <v>0</v>
      </c>
      <c r="CS42" s="102">
        <v>1</v>
      </c>
      <c r="CT42" s="103">
        <f>CN42*IF(VLOOKUP($E42,武器奇术!$A:$R,17,FALSE)="破竹",VLOOKUP($E42,武器奇术!$A:$R,4,FALSE),VLOOKUP($E42,武器奇术!$A:$R,2,FALSE))*(1+CQ42)*(1+CR42)*CS42</f>
        <v>0</v>
      </c>
      <c r="CU42" s="104">
        <f>(1-IF(VLOOKUP($E42,武器奇术!$A:$R,18,FALSE)="叶龙",1,$N42))*(1-$M42)</f>
        <v>0</v>
      </c>
      <c r="CV42" s="103">
        <f>CO42*IF(VLOOKUP($E42,武器奇术!$A:$R,17,FALSE)="破竹",VLOOKUP($E42,武器奇术!$A:$R,4,FALSE),VLOOKUP($E42,武器奇术!$A:$R,2,FALSE))*(1+CQ42)*(1+CR42)*CS42*(1+$E$16+VLOOKUP($E42,武器奇术!$A:$R,8,FALSE))</f>
        <v>0</v>
      </c>
      <c r="CW42" s="104">
        <f t="shared" si="23"/>
        <v>0.8703</v>
      </c>
      <c r="CX42" s="103">
        <f>CP42*IF(VLOOKUP($E42,武器奇术!$A:$R,17,FALSE)="破竹",VLOOKUP($E42,武器奇术!$A:$R,4,FALSE),VLOOKUP($E42,武器奇术!$A:$R,2,FALSE))*(1+CQ42)*(1+CR42)*CS42*(1+$E$17+VLOOKUP($E42,武器奇术!$A:$R,10,FALSE))</f>
        <v>0</v>
      </c>
      <c r="CY42" s="104">
        <f t="shared" si="24"/>
        <v>0.0986</v>
      </c>
      <c r="CZ42" s="103">
        <f>CO42*IF(VLOOKUP($E42,武器奇术!$A:$R,17,FALSE)="破竹",VLOOKUP($E42,武器奇术!$A:$R,4,FALSE),VLOOKUP($E42,武器奇术!$A:$R,2,FALSE))*(1+CQ42)*(1+CR42)*CS42</f>
        <v>0</v>
      </c>
      <c r="DA42" s="104">
        <f t="shared" si="25"/>
        <v>0.0311</v>
      </c>
      <c r="DB42" s="112">
        <f t="shared" si="26"/>
        <v>0</v>
      </c>
      <c r="DC42" s="110">
        <f t="shared" si="40"/>
        <v>66</v>
      </c>
      <c r="DD42" s="102">
        <f t="shared" si="27"/>
        <v>125.8</v>
      </c>
      <c r="DE42" s="102">
        <f t="shared" si="41"/>
        <v>185.6</v>
      </c>
      <c r="DF42" s="104">
        <f>IF((IF(VLOOKUP($E42,武器奇术!$A:$R,17,FALSE)="鸣金",$D$7,0)+IF(VLOOKUP($E42,武器奇术!$A:$R,17,FALSE)="裂石",$D$9,0)+IF(VLOOKUP($E42,武器奇术!$A:$R,17,FALSE)="牵丝",$D$11,0)+IF(VLOOKUP($E42,武器奇术!$A:$R,17,FALSE)="破竹",$D$13,0)+$D$15-VLOOKUP($F$7,目标属性!$A:$R,6,FALSE))&gt;0,(IF(VLOOKUP($E42,武器奇术!$A:$R,17,FALSE)="鸣金",$D$7,0)+IF(VLOOKUP($E42,武器奇术!$A:$R,17,FALSE)="裂石",$D$9,0)+IF(VLOOKUP($E42,武器奇术!$A:$R,17,FALSE)="牵丝",$D$11,0)+IF(VLOOKUP($E42,武器奇术!$A:$R,17,FALSE)="破竹",$D$13,0)+$D$15-VLOOKUP($F$7,目标属性!$A:$R,6,FALSE))/200,(IF(VLOOKUP($E42,武器奇术!$A:$R,17,FALSE)="鸣金",$D$7,0)+IF(VLOOKUP($E42,武器奇术!$A:$R,17,FALSE)="裂石",$D$9,0)+IF(VLOOKUP($E42,武器奇术!$A:$R,17,FALSE)="牵丝",$D$11,0)+IF(VLOOKUP($E42,武器奇术!$A:$R,17,FALSE)="破竹",$D$13,0)+$D$15-VLOOKUP($F$7,目标属性!$A:$R,6,FALSE))/100)</f>
        <v>0.028</v>
      </c>
      <c r="DG42" s="111">
        <f>$E$11+IF($G$5="烟柳",IF(VLOOKUP($E42,武器奇术!$A:$T,20,FALSE)=1,0.1,0),0)</f>
        <v>0.248</v>
      </c>
      <c r="DH42" s="102">
        <v>1</v>
      </c>
      <c r="DI42" s="103">
        <f>DC42*IF(VLOOKUP($E42,武器奇术!$A:$R,17,FALSE)="牵丝",VLOOKUP($E42,武器奇术!$A:$R,4,FALSE),VLOOKUP($E42,武器奇术!$A:$R,2,FALSE))*(1+DF42)*(1+DG42)*DH42</f>
        <v>350.72689436928</v>
      </c>
      <c r="DJ42" s="104">
        <f>(1-IF(VLOOKUP($E42,武器奇术!$A:$R,18,FALSE)="叶龙",1,$N42))*(1-$M42)</f>
        <v>0</v>
      </c>
      <c r="DK42" s="124">
        <f>DD42*IF(VLOOKUP($E42,武器奇术!$A:$R,17,FALSE)="牵丝",VLOOKUP($E42,武器奇术!$A:$R,4,FALSE),VLOOKUP($E42,武器奇术!$A:$R,2,FALSE))*(1+DF42)*(1+DG42)*DH42*(1+$E$16+VLOOKUP($E42,武器奇术!$A:$R,8,FALSE))</f>
        <v>1339.6874605539</v>
      </c>
      <c r="DL42" s="104">
        <f t="shared" si="28"/>
        <v>0.8703</v>
      </c>
      <c r="DM42" s="103">
        <f>DE42*IF(VLOOKUP($E42,武器奇术!$A:$R,17,FALSE)="牵丝",VLOOKUP($E42,武器奇术!$A:$R,4,FALSE),VLOOKUP($E42,武器奇术!$A:$R,2,FALSE))*(1+DF42)*(1+DG42)*DH42*(1+$E$17+VLOOKUP($E42,武器奇术!$A:$R,10,FALSE))</f>
        <v>1331.48682807829</v>
      </c>
      <c r="DN42" s="104">
        <f t="shared" si="29"/>
        <v>0.0986</v>
      </c>
      <c r="DO42" s="124">
        <f>DD42*IF(VLOOKUP($E42,武器奇术!$A:$R,17,FALSE)="牵丝",VLOOKUP($E42,武器奇术!$A:$R,4,FALSE),VLOOKUP($E42,武器奇术!$A:$R,2,FALSE))*(1+DF42)*(1+DG42)*DH42</f>
        <v>668.506716843264</v>
      </c>
      <c r="DP42" s="104">
        <f t="shared" si="30"/>
        <v>0.0311</v>
      </c>
      <c r="DQ42" s="112">
        <f t="shared" si="31"/>
        <v>1318.0051570624</v>
      </c>
    </row>
    <row r="43" spans="2:121">
      <c r="B43" s="132"/>
      <c r="C43" s="133"/>
      <c r="D43" s="134"/>
      <c r="E43" s="115" t="s">
        <v>132</v>
      </c>
      <c r="F43" s="116">
        <v>1</v>
      </c>
      <c r="G43" s="117"/>
      <c r="H43" s="103">
        <f>IF(VLOOKUP($E43,武器奇术!$A:$R,18,FALSE)="天工",AE43,(AE43+AT43+BI43+BX43+CM43+DB43+DQ43))*(1+J43)*F43*K43*(1+G43)</f>
        <v>39185.809438957</v>
      </c>
      <c r="I43" s="104">
        <f t="shared" si="42"/>
        <v>0.00451616288695877</v>
      </c>
      <c r="J43" s="118">
        <f>$F$3+VLOOKUP($E43,武器奇术!$A:$R,12,FALSE)+VLOOKUP($E43,武器奇术!$A:$R,14,FALSE)*$G$3+$P43+IF($F$21="√",5%,0)</f>
        <v>0.567</v>
      </c>
      <c r="K43" s="105">
        <f>VLOOKUP($E43,武器奇术!$A:$R,11,FALSE)</f>
        <v>1</v>
      </c>
      <c r="L43" s="119">
        <f>IF(VLOOKUP($E43,武器奇术!$A:$R,15,FALSE)="天工",0%,IF($C$17+VLOOKUP($E43,武器奇术!$A:$R,7,FALSE)&gt;80%,80%,$C$17+VLOOKUP($E43,武器奇术!$A:$R,7,FALSE))+IF($C$19&gt;20%,20%,$C$19))</f>
        <v>0.8703</v>
      </c>
      <c r="M43" s="120">
        <f>IF(VLOOKUP($E43,武器奇术!$A:$R,15,FALSE)="天工",0%,IF($C$18+VLOOKUP($E43,武器奇术!$A:$R,9,FALSE)&gt;40%,40%,$C$18+VLOOKUP($E43,武器奇术!$A:$R,9,FALSE))+IF($C$20&gt;10%,10%,$C$20))</f>
        <v>0.0986</v>
      </c>
      <c r="N43" s="121">
        <f>IF(VLOOKUP($E43,武器奇术!$A:$R,15,FALSE)="天工",100%,MIN($C$16,1))</f>
        <v>1</v>
      </c>
      <c r="O43" s="122" t="str">
        <f>VLOOKUP($E43,武器奇术!$A:$R,16,FALSE)</f>
        <v>扇</v>
      </c>
      <c r="P43" s="123">
        <f t="shared" si="32"/>
        <v>0.084</v>
      </c>
      <c r="Q43" s="110">
        <f>$B$5*(1+VLOOKUP($E43,武器奇术!$A:$R,5,FALSE))*(1+VLOOKUP($E43,武器奇术!$A:$S,19,FALSE)+IF($G$5="飞隼",0.1,0)+IF($G$5="撼天",0.05,0))-$F$9+IF($J$5="√",160,0)</f>
        <v>3081.85</v>
      </c>
      <c r="R43" s="102">
        <f>IF(VLOOKUP($E43,武器奇术!$A:$Z,18,FALSE)="叶龙",(S43-(Q43+S43)*0.5)*($G$15-0.5)*2+(Q43+S43)*0.5,(Q43+S43)*0.5)</f>
        <v>3161.85</v>
      </c>
      <c r="S43" s="102">
        <f>MAX($C$5,$B$5)*(1+VLOOKUP($E43,武器奇术!$A:$R,6,FALSE))*(1+VLOOKUP($E43,武器奇术!$A:$S,19,FALSE)+IF($G$5="飞隼",0.1,0)+IF($G$5="撼天",0.05,0))-$F$9+IF($J$5="√",320,0)</f>
        <v>3241.85</v>
      </c>
      <c r="T43" s="104">
        <f>IF(($D$5+VLOOKUP($E43,武器奇术!$A:$R,13,FALSE)+IF($I$3="√",10,0)-VLOOKUP($F$7,目标属性!$A:$R,5,FALSE))&gt;0,($D$5+VLOOKUP($E43,武器奇术!$A:$R,13,FALSE)+IF($I$3="√",10,0)-VLOOKUP($F$7,目标属性!$A:$R,5,FALSE))/200,($D$5+VLOOKUP($E43,武器奇术!$A:$R,13,FALSE)+IF($I$3="√",10,0)-VLOOKUP($F$7,目标属性!$A:$R,5,FALSE))/100)</f>
        <v>0.2675</v>
      </c>
      <c r="U43" s="111">
        <f>$E$5+IF($G$5="烟柳",IF(VLOOKUP($E43,武器奇术!$A:$T,20,FALSE)=1,0.1,0),0)</f>
        <v>0.1</v>
      </c>
      <c r="V43" s="102">
        <v>1</v>
      </c>
      <c r="W43" s="103">
        <f>Q43*VLOOKUP($E43,武器奇术!$A:$R,2,FALSE)*(1+T43)*(1+U43)*V43</f>
        <v>7774.36870626488</v>
      </c>
      <c r="X43" s="104">
        <f>(1-IF(VLOOKUP($E43,武器奇术!$A:$R,18,FALSE)="叶龙",1,$N43))*(1-$M43)</f>
        <v>0</v>
      </c>
      <c r="Y43" s="103">
        <f>R43*VLOOKUP($E43,武器奇术!$A:$R,2,FALSE)*(1+T43)*(1+U43)*V43*(1+$E$16+VLOOKUP($E43,武器奇术!$A:$R,8,FALSE))</f>
        <v>15984.2630039044</v>
      </c>
      <c r="Z43" s="104">
        <f t="shared" si="33"/>
        <v>0.8703</v>
      </c>
      <c r="AA43" s="103">
        <f>S43*VLOOKUP($E43,武器奇术!$A:$R,2,FALSE)*(1+T43)*(1+U43)*V43*(1+$E$17+VLOOKUP($E43,武器奇术!$A:$R,10,FALSE))</f>
        <v>11040.2859344376</v>
      </c>
      <c r="AB43" s="104">
        <f t="shared" si="34"/>
        <v>0.0986</v>
      </c>
      <c r="AC43" s="103">
        <f>R43*VLOOKUP($E43,武器奇术!$A:$R,2,FALSE)*(1+T43)*(1+U43)*V43</f>
        <v>7976.17914366488</v>
      </c>
      <c r="AD43" s="104">
        <f t="shared" si="35"/>
        <v>0.0311</v>
      </c>
      <c r="AE43" s="112">
        <f t="shared" si="36"/>
        <v>15247.7354568015</v>
      </c>
      <c r="AF43" s="113">
        <f>VLOOKUP($E43,武器奇术!$A:$R,3,FALSE)*(1+IF(VLOOKUP($E43,武器奇术!$A:$R,15,FALSE)="武器",$E$15,0))</f>
        <v>652.21</v>
      </c>
      <c r="AG43" s="103">
        <f t="shared" si="1"/>
        <v>652.21</v>
      </c>
      <c r="AH43" s="103">
        <f>VLOOKUP($E43,武器奇术!$A:$R,3,FALSE)*(1+IF(VLOOKUP($E43,武器奇术!$A:$R,15,FALSE)="武器",$E$15,0))</f>
        <v>652.21</v>
      </c>
      <c r="AI43" s="104">
        <f>IF(($D$5+VLOOKUP($E43,武器奇术!$A:$R,13,FALSE)+IF($I$3="√",10,0)-VLOOKUP($F$7,目标属性!$A:$R,5,FALSE))&gt;0,($D$5+VLOOKUP($E43,武器奇术!$A:$R,13,FALSE)+IF($I$3="√",10,0)-VLOOKUP($F$7,目标属性!$A:$R,5,FALSE))/200,($D$5+VLOOKUP($E43,武器奇术!$A:$R,13,FALSE)+IF($I$3="√",10,0)-VLOOKUP($F$7,目标属性!$A:$R,5,FALSE))/100)</f>
        <v>0.2675</v>
      </c>
      <c r="AJ43" s="111">
        <f>$E$5+IF($G$5="烟柳",IF(VLOOKUP($E43,武器奇术!$A:$T,20,FALSE)=1,0.1,0),0)</f>
        <v>0.1</v>
      </c>
      <c r="AK43" s="102">
        <v>1</v>
      </c>
      <c r="AL43" s="103">
        <f t="shared" si="37"/>
        <v>909.3437925</v>
      </c>
      <c r="AM43" s="104">
        <f>(1-IF(VLOOKUP($E43,武器奇术!$A:$R,18,FALSE)="叶龙",1,$N43))*(1-$M43)</f>
        <v>0</v>
      </c>
      <c r="AN43" s="103">
        <f>AG43*(1+AI43)*(1+AJ43)*AK43*(1+$E$16+VLOOKUP($E43,武器奇术!$A:$R,8,FALSE))</f>
        <v>1822.32496017</v>
      </c>
      <c r="AO43" s="104">
        <f t="shared" si="2"/>
        <v>0.8703</v>
      </c>
      <c r="AP43" s="103">
        <f>AH43*(1+AI43)*(1+AJ43)*AK43*(1+$E$17+VLOOKUP($E43,武器奇术!$A:$R,10,FALSE))</f>
        <v>1227.614119875</v>
      </c>
      <c r="AQ43" s="104">
        <f t="shared" si="3"/>
        <v>0.0986</v>
      </c>
      <c r="AR43" s="103">
        <f t="shared" si="38"/>
        <v>909.3437925</v>
      </c>
      <c r="AS43" s="104">
        <f t="shared" si="4"/>
        <v>0.0311</v>
      </c>
      <c r="AT43" s="112">
        <f t="shared" si="5"/>
        <v>1735.29275700238</v>
      </c>
      <c r="AU43" s="110">
        <f>$B$7*IF($G$5="撼天",1.05,1)+IF(AND(VLOOKUP($E43,武器奇术!$A:$R,15,FALSE)="武器",VLOOKUP($E43,武器奇术!$A:$R,17,FALSE)="鸣金"),$E$3*(1+$E$15),0)</f>
        <v>0</v>
      </c>
      <c r="AV43" s="102">
        <f t="shared" si="6"/>
        <v>0</v>
      </c>
      <c r="AW43" s="102">
        <f>MAX($C$7*IF($G$5="撼天",1.05,1)+IF(AND(VLOOKUP($E43,武器奇术!$A:$R,15,FALSE)="武器",VLOOKUP($E43,武器奇术!$A:$R,17,FALSE)="鸣金"),$E$3*(1+$E$15),0),AU43)</f>
        <v>0</v>
      </c>
      <c r="AX43" s="104">
        <f>IF(($D$7+IF(VLOOKUP($E43,武器奇术!$A:$R,17,FALSE)="鸣金",$D$15,0)-VLOOKUP($F$7,目标属性!$A:$R,6,FALSE))&gt;0,($D$7+IF(VLOOKUP($E43,武器奇术!$A:$R,17,FALSE)="鸣金",$D$15,0)-VLOOKUP($F$7,目标属性!$A:$R,6,FALSE))/200,($D$7+IF(VLOOKUP($E43,武器奇术!$A:$R,17,FALSE)="鸣金",$D$15,0)-VLOOKUP($F$7,目标属性!$A:$R,6,FALSE))/100)</f>
        <v>-0.24</v>
      </c>
      <c r="AY43" s="111">
        <f t="shared" si="7"/>
        <v>0</v>
      </c>
      <c r="AZ43" s="102">
        <v>1</v>
      </c>
      <c r="BA43" s="103">
        <f>AU43*IF(VLOOKUP($E43,武器奇术!$A:$R,17,FALSE)="鸣金",VLOOKUP($E43,武器奇术!$A:$R,4,FALSE),VLOOKUP($E43,武器奇术!$A:$R,2,FALSE))*(1+AX43)*(1+AY43)*AZ43</f>
        <v>0</v>
      </c>
      <c r="BB43" s="104">
        <f>(1-IF(VLOOKUP($E43,武器奇术!$A:$R,18,FALSE)="叶龙",1,$N43))*(1-$M43)</f>
        <v>0</v>
      </c>
      <c r="BC43" s="103">
        <f>AV43*IF(VLOOKUP($E43,武器奇术!$A:$R,17,FALSE)="鸣金",VLOOKUP($E43,武器奇术!$A:$R,4,FALSE),VLOOKUP($E43,武器奇术!$A:$R,2,FALSE))*(1+AX43)*(1+AY43)*AZ43*(1+$E$16+VLOOKUP($E43,武器奇术!$A:$R,8,FALSE))</f>
        <v>0</v>
      </c>
      <c r="BD43" s="104">
        <f t="shared" si="8"/>
        <v>0.8703</v>
      </c>
      <c r="BE43" s="103">
        <f>AW43*IF(VLOOKUP($E43,武器奇术!$A:$R,17,FALSE)="鸣金",VLOOKUP($E43,武器奇术!$A:$R,4,FALSE),VLOOKUP($E43,武器奇术!$A:$R,2,FALSE))*(1+AX43)*(1+AY43)*AZ43*(1+$E$17+VLOOKUP($E43,武器奇术!$A:$R,10,FALSE))</f>
        <v>0</v>
      </c>
      <c r="BF43" s="104">
        <f t="shared" si="9"/>
        <v>0.0986</v>
      </c>
      <c r="BG43" s="103">
        <f>AV43*IF(VLOOKUP($E43,武器奇术!$A:$R,17,FALSE)="鸣金",VLOOKUP($E43,武器奇术!$A:$R,4,FALSE),VLOOKUP($E43,武器奇术!$A:$R,2,FALSE))*(1+AX43)*(1+AY43)*AZ43</f>
        <v>0</v>
      </c>
      <c r="BH43" s="104">
        <f t="shared" si="10"/>
        <v>0.0311</v>
      </c>
      <c r="BI43" s="112">
        <f t="shared" si="11"/>
        <v>0</v>
      </c>
      <c r="BJ43" s="110">
        <f>$B$9*IF($G$5="撼天",1.05,1)+IF(AND(VLOOKUP($E43,武器奇术!$A:$R,15,FALSE)="武器",VLOOKUP($E43,武器奇术!$A:$R,17,FALSE)="裂石"),$E$3*(1+$E$15),0)</f>
        <v>0</v>
      </c>
      <c r="BK43" s="102">
        <f t="shared" si="12"/>
        <v>0</v>
      </c>
      <c r="BL43" s="102">
        <f>MAX($C$9*IF($G$5="撼天",1.05,1)+IF(AND(VLOOKUP($E43,武器奇术!$A:$R,15,FALSE)="武器",VLOOKUP($E43,武器奇术!$A:$R,17,FALSE)="裂石"),$E$3*(1+$E$15),0),BJ43)</f>
        <v>0</v>
      </c>
      <c r="BM43" s="104">
        <f>IF(($D$9+IF(VLOOKUP($E43,武器奇术!$A:$R,17,FALSE)="裂石",$D$15,0)-VLOOKUP($F$7,目标属性!$A:$R,6,FALSE))&gt;0,($D$9+IF(VLOOKUP($E43,武器奇术!$A:$R,17,FALSE)="裂石",$D$15,0)-VLOOKUP($F$7,目标属性!$A:$R,6,FALSE))/200,($D$9+IF(VLOOKUP($E43,武器奇术!$A:$R,17,FALSE)="裂石",$D$15,0)-VLOOKUP($F$7,目标属性!$A:$R,6,FALSE))/100)</f>
        <v>-0.24</v>
      </c>
      <c r="BN43" s="111">
        <f t="shared" si="13"/>
        <v>0</v>
      </c>
      <c r="BO43" s="102">
        <v>1</v>
      </c>
      <c r="BP43" s="103">
        <f>BJ43*IF(VLOOKUP($E43,武器奇术!$A:$R,17,FALSE)="裂石",VLOOKUP($E43,武器奇术!$A:$R,4,FALSE),VLOOKUP($E43,武器奇术!$A:$R,2,FALSE))*(1+BM43)*(1+BN43)*BO43</f>
        <v>0</v>
      </c>
      <c r="BQ43" s="104">
        <f>(1-IF(VLOOKUP($E43,武器奇术!$A:$R,18,FALSE)="叶龙",1,$N43))*(1-$M43)</f>
        <v>0</v>
      </c>
      <c r="BR43" s="103">
        <f>BK43*IF(VLOOKUP($E43,武器奇术!$A:$R,17,FALSE)="裂石",VLOOKUP($E43,武器奇术!$A:$R,4,FALSE),VLOOKUP($E43,武器奇术!$A:$R,2,FALSE))*(1+BM43)*(1+BN43)*BO43*(1+$E$16+VLOOKUP($E43,武器奇术!$A:$R,8,FALSE))</f>
        <v>0</v>
      </c>
      <c r="BS43" s="104">
        <f t="shared" si="14"/>
        <v>0.8703</v>
      </c>
      <c r="BT43" s="103">
        <f>BL43*IF(VLOOKUP($E43,武器奇术!$A:$R,17,FALSE)="裂石",VLOOKUP($E43,武器奇术!$A:$R,4,FALSE),VLOOKUP($E43,武器奇术!$A:$R,2,FALSE))*(1+BM43)*(1+BN43)*BO43*(1+$E$17+VLOOKUP($E43,武器奇术!$A:$R,10,FALSE))</f>
        <v>0</v>
      </c>
      <c r="BU43" s="104">
        <f t="shared" si="15"/>
        <v>0.0986</v>
      </c>
      <c r="BV43" s="103">
        <f>BK43*IF(VLOOKUP($E43,武器奇术!$A:$R,17,FALSE)="裂石",VLOOKUP($E43,武器奇术!$A:$R,4,FALSE),VLOOKUP($E43,武器奇术!$A:$R,2,FALSE))*(1+BM43)*(1+BN43)*BO43</f>
        <v>0</v>
      </c>
      <c r="BW43" s="104">
        <f t="shared" si="16"/>
        <v>0.0311</v>
      </c>
      <c r="BX43" s="112">
        <f t="shared" si="17"/>
        <v>0</v>
      </c>
      <c r="BY43" s="110">
        <f>$B$11*IF($G$5="撼天",1.05,1)+IF(AND(VLOOKUP($E43,武器奇术!$A:$R,15,FALSE)="武器",VLOOKUP($E43,武器奇术!$A:$R,17,FALSE)="牵丝"),$E$3*(1+$E$15),0)</f>
        <v>686.71</v>
      </c>
      <c r="BZ43" s="102">
        <f>IF(VLOOKUP($E43,武器奇术!$A:$Z,18,FALSE)="叶龙",(CA43-(BY43+CA43)*0.5)*($G$15-0.5)*2+(BY43+CA43)*0.5,(BY43+CA43)*0.5)</f>
        <v>1052.21</v>
      </c>
      <c r="CA43" s="102">
        <f>MAX($C$11*IF($G$5="撼天",1.05,1)+IF(AND(VLOOKUP($E43,武器奇术!$A:$R,15,FALSE)="武器",VLOOKUP($E43,武器奇术!$A:$R,17,FALSE)="牵丝"),$E$3*(1+$E$15),0),BY43)</f>
        <v>1417.71</v>
      </c>
      <c r="CB43" s="104">
        <f>IF(($D$11+IF(VLOOKUP($E43,武器奇术!$A:$R,17,FALSE)="牵丝",$D$15,0)-VLOOKUP($F$7,目标属性!$A:$R,6,FALSE))&gt;0,($D$11+IF(VLOOKUP($E43,武器奇术!$A:$R,17,FALSE)="牵丝",$D$15,0)-VLOOKUP($F$7,目标属性!$A:$R,6,FALSE))/200,($D$11+IF(VLOOKUP($E43,武器奇术!$A:$R,17,FALSE)="牵丝",$D$15,0)-VLOOKUP($F$7,目标属性!$A:$R,6,FALSE))/100)</f>
        <v>0.028</v>
      </c>
      <c r="CC43" s="111">
        <f>$E$11+IF($G$5="烟柳",IF(VLOOKUP($E43,武器奇术!$A:$T,20,FALSE)=1,0.1,0),0)</f>
        <v>0.248</v>
      </c>
      <c r="CD43" s="102">
        <v>1</v>
      </c>
      <c r="CE43" s="103">
        <f>BY43*IF(VLOOKUP($E43,武器奇术!$A:$R,17,FALSE)="牵丝",VLOOKUP($E43,武器奇术!$A:$R,4,FALSE),VLOOKUP($E43,武器奇术!$A:$R,2,FALSE))*(1+CB43)*(1+CC43)*CD43</f>
        <v>2390.903845202</v>
      </c>
      <c r="CF43" s="104">
        <f>(1-IF(VLOOKUP($E43,武器奇术!$A:$R,18,FALSE)="叶龙",1,$N43))*(1-$M43)</f>
        <v>0</v>
      </c>
      <c r="CG43" s="124">
        <f>BZ43*IF(VLOOKUP($E43,武器奇术!$A:$R,17,FALSE)="牵丝",VLOOKUP($E43,武器奇术!$A:$R,4,FALSE),VLOOKUP($E43,武器奇术!$A:$R,2,FALSE))*(1+CB43)*(1+CC43)*CD43*(1+$E$16+VLOOKUP($E43,武器奇术!$A:$R,8,FALSE))</f>
        <v>7341.56893253313</v>
      </c>
      <c r="CH43" s="104">
        <f t="shared" si="18"/>
        <v>0.8703</v>
      </c>
      <c r="CI43" s="103">
        <f>CA43*IF(VLOOKUP($E43,武器奇术!$A:$R,17,FALSE)="牵丝",VLOOKUP($E43,武器奇术!$A:$R,4,FALSE),VLOOKUP($E43,武器奇术!$A:$R,2,FALSE))*(1+CB43)*(1+CC43)*CD43*(1+$E$17+VLOOKUP($E43,武器奇术!$A:$R,10,FALSE))</f>
        <v>6663.61519712074</v>
      </c>
      <c r="CJ43" s="104">
        <f t="shared" si="19"/>
        <v>0.0986</v>
      </c>
      <c r="CK43" s="124">
        <f>BZ43*IF(VLOOKUP($E43,武器奇术!$A:$R,17,FALSE)="牵丝",VLOOKUP($E43,武器奇术!$A:$R,4,FALSE),VLOOKUP($E43,武器奇术!$A:$R,2,FALSE))*(1+CB43)*(1+CC43)*CD43</f>
        <v>3663.45755116424</v>
      </c>
      <c r="CL43" s="104">
        <f t="shared" si="20"/>
        <v>0.0311</v>
      </c>
      <c r="CM43" s="112">
        <f t="shared" si="39"/>
        <v>7160.3334302609</v>
      </c>
      <c r="CN43" s="110">
        <f>$B$13*IF($G$5="撼天",1.05,1)+IF(AND(VLOOKUP($E43,武器奇术!$A:$R,15,FALSE)="武器",VLOOKUP($E43,武器奇术!$A:$R,17,FALSE)="破竹"),$E$3*(1+$E$15),0)</f>
        <v>0</v>
      </c>
      <c r="CO43" s="102">
        <f t="shared" si="21"/>
        <v>0</v>
      </c>
      <c r="CP43" s="102">
        <f>MAX($C$13*IF($G$5="撼天",1.05,1)+IF(AND(VLOOKUP($E43,武器奇术!$A:$R,15,FALSE)="武器",VLOOKUP($E43,武器奇术!$A:$R,17,FALSE)="破竹"),$E$3*(1+$E$15),0),CN43)</f>
        <v>0</v>
      </c>
      <c r="CQ43" s="104">
        <f>IF(($D$13+IF(VLOOKUP($E43,武器奇术!$A:$R,17,FALSE)="破竹",$D$15,0)-VLOOKUP($F$7,目标属性!$A:$R,6,FALSE))&gt;0,($D$13+IF(VLOOKUP($E43,武器奇术!$A:$R,17,FALSE)="破竹",$D$15,0)-VLOOKUP($F$7,目标属性!$A:$R,6,FALSE))/200,($D$13+IF(VLOOKUP($E43,武器奇术!$A:$R,17,FALSE)="破竹",$D$15,0)-VLOOKUP($F$7,目标属性!$A:$R,6,FALSE))/100)</f>
        <v>-0.24</v>
      </c>
      <c r="CR43" s="111">
        <f t="shared" si="22"/>
        <v>0</v>
      </c>
      <c r="CS43" s="102">
        <v>1</v>
      </c>
      <c r="CT43" s="103">
        <f>CN43*IF(VLOOKUP($E43,武器奇术!$A:$R,17,FALSE)="破竹",VLOOKUP($E43,武器奇术!$A:$R,4,FALSE),VLOOKUP($E43,武器奇术!$A:$R,2,FALSE))*(1+CQ43)*(1+CR43)*CS43</f>
        <v>0</v>
      </c>
      <c r="CU43" s="104">
        <f>(1-IF(VLOOKUP($E43,武器奇术!$A:$R,18,FALSE)="叶龙",1,$N43))*(1-$M43)</f>
        <v>0</v>
      </c>
      <c r="CV43" s="103">
        <f>CO43*IF(VLOOKUP($E43,武器奇术!$A:$R,17,FALSE)="破竹",VLOOKUP($E43,武器奇术!$A:$R,4,FALSE),VLOOKUP($E43,武器奇术!$A:$R,2,FALSE))*(1+CQ43)*(1+CR43)*CS43*(1+$E$16+VLOOKUP($E43,武器奇术!$A:$R,8,FALSE))</f>
        <v>0</v>
      </c>
      <c r="CW43" s="104">
        <f t="shared" si="23"/>
        <v>0.8703</v>
      </c>
      <c r="CX43" s="103">
        <f>CP43*IF(VLOOKUP($E43,武器奇术!$A:$R,17,FALSE)="破竹",VLOOKUP($E43,武器奇术!$A:$R,4,FALSE),VLOOKUP($E43,武器奇术!$A:$R,2,FALSE))*(1+CQ43)*(1+CR43)*CS43*(1+$E$17+VLOOKUP($E43,武器奇术!$A:$R,10,FALSE))</f>
        <v>0</v>
      </c>
      <c r="CY43" s="104">
        <f t="shared" si="24"/>
        <v>0.0986</v>
      </c>
      <c r="CZ43" s="103">
        <f>CO43*IF(VLOOKUP($E43,武器奇术!$A:$R,17,FALSE)="破竹",VLOOKUP($E43,武器奇术!$A:$R,4,FALSE),VLOOKUP($E43,武器奇术!$A:$R,2,FALSE))*(1+CQ43)*(1+CR43)*CS43</f>
        <v>0</v>
      </c>
      <c r="DA43" s="104">
        <f t="shared" si="25"/>
        <v>0.0311</v>
      </c>
      <c r="DB43" s="112">
        <f t="shared" si="26"/>
        <v>0</v>
      </c>
      <c r="DC43" s="110">
        <f t="shared" si="40"/>
        <v>66</v>
      </c>
      <c r="DD43" s="102">
        <f t="shared" si="27"/>
        <v>125.8</v>
      </c>
      <c r="DE43" s="102">
        <f t="shared" si="41"/>
        <v>185.6</v>
      </c>
      <c r="DF43" s="104">
        <f>IF((IF(VLOOKUP($E43,武器奇术!$A:$R,17,FALSE)="鸣金",$D$7,0)+IF(VLOOKUP($E43,武器奇术!$A:$R,17,FALSE)="裂石",$D$9,0)+IF(VLOOKUP($E43,武器奇术!$A:$R,17,FALSE)="牵丝",$D$11,0)+IF(VLOOKUP($E43,武器奇术!$A:$R,17,FALSE)="破竹",$D$13,0)+$D$15-VLOOKUP($F$7,目标属性!$A:$R,6,FALSE))&gt;0,(IF(VLOOKUP($E43,武器奇术!$A:$R,17,FALSE)="鸣金",$D$7,0)+IF(VLOOKUP($E43,武器奇术!$A:$R,17,FALSE)="裂石",$D$9,0)+IF(VLOOKUP($E43,武器奇术!$A:$R,17,FALSE)="牵丝",$D$11,0)+IF(VLOOKUP($E43,武器奇术!$A:$R,17,FALSE)="破竹",$D$13,0)+$D$15-VLOOKUP($F$7,目标属性!$A:$R,6,FALSE))/200,(IF(VLOOKUP($E43,武器奇术!$A:$R,17,FALSE)="鸣金",$D$7,0)+IF(VLOOKUP($E43,武器奇术!$A:$R,17,FALSE)="裂石",$D$9,0)+IF(VLOOKUP($E43,武器奇术!$A:$R,17,FALSE)="牵丝",$D$11,0)+IF(VLOOKUP($E43,武器奇术!$A:$R,17,FALSE)="破竹",$D$13,0)+$D$15-VLOOKUP($F$7,目标属性!$A:$R,6,FALSE))/100)</f>
        <v>0.028</v>
      </c>
      <c r="DG43" s="111">
        <f>$E$11+IF($G$5="烟柳",IF(VLOOKUP($E43,武器奇术!$A:$T,20,FALSE)=1,0.1,0),0)</f>
        <v>0.248</v>
      </c>
      <c r="DH43" s="102">
        <v>1</v>
      </c>
      <c r="DI43" s="103">
        <f>DC43*IF(VLOOKUP($E43,武器奇术!$A:$R,17,FALSE)="牵丝",VLOOKUP($E43,武器奇术!$A:$R,4,FALSE),VLOOKUP($E43,武器奇术!$A:$R,2,FALSE))*(1+DF43)*(1+DG43)*DH43</f>
        <v>229.79081968128</v>
      </c>
      <c r="DJ43" s="104">
        <f>(1-IF(VLOOKUP($E43,武器奇术!$A:$R,18,FALSE)="叶龙",1,$N43))*(1-$M43)</f>
        <v>0</v>
      </c>
      <c r="DK43" s="124">
        <f>DD43*IF(VLOOKUP($E43,武器奇术!$A:$R,17,FALSE)="牵丝",VLOOKUP($E43,武器奇术!$A:$R,4,FALSE),VLOOKUP($E43,武器奇术!$A:$R,2,FALSE))*(1+DF43)*(1+DG43)*DH43*(1+$E$16+VLOOKUP($E43,武器奇术!$A:$R,8,FALSE))</f>
        <v>877.742438973843</v>
      </c>
      <c r="DL43" s="104">
        <f t="shared" si="28"/>
        <v>0.8703</v>
      </c>
      <c r="DM43" s="103">
        <f>DE43*IF(VLOOKUP($E43,武器奇术!$A:$R,17,FALSE)="牵丝",VLOOKUP($E43,武器奇术!$A:$R,4,FALSE),VLOOKUP($E43,武器奇术!$A:$R,2,FALSE))*(1+DF43)*(1+DG43)*DH43*(1+$E$17+VLOOKUP($E43,武器奇术!$A:$R,10,FALSE))</f>
        <v>872.369511808205</v>
      </c>
      <c r="DN43" s="104">
        <f t="shared" si="29"/>
        <v>0.0986</v>
      </c>
      <c r="DO43" s="124">
        <f>DD43*IF(VLOOKUP($E43,武器奇术!$A:$R,17,FALSE)="牵丝",VLOOKUP($E43,武器奇术!$A:$R,4,FALSE),VLOOKUP($E43,武器奇术!$A:$R,2,FALSE))*(1+DF43)*(1+DG43)*DH43</f>
        <v>437.995229028864</v>
      </c>
      <c r="DP43" s="104">
        <f t="shared" si="30"/>
        <v>0.0311</v>
      </c>
      <c r="DQ43" s="112">
        <f t="shared" si="31"/>
        <v>863.536530126023</v>
      </c>
    </row>
    <row r="44" customFormat="1" ht="14.25" spans="2:121">
      <c r="B44" s="135"/>
      <c r="C44" s="136"/>
      <c r="D44" s="137"/>
      <c r="E44" s="115" t="s">
        <v>142</v>
      </c>
      <c r="F44" s="116">
        <v>1</v>
      </c>
      <c r="G44" s="117"/>
      <c r="H44" s="103">
        <f>IF(VLOOKUP($E44,武器奇术!$A:$R,18,FALSE)="天工",AE44,(AE44+AT44+BI44+BX44+CM44+DB44+DQ44))*(1+J44)*F44*K44*(1+G44)</f>
        <v>78775.0914571358</v>
      </c>
      <c r="I44" s="104">
        <f t="shared" si="42"/>
        <v>0.00907882597167472</v>
      </c>
      <c r="J44" s="118">
        <f>$F$3+VLOOKUP($E44,武器奇术!$A:$R,12,FALSE)+VLOOKUP($E44,武器奇术!$A:$R,14,FALSE)*$G$3+$P44+IF($F$21="√",5%,0)</f>
        <v>1.037</v>
      </c>
      <c r="K44" s="105">
        <f>VLOOKUP($E44,武器奇术!$A:$R,11,FALSE)</f>
        <v>1</v>
      </c>
      <c r="L44" s="119">
        <f>IF(VLOOKUP($E44,武器奇术!$A:$R,15,FALSE)="天工",0%,IF($C$17+VLOOKUP($E44,武器奇术!$A:$R,7,FALSE)&gt;80%,80%,$C$17+VLOOKUP($E44,武器奇术!$A:$R,7,FALSE))+IF($C$19&gt;20%,20%,$C$19))</f>
        <v>0.8703</v>
      </c>
      <c r="M44" s="120">
        <f>IF(VLOOKUP($E44,武器奇术!$A:$R,15,FALSE)="天工",0%,IF($C$18+VLOOKUP($E44,武器奇术!$A:$R,9,FALSE)&gt;40%,40%,$C$18+VLOOKUP($E44,武器奇术!$A:$R,9,FALSE))+IF($C$20&gt;10%,10%,$C$20))</f>
        <v>0.0986</v>
      </c>
      <c r="N44" s="121">
        <f>IF(VLOOKUP($E44,武器奇术!$A:$R,15,FALSE)="天工",100%,MIN($C$16,1))</f>
        <v>1</v>
      </c>
      <c r="O44" s="122" t="str">
        <f>VLOOKUP($E44,武器奇术!$A:$R,16,FALSE)</f>
        <v>扇</v>
      </c>
      <c r="P44" s="123">
        <f t="shared" si="32"/>
        <v>0.084</v>
      </c>
      <c r="Q44" s="110">
        <f>$B$5*(1+VLOOKUP($E44,武器奇术!$A:$R,5,FALSE))*(1+VLOOKUP($E44,武器奇术!$A:$S,19,FALSE)+IF($G$5="飞隼",0.1,0)+IF($G$5="撼天",0.05,0))-$F$9+IF($J$5="√",160,0)</f>
        <v>3081.85</v>
      </c>
      <c r="R44" s="102">
        <f>IF(VLOOKUP($E44,武器奇术!$A:$Z,18,FALSE)="叶龙",(S44-(Q44+S44)*0.5)*($G$15-0.5)*2+(Q44+S44)*0.5,(Q44+S44)*0.5)</f>
        <v>3161.85</v>
      </c>
      <c r="S44" s="102">
        <f>MAX($C$5,$B$5)*(1+VLOOKUP($E44,武器奇术!$A:$R,6,FALSE))*(1+VLOOKUP($E44,武器奇术!$A:$S,19,FALSE)+IF($G$5="飞隼",0.1,0)+IF($G$5="撼天",0.05,0))-$F$9+IF($J$5="√",320,0)</f>
        <v>3241.85</v>
      </c>
      <c r="T44" s="104">
        <f>IF(($D$5+VLOOKUP($E44,武器奇术!$A:$R,13,FALSE)+IF($I$3="√",10,0)-VLOOKUP($F$7,目标属性!$A:$R,5,FALSE))&gt;0,($D$5+VLOOKUP($E44,武器奇术!$A:$R,13,FALSE)+IF($I$3="√",10,0)-VLOOKUP($F$7,目标属性!$A:$R,5,FALSE))/200,($D$5+VLOOKUP($E44,武器奇术!$A:$R,13,FALSE)+IF($I$3="√",10,0)-VLOOKUP($F$7,目标属性!$A:$R,5,FALSE))/100)</f>
        <v>0.2925</v>
      </c>
      <c r="U44" s="111">
        <f>$E$5+IF($G$5="烟柳",IF(VLOOKUP($E44,武器奇术!$A:$T,20,FALSE)=1,0.1,0),0)</f>
        <v>0.1</v>
      </c>
      <c r="V44" s="102">
        <v>1</v>
      </c>
      <c r="W44" s="103">
        <f>Q44*VLOOKUP($E44,武器奇术!$A:$R,2,FALSE)*(1+T44)*(1+U44)*V44</f>
        <v>12099.3184914278</v>
      </c>
      <c r="X44" s="104">
        <f>(1-IF(VLOOKUP($E44,武器奇术!$A:$R,18,FALSE)="叶龙",1,$N44))*(1-$M44)</f>
        <v>0</v>
      </c>
      <c r="Y44" s="103">
        <f>R44*VLOOKUP($E44,武器奇术!$A:$R,2,FALSE)*(1+T44)*(1+U44)*V44*(1+$E$16+VLOOKUP($E44,武器奇术!$A:$R,8,FALSE))</f>
        <v>24876.449296666</v>
      </c>
      <c r="Z44" s="104">
        <f t="shared" si="33"/>
        <v>0.8703</v>
      </c>
      <c r="AA44" s="103">
        <f>S44*VLOOKUP($E44,武器奇术!$A:$R,2,FALSE)*(1+T44)*(1+U44)*V44*(1+$E$17+VLOOKUP($E44,武器奇术!$A:$R,10,FALSE))</f>
        <v>17182.0942386675</v>
      </c>
      <c r="AB44" s="104">
        <f t="shared" si="34"/>
        <v>0.0986</v>
      </c>
      <c r="AC44" s="103">
        <f>R44*VLOOKUP($E44,武器奇术!$A:$R,2,FALSE)*(1+T44)*(1+U44)*V44</f>
        <v>12413.3978526277</v>
      </c>
      <c r="AD44" s="104">
        <f t="shared" si="35"/>
        <v>0.0311</v>
      </c>
      <c r="AE44" s="112">
        <f t="shared" si="36"/>
        <v>23730.1849880378</v>
      </c>
      <c r="AF44" s="113">
        <f>VLOOKUP($E44,武器奇术!$A:$R,3,FALSE)*(1+IF(VLOOKUP($E44,武器奇术!$A:$R,15,FALSE)="武器",$E$15,0))</f>
        <v>993.395</v>
      </c>
      <c r="AG44" s="103">
        <f t="shared" si="1"/>
        <v>993.395</v>
      </c>
      <c r="AH44" s="103">
        <f>VLOOKUP($E44,武器奇术!$A:$R,3,FALSE)*(1+IF(VLOOKUP($E44,武器奇术!$A:$R,15,FALSE)="武器",$E$15,0))</f>
        <v>993.395</v>
      </c>
      <c r="AI44" s="104">
        <f>IF(($D$5+VLOOKUP($E44,武器奇术!$A:$R,13,FALSE)+IF($I$3="√",10,0)-VLOOKUP($F$7,目标属性!$A:$R,5,FALSE))&gt;0,($D$5+VLOOKUP($E44,武器奇术!$A:$R,13,FALSE)+IF($I$3="√",10,0)-VLOOKUP($F$7,目标属性!$A:$R,5,FALSE))/200,($D$5+VLOOKUP($E44,武器奇术!$A:$R,13,FALSE)+IF($I$3="√",10,0)-VLOOKUP($F$7,目标属性!$A:$R,5,FALSE))/100)</f>
        <v>0.2925</v>
      </c>
      <c r="AJ44" s="111">
        <f>$E$5+IF($G$5="烟柳",IF(VLOOKUP($E44,武器奇术!$A:$T,20,FALSE)=1,0.1,0),0)</f>
        <v>0.1</v>
      </c>
      <c r="AK44" s="102">
        <v>1</v>
      </c>
      <c r="AL44" s="103">
        <f t="shared" si="37"/>
        <v>1412.35934125</v>
      </c>
      <c r="AM44" s="104">
        <f>(1-IF(VLOOKUP($E44,武器奇术!$A:$R,18,FALSE)="叶龙",1,$N44))*(1-$M44)</f>
        <v>0</v>
      </c>
      <c r="AN44" s="103">
        <f>AG44*(1+AI44)*(1+AJ44)*AK44*(1+$E$16+VLOOKUP($E44,武器奇术!$A:$R,8,FALSE))</f>
        <v>2830.368119865</v>
      </c>
      <c r="AO44" s="104">
        <f t="shared" si="2"/>
        <v>0.8703</v>
      </c>
      <c r="AP44" s="103">
        <f>AH44*(1+AI44)*(1+AJ44)*AK44*(1+$E$17+VLOOKUP($E44,武器奇术!$A:$R,10,FALSE))</f>
        <v>1906.6851106875</v>
      </c>
      <c r="AQ44" s="104">
        <f t="shared" si="3"/>
        <v>0.0986</v>
      </c>
      <c r="AR44" s="103">
        <f t="shared" si="38"/>
        <v>1412.35934125</v>
      </c>
      <c r="AS44" s="104">
        <f t="shared" si="4"/>
        <v>0.0311</v>
      </c>
      <c r="AT44" s="112">
        <f t="shared" si="5"/>
        <v>2695.19290214517</v>
      </c>
      <c r="AU44" s="110">
        <f>$B$7*IF($G$5="撼天",1.05,1)+IF(AND(VLOOKUP($E44,武器奇术!$A:$R,15,FALSE)="武器",VLOOKUP($E44,武器奇术!$A:$R,17,FALSE)="鸣金"),$E$3*(1+$E$15),0)</f>
        <v>0</v>
      </c>
      <c r="AV44" s="102">
        <f t="shared" si="6"/>
        <v>0</v>
      </c>
      <c r="AW44" s="102">
        <f>MAX($C$7*IF($G$5="撼天",1.05,1)+IF(AND(VLOOKUP($E44,武器奇术!$A:$R,15,FALSE)="武器",VLOOKUP($E44,武器奇术!$A:$R,17,FALSE)="鸣金"),$E$3*(1+$E$15),0),AU44)</f>
        <v>0</v>
      </c>
      <c r="AX44" s="104">
        <f>IF(($D$7+IF(VLOOKUP($E44,武器奇术!$A:$R,17,FALSE)="鸣金",$D$15,0)-VLOOKUP($F$7,目标属性!$A:$R,6,FALSE))&gt;0,($D$7+IF(VLOOKUP($E44,武器奇术!$A:$R,17,FALSE)="鸣金",$D$15,0)-VLOOKUP($F$7,目标属性!$A:$R,6,FALSE))/200,($D$7+IF(VLOOKUP($E44,武器奇术!$A:$R,17,FALSE)="鸣金",$D$15,0)-VLOOKUP($F$7,目标属性!$A:$R,6,FALSE))/100)</f>
        <v>-0.24</v>
      </c>
      <c r="AY44" s="111">
        <f t="shared" si="7"/>
        <v>0</v>
      </c>
      <c r="AZ44" s="102">
        <v>1</v>
      </c>
      <c r="BA44" s="103">
        <f>AU44*IF(VLOOKUP($E44,武器奇术!$A:$R,17,FALSE)="鸣金",VLOOKUP($E44,武器奇术!$A:$R,4,FALSE),VLOOKUP($E44,武器奇术!$A:$R,2,FALSE))*(1+AX44)*(1+AY44)*AZ44</f>
        <v>0</v>
      </c>
      <c r="BB44" s="104">
        <f>(1-IF(VLOOKUP($E44,武器奇术!$A:$R,18,FALSE)="叶龙",1,$N44))*(1-$M44)</f>
        <v>0</v>
      </c>
      <c r="BC44" s="103">
        <f>AV44*IF(VLOOKUP($E44,武器奇术!$A:$R,17,FALSE)="鸣金",VLOOKUP($E44,武器奇术!$A:$R,4,FALSE),VLOOKUP($E44,武器奇术!$A:$R,2,FALSE))*(1+AX44)*(1+AY44)*AZ44*(1+$E$16+VLOOKUP($E44,武器奇术!$A:$R,8,FALSE))</f>
        <v>0</v>
      </c>
      <c r="BD44" s="104">
        <f t="shared" si="8"/>
        <v>0.8703</v>
      </c>
      <c r="BE44" s="103">
        <f>AW44*IF(VLOOKUP($E44,武器奇术!$A:$R,17,FALSE)="鸣金",VLOOKUP($E44,武器奇术!$A:$R,4,FALSE),VLOOKUP($E44,武器奇术!$A:$R,2,FALSE))*(1+AX44)*(1+AY44)*AZ44*(1+$E$17+VLOOKUP($E44,武器奇术!$A:$R,10,FALSE))</f>
        <v>0</v>
      </c>
      <c r="BF44" s="104">
        <f t="shared" si="9"/>
        <v>0.0986</v>
      </c>
      <c r="BG44" s="103">
        <f>AV44*IF(VLOOKUP($E44,武器奇术!$A:$R,17,FALSE)="鸣金",VLOOKUP($E44,武器奇术!$A:$R,4,FALSE),VLOOKUP($E44,武器奇术!$A:$R,2,FALSE))*(1+AX44)*(1+AY44)*AZ44</f>
        <v>0</v>
      </c>
      <c r="BH44" s="104">
        <f t="shared" si="10"/>
        <v>0.0311</v>
      </c>
      <c r="BI44" s="112">
        <f t="shared" si="11"/>
        <v>0</v>
      </c>
      <c r="BJ44" s="110">
        <f>$B$9*IF($G$5="撼天",1.05,1)+IF(AND(VLOOKUP($E44,武器奇术!$A:$R,15,FALSE)="武器",VLOOKUP($E44,武器奇术!$A:$R,17,FALSE)="裂石"),$E$3*(1+$E$15),0)</f>
        <v>0</v>
      </c>
      <c r="BK44" s="102">
        <f t="shared" si="12"/>
        <v>0</v>
      </c>
      <c r="BL44" s="102">
        <f>MAX($C$9*IF($G$5="撼天",1.05,1)+IF(AND(VLOOKUP($E44,武器奇术!$A:$R,15,FALSE)="武器",VLOOKUP($E44,武器奇术!$A:$R,17,FALSE)="裂石"),$E$3*(1+$E$15),0),BJ44)</f>
        <v>0</v>
      </c>
      <c r="BM44" s="104">
        <f>IF(($D$9+IF(VLOOKUP($E44,武器奇术!$A:$R,17,FALSE)="裂石",$D$15,0)-VLOOKUP($F$7,目标属性!$A:$R,6,FALSE))&gt;0,($D$9+IF(VLOOKUP($E44,武器奇术!$A:$R,17,FALSE)="裂石",$D$15,0)-VLOOKUP($F$7,目标属性!$A:$R,6,FALSE))/200,($D$9+IF(VLOOKUP($E44,武器奇术!$A:$R,17,FALSE)="裂石",$D$15,0)-VLOOKUP($F$7,目标属性!$A:$R,6,FALSE))/100)</f>
        <v>-0.24</v>
      </c>
      <c r="BN44" s="111">
        <f t="shared" si="13"/>
        <v>0</v>
      </c>
      <c r="BO44" s="102">
        <v>1</v>
      </c>
      <c r="BP44" s="103">
        <f>BJ44*IF(VLOOKUP($E44,武器奇术!$A:$R,17,FALSE)="裂石",VLOOKUP($E44,武器奇术!$A:$R,4,FALSE),VLOOKUP($E44,武器奇术!$A:$R,2,FALSE))*(1+BM44)*(1+BN44)*BO44</f>
        <v>0</v>
      </c>
      <c r="BQ44" s="104">
        <f>(1-IF(VLOOKUP($E44,武器奇术!$A:$R,18,FALSE)="叶龙",1,$N44))*(1-$M44)</f>
        <v>0</v>
      </c>
      <c r="BR44" s="103">
        <f>BK44*IF(VLOOKUP($E44,武器奇术!$A:$R,17,FALSE)="裂石",VLOOKUP($E44,武器奇术!$A:$R,4,FALSE),VLOOKUP($E44,武器奇术!$A:$R,2,FALSE))*(1+BM44)*(1+BN44)*BO44*(1+$E$16+VLOOKUP($E44,武器奇术!$A:$R,8,FALSE))</f>
        <v>0</v>
      </c>
      <c r="BS44" s="104">
        <f t="shared" si="14"/>
        <v>0.8703</v>
      </c>
      <c r="BT44" s="103">
        <f>BL44*IF(VLOOKUP($E44,武器奇术!$A:$R,17,FALSE)="裂石",VLOOKUP($E44,武器奇术!$A:$R,4,FALSE),VLOOKUP($E44,武器奇术!$A:$R,2,FALSE))*(1+BM44)*(1+BN44)*BO44*(1+$E$17+VLOOKUP($E44,武器奇术!$A:$R,10,FALSE))</f>
        <v>0</v>
      </c>
      <c r="BU44" s="104">
        <f t="shared" si="15"/>
        <v>0.0986</v>
      </c>
      <c r="BV44" s="103">
        <f>BK44*IF(VLOOKUP($E44,武器奇术!$A:$R,17,FALSE)="裂石",VLOOKUP($E44,武器奇术!$A:$R,4,FALSE),VLOOKUP($E44,武器奇术!$A:$R,2,FALSE))*(1+BM44)*(1+BN44)*BO44</f>
        <v>0</v>
      </c>
      <c r="BW44" s="104">
        <f t="shared" si="16"/>
        <v>0.0311</v>
      </c>
      <c r="BX44" s="112">
        <f t="shared" si="17"/>
        <v>0</v>
      </c>
      <c r="BY44" s="110">
        <f>$B$11*IF($G$5="撼天",1.05,1)+IF(AND(VLOOKUP($E44,武器奇术!$A:$R,15,FALSE)="武器",VLOOKUP($E44,武器奇术!$A:$R,17,FALSE)="牵丝"),$E$3*(1+$E$15),0)</f>
        <v>686.71</v>
      </c>
      <c r="BZ44" s="102">
        <f>IF(VLOOKUP($E44,武器奇术!$A:$Z,18,FALSE)="叶龙",(CA44-(BY44+CA44)*0.5)*($G$15-0.5)*2+(BY44+CA44)*0.5,(BY44+CA44)*0.5)</f>
        <v>1052.21</v>
      </c>
      <c r="CA44" s="102">
        <f>MAX($C$11*IF($G$5="撼天",1.05,1)+IF(AND(VLOOKUP($E44,武器奇术!$A:$R,15,FALSE)="武器",VLOOKUP($E44,武器奇术!$A:$R,17,FALSE)="牵丝"),$E$3*(1+$E$15),0),BY44)</f>
        <v>1417.71</v>
      </c>
      <c r="CB44" s="104">
        <f>IF(($D$11+IF(VLOOKUP($E44,武器奇术!$A:$R,17,FALSE)="牵丝",$D$15,0)-VLOOKUP($F$7,目标属性!$A:$R,6,FALSE))&gt;0,($D$11+IF(VLOOKUP($E44,武器奇术!$A:$R,17,FALSE)="牵丝",$D$15,0)-VLOOKUP($F$7,目标属性!$A:$R,6,FALSE))/200,($D$11+IF(VLOOKUP($E44,武器奇术!$A:$R,17,FALSE)="牵丝",$D$15,0)-VLOOKUP($F$7,目标属性!$A:$R,6,FALSE))/100)</f>
        <v>0.028</v>
      </c>
      <c r="CC44" s="111">
        <f>$E$11+IF($G$5="烟柳",IF(VLOOKUP($E44,武器奇术!$A:$T,20,FALSE)=1,0.1,0),0)</f>
        <v>0.248</v>
      </c>
      <c r="CD44" s="102">
        <v>1</v>
      </c>
      <c r="CE44" s="103">
        <f>BY44*IF(VLOOKUP($E44,武器奇术!$A:$R,17,FALSE)="牵丝",VLOOKUP($E44,武器奇术!$A:$R,4,FALSE),VLOOKUP($E44,武器奇术!$A:$R,2,FALSE))*(1+CB44)*(1+CC44)*CD44</f>
        <v>3649.20705503528</v>
      </c>
      <c r="CF44" s="104">
        <f>(1-IF(VLOOKUP($E44,武器奇术!$A:$R,18,FALSE)="叶龙",1,$N44))*(1-$M44)</f>
        <v>0</v>
      </c>
      <c r="CG44" s="124">
        <f>BZ44*IF(VLOOKUP($E44,武器奇术!$A:$R,17,FALSE)="牵丝",VLOOKUP($E44,武器奇术!$A:$R,4,FALSE),VLOOKUP($E44,武器奇术!$A:$R,2,FALSE))*(1+CB44)*(1+CC44)*CD44*(1+$E$16+VLOOKUP($E44,武器奇术!$A:$R,8,FALSE))</f>
        <v>11205.3461277378</v>
      </c>
      <c r="CH44" s="104">
        <f t="shared" si="18"/>
        <v>0.8703</v>
      </c>
      <c r="CI44" s="103">
        <f>CA44*IF(VLOOKUP($E44,武器奇术!$A:$R,17,FALSE)="牵丝",VLOOKUP($E44,武器奇术!$A:$R,4,FALSE),VLOOKUP($E44,武器奇术!$A:$R,2,FALSE))*(1+CB44)*(1+CC44)*CD44*(1+$E$17+VLOOKUP($E44,武器奇术!$A:$R,10,FALSE))</f>
        <v>10170.5937016965</v>
      </c>
      <c r="CJ44" s="104">
        <f t="shared" si="19"/>
        <v>0.0986</v>
      </c>
      <c r="CK44" s="124">
        <f>BZ44*IF(VLOOKUP($E44,武器奇术!$A:$R,17,FALSE)="牵丝",VLOOKUP($E44,武器奇术!$A:$R,4,FALSE),VLOOKUP($E44,武器奇术!$A:$R,2,FALSE))*(1+CB44)*(1+CC44)*CD44</f>
        <v>5591.49008370152</v>
      </c>
      <c r="CL44" s="104">
        <f t="shared" si="20"/>
        <v>0.0311</v>
      </c>
      <c r="CM44" s="112">
        <f t="shared" si="39"/>
        <v>10928.7286155606</v>
      </c>
      <c r="CN44" s="110">
        <f>$B$13*IF($G$5="撼天",1.05,1)+IF(AND(VLOOKUP($E44,武器奇术!$A:$R,15,FALSE)="武器",VLOOKUP($E44,武器奇术!$A:$R,17,FALSE)="破竹"),$E$3*(1+$E$15),0)</f>
        <v>0</v>
      </c>
      <c r="CO44" s="102">
        <f t="shared" si="21"/>
        <v>0</v>
      </c>
      <c r="CP44" s="102">
        <f>MAX($C$13*IF($G$5="撼天",1.05,1)+IF(AND(VLOOKUP($E44,武器奇术!$A:$R,15,FALSE)="武器",VLOOKUP($E44,武器奇术!$A:$R,17,FALSE)="破竹"),$E$3*(1+$E$15),0),CN44)</f>
        <v>0</v>
      </c>
      <c r="CQ44" s="104">
        <f>IF(($D$13+IF(VLOOKUP($E44,武器奇术!$A:$R,17,FALSE)="破竹",$D$15,0)-VLOOKUP($F$7,目标属性!$A:$R,6,FALSE))&gt;0,($D$13+IF(VLOOKUP($E44,武器奇术!$A:$R,17,FALSE)="破竹",$D$15,0)-VLOOKUP($F$7,目标属性!$A:$R,6,FALSE))/200,($D$13+IF(VLOOKUP($E44,武器奇术!$A:$R,17,FALSE)="破竹",$D$15,0)-VLOOKUP($F$7,目标属性!$A:$R,6,FALSE))/100)</f>
        <v>-0.24</v>
      </c>
      <c r="CR44" s="111">
        <f t="shared" si="22"/>
        <v>0</v>
      </c>
      <c r="CS44" s="102">
        <v>1</v>
      </c>
      <c r="CT44" s="103">
        <f>CN44*IF(VLOOKUP($E44,武器奇术!$A:$R,17,FALSE)="破竹",VLOOKUP($E44,武器奇术!$A:$R,4,FALSE),VLOOKUP($E44,武器奇术!$A:$R,2,FALSE))*(1+CQ44)*(1+CR44)*CS44</f>
        <v>0</v>
      </c>
      <c r="CU44" s="104">
        <f>(1-IF(VLOOKUP($E44,武器奇术!$A:$R,18,FALSE)="叶龙",1,$N44))*(1-$M44)</f>
        <v>0</v>
      </c>
      <c r="CV44" s="103">
        <f>CO44*IF(VLOOKUP($E44,武器奇术!$A:$R,17,FALSE)="破竹",VLOOKUP($E44,武器奇术!$A:$R,4,FALSE),VLOOKUP($E44,武器奇术!$A:$R,2,FALSE))*(1+CQ44)*(1+CR44)*CS44*(1+$E$16+VLOOKUP($E44,武器奇术!$A:$R,8,FALSE))</f>
        <v>0</v>
      </c>
      <c r="CW44" s="104">
        <f t="shared" si="23"/>
        <v>0.8703</v>
      </c>
      <c r="CX44" s="103">
        <f>CP44*IF(VLOOKUP($E44,武器奇术!$A:$R,17,FALSE)="破竹",VLOOKUP($E44,武器奇术!$A:$R,4,FALSE),VLOOKUP($E44,武器奇术!$A:$R,2,FALSE))*(1+CQ44)*(1+CR44)*CS44*(1+$E$17+VLOOKUP($E44,武器奇术!$A:$R,10,FALSE))</f>
        <v>0</v>
      </c>
      <c r="CY44" s="104">
        <f t="shared" si="24"/>
        <v>0.0986</v>
      </c>
      <c r="CZ44" s="103">
        <f>CO44*IF(VLOOKUP($E44,武器奇术!$A:$R,17,FALSE)="破竹",VLOOKUP($E44,武器奇术!$A:$R,4,FALSE),VLOOKUP($E44,武器奇术!$A:$R,2,FALSE))*(1+CQ44)*(1+CR44)*CS44</f>
        <v>0</v>
      </c>
      <c r="DA44" s="104">
        <f t="shared" si="25"/>
        <v>0.0311</v>
      </c>
      <c r="DB44" s="112">
        <f t="shared" si="26"/>
        <v>0</v>
      </c>
      <c r="DC44" s="110">
        <f t="shared" si="40"/>
        <v>66</v>
      </c>
      <c r="DD44" s="102">
        <f t="shared" si="27"/>
        <v>125.8</v>
      </c>
      <c r="DE44" s="102">
        <f t="shared" si="41"/>
        <v>185.6</v>
      </c>
      <c r="DF44" s="104">
        <f>IF((IF(VLOOKUP($E44,武器奇术!$A:$R,17,FALSE)="鸣金",$D$7,0)+IF(VLOOKUP($E44,武器奇术!$A:$R,17,FALSE)="裂石",$D$9,0)+IF(VLOOKUP($E44,武器奇术!$A:$R,17,FALSE)="牵丝",$D$11,0)+IF(VLOOKUP($E44,武器奇术!$A:$R,17,FALSE)="破竹",$D$13,0)+$D$15-VLOOKUP($F$7,目标属性!$A:$R,6,FALSE))&gt;0,(IF(VLOOKUP($E44,武器奇术!$A:$R,17,FALSE)="鸣金",$D$7,0)+IF(VLOOKUP($E44,武器奇术!$A:$R,17,FALSE)="裂石",$D$9,0)+IF(VLOOKUP($E44,武器奇术!$A:$R,17,FALSE)="牵丝",$D$11,0)+IF(VLOOKUP($E44,武器奇术!$A:$R,17,FALSE)="破竹",$D$13,0)+$D$15-VLOOKUP($F$7,目标属性!$A:$R,6,FALSE))/200,(IF(VLOOKUP($E44,武器奇术!$A:$R,17,FALSE)="鸣金",$D$7,0)+IF(VLOOKUP($E44,武器奇术!$A:$R,17,FALSE)="裂石",$D$9,0)+IF(VLOOKUP($E44,武器奇术!$A:$R,17,FALSE)="牵丝",$D$11,0)+IF(VLOOKUP($E44,武器奇术!$A:$R,17,FALSE)="破竹",$D$13,0)+$D$15-VLOOKUP($F$7,目标属性!$A:$R,6,FALSE))/100)</f>
        <v>0.028</v>
      </c>
      <c r="DG44" s="111">
        <f>$E$11+IF($G$5="烟柳",IF(VLOOKUP($E44,武器奇术!$A:$T,20,FALSE)=1,0.1,0),0)</f>
        <v>0.248</v>
      </c>
      <c r="DH44" s="102">
        <v>1</v>
      </c>
      <c r="DI44" s="103">
        <f>DC44*IF(VLOOKUP($E44,武器奇术!$A:$R,17,FALSE)="牵丝",VLOOKUP($E44,武器奇术!$A:$R,4,FALSE),VLOOKUP($E44,武器奇术!$A:$R,2,FALSE))*(1+DF44)*(1+DG44)*DH44</f>
        <v>350.72689436928</v>
      </c>
      <c r="DJ44" s="104">
        <f>(1-IF(VLOOKUP($E44,武器奇术!$A:$R,18,FALSE)="叶龙",1,$N44))*(1-$M44)</f>
        <v>0</v>
      </c>
      <c r="DK44" s="124">
        <f>DD44*IF(VLOOKUP($E44,武器奇术!$A:$R,17,FALSE)="牵丝",VLOOKUP($E44,武器奇术!$A:$R,4,FALSE),VLOOKUP($E44,武器奇术!$A:$R,2,FALSE))*(1+DF44)*(1+DG44)*DH44*(1+$E$16+VLOOKUP($E44,武器奇术!$A:$R,8,FALSE))</f>
        <v>1339.6874605539</v>
      </c>
      <c r="DL44" s="104">
        <f t="shared" si="28"/>
        <v>0.8703</v>
      </c>
      <c r="DM44" s="103">
        <f>DE44*IF(VLOOKUP($E44,武器奇术!$A:$R,17,FALSE)="牵丝",VLOOKUP($E44,武器奇术!$A:$R,4,FALSE),VLOOKUP($E44,武器奇术!$A:$R,2,FALSE))*(1+DF44)*(1+DG44)*DH44*(1+$E$17+VLOOKUP($E44,武器奇术!$A:$R,10,FALSE))</f>
        <v>1331.48682807829</v>
      </c>
      <c r="DN44" s="104">
        <f t="shared" si="29"/>
        <v>0.0986</v>
      </c>
      <c r="DO44" s="124">
        <f>DD44*IF(VLOOKUP($E44,武器奇术!$A:$R,17,FALSE)="牵丝",VLOOKUP($E44,武器奇术!$A:$R,4,FALSE),VLOOKUP($E44,武器奇术!$A:$R,2,FALSE))*(1+DF44)*(1+DG44)*DH44</f>
        <v>668.506716843264</v>
      </c>
      <c r="DP44" s="104">
        <f t="shared" si="30"/>
        <v>0.0311</v>
      </c>
      <c r="DQ44" s="112">
        <f t="shared" si="31"/>
        <v>1318.0051570624</v>
      </c>
    </row>
    <row r="45" customFormat="1" spans="2:121">
      <c r="B45" s="106" t="s">
        <v>143</v>
      </c>
      <c r="C45" s="20"/>
      <c r="D45" s="114"/>
      <c r="E45" s="115" t="s">
        <v>137</v>
      </c>
      <c r="F45" s="116">
        <v>10</v>
      </c>
      <c r="G45" s="117">
        <f>$E$23</f>
        <v>0.32</v>
      </c>
      <c r="H45" s="103">
        <f>IF(VLOOKUP($E45,武器奇术!$A:$R,18,FALSE)="天工",AE45,(AE45+AT45+BI45+BX45+CM45+DB45+DQ45))*(1+J45)*F45*K45*(1+G45)</f>
        <v>467549.921113293</v>
      </c>
      <c r="I45" s="104">
        <f t="shared" si="42"/>
        <v>0.0538851087106332</v>
      </c>
      <c r="J45" s="118">
        <f>$F$3+VLOOKUP($E45,武器奇术!$A:$R,12,FALSE)+VLOOKUP($E45,武器奇术!$A:$R,14,FALSE)*$G$3+$P45+IF($F$21="√",5%,0)</f>
        <v>1.153</v>
      </c>
      <c r="K45" s="105">
        <f>VLOOKUP($E45,武器奇术!$A:$R,11,FALSE)</f>
        <v>1</v>
      </c>
      <c r="L45" s="119">
        <f>IF(VLOOKUP($E45,武器奇术!$A:$R,15,FALSE)="天工",0%,IF($C$17+VLOOKUP($E45,武器奇术!$A:$R,7,FALSE)&gt;80%,80%,$C$17+VLOOKUP($E45,武器奇术!$A:$R,7,FALSE))+IF($C$19&gt;20%,20%,$C$19))</f>
        <v>0.8703</v>
      </c>
      <c r="M45" s="120">
        <f>IF(VLOOKUP($E45,武器奇术!$A:$R,15,FALSE)="天工",0%,IF($C$18+VLOOKUP($E45,武器奇术!$A:$R,9,FALSE)&gt;40%,40%,$C$18+VLOOKUP($E45,武器奇术!$A:$R,9,FALSE))+IF($C$20&gt;10%,10%,$C$20))</f>
        <v>0.0986</v>
      </c>
      <c r="N45" s="121">
        <f>IF(VLOOKUP($E45,武器奇术!$A:$R,15,FALSE)="天工",100%,MIN($C$16,1))</f>
        <v>1</v>
      </c>
      <c r="O45" s="122" t="str">
        <f>VLOOKUP($E45,武器奇术!$A:$R,16,FALSE)</f>
        <v>伞</v>
      </c>
      <c r="P45" s="123">
        <f t="shared" si="32"/>
        <v>0.17</v>
      </c>
      <c r="Q45" s="110">
        <f>$B$5*(1+VLOOKUP($E45,武器奇术!$A:$R,5,FALSE))*(1+VLOOKUP($E45,武器奇术!$A:$S,19,FALSE)+IF($G$5="飞隼",0.1,0)+IF($G$5="撼天",0.05,0))-$F$9+IF($J$5="√",160,0)</f>
        <v>3081.85</v>
      </c>
      <c r="R45" s="102">
        <f>IF(VLOOKUP($E45,武器奇术!$A:$Z,18,FALSE)="叶龙",(S45-(Q45+S45)*0.5)*($G$15-0.5)*2+(Q45+S45)*0.5,(Q45+S45)*0.5)</f>
        <v>3161.85</v>
      </c>
      <c r="S45" s="102">
        <f>MAX($C$5,$B$5)*(1+VLOOKUP($E45,武器奇术!$A:$R,6,FALSE))*(1+VLOOKUP($E45,武器奇术!$A:$S,19,FALSE)+IF($G$5="飞隼",0.1,0)+IF($G$5="撼天",0.05,0))-$F$9+IF($J$5="√",320,0)</f>
        <v>3241.85</v>
      </c>
      <c r="T45" s="104">
        <f>IF(($D$5+VLOOKUP($E45,武器奇术!$A:$R,13,FALSE)+IF($I$3="√",10,0)-VLOOKUP($F$7,目标属性!$A:$R,5,FALSE))&gt;0,($D$5+VLOOKUP($E45,武器奇术!$A:$R,13,FALSE)+IF($I$3="√",10,0)-VLOOKUP($F$7,目标属性!$A:$R,5,FALSE))/200,($D$5+VLOOKUP($E45,武器奇术!$A:$R,13,FALSE)+IF($I$3="√",10,0)-VLOOKUP($F$7,目标属性!$A:$R,5,FALSE))/100)</f>
        <v>0.2925</v>
      </c>
      <c r="U45" s="111">
        <f>$E$5+IF($G$5="烟柳",IF(VLOOKUP($E45,武器奇术!$A:$T,20,FALSE)=1,0.1,0),0)</f>
        <v>0.1</v>
      </c>
      <c r="V45" s="102">
        <v>1</v>
      </c>
      <c r="W45" s="103">
        <f>Q45*VLOOKUP($E45,武器奇术!$A:$R,2,FALSE)*(1+T45)*(1+U45)*V45</f>
        <v>5148.20660615181</v>
      </c>
      <c r="X45" s="104">
        <f>(1-IF(VLOOKUP($E45,武器奇术!$A:$R,18,FALSE)="叶龙",1,$N45))*(1-$M45)</f>
        <v>0</v>
      </c>
      <c r="Y45" s="103">
        <f>R45*VLOOKUP($E45,武器奇术!$A:$R,2,FALSE)*(1+T45)*(1+U45)*V45*(1+$E$16+VLOOKUP($E45,武器奇术!$A:$R,8,FALSE))</f>
        <v>10584.819359655</v>
      </c>
      <c r="Z45" s="104">
        <f t="shared" si="33"/>
        <v>0.8703</v>
      </c>
      <c r="AA45" s="103">
        <f>S45*VLOOKUP($E45,武器奇术!$A:$R,2,FALSE)*(1+T45)*(1+U45)*V45*(1+$E$17+VLOOKUP($E45,武器奇术!$A:$R,10,FALSE))</f>
        <v>7310.90524889495</v>
      </c>
      <c r="AB45" s="104">
        <f t="shared" si="34"/>
        <v>0.0986</v>
      </c>
      <c r="AC45" s="103">
        <f>R45*VLOOKUP($E45,武器奇术!$A:$R,2,FALSE)*(1+T45)*(1+U45)*V45</f>
        <v>5281.84598785181</v>
      </c>
      <c r="AD45" s="104">
        <f t="shared" si="35"/>
        <v>0.0311</v>
      </c>
      <c r="AE45" s="112">
        <f t="shared" si="36"/>
        <v>10097.088956471</v>
      </c>
      <c r="AF45" s="113">
        <f>VLOOKUP($E45,武器奇术!$A:$R,3,FALSE)*(1+IF(VLOOKUP($E45,武器奇术!$A:$R,15,FALSE)="武器",$E$15,0))</f>
        <v>421.59</v>
      </c>
      <c r="AG45" s="103">
        <f t="shared" si="1"/>
        <v>421.59</v>
      </c>
      <c r="AH45" s="103">
        <f>VLOOKUP($E45,武器奇术!$A:$R,3,FALSE)*(1+IF(VLOOKUP($E45,武器奇术!$A:$R,15,FALSE)="武器",$E$15,0))</f>
        <v>421.59</v>
      </c>
      <c r="AI45" s="104">
        <f>IF(($D$5+VLOOKUP($E45,武器奇术!$A:$R,13,FALSE)+IF($I$3="√",10,0)-VLOOKUP($F$7,目标属性!$A:$R,5,FALSE))&gt;0,($D$5+VLOOKUP($E45,武器奇术!$A:$R,13,FALSE)+IF($I$3="√",10,0)-VLOOKUP($F$7,目标属性!$A:$R,5,FALSE))/200,($D$5+VLOOKUP($E45,武器奇术!$A:$R,13,FALSE)+IF($I$3="√",10,0)-VLOOKUP($F$7,目标属性!$A:$R,5,FALSE))/100)</f>
        <v>0.2925</v>
      </c>
      <c r="AJ45" s="111">
        <f>$E$5+IF($G$5="烟柳",IF(VLOOKUP($E45,武器奇术!$A:$T,20,FALSE)=1,0.1,0),0)</f>
        <v>0.1</v>
      </c>
      <c r="AK45" s="102">
        <v>1</v>
      </c>
      <c r="AL45" s="103">
        <f t="shared" si="37"/>
        <v>599.3955825</v>
      </c>
      <c r="AM45" s="104">
        <f>(1-IF(VLOOKUP($E45,武器奇术!$A:$R,18,FALSE)="叶龙",1,$N45))*(1-$M45)</f>
        <v>0</v>
      </c>
      <c r="AN45" s="103">
        <f>AG45*(1+AI45)*(1+AJ45)*AK45*(1+$E$16+VLOOKUP($E45,武器奇术!$A:$R,8,FALSE))</f>
        <v>1201.18874733</v>
      </c>
      <c r="AO45" s="104">
        <f t="shared" si="2"/>
        <v>0.8703</v>
      </c>
      <c r="AP45" s="103">
        <f>AH45*(1+AI45)*(1+AJ45)*AK45*(1+$E$17+VLOOKUP($E45,武器奇术!$A:$R,10,FALSE))</f>
        <v>809.184036375</v>
      </c>
      <c r="AQ45" s="104">
        <f t="shared" si="3"/>
        <v>0.0986</v>
      </c>
      <c r="AR45" s="103">
        <f t="shared" si="38"/>
        <v>599.3955825</v>
      </c>
      <c r="AS45" s="104">
        <f t="shared" si="4"/>
        <v>0.0311</v>
      </c>
      <c r="AT45" s="112">
        <f t="shared" si="5"/>
        <v>1143.82131540362</v>
      </c>
      <c r="AU45" s="110">
        <f>$B$7*IF($G$5="撼天",1.05,1)+IF(AND(VLOOKUP($E45,武器奇术!$A:$R,15,FALSE)="武器",VLOOKUP($E45,武器奇术!$A:$R,17,FALSE)="鸣金"),$E$3*(1+$E$15),0)</f>
        <v>0</v>
      </c>
      <c r="AV45" s="102">
        <f t="shared" si="6"/>
        <v>0</v>
      </c>
      <c r="AW45" s="102">
        <f>MAX($C$7*IF($G$5="撼天",1.05,1)+IF(AND(VLOOKUP($E45,武器奇术!$A:$R,15,FALSE)="武器",VLOOKUP($E45,武器奇术!$A:$R,17,FALSE)="鸣金"),$E$3*(1+$E$15),0),AU45)</f>
        <v>0</v>
      </c>
      <c r="AX45" s="104">
        <f>IF(($D$7+IF(VLOOKUP($E45,武器奇术!$A:$R,17,FALSE)="鸣金",$D$15,0)-VLOOKUP($F$7,目标属性!$A:$R,6,FALSE))&gt;0,($D$7+IF(VLOOKUP($E45,武器奇术!$A:$R,17,FALSE)="鸣金",$D$15,0)-VLOOKUP($F$7,目标属性!$A:$R,6,FALSE))/200,($D$7+IF(VLOOKUP($E45,武器奇术!$A:$R,17,FALSE)="鸣金",$D$15,0)-VLOOKUP($F$7,目标属性!$A:$R,6,FALSE))/100)</f>
        <v>-0.24</v>
      </c>
      <c r="AY45" s="111">
        <f t="shared" si="7"/>
        <v>0</v>
      </c>
      <c r="AZ45" s="102">
        <v>1</v>
      </c>
      <c r="BA45" s="103">
        <f>AU45*IF(VLOOKUP($E45,武器奇术!$A:$R,17,FALSE)="鸣金",VLOOKUP($E45,武器奇术!$A:$R,4,FALSE),VLOOKUP($E45,武器奇术!$A:$R,2,FALSE))*(1+AX45)*(1+AY45)*AZ45</f>
        <v>0</v>
      </c>
      <c r="BB45" s="104">
        <f>(1-IF(VLOOKUP($E45,武器奇术!$A:$R,18,FALSE)="叶龙",1,$N45))*(1-$M45)</f>
        <v>0</v>
      </c>
      <c r="BC45" s="103">
        <f>AV45*IF(VLOOKUP($E45,武器奇术!$A:$R,17,FALSE)="鸣金",VLOOKUP($E45,武器奇术!$A:$R,4,FALSE),VLOOKUP($E45,武器奇术!$A:$R,2,FALSE))*(1+AX45)*(1+AY45)*AZ45*(1+$E$16+VLOOKUP($E45,武器奇术!$A:$R,8,FALSE))</f>
        <v>0</v>
      </c>
      <c r="BD45" s="104">
        <f t="shared" si="8"/>
        <v>0.8703</v>
      </c>
      <c r="BE45" s="103">
        <f>AW45*IF(VLOOKUP($E45,武器奇术!$A:$R,17,FALSE)="鸣金",VLOOKUP($E45,武器奇术!$A:$R,4,FALSE),VLOOKUP($E45,武器奇术!$A:$R,2,FALSE))*(1+AX45)*(1+AY45)*AZ45*(1+$E$17+VLOOKUP($E45,武器奇术!$A:$R,10,FALSE))</f>
        <v>0</v>
      </c>
      <c r="BF45" s="104">
        <f t="shared" si="9"/>
        <v>0.0986</v>
      </c>
      <c r="BG45" s="103">
        <f>AV45*IF(VLOOKUP($E45,武器奇术!$A:$R,17,FALSE)="鸣金",VLOOKUP($E45,武器奇术!$A:$R,4,FALSE),VLOOKUP($E45,武器奇术!$A:$R,2,FALSE))*(1+AX45)*(1+AY45)*AZ45</f>
        <v>0</v>
      </c>
      <c r="BH45" s="104">
        <f t="shared" si="10"/>
        <v>0.0311</v>
      </c>
      <c r="BI45" s="112">
        <f t="shared" si="11"/>
        <v>0</v>
      </c>
      <c r="BJ45" s="110">
        <f>$B$9*IF($G$5="撼天",1.05,1)+IF(AND(VLOOKUP($E45,武器奇术!$A:$R,15,FALSE)="武器",VLOOKUP($E45,武器奇术!$A:$R,17,FALSE)="裂石"),$E$3*(1+$E$15),0)</f>
        <v>0</v>
      </c>
      <c r="BK45" s="102">
        <f t="shared" si="12"/>
        <v>0</v>
      </c>
      <c r="BL45" s="102">
        <f>MAX($C$9*IF($G$5="撼天",1.05,1)+IF(AND(VLOOKUP($E45,武器奇术!$A:$R,15,FALSE)="武器",VLOOKUP($E45,武器奇术!$A:$R,17,FALSE)="裂石"),$E$3*(1+$E$15),0),BJ45)</f>
        <v>0</v>
      </c>
      <c r="BM45" s="104">
        <f>IF(($D$9+IF(VLOOKUP($E45,武器奇术!$A:$R,17,FALSE)="裂石",$D$15,0)-VLOOKUP($F$7,目标属性!$A:$R,6,FALSE))&gt;0,($D$9+IF(VLOOKUP($E45,武器奇术!$A:$R,17,FALSE)="裂石",$D$15,0)-VLOOKUP($F$7,目标属性!$A:$R,6,FALSE))/200,($D$9+IF(VLOOKUP($E45,武器奇术!$A:$R,17,FALSE)="裂石",$D$15,0)-VLOOKUP($F$7,目标属性!$A:$R,6,FALSE))/100)</f>
        <v>-0.24</v>
      </c>
      <c r="BN45" s="111">
        <f t="shared" si="13"/>
        <v>0</v>
      </c>
      <c r="BO45" s="102">
        <v>1</v>
      </c>
      <c r="BP45" s="103">
        <f>BJ45*IF(VLOOKUP($E45,武器奇术!$A:$R,17,FALSE)="裂石",VLOOKUP($E45,武器奇术!$A:$R,4,FALSE),VLOOKUP($E45,武器奇术!$A:$R,2,FALSE))*(1+BM45)*(1+BN45)*BO45</f>
        <v>0</v>
      </c>
      <c r="BQ45" s="104">
        <f>(1-IF(VLOOKUP($E45,武器奇术!$A:$R,18,FALSE)="叶龙",1,$N45))*(1-$M45)</f>
        <v>0</v>
      </c>
      <c r="BR45" s="103">
        <f>BK45*IF(VLOOKUP($E45,武器奇术!$A:$R,17,FALSE)="裂石",VLOOKUP($E45,武器奇术!$A:$R,4,FALSE),VLOOKUP($E45,武器奇术!$A:$R,2,FALSE))*(1+BM45)*(1+BN45)*BO45*(1+$E$16+VLOOKUP($E45,武器奇术!$A:$R,8,FALSE))</f>
        <v>0</v>
      </c>
      <c r="BS45" s="104">
        <f t="shared" si="14"/>
        <v>0.8703</v>
      </c>
      <c r="BT45" s="103">
        <f>BL45*IF(VLOOKUP($E45,武器奇术!$A:$R,17,FALSE)="裂石",VLOOKUP($E45,武器奇术!$A:$R,4,FALSE),VLOOKUP($E45,武器奇术!$A:$R,2,FALSE))*(1+BM45)*(1+BN45)*BO45*(1+$E$17+VLOOKUP($E45,武器奇术!$A:$R,10,FALSE))</f>
        <v>0</v>
      </c>
      <c r="BU45" s="104">
        <f t="shared" si="15"/>
        <v>0.0986</v>
      </c>
      <c r="BV45" s="103">
        <f>BK45*IF(VLOOKUP($E45,武器奇术!$A:$R,17,FALSE)="裂石",VLOOKUP($E45,武器奇术!$A:$R,4,FALSE),VLOOKUP($E45,武器奇术!$A:$R,2,FALSE))*(1+BM45)*(1+BN45)*BO45</f>
        <v>0</v>
      </c>
      <c r="BW45" s="104">
        <f t="shared" si="16"/>
        <v>0.0311</v>
      </c>
      <c r="BX45" s="112">
        <f t="shared" si="17"/>
        <v>0</v>
      </c>
      <c r="BY45" s="110">
        <f>$B$11*IF($G$5="撼天",1.05,1)+IF(AND(VLOOKUP($E45,武器奇术!$A:$R,15,FALSE)="武器",VLOOKUP($E45,武器奇术!$A:$R,17,FALSE)="牵丝"),$E$3*(1+$E$15),0)</f>
        <v>686.71</v>
      </c>
      <c r="BZ45" s="102">
        <f>IF(VLOOKUP($E45,武器奇术!$A:$Z,18,FALSE)="叶龙",(CA45-(BY45+CA45)*0.5)*($G$15-0.5)*2+(BY45+CA45)*0.5,(BY45+CA45)*0.5)</f>
        <v>1052.21</v>
      </c>
      <c r="CA45" s="102">
        <f>MAX($C$11*IF($G$5="撼天",1.05,1)+IF(AND(VLOOKUP($E45,武器奇术!$A:$R,15,FALSE)="武器",VLOOKUP($E45,武器奇术!$A:$R,17,FALSE)="牵丝"),$E$3*(1+$E$15),0),BY45)</f>
        <v>1417.71</v>
      </c>
      <c r="CB45" s="104">
        <f>IF(($D$11+IF(VLOOKUP($E45,武器奇术!$A:$R,17,FALSE)="牵丝",$D$15,0)-VLOOKUP($F$7,目标属性!$A:$R,6,FALSE))&gt;0,($D$11+IF(VLOOKUP($E45,武器奇术!$A:$R,17,FALSE)="牵丝",$D$15,0)-VLOOKUP($F$7,目标属性!$A:$R,6,FALSE))/200,($D$11+IF(VLOOKUP($E45,武器奇术!$A:$R,17,FALSE)="牵丝",$D$15,0)-VLOOKUP($F$7,目标属性!$A:$R,6,FALSE))/100)</f>
        <v>0.028</v>
      </c>
      <c r="CC45" s="111">
        <f>$E$11+IF($G$5="烟柳",IF(VLOOKUP($E45,武器奇术!$A:$T,20,FALSE)=1,0.1,0),0)</f>
        <v>0.248</v>
      </c>
      <c r="CD45" s="102">
        <v>1</v>
      </c>
      <c r="CE45" s="103">
        <f>BY45*IF(VLOOKUP($E45,武器奇术!$A:$R,17,FALSE)="牵丝",VLOOKUP($E45,武器奇术!$A:$R,4,FALSE),VLOOKUP($E45,武器奇术!$A:$R,2,FALSE))*(1+CB45)*(1+CC45)*CD45</f>
        <v>1552.67083453872</v>
      </c>
      <c r="CF45" s="104">
        <f>(1-IF(VLOOKUP($E45,武器奇术!$A:$R,18,FALSE)="叶龙",1,$N45))*(1-$M45)</f>
        <v>0</v>
      </c>
      <c r="CG45" s="124">
        <f>BZ45*IF(VLOOKUP($E45,武器奇术!$A:$R,17,FALSE)="牵丝",VLOOKUP($E45,武器奇术!$A:$R,4,FALSE),VLOOKUP($E45,武器奇术!$A:$R,2,FALSE))*(1+CB45)*(1+CC45)*CD45*(1+$E$16+VLOOKUP($E45,武器奇术!$A:$R,8,FALSE))</f>
        <v>4767.66975977518</v>
      </c>
      <c r="CH45" s="104">
        <f t="shared" si="18"/>
        <v>0.8703</v>
      </c>
      <c r="CI45" s="103">
        <f>CA45*IF(VLOOKUP($E45,武器奇术!$A:$R,17,FALSE)="牵丝",VLOOKUP($E45,武器奇术!$A:$R,4,FALSE),VLOOKUP($E45,武器奇术!$A:$R,2,FALSE))*(1+CB45)*(1+CC45)*CD45*(1+$E$17+VLOOKUP($E45,武器奇术!$A:$R,10,FALSE))</f>
        <v>4327.40153474647</v>
      </c>
      <c r="CJ45" s="104">
        <f t="shared" si="19"/>
        <v>0.0986</v>
      </c>
      <c r="CK45" s="124">
        <f>BZ45*IF(VLOOKUP($E45,武器奇术!$A:$R,17,FALSE)="牵丝",VLOOKUP($E45,武器奇术!$A:$R,4,FALSE),VLOOKUP($E45,武器奇术!$A:$R,2,FALSE))*(1+CB45)*(1+CC45)*CD45</f>
        <v>2379.07672643472</v>
      </c>
      <c r="CL45" s="104">
        <f t="shared" si="20"/>
        <v>0.0311</v>
      </c>
      <c r="CM45" s="112">
        <f t="shared" si="39"/>
        <v>4649.97406945046</v>
      </c>
      <c r="CN45" s="110">
        <f>$B$13*IF($G$5="撼天",1.05,1)+IF(AND(VLOOKUP($E45,武器奇术!$A:$R,15,FALSE)="武器",VLOOKUP($E45,武器奇术!$A:$R,17,FALSE)="破竹"),$E$3*(1+$E$15),0)</f>
        <v>0</v>
      </c>
      <c r="CO45" s="102">
        <f t="shared" si="21"/>
        <v>0</v>
      </c>
      <c r="CP45" s="102">
        <f>MAX($C$13*IF($G$5="撼天",1.05,1)+IF(AND(VLOOKUP($E45,武器奇术!$A:$R,15,FALSE)="武器",VLOOKUP($E45,武器奇术!$A:$R,17,FALSE)="破竹"),$E$3*(1+$E$15),0),CN45)</f>
        <v>0</v>
      </c>
      <c r="CQ45" s="104">
        <f>IF(($D$13+IF(VLOOKUP($E45,武器奇术!$A:$R,17,FALSE)="破竹",$D$15,0)-VLOOKUP($F$7,目标属性!$A:$R,6,FALSE))&gt;0,($D$13+IF(VLOOKUP($E45,武器奇术!$A:$R,17,FALSE)="破竹",$D$15,0)-VLOOKUP($F$7,目标属性!$A:$R,6,FALSE))/200,($D$13+IF(VLOOKUP($E45,武器奇术!$A:$R,17,FALSE)="破竹",$D$15,0)-VLOOKUP($F$7,目标属性!$A:$R,6,FALSE))/100)</f>
        <v>-0.24</v>
      </c>
      <c r="CR45" s="111">
        <f t="shared" si="22"/>
        <v>0</v>
      </c>
      <c r="CS45" s="102">
        <v>1</v>
      </c>
      <c r="CT45" s="103">
        <f>CN45*IF(VLOOKUP($E45,武器奇术!$A:$R,17,FALSE)="破竹",VLOOKUP($E45,武器奇术!$A:$R,4,FALSE),VLOOKUP($E45,武器奇术!$A:$R,2,FALSE))*(1+CQ45)*(1+CR45)*CS45</f>
        <v>0</v>
      </c>
      <c r="CU45" s="104">
        <f>(1-IF(VLOOKUP($E45,武器奇术!$A:$R,18,FALSE)="叶龙",1,$N45))*(1-$M45)</f>
        <v>0</v>
      </c>
      <c r="CV45" s="103">
        <f>CO45*IF(VLOOKUP($E45,武器奇术!$A:$R,17,FALSE)="破竹",VLOOKUP($E45,武器奇术!$A:$R,4,FALSE),VLOOKUP($E45,武器奇术!$A:$R,2,FALSE))*(1+CQ45)*(1+CR45)*CS45*(1+$E$16+VLOOKUP($E45,武器奇术!$A:$R,8,FALSE))</f>
        <v>0</v>
      </c>
      <c r="CW45" s="104">
        <f t="shared" si="23"/>
        <v>0.8703</v>
      </c>
      <c r="CX45" s="103">
        <f>CP45*IF(VLOOKUP($E45,武器奇术!$A:$R,17,FALSE)="破竹",VLOOKUP($E45,武器奇术!$A:$R,4,FALSE),VLOOKUP($E45,武器奇术!$A:$R,2,FALSE))*(1+CQ45)*(1+CR45)*CS45*(1+$E$17+VLOOKUP($E45,武器奇术!$A:$R,10,FALSE))</f>
        <v>0</v>
      </c>
      <c r="CY45" s="104">
        <f t="shared" si="24"/>
        <v>0.0986</v>
      </c>
      <c r="CZ45" s="103">
        <f>CO45*IF(VLOOKUP($E45,武器奇术!$A:$R,17,FALSE)="破竹",VLOOKUP($E45,武器奇术!$A:$R,4,FALSE),VLOOKUP($E45,武器奇术!$A:$R,2,FALSE))*(1+CQ45)*(1+CR45)*CS45</f>
        <v>0</v>
      </c>
      <c r="DA45" s="104">
        <f t="shared" si="25"/>
        <v>0.0311</v>
      </c>
      <c r="DB45" s="112">
        <f t="shared" si="26"/>
        <v>0</v>
      </c>
      <c r="DC45" s="110">
        <f t="shared" si="40"/>
        <v>66</v>
      </c>
      <c r="DD45" s="102">
        <f t="shared" si="27"/>
        <v>125.8</v>
      </c>
      <c r="DE45" s="102">
        <f t="shared" si="41"/>
        <v>185.6</v>
      </c>
      <c r="DF45" s="104">
        <f>IF((IF(VLOOKUP($E45,武器奇术!$A:$R,17,FALSE)="鸣金",$D$7,0)+IF(VLOOKUP($E45,武器奇术!$A:$R,17,FALSE)="裂石",$D$9,0)+IF(VLOOKUP($E45,武器奇术!$A:$R,17,FALSE)="牵丝",$D$11,0)+IF(VLOOKUP($E45,武器奇术!$A:$R,17,FALSE)="破竹",$D$13,0)+$D$15-VLOOKUP($F$7,目标属性!$A:$R,6,FALSE))&gt;0,(IF(VLOOKUP($E45,武器奇术!$A:$R,17,FALSE)="鸣金",$D$7,0)+IF(VLOOKUP($E45,武器奇术!$A:$R,17,FALSE)="裂石",$D$9,0)+IF(VLOOKUP($E45,武器奇术!$A:$R,17,FALSE)="牵丝",$D$11,0)+IF(VLOOKUP($E45,武器奇术!$A:$R,17,FALSE)="破竹",$D$13,0)+$D$15-VLOOKUP($F$7,目标属性!$A:$R,6,FALSE))/200,(IF(VLOOKUP($E45,武器奇术!$A:$R,17,FALSE)="鸣金",$D$7,0)+IF(VLOOKUP($E45,武器奇术!$A:$R,17,FALSE)="裂石",$D$9,0)+IF(VLOOKUP($E45,武器奇术!$A:$R,17,FALSE)="牵丝",$D$11,0)+IF(VLOOKUP($E45,武器奇术!$A:$R,17,FALSE)="破竹",$D$13,0)+$D$15-VLOOKUP($F$7,目标属性!$A:$R,6,FALSE))/100)</f>
        <v>0.028</v>
      </c>
      <c r="DG45" s="111">
        <f>$E$11+IF($G$5="烟柳",IF(VLOOKUP($E45,武器奇术!$A:$T,20,FALSE)=1,0.1,0),0)</f>
        <v>0.248</v>
      </c>
      <c r="DH45" s="102">
        <v>1</v>
      </c>
      <c r="DI45" s="103">
        <f>DC45*IF(VLOOKUP($E45,武器奇术!$A:$R,17,FALSE)="牵丝",VLOOKUP($E45,武器奇术!$A:$R,4,FALSE),VLOOKUP($E45,武器奇术!$A:$R,2,FALSE))*(1+DF45)*(1+DG45)*DH45</f>
        <v>149.227876512</v>
      </c>
      <c r="DJ45" s="104">
        <f>(1-IF(VLOOKUP($E45,武器奇术!$A:$R,18,FALSE)="叶龙",1,$N45))*(1-$M45)</f>
        <v>0</v>
      </c>
      <c r="DK45" s="124">
        <f>DD45*IF(VLOOKUP($E45,武器奇术!$A:$R,17,FALSE)="牵丝",VLOOKUP($E45,武器奇术!$A:$R,4,FALSE),VLOOKUP($E45,武器奇术!$A:$R,2,FALSE))*(1+DF45)*(1+DG45)*DH45*(1+$E$16+VLOOKUP($E45,武器奇术!$A:$R,8,FALSE))</f>
        <v>570.012502998182</v>
      </c>
      <c r="DL45" s="104">
        <f t="shared" si="28"/>
        <v>0.8703</v>
      </c>
      <c r="DM45" s="103">
        <f>DE45*IF(VLOOKUP($E45,武器奇术!$A:$R,17,FALSE)="牵丝",VLOOKUP($E45,武器奇术!$A:$R,4,FALSE),VLOOKUP($E45,武器奇术!$A:$R,2,FALSE))*(1+DF45)*(1+DG45)*DH45*(1+$E$17+VLOOKUP($E45,武器奇术!$A:$R,10,FALSE))</f>
        <v>566.52328392192</v>
      </c>
      <c r="DN45" s="104">
        <f t="shared" si="29"/>
        <v>0.0986</v>
      </c>
      <c r="DO45" s="124">
        <f>DD45*IF(VLOOKUP($E45,武器奇术!$A:$R,17,FALSE)="牵丝",VLOOKUP($E45,武器奇术!$A:$R,4,FALSE),VLOOKUP($E45,武器奇术!$A:$R,2,FALSE))*(1+DF45)*(1+DG45)*DH45</f>
        <v>284.4373767456</v>
      </c>
      <c r="DP45" s="104">
        <f t="shared" si="30"/>
        <v>0.0311</v>
      </c>
      <c r="DQ45" s="112">
        <f t="shared" si="31"/>
        <v>560.787079570808</v>
      </c>
    </row>
    <row r="46" customFormat="1" spans="2:121">
      <c r="B46" s="132"/>
      <c r="C46" s="21"/>
      <c r="D46" s="129"/>
      <c r="E46" s="115" t="s">
        <v>144</v>
      </c>
      <c r="F46" s="116">
        <v>1</v>
      </c>
      <c r="G46" s="117"/>
      <c r="H46" s="103">
        <f>IF(VLOOKUP($E46,武器奇术!$A:$R,18,FALSE)="天工",AE46,(AE46+AT46+BI46+BX46+CM46+DB46+DQ46))*(1+J46)*F46*K46*(1+G46)</f>
        <v>73869.380770123</v>
      </c>
      <c r="I46" s="104">
        <f t="shared" si="42"/>
        <v>0.00851344302167195</v>
      </c>
      <c r="J46" s="118">
        <f>$F$3+VLOOKUP($E46,武器奇术!$A:$R,12,FALSE)+VLOOKUP($E46,武器奇术!$A:$R,14,FALSE)*$G$3+$P46+IF($F$21="√",5%,0)</f>
        <v>1.153</v>
      </c>
      <c r="K46" s="105">
        <f>VLOOKUP($E46,武器奇术!$A:$R,11,FALSE)</f>
        <v>1</v>
      </c>
      <c r="L46" s="119">
        <f>IF(VLOOKUP($E46,武器奇术!$A:$R,15,FALSE)="天工",0%,IF($C$17+VLOOKUP($E46,武器奇术!$A:$R,7,FALSE)&gt;80%,80%,$C$17+VLOOKUP($E46,武器奇术!$A:$R,7,FALSE))+IF($C$19&gt;20%,20%,$C$19))</f>
        <v>0.8703</v>
      </c>
      <c r="M46" s="120">
        <f>IF(VLOOKUP($E46,武器奇术!$A:$R,15,FALSE)="天工",0%,IF($C$18+VLOOKUP($E46,武器奇术!$A:$R,9,FALSE)&gt;40%,40%,$C$18+VLOOKUP($E46,武器奇术!$A:$R,9,FALSE))+IF($C$20&gt;10%,10%,$C$20))</f>
        <v>0.0986</v>
      </c>
      <c r="N46" s="121">
        <f>IF(VLOOKUP($E46,武器奇术!$A:$R,15,FALSE)="天工",100%,MIN($C$16,1))</f>
        <v>1</v>
      </c>
      <c r="O46" s="122" t="str">
        <f>VLOOKUP($E46,武器奇术!$A:$R,16,FALSE)</f>
        <v>伞</v>
      </c>
      <c r="P46" s="123">
        <f t="shared" si="32"/>
        <v>0.17</v>
      </c>
      <c r="Q46" s="110">
        <f>$B$5*(1+VLOOKUP($E46,武器奇术!$A:$R,5,FALSE))*(1+VLOOKUP($E46,武器奇术!$A:$S,19,FALSE)+IF($G$5="飞隼",0.1,0)+IF($G$5="撼天",0.05,0))-$F$9+IF($J$5="√",160,0)</f>
        <v>3324.7</v>
      </c>
      <c r="R46" s="102">
        <f>IF(VLOOKUP($E46,武器奇术!$A:$Z,18,FALSE)="叶龙",(S46-(Q46+S46)*0.5)*($G$15-0.5)*2+(Q46+S46)*0.5,(Q46+S46)*0.5)</f>
        <v>3404.7</v>
      </c>
      <c r="S46" s="102">
        <f>MAX($C$5,$B$5)*(1+VLOOKUP($E46,武器奇术!$A:$R,6,FALSE))*(1+VLOOKUP($E46,武器奇术!$A:$S,19,FALSE)+IF($G$5="飞隼",0.1,0)+IF($G$5="撼天",0.05,0))-$F$9+IF($J$5="√",320,0)</f>
        <v>3484.7</v>
      </c>
      <c r="T46" s="104">
        <f>IF(($D$5+VLOOKUP($E46,武器奇术!$A:$R,13,FALSE)+IF($I$3="√",10,0)-VLOOKUP($F$7,目标属性!$A:$R,5,FALSE))&gt;0,($D$5+VLOOKUP($E46,武器奇术!$A:$R,13,FALSE)+IF($I$3="√",10,0)-VLOOKUP($F$7,目标属性!$A:$R,5,FALSE))/200,($D$5+VLOOKUP($E46,武器奇术!$A:$R,13,FALSE)+IF($I$3="√",10,0)-VLOOKUP($F$7,目标属性!$A:$R,5,FALSE))/100)</f>
        <v>0.2925</v>
      </c>
      <c r="U46" s="111">
        <f>$E$5+IF($G$5="烟柳",IF(VLOOKUP($E46,武器奇术!$A:$T,20,FALSE)=1,0.1,0),0)</f>
        <v>0.1</v>
      </c>
      <c r="V46" s="102">
        <v>1</v>
      </c>
      <c r="W46" s="103">
        <f>Q46*VLOOKUP($E46,武器奇术!$A:$R,2,FALSE)*(1+T46)*(1+U46)*V46</f>
        <v>11059.5097388325</v>
      </c>
      <c r="X46" s="104">
        <f>(1-IF(VLOOKUP($E46,武器奇术!$A:$R,18,FALSE)="叶龙",1,$N46))*(1-$M46)</f>
        <v>0</v>
      </c>
      <c r="Y46" s="103">
        <f>R46*VLOOKUP($E46,武器奇术!$A:$R,2,FALSE)*(1+T46)*(1+U46)*V46*(1+$E$16+VLOOKUP($E46,武器奇术!$A:$R,8,FALSE))</f>
        <v>22696.5569425323</v>
      </c>
      <c r="Z46" s="104">
        <f t="shared" si="33"/>
        <v>0.8703</v>
      </c>
      <c r="AA46" s="103">
        <f>S46*VLOOKUP($E46,武器奇术!$A:$R,2,FALSE)*(1+T46)*(1+U46)*V46*(1+$E$17+VLOOKUP($E46,武器奇术!$A:$R,10,FALSE))</f>
        <v>15648.8553380239</v>
      </c>
      <c r="AB46" s="104">
        <f t="shared" si="34"/>
        <v>0.0986</v>
      </c>
      <c r="AC46" s="103">
        <f>R46*VLOOKUP($E46,武器奇术!$A:$R,2,FALSE)*(1+T46)*(1+U46)*V46</f>
        <v>11325.6272168325</v>
      </c>
      <c r="AD46" s="104">
        <f t="shared" si="35"/>
        <v>0.0311</v>
      </c>
      <c r="AE46" s="112">
        <f t="shared" si="36"/>
        <v>21648.0176498585</v>
      </c>
      <c r="AF46" s="113">
        <f>VLOOKUP($E46,武器奇术!$A:$R,3,FALSE)*(1+IF(VLOOKUP($E46,武器奇术!$A:$R,15,FALSE)="武器",$E$15,0))</f>
        <v>842.4</v>
      </c>
      <c r="AG46" s="103">
        <f t="shared" si="1"/>
        <v>842.4</v>
      </c>
      <c r="AH46" s="103">
        <f>VLOOKUP($E46,武器奇术!$A:$R,3,FALSE)*(1+IF(VLOOKUP($E46,武器奇术!$A:$R,15,FALSE)="武器",$E$15,0))</f>
        <v>842.4</v>
      </c>
      <c r="AI46" s="104">
        <f>IF(($D$5+VLOOKUP($E46,武器奇术!$A:$R,13,FALSE)+IF($I$3="√",10,0)-VLOOKUP($F$7,目标属性!$A:$R,5,FALSE))&gt;0,($D$5+VLOOKUP($E46,武器奇术!$A:$R,13,FALSE)+IF($I$3="√",10,0)-VLOOKUP($F$7,目标属性!$A:$R,5,FALSE))/200,($D$5+VLOOKUP($E46,武器奇术!$A:$R,13,FALSE)+IF($I$3="√",10,0)-VLOOKUP($F$7,目标属性!$A:$R,5,FALSE))/100)</f>
        <v>0.2925</v>
      </c>
      <c r="AJ46" s="111">
        <f>$E$5+IF($G$5="烟柳",IF(VLOOKUP($E46,武器奇术!$A:$T,20,FALSE)=1,0.1,0),0)</f>
        <v>0.1</v>
      </c>
      <c r="AK46" s="102">
        <v>1</v>
      </c>
      <c r="AL46" s="103">
        <f t="shared" si="37"/>
        <v>1197.6822</v>
      </c>
      <c r="AM46" s="104">
        <f>(1-IF(VLOOKUP($E46,武器奇术!$A:$R,18,FALSE)="叶龙",1,$N46))*(1-$M46)</f>
        <v>0</v>
      </c>
      <c r="AN46" s="103">
        <f>AG46*(1+AI46)*(1+AJ46)*AK46*(1+$E$16+VLOOKUP($E46,武器奇术!$A:$R,8,FALSE))</f>
        <v>2400.1551288</v>
      </c>
      <c r="AO46" s="104">
        <f t="shared" si="2"/>
        <v>0.8703</v>
      </c>
      <c r="AP46" s="103">
        <f>AH46*(1+AI46)*(1+AJ46)*AK46*(1+$E$17+VLOOKUP($E46,武器奇术!$A:$R,10,FALSE))</f>
        <v>1616.87097</v>
      </c>
      <c r="AQ46" s="104">
        <f t="shared" si="3"/>
        <v>0.0986</v>
      </c>
      <c r="AR46" s="103">
        <f t="shared" si="38"/>
        <v>1197.6822</v>
      </c>
      <c r="AS46" s="104">
        <f t="shared" si="4"/>
        <v>0.0311</v>
      </c>
      <c r="AT46" s="112">
        <f t="shared" si="5"/>
        <v>2285.52640265664</v>
      </c>
      <c r="AU46" s="110">
        <f>$B$7*IF($G$5="撼天",1.05,1)+IF(AND(VLOOKUP($E46,武器奇术!$A:$R,15,FALSE)="武器",VLOOKUP($E46,武器奇术!$A:$R,17,FALSE)="鸣金"),$E$3*(1+$E$15),0)</f>
        <v>0</v>
      </c>
      <c r="AV46" s="102">
        <f t="shared" si="6"/>
        <v>0</v>
      </c>
      <c r="AW46" s="102">
        <f>MAX($C$7*IF($G$5="撼天",1.05,1)+IF(AND(VLOOKUP($E46,武器奇术!$A:$R,15,FALSE)="武器",VLOOKUP($E46,武器奇术!$A:$R,17,FALSE)="鸣金"),$E$3*(1+$E$15),0),AU46)</f>
        <v>0</v>
      </c>
      <c r="AX46" s="104">
        <f>IF(($D$7+IF(VLOOKUP($E46,武器奇术!$A:$R,17,FALSE)="鸣金",$D$15,0)-VLOOKUP($F$7,目标属性!$A:$R,6,FALSE))&gt;0,($D$7+IF(VLOOKUP($E46,武器奇术!$A:$R,17,FALSE)="鸣金",$D$15,0)-VLOOKUP($F$7,目标属性!$A:$R,6,FALSE))/200,($D$7+IF(VLOOKUP($E46,武器奇术!$A:$R,17,FALSE)="鸣金",$D$15,0)-VLOOKUP($F$7,目标属性!$A:$R,6,FALSE))/100)</f>
        <v>-0.24</v>
      </c>
      <c r="AY46" s="111">
        <f t="shared" si="7"/>
        <v>0</v>
      </c>
      <c r="AZ46" s="102">
        <v>1</v>
      </c>
      <c r="BA46" s="103">
        <f>AU46*IF(VLOOKUP($E46,武器奇术!$A:$R,17,FALSE)="鸣金",VLOOKUP($E46,武器奇术!$A:$R,4,FALSE),VLOOKUP($E46,武器奇术!$A:$R,2,FALSE))*(1+AX46)*(1+AY46)*AZ46</f>
        <v>0</v>
      </c>
      <c r="BB46" s="104">
        <f>(1-IF(VLOOKUP($E46,武器奇术!$A:$R,18,FALSE)="叶龙",1,$N46))*(1-$M46)</f>
        <v>0</v>
      </c>
      <c r="BC46" s="103">
        <f>AV46*IF(VLOOKUP($E46,武器奇术!$A:$R,17,FALSE)="鸣金",VLOOKUP($E46,武器奇术!$A:$R,4,FALSE),VLOOKUP($E46,武器奇术!$A:$R,2,FALSE))*(1+AX46)*(1+AY46)*AZ46*(1+$E$16+VLOOKUP($E46,武器奇术!$A:$R,8,FALSE))</f>
        <v>0</v>
      </c>
      <c r="BD46" s="104">
        <f t="shared" si="8"/>
        <v>0.8703</v>
      </c>
      <c r="BE46" s="103">
        <f>AW46*IF(VLOOKUP($E46,武器奇术!$A:$R,17,FALSE)="鸣金",VLOOKUP($E46,武器奇术!$A:$R,4,FALSE),VLOOKUP($E46,武器奇术!$A:$R,2,FALSE))*(1+AX46)*(1+AY46)*AZ46*(1+$E$17+VLOOKUP($E46,武器奇术!$A:$R,10,FALSE))</f>
        <v>0</v>
      </c>
      <c r="BF46" s="104">
        <f t="shared" si="9"/>
        <v>0.0986</v>
      </c>
      <c r="BG46" s="103">
        <f>AV46*IF(VLOOKUP($E46,武器奇术!$A:$R,17,FALSE)="鸣金",VLOOKUP($E46,武器奇术!$A:$R,4,FALSE),VLOOKUP($E46,武器奇术!$A:$R,2,FALSE))*(1+AX46)*(1+AY46)*AZ46</f>
        <v>0</v>
      </c>
      <c r="BH46" s="104">
        <f t="shared" si="10"/>
        <v>0.0311</v>
      </c>
      <c r="BI46" s="112">
        <f t="shared" si="11"/>
        <v>0</v>
      </c>
      <c r="BJ46" s="110">
        <f>$B$9*IF($G$5="撼天",1.05,1)+IF(AND(VLOOKUP($E46,武器奇术!$A:$R,15,FALSE)="武器",VLOOKUP($E46,武器奇术!$A:$R,17,FALSE)="裂石"),$E$3*(1+$E$15),0)</f>
        <v>0</v>
      </c>
      <c r="BK46" s="102">
        <f t="shared" si="12"/>
        <v>0</v>
      </c>
      <c r="BL46" s="102">
        <f>MAX($C$9*IF($G$5="撼天",1.05,1)+IF(AND(VLOOKUP($E46,武器奇术!$A:$R,15,FALSE)="武器",VLOOKUP($E46,武器奇术!$A:$R,17,FALSE)="裂石"),$E$3*(1+$E$15),0),BJ46)</f>
        <v>0</v>
      </c>
      <c r="BM46" s="104">
        <f>IF(($D$9+IF(VLOOKUP($E46,武器奇术!$A:$R,17,FALSE)="裂石",$D$15,0)-VLOOKUP($F$7,目标属性!$A:$R,6,FALSE))&gt;0,($D$9+IF(VLOOKUP($E46,武器奇术!$A:$R,17,FALSE)="裂石",$D$15,0)-VLOOKUP($F$7,目标属性!$A:$R,6,FALSE))/200,($D$9+IF(VLOOKUP($E46,武器奇术!$A:$R,17,FALSE)="裂石",$D$15,0)-VLOOKUP($F$7,目标属性!$A:$R,6,FALSE))/100)</f>
        <v>-0.24</v>
      </c>
      <c r="BN46" s="111">
        <f t="shared" si="13"/>
        <v>0</v>
      </c>
      <c r="BO46" s="102">
        <v>1</v>
      </c>
      <c r="BP46" s="103">
        <f>BJ46*IF(VLOOKUP($E46,武器奇术!$A:$R,17,FALSE)="裂石",VLOOKUP($E46,武器奇术!$A:$R,4,FALSE),VLOOKUP($E46,武器奇术!$A:$R,2,FALSE))*(1+BM46)*(1+BN46)*BO46</f>
        <v>0</v>
      </c>
      <c r="BQ46" s="104">
        <f>(1-IF(VLOOKUP($E46,武器奇术!$A:$R,18,FALSE)="叶龙",1,$N46))*(1-$M46)</f>
        <v>0</v>
      </c>
      <c r="BR46" s="103">
        <f>BK46*IF(VLOOKUP($E46,武器奇术!$A:$R,17,FALSE)="裂石",VLOOKUP($E46,武器奇术!$A:$R,4,FALSE),VLOOKUP($E46,武器奇术!$A:$R,2,FALSE))*(1+BM46)*(1+BN46)*BO46*(1+$E$16+VLOOKUP($E46,武器奇术!$A:$R,8,FALSE))</f>
        <v>0</v>
      </c>
      <c r="BS46" s="104">
        <f t="shared" si="14"/>
        <v>0.8703</v>
      </c>
      <c r="BT46" s="103">
        <f>BL46*IF(VLOOKUP($E46,武器奇术!$A:$R,17,FALSE)="裂石",VLOOKUP($E46,武器奇术!$A:$R,4,FALSE),VLOOKUP($E46,武器奇术!$A:$R,2,FALSE))*(1+BM46)*(1+BN46)*BO46*(1+$E$17+VLOOKUP($E46,武器奇术!$A:$R,10,FALSE))</f>
        <v>0</v>
      </c>
      <c r="BU46" s="104">
        <f t="shared" si="15"/>
        <v>0.0986</v>
      </c>
      <c r="BV46" s="103">
        <f>BK46*IF(VLOOKUP($E46,武器奇术!$A:$R,17,FALSE)="裂石",VLOOKUP($E46,武器奇术!$A:$R,4,FALSE),VLOOKUP($E46,武器奇术!$A:$R,2,FALSE))*(1+BM46)*(1+BN46)*BO46</f>
        <v>0</v>
      </c>
      <c r="BW46" s="104">
        <f t="shared" si="16"/>
        <v>0.0311</v>
      </c>
      <c r="BX46" s="112">
        <f t="shared" si="17"/>
        <v>0</v>
      </c>
      <c r="BY46" s="110">
        <f>$B$11*IF($G$5="撼天",1.05,1)+IF(AND(VLOOKUP($E46,武器奇术!$A:$R,15,FALSE)="武器",VLOOKUP($E46,武器奇术!$A:$R,17,FALSE)="牵丝"),$E$3*(1+$E$15),0)</f>
        <v>686.71</v>
      </c>
      <c r="BZ46" s="102">
        <f>IF(VLOOKUP($E46,武器奇术!$A:$Z,18,FALSE)="叶龙",(CA46-(BY46+CA46)*0.5)*($G$15-0.5)*2+(BY46+CA46)*0.5,(BY46+CA46)*0.5)</f>
        <v>1052.21</v>
      </c>
      <c r="CA46" s="102">
        <f>MAX($C$11*IF($G$5="撼天",1.05,1)+IF(AND(VLOOKUP($E46,武器奇术!$A:$R,15,FALSE)="武器",VLOOKUP($E46,武器奇术!$A:$R,17,FALSE)="牵丝"),$E$3*(1+$E$15),0),BY46)</f>
        <v>1417.71</v>
      </c>
      <c r="CB46" s="104">
        <f>IF(($D$11+IF(VLOOKUP($E46,武器奇术!$A:$R,17,FALSE)="牵丝",$D$15,0)-VLOOKUP($F$7,目标属性!$A:$R,6,FALSE))&gt;0,($D$11+IF(VLOOKUP($E46,武器奇术!$A:$R,17,FALSE)="牵丝",$D$15,0)-VLOOKUP($F$7,目标属性!$A:$R,6,FALSE))/200,($D$11+IF(VLOOKUP($E46,武器奇术!$A:$R,17,FALSE)="牵丝",$D$15,0)-VLOOKUP($F$7,目标属性!$A:$R,6,FALSE))/100)</f>
        <v>0.028</v>
      </c>
      <c r="CC46" s="111">
        <f>$E$11+IF($G$5="烟柳",IF(VLOOKUP($E46,武器奇术!$A:$T,20,FALSE)=1,0.1,0),0)</f>
        <v>0.248</v>
      </c>
      <c r="CD46" s="102">
        <v>1</v>
      </c>
      <c r="CE46" s="103">
        <f>BY46*IF(VLOOKUP($E46,武器奇术!$A:$R,17,FALSE)="牵丝",VLOOKUP($E46,武器奇术!$A:$R,4,FALSE),VLOOKUP($E46,武器奇术!$A:$R,2,FALSE))*(1+CB46)*(1+CC46)*CD46</f>
        <v>3091.90625934528</v>
      </c>
      <c r="CF46" s="104">
        <f>(1-IF(VLOOKUP($E46,武器奇术!$A:$R,18,FALSE)="叶龙",1,$N46))*(1-$M46)</f>
        <v>0</v>
      </c>
      <c r="CG46" s="124">
        <f>BZ46*IF(VLOOKUP($E46,武器奇术!$A:$R,17,FALSE)="牵丝",VLOOKUP($E46,武器奇术!$A:$R,4,FALSE),VLOOKUP($E46,武器奇术!$A:$R,2,FALSE))*(1+CB46)*(1+CC46)*CD46*(1+$E$16+VLOOKUP($E46,武器奇术!$A:$R,8,FALSE))</f>
        <v>9494.08441559316</v>
      </c>
      <c r="CH46" s="104">
        <f t="shared" si="18"/>
        <v>0.8703</v>
      </c>
      <c r="CI46" s="103">
        <f>CA46*IF(VLOOKUP($E46,武器奇术!$A:$R,17,FALSE)="牵丝",VLOOKUP($E46,武器奇术!$A:$R,4,FALSE),VLOOKUP($E46,武器奇术!$A:$R,2,FALSE))*(1+CB46)*(1+CC46)*CD46*(1+$E$17+VLOOKUP($E46,武器奇术!$A:$R,10,FALSE))</f>
        <v>8617.35764873693</v>
      </c>
      <c r="CJ46" s="104">
        <f t="shared" si="19"/>
        <v>0.0986</v>
      </c>
      <c r="CK46" s="124">
        <f>BZ46*IF(VLOOKUP($E46,武器奇术!$A:$R,17,FALSE)="牵丝",VLOOKUP($E46,武器奇术!$A:$R,4,FALSE),VLOOKUP($E46,武器奇术!$A:$R,2,FALSE))*(1+CB46)*(1+CC46)*CD46</f>
        <v>4737.56707364928</v>
      </c>
      <c r="CL46" s="104">
        <f t="shared" si="20"/>
        <v>0.0311</v>
      </c>
      <c r="CM46" s="112">
        <f t="shared" si="39"/>
        <v>9259.71146704668</v>
      </c>
      <c r="CN46" s="110">
        <f>$B$13*IF($G$5="撼天",1.05,1)+IF(AND(VLOOKUP($E46,武器奇术!$A:$R,15,FALSE)="武器",VLOOKUP($E46,武器奇术!$A:$R,17,FALSE)="破竹"),$E$3*(1+$E$15),0)</f>
        <v>0</v>
      </c>
      <c r="CO46" s="102">
        <f t="shared" si="21"/>
        <v>0</v>
      </c>
      <c r="CP46" s="102">
        <f>MAX($C$13*IF($G$5="撼天",1.05,1)+IF(AND(VLOOKUP($E46,武器奇术!$A:$R,15,FALSE)="武器",VLOOKUP($E46,武器奇术!$A:$R,17,FALSE)="破竹"),$E$3*(1+$E$15),0),CN46)</f>
        <v>0</v>
      </c>
      <c r="CQ46" s="104">
        <f>IF(($D$13+IF(VLOOKUP($E46,武器奇术!$A:$R,17,FALSE)="破竹",$D$15,0)-VLOOKUP($F$7,目标属性!$A:$R,6,FALSE))&gt;0,($D$13+IF(VLOOKUP($E46,武器奇术!$A:$R,17,FALSE)="破竹",$D$15,0)-VLOOKUP($F$7,目标属性!$A:$R,6,FALSE))/200,($D$13+IF(VLOOKUP($E46,武器奇术!$A:$R,17,FALSE)="破竹",$D$15,0)-VLOOKUP($F$7,目标属性!$A:$R,6,FALSE))/100)</f>
        <v>-0.24</v>
      </c>
      <c r="CR46" s="111">
        <f t="shared" si="22"/>
        <v>0</v>
      </c>
      <c r="CS46" s="102">
        <v>1</v>
      </c>
      <c r="CT46" s="103">
        <f>CN46*IF(VLOOKUP($E46,武器奇术!$A:$R,17,FALSE)="破竹",VLOOKUP($E46,武器奇术!$A:$R,4,FALSE),VLOOKUP($E46,武器奇术!$A:$R,2,FALSE))*(1+CQ46)*(1+CR46)*CS46</f>
        <v>0</v>
      </c>
      <c r="CU46" s="104">
        <f>(1-IF(VLOOKUP($E46,武器奇术!$A:$R,18,FALSE)="叶龙",1,$N46))*(1-$M46)</f>
        <v>0</v>
      </c>
      <c r="CV46" s="103">
        <f>CO46*IF(VLOOKUP($E46,武器奇术!$A:$R,17,FALSE)="破竹",VLOOKUP($E46,武器奇术!$A:$R,4,FALSE),VLOOKUP($E46,武器奇术!$A:$R,2,FALSE))*(1+CQ46)*(1+CR46)*CS46*(1+$E$16+VLOOKUP($E46,武器奇术!$A:$R,8,FALSE))</f>
        <v>0</v>
      </c>
      <c r="CW46" s="104">
        <f t="shared" si="23"/>
        <v>0.8703</v>
      </c>
      <c r="CX46" s="103">
        <f>CP46*IF(VLOOKUP($E46,武器奇术!$A:$R,17,FALSE)="破竹",VLOOKUP($E46,武器奇术!$A:$R,4,FALSE),VLOOKUP($E46,武器奇术!$A:$R,2,FALSE))*(1+CQ46)*(1+CR46)*CS46*(1+$E$17+VLOOKUP($E46,武器奇术!$A:$R,10,FALSE))</f>
        <v>0</v>
      </c>
      <c r="CY46" s="104">
        <f t="shared" si="24"/>
        <v>0.0986</v>
      </c>
      <c r="CZ46" s="103">
        <f>CO46*IF(VLOOKUP($E46,武器奇术!$A:$R,17,FALSE)="破竹",VLOOKUP($E46,武器奇术!$A:$R,4,FALSE),VLOOKUP($E46,武器奇术!$A:$R,2,FALSE))*(1+CQ46)*(1+CR46)*CS46</f>
        <v>0</v>
      </c>
      <c r="DA46" s="104">
        <f t="shared" si="25"/>
        <v>0.0311</v>
      </c>
      <c r="DB46" s="112">
        <f t="shared" si="26"/>
        <v>0</v>
      </c>
      <c r="DC46" s="110">
        <f t="shared" si="40"/>
        <v>66</v>
      </c>
      <c r="DD46" s="102">
        <f t="shared" si="27"/>
        <v>125.8</v>
      </c>
      <c r="DE46" s="102">
        <f t="shared" si="41"/>
        <v>185.6</v>
      </c>
      <c r="DF46" s="104">
        <f>IF((IF(VLOOKUP($E46,武器奇术!$A:$R,17,FALSE)="鸣金",$D$7,0)+IF(VLOOKUP($E46,武器奇术!$A:$R,17,FALSE)="裂石",$D$9,0)+IF(VLOOKUP($E46,武器奇术!$A:$R,17,FALSE)="牵丝",$D$11,0)+IF(VLOOKUP($E46,武器奇术!$A:$R,17,FALSE)="破竹",$D$13,0)+$D$15-VLOOKUP($F$7,目标属性!$A:$R,6,FALSE))&gt;0,(IF(VLOOKUP($E46,武器奇术!$A:$R,17,FALSE)="鸣金",$D$7,0)+IF(VLOOKUP($E46,武器奇术!$A:$R,17,FALSE)="裂石",$D$9,0)+IF(VLOOKUP($E46,武器奇术!$A:$R,17,FALSE)="牵丝",$D$11,0)+IF(VLOOKUP($E46,武器奇术!$A:$R,17,FALSE)="破竹",$D$13,0)+$D$15-VLOOKUP($F$7,目标属性!$A:$R,6,FALSE))/200,(IF(VLOOKUP($E46,武器奇术!$A:$R,17,FALSE)="鸣金",$D$7,0)+IF(VLOOKUP($E46,武器奇术!$A:$R,17,FALSE)="裂石",$D$9,0)+IF(VLOOKUP($E46,武器奇术!$A:$R,17,FALSE)="牵丝",$D$11,0)+IF(VLOOKUP($E46,武器奇术!$A:$R,17,FALSE)="破竹",$D$13,0)+$D$15-VLOOKUP($F$7,目标属性!$A:$R,6,FALSE))/100)</f>
        <v>0.028</v>
      </c>
      <c r="DG46" s="111">
        <f>$E$11+IF($G$5="烟柳",IF(VLOOKUP($E46,武器奇术!$A:$T,20,FALSE)=1,0.1,0),0)</f>
        <v>0.248</v>
      </c>
      <c r="DH46" s="102">
        <v>1</v>
      </c>
      <c r="DI46" s="103">
        <f>DC46*IF(VLOOKUP($E46,武器奇术!$A:$R,17,FALSE)="牵丝",VLOOKUP($E46,武器奇术!$A:$R,4,FALSE),VLOOKUP($E46,武器奇术!$A:$R,2,FALSE))*(1+DF46)*(1+DG46)*DH46</f>
        <v>297.164469888</v>
      </c>
      <c r="DJ46" s="104">
        <f>(1-IF(VLOOKUP($E46,武器奇术!$A:$R,18,FALSE)="叶龙",1,$N46))*(1-$M46)</f>
        <v>0</v>
      </c>
      <c r="DK46" s="124">
        <f>DD46*IF(VLOOKUP($E46,武器奇术!$A:$R,17,FALSE)="牵丝",VLOOKUP($E46,武器奇术!$A:$R,4,FALSE),VLOOKUP($E46,武器奇术!$A:$R,2,FALSE))*(1+DF46)*(1+DG46)*DH46*(1+$E$16+VLOOKUP($E46,武器奇术!$A:$R,8,FALSE))</f>
        <v>1135.0926331071</v>
      </c>
      <c r="DL46" s="104">
        <f t="shared" si="28"/>
        <v>0.8703</v>
      </c>
      <c r="DM46" s="103">
        <f>DE46*IF(VLOOKUP($E46,武器奇术!$A:$R,17,FALSE)="牵丝",VLOOKUP($E46,武器奇术!$A:$R,4,FALSE),VLOOKUP($E46,武器奇术!$A:$R,2,FALSE))*(1+DF46)*(1+DG46)*DH46*(1+$E$17+VLOOKUP($E46,武器奇术!$A:$R,10,FALSE))</f>
        <v>1128.14438750208</v>
      </c>
      <c r="DN46" s="104">
        <f t="shared" si="29"/>
        <v>0.0986</v>
      </c>
      <c r="DO46" s="124">
        <f>DD46*IF(VLOOKUP($E46,武器奇术!$A:$R,17,FALSE)="牵丝",VLOOKUP($E46,武器奇术!$A:$R,4,FALSE),VLOOKUP($E46,武器奇术!$A:$R,2,FALSE))*(1+DF46)*(1+DG46)*DH46</f>
        <v>566.4134895744</v>
      </c>
      <c r="DP46" s="104">
        <f t="shared" si="30"/>
        <v>0.0311</v>
      </c>
      <c r="DQ46" s="112">
        <f t="shared" si="31"/>
        <v>1116.72161472658</v>
      </c>
    </row>
    <row r="47" customFormat="1" spans="2:121">
      <c r="B47" s="132"/>
      <c r="C47" s="21"/>
      <c r="D47" s="129"/>
      <c r="E47" s="115" t="s">
        <v>145</v>
      </c>
      <c r="F47" s="116">
        <v>1</v>
      </c>
      <c r="G47" s="117"/>
      <c r="H47" s="103">
        <f>IF(VLOOKUP($E47,武器奇术!$A:$R,18,FALSE)="天工",AE47,(AE47+AT47+BI47+BX47+CM47+DB47+DQ47))*(1+J47)*F47*K47*(1+G47)</f>
        <v>33042.6993530736</v>
      </c>
      <c r="I47" s="104">
        <f t="shared" si="42"/>
        <v>0.00380816970836725</v>
      </c>
      <c r="J47" s="138">
        <f>$F$3+VLOOKUP($E47,武器奇术!$A:$R,12,FALSE)+VLOOKUP($E47,武器奇术!$A:$R,14,FALSE)*$G$3+$P47</f>
        <v>0.623</v>
      </c>
      <c r="K47" s="105">
        <f>VLOOKUP($E47,武器奇术!$A:$R,11,FALSE)</f>
        <v>1</v>
      </c>
      <c r="L47" s="119">
        <f>IF(VLOOKUP($E47,武器奇术!$A:$R,15,FALSE)="天工",0%,IF($C$17+VLOOKUP($E47,武器奇术!$A:$R,7,FALSE)&gt;80%,80%,$C$17+VLOOKUP($E47,武器奇术!$A:$R,7,FALSE))+IF($C$19&gt;20%,20%,$C$19))</f>
        <v>0.8703</v>
      </c>
      <c r="M47" s="120">
        <f>IF(VLOOKUP($E47,武器奇术!$A:$R,15,FALSE)="天工",0%,IF($C$18+VLOOKUP($E47,武器奇术!$A:$R,9,FALSE)&gt;40%,40%,$C$18+VLOOKUP($E47,武器奇术!$A:$R,9,FALSE))+IF($C$20&gt;10%,10%,$C$20))</f>
        <v>0.0986</v>
      </c>
      <c r="N47" s="121">
        <f>IF(VLOOKUP($E47,武器奇术!$A:$R,15,FALSE)="天工",100%,MIN($C$16,1))</f>
        <v>1</v>
      </c>
      <c r="O47" s="122" t="str">
        <f>VLOOKUP($E47,武器奇术!$A:$R,16,FALSE)</f>
        <v>伞</v>
      </c>
      <c r="P47" s="123">
        <f t="shared" si="32"/>
        <v>0.17</v>
      </c>
      <c r="Q47" s="110">
        <f>$B$5*(1+VLOOKUP($E47,武器奇术!$A:$R,5,FALSE))*(1+VLOOKUP($E47,武器奇术!$A:$S,19,FALSE)+IF($G$5="飞隼",0.1,0)+IF($G$5="撼天",0.05,0))-$F$9+IF($J$5="√",160,0)</f>
        <v>3324.7</v>
      </c>
      <c r="R47" s="102">
        <f>IF(VLOOKUP($E47,武器奇术!$A:$Z,18,FALSE)="叶龙",(S47-(Q47+S47)*0.5)*($G$15-0.5)*2+(Q47+S47)*0.5,(Q47+S47)*0.5)</f>
        <v>3404.7</v>
      </c>
      <c r="S47" s="102">
        <f>MAX($C$5,$B$5)*(1+VLOOKUP($E47,武器奇术!$A:$R,6,FALSE))*(1+VLOOKUP($E47,武器奇术!$A:$S,19,FALSE)+IF($G$5="飞隼",0.1,0)+IF($G$5="撼天",0.05,0))-$F$9+IF($J$5="√",320,0)</f>
        <v>3484.7</v>
      </c>
      <c r="T47" s="104">
        <f>IF(($D$5+VLOOKUP($E47,武器奇术!$A:$R,13,FALSE)+IF($I$3="√",10,0)-VLOOKUP($F$7,目标属性!$A:$R,5,FALSE))&gt;0,($D$5+VLOOKUP($E47,武器奇术!$A:$R,13,FALSE)+IF($I$3="√",10,0)-VLOOKUP($F$7,目标属性!$A:$R,5,FALSE))/200,($D$5+VLOOKUP($E47,武器奇术!$A:$R,13,FALSE)+IF($I$3="√",10,0)-VLOOKUP($F$7,目标属性!$A:$R,5,FALSE))/100)</f>
        <v>0.2675</v>
      </c>
      <c r="U47" s="111">
        <f>$E$5+IF($G$5="烟柳",IF(VLOOKUP($E47,武器奇术!$A:$T,20,FALSE)=1,0.1,0),0)</f>
        <v>0.1</v>
      </c>
      <c r="V47" s="102">
        <v>1</v>
      </c>
      <c r="W47" s="103">
        <f>Q47*VLOOKUP($E47,武器奇术!$A:$R,2,FALSE)*(1+T47)*(1+U47)*V47</f>
        <v>7877.9693260125</v>
      </c>
      <c r="X47" s="104">
        <f>(1-IF(VLOOKUP($E47,武器奇术!$A:$R,18,FALSE)="叶龙",1,$N47))*(1-$M47)</f>
        <v>0</v>
      </c>
      <c r="Y47" s="103">
        <f>R47*VLOOKUP($E47,武器奇术!$A:$R,2,FALSE)*(1+T47)*(1+U47)*V47*(1+$E$16+VLOOKUP($E47,武器奇术!$A:$R,8,FALSE))</f>
        <v>13263.0218780846</v>
      </c>
      <c r="Z47" s="104">
        <f t="shared" si="33"/>
        <v>0.8703</v>
      </c>
      <c r="AA47" s="103">
        <f>S47*VLOOKUP($E47,武器奇术!$A:$R,2,FALSE)*(1+T47)*(1+U47)*V47*(1+$E$17+VLOOKUP($E47,武器奇术!$A:$R,10,FALSE))</f>
        <v>11147.0766111169</v>
      </c>
      <c r="AB47" s="104">
        <f t="shared" si="34"/>
        <v>0.0986</v>
      </c>
      <c r="AC47" s="103">
        <f>R47*VLOOKUP($E47,武器奇术!$A:$R,2,FALSE)*(1+T47)*(1+U47)*V47</f>
        <v>8067.5315560125</v>
      </c>
      <c r="AD47" s="104">
        <f t="shared" si="35"/>
        <v>0.0311</v>
      </c>
      <c r="AE47" s="112">
        <f t="shared" si="36"/>
        <v>12892.8099257451</v>
      </c>
      <c r="AF47" s="113">
        <f>VLOOKUP($E47,武器奇术!$A:$R,3,FALSE)*(1+IF(VLOOKUP($E47,武器奇术!$A:$R,15,FALSE)="武器",$E$15,0))</f>
        <v>510.9</v>
      </c>
      <c r="AG47" s="103">
        <f t="shared" si="1"/>
        <v>510.9</v>
      </c>
      <c r="AH47" s="103">
        <f>VLOOKUP($E47,武器奇术!$A:$R,3,FALSE)*(1+IF(VLOOKUP($E47,武器奇术!$A:$R,15,FALSE)="武器",$E$15,0))</f>
        <v>510.9</v>
      </c>
      <c r="AI47" s="104">
        <f>IF(($D$5+VLOOKUP($E47,武器奇术!$A:$R,13,FALSE)+IF($I$3="√",10,0)-VLOOKUP($F$7,目标属性!$A:$R,5,FALSE))&gt;0,($D$5+VLOOKUP($E47,武器奇术!$A:$R,13,FALSE)+IF($I$3="√",10,0)-VLOOKUP($F$7,目标属性!$A:$R,5,FALSE))/200,($D$5+VLOOKUP($E47,武器奇术!$A:$R,13,FALSE)+IF($I$3="√",10,0)-VLOOKUP($F$7,目标属性!$A:$R,5,FALSE))/100)</f>
        <v>0.2675</v>
      </c>
      <c r="AJ47" s="111">
        <f>$E$5+IF($G$5="烟柳",IF(VLOOKUP($E47,武器奇术!$A:$T,20,FALSE)=1,0.1,0),0)</f>
        <v>0.1</v>
      </c>
      <c r="AK47" s="102">
        <v>1</v>
      </c>
      <c r="AL47" s="103">
        <f t="shared" si="37"/>
        <v>712.322325</v>
      </c>
      <c r="AM47" s="104">
        <f>(1-IF(VLOOKUP($E47,武器奇术!$A:$R,18,FALSE)="叶龙",1,$N47))*(1-$M47)</f>
        <v>0</v>
      </c>
      <c r="AN47" s="103">
        <f>AG47*(1+AI47)*(1+AJ47)*AK47*(1+$E$16+VLOOKUP($E47,武器奇术!$A:$R,8,FALSE))</f>
        <v>1171.0579023</v>
      </c>
      <c r="AO47" s="104">
        <f t="shared" si="2"/>
        <v>0.8703</v>
      </c>
      <c r="AP47" s="103">
        <f>AH47*(1+AI47)*(1+AJ47)*AK47*(1+$E$17+VLOOKUP($E47,武器奇术!$A:$R,10,FALSE))</f>
        <v>961.63513875</v>
      </c>
      <c r="AQ47" s="104">
        <f t="shared" si="3"/>
        <v>0.0986</v>
      </c>
      <c r="AR47" s="103">
        <f t="shared" si="38"/>
        <v>712.322325</v>
      </c>
      <c r="AS47" s="104">
        <f t="shared" si="4"/>
        <v>0.0311</v>
      </c>
      <c r="AT47" s="112">
        <f t="shared" si="5"/>
        <v>1136.14214135994</v>
      </c>
      <c r="AU47" s="110">
        <f>$B$7*IF($G$5="撼天",1.05,1)+IF(AND(VLOOKUP($E47,武器奇术!$A:$R,15,FALSE)="武器",VLOOKUP($E47,武器奇术!$A:$R,17,FALSE)="鸣金"),$E$3*(1+$E$15),0)</f>
        <v>0</v>
      </c>
      <c r="AV47" s="102">
        <f t="shared" si="6"/>
        <v>0</v>
      </c>
      <c r="AW47" s="102">
        <f>MAX($C$7*IF($G$5="撼天",1.05,1)+IF(AND(VLOOKUP($E47,武器奇术!$A:$R,15,FALSE)="武器",VLOOKUP($E47,武器奇术!$A:$R,17,FALSE)="鸣金"),$E$3*(1+$E$15),0),AU47)</f>
        <v>0</v>
      </c>
      <c r="AX47" s="104">
        <f>IF(($D$7+IF(VLOOKUP($E47,武器奇术!$A:$R,17,FALSE)="鸣金",$D$15,0)-VLOOKUP($F$7,目标属性!$A:$R,6,FALSE))&gt;0,($D$7+IF(VLOOKUP($E47,武器奇术!$A:$R,17,FALSE)="鸣金",$D$15,0)-VLOOKUP($F$7,目标属性!$A:$R,6,FALSE))/200,($D$7+IF(VLOOKUP($E47,武器奇术!$A:$R,17,FALSE)="鸣金",$D$15,0)-VLOOKUP($F$7,目标属性!$A:$R,6,FALSE))/100)</f>
        <v>-0.24</v>
      </c>
      <c r="AY47" s="111">
        <f t="shared" si="7"/>
        <v>0</v>
      </c>
      <c r="AZ47" s="102">
        <v>1</v>
      </c>
      <c r="BA47" s="103">
        <f>AU47*IF(VLOOKUP($E47,武器奇术!$A:$R,17,FALSE)="鸣金",VLOOKUP($E47,武器奇术!$A:$R,4,FALSE),VLOOKUP($E47,武器奇术!$A:$R,2,FALSE))*(1+AX47)*(1+AY47)*AZ47</f>
        <v>0</v>
      </c>
      <c r="BB47" s="104">
        <f>(1-IF(VLOOKUP($E47,武器奇术!$A:$R,18,FALSE)="叶龙",1,$N47))*(1-$M47)</f>
        <v>0</v>
      </c>
      <c r="BC47" s="103">
        <f>AV47*IF(VLOOKUP($E47,武器奇术!$A:$R,17,FALSE)="鸣金",VLOOKUP($E47,武器奇术!$A:$R,4,FALSE),VLOOKUP($E47,武器奇术!$A:$R,2,FALSE))*(1+AX47)*(1+AY47)*AZ47*(1+$E$16+VLOOKUP($E47,武器奇术!$A:$R,8,FALSE))</f>
        <v>0</v>
      </c>
      <c r="BD47" s="104">
        <f t="shared" si="8"/>
        <v>0.8703</v>
      </c>
      <c r="BE47" s="103">
        <f>AW47*IF(VLOOKUP($E47,武器奇术!$A:$R,17,FALSE)="鸣金",VLOOKUP($E47,武器奇术!$A:$R,4,FALSE),VLOOKUP($E47,武器奇术!$A:$R,2,FALSE))*(1+AX47)*(1+AY47)*AZ47*(1+$E$17+VLOOKUP($E47,武器奇术!$A:$R,10,FALSE))</f>
        <v>0</v>
      </c>
      <c r="BF47" s="104">
        <f t="shared" si="9"/>
        <v>0.0986</v>
      </c>
      <c r="BG47" s="103">
        <f>AV47*IF(VLOOKUP($E47,武器奇术!$A:$R,17,FALSE)="鸣金",VLOOKUP($E47,武器奇术!$A:$R,4,FALSE),VLOOKUP($E47,武器奇术!$A:$R,2,FALSE))*(1+AX47)*(1+AY47)*AZ47</f>
        <v>0</v>
      </c>
      <c r="BH47" s="104">
        <f t="shared" si="10"/>
        <v>0.0311</v>
      </c>
      <c r="BI47" s="112">
        <f t="shared" si="11"/>
        <v>0</v>
      </c>
      <c r="BJ47" s="110">
        <f>$B$9*IF($G$5="撼天",1.05,1)+IF(AND(VLOOKUP($E47,武器奇术!$A:$R,15,FALSE)="武器",VLOOKUP($E47,武器奇术!$A:$R,17,FALSE)="裂石"),$E$3*(1+$E$15),0)</f>
        <v>0</v>
      </c>
      <c r="BK47" s="102">
        <f t="shared" si="12"/>
        <v>0</v>
      </c>
      <c r="BL47" s="102">
        <f>MAX($C$9*IF($G$5="撼天",1.05,1)+IF(AND(VLOOKUP($E47,武器奇术!$A:$R,15,FALSE)="武器",VLOOKUP($E47,武器奇术!$A:$R,17,FALSE)="裂石"),$E$3*(1+$E$15),0),BJ47)</f>
        <v>0</v>
      </c>
      <c r="BM47" s="104">
        <f>IF(($D$9+IF(VLOOKUP($E47,武器奇术!$A:$R,17,FALSE)="裂石",$D$15,0)-VLOOKUP($F$7,目标属性!$A:$R,6,FALSE))&gt;0,($D$9+IF(VLOOKUP($E47,武器奇术!$A:$R,17,FALSE)="裂石",$D$15,0)-VLOOKUP($F$7,目标属性!$A:$R,6,FALSE))/200,($D$9+IF(VLOOKUP($E47,武器奇术!$A:$R,17,FALSE)="裂石",$D$15,0)-VLOOKUP($F$7,目标属性!$A:$R,6,FALSE))/100)</f>
        <v>-0.24</v>
      </c>
      <c r="BN47" s="111">
        <f t="shared" si="13"/>
        <v>0</v>
      </c>
      <c r="BO47" s="102">
        <v>1</v>
      </c>
      <c r="BP47" s="103">
        <f>BJ47*IF(VLOOKUP($E47,武器奇术!$A:$R,17,FALSE)="裂石",VLOOKUP($E47,武器奇术!$A:$R,4,FALSE),VLOOKUP($E47,武器奇术!$A:$R,2,FALSE))*(1+BM47)*(1+BN47)*BO47</f>
        <v>0</v>
      </c>
      <c r="BQ47" s="104">
        <f>(1-IF(VLOOKUP($E47,武器奇术!$A:$R,18,FALSE)="叶龙",1,$N47))*(1-$M47)</f>
        <v>0</v>
      </c>
      <c r="BR47" s="103">
        <f>BK47*IF(VLOOKUP($E47,武器奇术!$A:$R,17,FALSE)="裂石",VLOOKUP($E47,武器奇术!$A:$R,4,FALSE),VLOOKUP($E47,武器奇术!$A:$R,2,FALSE))*(1+BM47)*(1+BN47)*BO47*(1+$E$16+VLOOKUP($E47,武器奇术!$A:$R,8,FALSE))</f>
        <v>0</v>
      </c>
      <c r="BS47" s="104">
        <f t="shared" si="14"/>
        <v>0.8703</v>
      </c>
      <c r="BT47" s="103">
        <f>BL47*IF(VLOOKUP($E47,武器奇术!$A:$R,17,FALSE)="裂石",VLOOKUP($E47,武器奇术!$A:$R,4,FALSE),VLOOKUP($E47,武器奇术!$A:$R,2,FALSE))*(1+BM47)*(1+BN47)*BO47*(1+$E$17+VLOOKUP($E47,武器奇术!$A:$R,10,FALSE))</f>
        <v>0</v>
      </c>
      <c r="BU47" s="104">
        <f t="shared" si="15"/>
        <v>0.0986</v>
      </c>
      <c r="BV47" s="103">
        <f>BK47*IF(VLOOKUP($E47,武器奇术!$A:$R,17,FALSE)="裂石",VLOOKUP($E47,武器奇术!$A:$R,4,FALSE),VLOOKUP($E47,武器奇术!$A:$R,2,FALSE))*(1+BM47)*(1+BN47)*BO47</f>
        <v>0</v>
      </c>
      <c r="BW47" s="104">
        <f t="shared" si="16"/>
        <v>0.0311</v>
      </c>
      <c r="BX47" s="112">
        <f t="shared" si="17"/>
        <v>0</v>
      </c>
      <c r="BY47" s="110">
        <f>$B$11*IF($G$5="撼天",1.05,1)+IF(AND(VLOOKUP($E47,武器奇术!$A:$R,15,FALSE)="武器",VLOOKUP($E47,武器奇术!$A:$R,17,FALSE)="牵丝"),$E$3*(1+$E$15),0)</f>
        <v>686.71</v>
      </c>
      <c r="BZ47" s="102">
        <f>IF(VLOOKUP($E47,武器奇术!$A:$Z,18,FALSE)="叶龙",(CA47-(BY47+CA47)*0.5)*($G$15-0.5)*2+(BY47+CA47)*0.5,(BY47+CA47)*0.5)</f>
        <v>1052.21</v>
      </c>
      <c r="CA47" s="102">
        <f>MAX($C$11*IF($G$5="撼天",1.05,1)+IF(AND(VLOOKUP($E47,武器奇术!$A:$R,15,FALSE)="武器",VLOOKUP($E47,武器奇术!$A:$R,17,FALSE)="牵丝"),$E$3*(1+$E$15),0),BY47)</f>
        <v>1417.71</v>
      </c>
      <c r="CB47" s="104">
        <f>IF(($D$11+IF(VLOOKUP($E47,武器奇术!$A:$R,17,FALSE)="牵丝",$D$15,0)-VLOOKUP($F$7,目标属性!$A:$R,6,FALSE))&gt;0,($D$11+IF(VLOOKUP($E47,武器奇术!$A:$R,17,FALSE)="牵丝",$D$15,0)-VLOOKUP($F$7,目标属性!$A:$R,6,FALSE))/200,($D$11+IF(VLOOKUP($E47,武器奇术!$A:$R,17,FALSE)="牵丝",$D$15,0)-VLOOKUP($F$7,目标属性!$A:$R,6,FALSE))/100)</f>
        <v>0.028</v>
      </c>
      <c r="CC47" s="111">
        <f>$E$11+IF($G$5="烟柳",IF(VLOOKUP($E47,武器奇术!$A:$T,20,FALSE)=1,0.1,0),0)</f>
        <v>0.248</v>
      </c>
      <c r="CD47" s="102">
        <v>1</v>
      </c>
      <c r="CE47" s="103">
        <f>BY47*IF(VLOOKUP($E47,武器奇术!$A:$R,17,FALSE)="牵丝",VLOOKUP($E47,武器奇术!$A:$R,4,FALSE),VLOOKUP($E47,武器奇术!$A:$R,2,FALSE))*(1+CB47)*(1+CC47)*CD47</f>
        <v>2245.87190093261</v>
      </c>
      <c r="CF47" s="104">
        <f>(1-IF(VLOOKUP($E47,武器奇术!$A:$R,18,FALSE)="叶龙",1,$N47))*(1-$M47)</f>
        <v>0</v>
      </c>
      <c r="CG47" s="124">
        <f>BZ47*IF(VLOOKUP($E47,武器奇术!$A:$R,17,FALSE)="牵丝",VLOOKUP($E47,武器奇术!$A:$R,4,FALSE),VLOOKUP($E47,武器奇术!$A:$R,2,FALSE))*(1+CB47)*(1+CC47)*CD47*(1+$E$16+VLOOKUP($E47,武器奇术!$A:$R,8,FALSE))</f>
        <v>5657.38647611832</v>
      </c>
      <c r="CH47" s="104">
        <f t="shared" si="18"/>
        <v>0.8703</v>
      </c>
      <c r="CI47" s="103">
        <f>CA47*IF(VLOOKUP($E47,武器奇术!$A:$R,17,FALSE)="牵丝",VLOOKUP($E47,武器奇术!$A:$R,4,FALSE),VLOOKUP($E47,武器奇术!$A:$R,2,FALSE))*(1+CB47)*(1+CC47)*CD47*(1+$E$17+VLOOKUP($E47,武器奇术!$A:$R,10,FALSE))</f>
        <v>6259.4010879499</v>
      </c>
      <c r="CJ47" s="104">
        <f t="shared" si="19"/>
        <v>0.0986</v>
      </c>
      <c r="CK47" s="124">
        <f>BZ47*IF(VLOOKUP($E47,武器奇术!$A:$R,17,FALSE)="牵丝",VLOOKUP($E47,武器奇术!$A:$R,4,FALSE),VLOOKUP($E47,武器奇术!$A:$R,2,FALSE))*(1+CB47)*(1+CC47)*CD47</f>
        <v>3441.23264970701</v>
      </c>
      <c r="CL47" s="104">
        <f t="shared" si="20"/>
        <v>0.0311</v>
      </c>
      <c r="CM47" s="112">
        <f t="shared" si="39"/>
        <v>5647.82273284352</v>
      </c>
      <c r="CN47" s="110">
        <f>$B$13*IF($G$5="撼天",1.05,1)+IF(AND(VLOOKUP($E47,武器奇术!$A:$R,15,FALSE)="武器",VLOOKUP($E47,武器奇术!$A:$R,17,FALSE)="破竹"),$E$3*(1+$E$15),0)</f>
        <v>0</v>
      </c>
      <c r="CO47" s="102">
        <f t="shared" si="21"/>
        <v>0</v>
      </c>
      <c r="CP47" s="102">
        <f>MAX($C$13*IF($G$5="撼天",1.05,1)+IF(AND(VLOOKUP($E47,武器奇术!$A:$R,15,FALSE)="武器",VLOOKUP($E47,武器奇术!$A:$R,17,FALSE)="破竹"),$E$3*(1+$E$15),0),CN47)</f>
        <v>0</v>
      </c>
      <c r="CQ47" s="104">
        <f>IF(($D$13+IF(VLOOKUP($E47,武器奇术!$A:$R,17,FALSE)="破竹",$D$15,0)-VLOOKUP($F$7,目标属性!$A:$R,6,FALSE))&gt;0,($D$13+IF(VLOOKUP($E47,武器奇术!$A:$R,17,FALSE)="破竹",$D$15,0)-VLOOKUP($F$7,目标属性!$A:$R,6,FALSE))/200,($D$13+IF(VLOOKUP($E47,武器奇术!$A:$R,17,FALSE)="破竹",$D$15,0)-VLOOKUP($F$7,目标属性!$A:$R,6,FALSE))/100)</f>
        <v>-0.24</v>
      </c>
      <c r="CR47" s="111">
        <f t="shared" si="22"/>
        <v>0</v>
      </c>
      <c r="CS47" s="102">
        <v>1</v>
      </c>
      <c r="CT47" s="103">
        <f>CN47*IF(VLOOKUP($E47,武器奇术!$A:$R,17,FALSE)="破竹",VLOOKUP($E47,武器奇术!$A:$R,4,FALSE),VLOOKUP($E47,武器奇术!$A:$R,2,FALSE))*(1+CQ47)*(1+CR47)*CS47</f>
        <v>0</v>
      </c>
      <c r="CU47" s="104">
        <f>(1-IF(VLOOKUP($E47,武器奇术!$A:$R,18,FALSE)="叶龙",1,$N47))*(1-$M47)</f>
        <v>0</v>
      </c>
      <c r="CV47" s="103">
        <f>CO47*IF(VLOOKUP($E47,武器奇术!$A:$R,17,FALSE)="破竹",VLOOKUP($E47,武器奇术!$A:$R,4,FALSE),VLOOKUP($E47,武器奇术!$A:$R,2,FALSE))*(1+CQ47)*(1+CR47)*CS47*(1+$E$16+VLOOKUP($E47,武器奇术!$A:$R,8,FALSE))</f>
        <v>0</v>
      </c>
      <c r="CW47" s="104">
        <f t="shared" si="23"/>
        <v>0.8703</v>
      </c>
      <c r="CX47" s="103">
        <f>CP47*IF(VLOOKUP($E47,武器奇术!$A:$R,17,FALSE)="破竹",VLOOKUP($E47,武器奇术!$A:$R,4,FALSE),VLOOKUP($E47,武器奇术!$A:$R,2,FALSE))*(1+CQ47)*(1+CR47)*CS47*(1+$E$17+VLOOKUP($E47,武器奇术!$A:$R,10,FALSE))</f>
        <v>0</v>
      </c>
      <c r="CY47" s="104">
        <f t="shared" si="24"/>
        <v>0.0986</v>
      </c>
      <c r="CZ47" s="103">
        <f>CO47*IF(VLOOKUP($E47,武器奇术!$A:$R,17,FALSE)="破竹",VLOOKUP($E47,武器奇术!$A:$R,4,FALSE),VLOOKUP($E47,武器奇术!$A:$R,2,FALSE))*(1+CQ47)*(1+CR47)*CS47</f>
        <v>0</v>
      </c>
      <c r="DA47" s="104">
        <f t="shared" si="25"/>
        <v>0.0311</v>
      </c>
      <c r="DB47" s="112">
        <f t="shared" si="26"/>
        <v>0</v>
      </c>
      <c r="DC47" s="110">
        <f t="shared" si="40"/>
        <v>66</v>
      </c>
      <c r="DD47" s="102">
        <f t="shared" si="27"/>
        <v>125.8</v>
      </c>
      <c r="DE47" s="102">
        <f t="shared" si="41"/>
        <v>185.6</v>
      </c>
      <c r="DF47" s="104">
        <f>IF((IF(VLOOKUP($E47,武器奇术!$A:$R,17,FALSE)="鸣金",$D$7,0)+IF(VLOOKUP($E47,武器奇术!$A:$R,17,FALSE)="裂石",$D$9,0)+IF(VLOOKUP($E47,武器奇术!$A:$R,17,FALSE)="牵丝",$D$11,0)+IF(VLOOKUP($E47,武器奇术!$A:$R,17,FALSE)="破竹",$D$13,0)+$D$15-VLOOKUP($F$7,目标属性!$A:$R,6,FALSE))&gt;0,(IF(VLOOKUP($E47,武器奇术!$A:$R,17,FALSE)="鸣金",$D$7,0)+IF(VLOOKUP($E47,武器奇术!$A:$R,17,FALSE)="裂石",$D$9,0)+IF(VLOOKUP($E47,武器奇术!$A:$R,17,FALSE)="牵丝",$D$11,0)+IF(VLOOKUP($E47,武器奇术!$A:$R,17,FALSE)="破竹",$D$13,0)+$D$15-VLOOKUP($F$7,目标属性!$A:$R,6,FALSE))/200,(IF(VLOOKUP($E47,武器奇术!$A:$R,17,FALSE)="鸣金",$D$7,0)+IF(VLOOKUP($E47,武器奇术!$A:$R,17,FALSE)="裂石",$D$9,0)+IF(VLOOKUP($E47,武器奇术!$A:$R,17,FALSE)="牵丝",$D$11,0)+IF(VLOOKUP($E47,武器奇术!$A:$R,17,FALSE)="破竹",$D$13,0)+$D$15-VLOOKUP($F$7,目标属性!$A:$R,6,FALSE))/100)</f>
        <v>0.028</v>
      </c>
      <c r="DG47" s="111">
        <f>$E$11+IF($G$5="烟柳",IF(VLOOKUP($E47,武器奇术!$A:$T,20,FALSE)=1,0.1,0),0)</f>
        <v>0.248</v>
      </c>
      <c r="DH47" s="102">
        <v>1</v>
      </c>
      <c r="DI47" s="103">
        <f>DC47*IF(VLOOKUP($E47,武器奇术!$A:$R,17,FALSE)="牵丝",VLOOKUP($E47,武器奇术!$A:$R,4,FALSE),VLOOKUP($E47,武器奇术!$A:$R,2,FALSE))*(1+DF47)*(1+DG47)*DH47</f>
        <v>215.8517357568</v>
      </c>
      <c r="DJ47" s="104">
        <f>(1-IF(VLOOKUP($E47,武器奇术!$A:$R,18,FALSE)="叶龙",1,$N47))*(1-$M47)</f>
        <v>0</v>
      </c>
      <c r="DK47" s="124">
        <f>DD47*IF(VLOOKUP($E47,武器奇术!$A:$R,17,FALSE)="牵丝",VLOOKUP($E47,武器奇术!$A:$R,4,FALSE),VLOOKUP($E47,武器奇术!$A:$R,2,FALSE))*(1+DF47)*(1+DG47)*DH47*(1+$E$16+VLOOKUP($E47,武器奇术!$A:$R,8,FALSE))</f>
        <v>676.385150013481</v>
      </c>
      <c r="DL47" s="104">
        <f t="shared" si="28"/>
        <v>0.8703</v>
      </c>
      <c r="DM47" s="103">
        <f>DE47*IF(VLOOKUP($E47,武器奇术!$A:$R,17,FALSE)="牵丝",VLOOKUP($E47,武器奇术!$A:$R,4,FALSE),VLOOKUP($E47,武器奇术!$A:$R,2,FALSE))*(1+DF47)*(1+DG47)*DH47*(1+$E$17+VLOOKUP($E47,武器奇术!$A:$R,10,FALSE))</f>
        <v>819.451680473088</v>
      </c>
      <c r="DN47" s="104">
        <f t="shared" si="29"/>
        <v>0.0986</v>
      </c>
      <c r="DO47" s="124">
        <f>DD47*IF(VLOOKUP($E47,武器奇术!$A:$R,17,FALSE)="牵丝",VLOOKUP($E47,武器奇术!$A:$R,4,FALSE),VLOOKUP($E47,武器奇术!$A:$R,2,FALSE))*(1+DF47)*(1+DG47)*DH47</f>
        <v>411.42649027584</v>
      </c>
      <c r="DP47" s="104">
        <f t="shared" si="30"/>
        <v>0.0311</v>
      </c>
      <c r="DQ47" s="112">
        <f t="shared" si="31"/>
        <v>682.251295598958</v>
      </c>
    </row>
    <row r="48" customFormat="1" spans="2:121">
      <c r="B48" s="132"/>
      <c r="C48" s="21"/>
      <c r="D48" s="129"/>
      <c r="E48" s="115" t="s">
        <v>146</v>
      </c>
      <c r="F48" s="116">
        <v>1</v>
      </c>
      <c r="G48" s="117"/>
      <c r="H48" s="103">
        <f>IF(VLOOKUP($E48,武器奇术!$A:$R,18,FALSE)="天工",AE48,(AE48+AT48+BI48+BX48+CM48+DB48+DQ48))*(1+J48)*F48*K48*(1+G48)</f>
        <v>10730.9735649313</v>
      </c>
      <c r="I48" s="104">
        <f t="shared" si="42"/>
        <v>0.00123674425126711</v>
      </c>
      <c r="J48" s="138">
        <f>$F$3+VLOOKUP($E48,武器奇术!$A:$R,12,FALSE)+VLOOKUP($E48,武器奇术!$A:$R,14,FALSE)*$G$3+$P48</f>
        <v>0.503</v>
      </c>
      <c r="K48" s="105">
        <f>VLOOKUP($E48,武器奇术!$A:$R,11,FALSE)</f>
        <v>1</v>
      </c>
      <c r="L48" s="119">
        <f>IF(VLOOKUP($E48,武器奇术!$A:$R,15,FALSE)="天工",0%,IF($C$17+VLOOKUP($E48,武器奇术!$A:$R,7,FALSE)&gt;80%,80%,$C$17+VLOOKUP($E48,武器奇术!$A:$R,7,FALSE))+IF($C$19&gt;20%,20%,$C$19))</f>
        <v>0.8703</v>
      </c>
      <c r="M48" s="120">
        <f>IF(VLOOKUP($E48,武器奇术!$A:$R,15,FALSE)="天工",0%,IF($C$18+VLOOKUP($E48,武器奇术!$A:$R,9,FALSE)&gt;40%,40%,$C$18+VLOOKUP($E48,武器奇术!$A:$R,9,FALSE))+IF($C$20&gt;10%,10%,$C$20))</f>
        <v>0.0986</v>
      </c>
      <c r="N48" s="121">
        <f>IF(VLOOKUP($E48,武器奇术!$A:$R,15,FALSE)="天工",100%,MIN($C$16,1))</f>
        <v>1</v>
      </c>
      <c r="O48" s="122" t="str">
        <f>VLOOKUP($E48,武器奇术!$A:$R,16,FALSE)</f>
        <v>伞</v>
      </c>
      <c r="P48" s="123">
        <f t="shared" si="32"/>
        <v>0.17</v>
      </c>
      <c r="Q48" s="110">
        <f>$B$5*(1+VLOOKUP($E48,武器奇术!$A:$R,5,FALSE))*(1+VLOOKUP($E48,武器奇术!$A:$S,19,FALSE)+IF($G$5="飞隼",0.1,0)+IF($G$5="撼天",0.05,0))-$F$9+IF($J$5="√",160,0)</f>
        <v>3324.7</v>
      </c>
      <c r="R48" s="102">
        <f>IF(VLOOKUP($E48,武器奇术!$A:$Z,18,FALSE)="叶龙",(S48-(Q48+S48)*0.5)*($G$15-0.5)*2+(Q48+S48)*0.5,(Q48+S48)*0.5)</f>
        <v>3404.7</v>
      </c>
      <c r="S48" s="102">
        <f>MAX($C$5,$B$5)*(1+VLOOKUP($E48,武器奇术!$A:$R,6,FALSE))*(1+VLOOKUP($E48,武器奇术!$A:$S,19,FALSE)+IF($G$5="飞隼",0.1,0)+IF($G$5="撼天",0.05,0))-$F$9+IF($J$5="√",320,0)</f>
        <v>3484.7</v>
      </c>
      <c r="T48" s="104">
        <f>IF(($D$5+VLOOKUP($E48,武器奇术!$A:$R,13,FALSE)+IF($I$3="√",10,0)-VLOOKUP($F$7,目标属性!$A:$R,5,FALSE))&gt;0,($D$5+VLOOKUP($E48,武器奇术!$A:$R,13,FALSE)+IF($I$3="√",10,0)-VLOOKUP($F$7,目标属性!$A:$R,5,FALSE))/200,($D$5+VLOOKUP($E48,武器奇术!$A:$R,13,FALSE)+IF($I$3="√",10,0)-VLOOKUP($F$7,目标属性!$A:$R,5,FALSE))/100)</f>
        <v>0.3925</v>
      </c>
      <c r="U48" s="111">
        <f>$E$5+IF($G$5="烟柳",IF(VLOOKUP($E48,武器奇术!$A:$T,20,FALSE)=1,0.1,0),0)</f>
        <v>0</v>
      </c>
      <c r="V48" s="102">
        <v>1</v>
      </c>
      <c r="W48" s="103">
        <f>Q48*VLOOKUP($E48,武器奇术!$A:$R,2,FALSE)*(1+T48)*(1+U48)*V48</f>
        <v>2495.37852025</v>
      </c>
      <c r="X48" s="104">
        <f>(1-IF(VLOOKUP($E48,武器奇术!$A:$R,18,FALSE)="叶龙",1,$N48))*(1-$M48)</f>
        <v>0</v>
      </c>
      <c r="Y48" s="103">
        <f>R48*VLOOKUP($E48,武器奇术!$A:$R,2,FALSE)*(1+T48)*(1+U48)*V48*(1+$E$16+VLOOKUP($E48,武器奇术!$A:$R,8,FALSE))</f>
        <v>4839.9713897535</v>
      </c>
      <c r="Z48" s="104">
        <f t="shared" si="33"/>
        <v>0.8703</v>
      </c>
      <c r="AA48" s="103">
        <f>S48*VLOOKUP($E48,武器奇术!$A:$R,2,FALSE)*(1+T48)*(1+U48)*V48*(1+$E$17+VLOOKUP($E48,武器奇术!$A:$R,10,FALSE))</f>
        <v>3530.8814223375</v>
      </c>
      <c r="AB48" s="104">
        <f t="shared" si="34"/>
        <v>0.0986</v>
      </c>
      <c r="AC48" s="103">
        <f>R48*VLOOKUP($E48,武器奇术!$A:$R,2,FALSE)*(1+T48)*(1+U48)*V48</f>
        <v>2555.42312025</v>
      </c>
      <c r="AD48" s="104">
        <f t="shared" si="35"/>
        <v>0.0311</v>
      </c>
      <c r="AE48" s="112">
        <f t="shared" si="36"/>
        <v>4639.84566778472</v>
      </c>
      <c r="AF48" s="113">
        <f>VLOOKUP($E48,武器奇术!$A:$R,3,FALSE)*(1+IF(VLOOKUP($E48,武器奇术!$A:$R,15,FALSE)="武器",$E$15,0))</f>
        <v>161.8617</v>
      </c>
      <c r="AG48" s="103">
        <f t="shared" si="1"/>
        <v>161.8617</v>
      </c>
      <c r="AH48" s="103">
        <f>VLOOKUP($E48,武器奇术!$A:$R,3,FALSE)*(1+IF(VLOOKUP($E48,武器奇术!$A:$R,15,FALSE)="武器",$E$15,0))</f>
        <v>161.8617</v>
      </c>
      <c r="AI48" s="104">
        <f>IF(($D$5+VLOOKUP($E48,武器奇术!$A:$R,13,FALSE)+IF($I$3="√",10,0)-VLOOKUP($F$7,目标属性!$A:$R,5,FALSE))&gt;0,($D$5+VLOOKUP($E48,武器奇术!$A:$R,13,FALSE)+IF($I$3="√",10,0)-VLOOKUP($F$7,目标属性!$A:$R,5,FALSE))/200,($D$5+VLOOKUP($E48,武器奇术!$A:$R,13,FALSE)+IF($I$3="√",10,0)-VLOOKUP($F$7,目标属性!$A:$R,5,FALSE))/100)</f>
        <v>0.3925</v>
      </c>
      <c r="AJ48" s="111">
        <f>$E$5+IF($G$5="烟柳",IF(VLOOKUP($E48,武器奇术!$A:$T,20,FALSE)=1,0.1,0),0)</f>
        <v>0</v>
      </c>
      <c r="AK48" s="102">
        <v>1</v>
      </c>
      <c r="AL48" s="103">
        <f t="shared" si="37"/>
        <v>225.39241725</v>
      </c>
      <c r="AM48" s="104">
        <f>(1-IF(VLOOKUP($E48,武器奇术!$A:$R,18,FALSE)="叶龙",1,$N48))*(1-$M48)</f>
        <v>0</v>
      </c>
      <c r="AN48" s="103">
        <f>AG48*(1+AI48)*(1+AJ48)*AK48*(1+$E$16+VLOOKUP($E48,武器奇术!$A:$R,8,FALSE))</f>
        <v>426.8932382715</v>
      </c>
      <c r="AO48" s="104">
        <f t="shared" si="2"/>
        <v>0.8703</v>
      </c>
      <c r="AP48" s="103">
        <f>AH48*(1+AI48)*(1+AJ48)*AK48*(1+$E$17+VLOOKUP($E48,武器奇术!$A:$R,10,FALSE))</f>
        <v>304.2797632875</v>
      </c>
      <c r="AQ48" s="104">
        <f t="shared" si="3"/>
        <v>0.0986</v>
      </c>
      <c r="AR48" s="103">
        <f t="shared" si="38"/>
        <v>225.39241725</v>
      </c>
      <c r="AS48" s="104">
        <f t="shared" si="4"/>
        <v>0.0311</v>
      </c>
      <c r="AT48" s="112">
        <f t="shared" si="5"/>
        <v>408.536874104309</v>
      </c>
      <c r="AU48" s="110">
        <f>$B$7*IF($G$5="撼天",1.05,1)+IF(AND(VLOOKUP($E48,武器奇术!$A:$R,15,FALSE)="武器",VLOOKUP($E48,武器奇术!$A:$R,17,FALSE)="鸣金"),$E$3*(1+$E$15),0)</f>
        <v>0</v>
      </c>
      <c r="AV48" s="102">
        <f t="shared" si="6"/>
        <v>0</v>
      </c>
      <c r="AW48" s="102">
        <f>MAX($C$7*IF($G$5="撼天",1.05,1)+IF(AND(VLOOKUP($E48,武器奇术!$A:$R,15,FALSE)="武器",VLOOKUP($E48,武器奇术!$A:$R,17,FALSE)="鸣金"),$E$3*(1+$E$15),0),AU48)</f>
        <v>0</v>
      </c>
      <c r="AX48" s="104">
        <f>IF(($D$7+IF(VLOOKUP($E48,武器奇术!$A:$R,17,FALSE)="鸣金",$D$15,0)-VLOOKUP($F$7,目标属性!$A:$R,6,FALSE))&gt;0,($D$7+IF(VLOOKUP($E48,武器奇术!$A:$R,17,FALSE)="鸣金",$D$15,0)-VLOOKUP($F$7,目标属性!$A:$R,6,FALSE))/200,($D$7+IF(VLOOKUP($E48,武器奇术!$A:$R,17,FALSE)="鸣金",$D$15,0)-VLOOKUP($F$7,目标属性!$A:$R,6,FALSE))/100)</f>
        <v>-0.24</v>
      </c>
      <c r="AY48" s="111">
        <f t="shared" si="7"/>
        <v>0</v>
      </c>
      <c r="AZ48" s="102">
        <v>1</v>
      </c>
      <c r="BA48" s="103">
        <f>AU48*IF(VLOOKUP($E48,武器奇术!$A:$R,17,FALSE)="鸣金",VLOOKUP($E48,武器奇术!$A:$R,4,FALSE),VLOOKUP($E48,武器奇术!$A:$R,2,FALSE))*(1+AX48)*(1+AY48)*AZ48</f>
        <v>0</v>
      </c>
      <c r="BB48" s="104">
        <f>(1-IF(VLOOKUP($E48,武器奇术!$A:$R,18,FALSE)="叶龙",1,$N48))*(1-$M48)</f>
        <v>0</v>
      </c>
      <c r="BC48" s="103">
        <f>AV48*IF(VLOOKUP($E48,武器奇术!$A:$R,17,FALSE)="鸣金",VLOOKUP($E48,武器奇术!$A:$R,4,FALSE),VLOOKUP($E48,武器奇术!$A:$R,2,FALSE))*(1+AX48)*(1+AY48)*AZ48*(1+$E$16+VLOOKUP($E48,武器奇术!$A:$R,8,FALSE))</f>
        <v>0</v>
      </c>
      <c r="BD48" s="104">
        <f t="shared" si="8"/>
        <v>0.8703</v>
      </c>
      <c r="BE48" s="103">
        <f>AW48*IF(VLOOKUP($E48,武器奇术!$A:$R,17,FALSE)="鸣金",VLOOKUP($E48,武器奇术!$A:$R,4,FALSE),VLOOKUP($E48,武器奇术!$A:$R,2,FALSE))*(1+AX48)*(1+AY48)*AZ48*(1+$E$17+VLOOKUP($E48,武器奇术!$A:$R,10,FALSE))</f>
        <v>0</v>
      </c>
      <c r="BF48" s="104">
        <f t="shared" si="9"/>
        <v>0.0986</v>
      </c>
      <c r="BG48" s="103">
        <f>AV48*IF(VLOOKUP($E48,武器奇术!$A:$R,17,FALSE)="鸣金",VLOOKUP($E48,武器奇术!$A:$R,4,FALSE),VLOOKUP($E48,武器奇术!$A:$R,2,FALSE))*(1+AX48)*(1+AY48)*AZ48</f>
        <v>0</v>
      </c>
      <c r="BH48" s="104">
        <f t="shared" si="10"/>
        <v>0.0311</v>
      </c>
      <c r="BI48" s="112">
        <f t="shared" si="11"/>
        <v>0</v>
      </c>
      <c r="BJ48" s="110">
        <f>$B$9*IF($G$5="撼天",1.05,1)+IF(AND(VLOOKUP($E48,武器奇术!$A:$R,15,FALSE)="武器",VLOOKUP($E48,武器奇术!$A:$R,17,FALSE)="裂石"),$E$3*(1+$E$15),0)</f>
        <v>0</v>
      </c>
      <c r="BK48" s="102">
        <f t="shared" si="12"/>
        <v>0</v>
      </c>
      <c r="BL48" s="102">
        <f>MAX($C$9*IF($G$5="撼天",1.05,1)+IF(AND(VLOOKUP($E48,武器奇术!$A:$R,15,FALSE)="武器",VLOOKUP($E48,武器奇术!$A:$R,17,FALSE)="裂石"),$E$3*(1+$E$15),0),BJ48)</f>
        <v>0</v>
      </c>
      <c r="BM48" s="104">
        <f>IF(($D$9+IF(VLOOKUP($E48,武器奇术!$A:$R,17,FALSE)="裂石",$D$15,0)-VLOOKUP($F$7,目标属性!$A:$R,6,FALSE))&gt;0,($D$9+IF(VLOOKUP($E48,武器奇术!$A:$R,17,FALSE)="裂石",$D$15,0)-VLOOKUP($F$7,目标属性!$A:$R,6,FALSE))/200,($D$9+IF(VLOOKUP($E48,武器奇术!$A:$R,17,FALSE)="裂石",$D$15,0)-VLOOKUP($F$7,目标属性!$A:$R,6,FALSE))/100)</f>
        <v>-0.24</v>
      </c>
      <c r="BN48" s="111">
        <f t="shared" si="13"/>
        <v>0</v>
      </c>
      <c r="BO48" s="102">
        <v>1</v>
      </c>
      <c r="BP48" s="103">
        <f>BJ48*IF(VLOOKUP($E48,武器奇术!$A:$R,17,FALSE)="裂石",VLOOKUP($E48,武器奇术!$A:$R,4,FALSE),VLOOKUP($E48,武器奇术!$A:$R,2,FALSE))*(1+BM48)*(1+BN48)*BO48</f>
        <v>0</v>
      </c>
      <c r="BQ48" s="104">
        <f>(1-IF(VLOOKUP($E48,武器奇术!$A:$R,18,FALSE)="叶龙",1,$N48))*(1-$M48)</f>
        <v>0</v>
      </c>
      <c r="BR48" s="103">
        <f>BK48*IF(VLOOKUP($E48,武器奇术!$A:$R,17,FALSE)="裂石",VLOOKUP($E48,武器奇术!$A:$R,4,FALSE),VLOOKUP($E48,武器奇术!$A:$R,2,FALSE))*(1+BM48)*(1+BN48)*BO48*(1+$E$16+VLOOKUP($E48,武器奇术!$A:$R,8,FALSE))</f>
        <v>0</v>
      </c>
      <c r="BS48" s="104">
        <f t="shared" si="14"/>
        <v>0.8703</v>
      </c>
      <c r="BT48" s="103">
        <f>BL48*IF(VLOOKUP($E48,武器奇术!$A:$R,17,FALSE)="裂石",VLOOKUP($E48,武器奇术!$A:$R,4,FALSE),VLOOKUP($E48,武器奇术!$A:$R,2,FALSE))*(1+BM48)*(1+BN48)*BO48*(1+$E$17+VLOOKUP($E48,武器奇术!$A:$R,10,FALSE))</f>
        <v>0</v>
      </c>
      <c r="BU48" s="104">
        <f t="shared" si="15"/>
        <v>0.0986</v>
      </c>
      <c r="BV48" s="103">
        <f>BK48*IF(VLOOKUP($E48,武器奇术!$A:$R,17,FALSE)="裂石",VLOOKUP($E48,武器奇术!$A:$R,4,FALSE),VLOOKUP($E48,武器奇术!$A:$R,2,FALSE))*(1+BM48)*(1+BN48)*BO48</f>
        <v>0</v>
      </c>
      <c r="BW48" s="104">
        <f t="shared" si="16"/>
        <v>0.0311</v>
      </c>
      <c r="BX48" s="112">
        <f t="shared" si="17"/>
        <v>0</v>
      </c>
      <c r="BY48" s="110">
        <f>$B$11*IF($G$5="撼天",1.05,1)+IF(AND(VLOOKUP($E48,武器奇术!$A:$R,15,FALSE)="武器",VLOOKUP($E48,武器奇术!$A:$R,17,FALSE)="牵丝"),$E$3*(1+$E$15),0)</f>
        <v>686.71</v>
      </c>
      <c r="BZ48" s="102">
        <f>IF(VLOOKUP($E48,武器奇术!$A:$Z,18,FALSE)="叶龙",(CA48-(BY48+CA48)*0.5)*($G$15-0.5)*2+(BY48+CA48)*0.5,(BY48+CA48)*0.5)</f>
        <v>1052.21</v>
      </c>
      <c r="CA48" s="102">
        <f>MAX($C$11*IF($G$5="撼天",1.05,1)+IF(AND(VLOOKUP($E48,武器奇术!$A:$R,15,FALSE)="武器",VLOOKUP($E48,武器奇术!$A:$R,17,FALSE)="牵丝"),$E$3*(1+$E$15),0),BY48)</f>
        <v>1417.71</v>
      </c>
      <c r="CB48" s="104">
        <f>IF(($D$11+IF(VLOOKUP($E48,武器奇术!$A:$R,17,FALSE)="牵丝",$D$15,0)-VLOOKUP($F$7,目标属性!$A:$R,6,FALSE))&gt;0,($D$11+IF(VLOOKUP($E48,武器奇术!$A:$R,17,FALSE)="牵丝",$D$15,0)-VLOOKUP($F$7,目标属性!$A:$R,6,FALSE))/200,($D$11+IF(VLOOKUP($E48,武器奇术!$A:$R,17,FALSE)="牵丝",$D$15,0)-VLOOKUP($F$7,目标属性!$A:$R,6,FALSE))/100)</f>
        <v>0.028</v>
      </c>
      <c r="CC48" s="111">
        <f>$E$11+IF($G$5="烟柳",IF(VLOOKUP($E48,武器奇术!$A:$T,20,FALSE)=1,0.1,0),0)</f>
        <v>0.148</v>
      </c>
      <c r="CD48" s="102">
        <v>1</v>
      </c>
      <c r="CE48" s="103">
        <f>BY48*IF(VLOOKUP($E48,武器奇术!$A:$R,17,FALSE)="牵丝",VLOOKUP($E48,武器奇术!$A:$R,4,FALSE),VLOOKUP($E48,武器奇术!$A:$R,2,FALSE))*(1+CB48)*(1+CC48)*CD48</f>
        <v>655.22189082504</v>
      </c>
      <c r="CF48" s="104">
        <f>(1-IF(VLOOKUP($E48,武器奇术!$A:$R,18,FALSE)="叶龙",1,$N48))*(1-$M48)</f>
        <v>0</v>
      </c>
      <c r="CG48" s="124">
        <f>BZ48*IF(VLOOKUP($E48,武器奇术!$A:$R,17,FALSE)="牵丝",VLOOKUP($E48,武器奇术!$A:$R,4,FALSE),VLOOKUP($E48,武器奇术!$A:$R,2,FALSE))*(1+CB48)*(1+CC48)*CD48*(1+$E$16+VLOOKUP($E48,武器奇术!$A:$R,8,FALSE))</f>
        <v>1901.50480226159</v>
      </c>
      <c r="CH48" s="104">
        <f t="shared" si="18"/>
        <v>0.8703</v>
      </c>
      <c r="CI48" s="103">
        <f>CA48*IF(VLOOKUP($E48,武器奇术!$A:$R,17,FALSE)="牵丝",VLOOKUP($E48,武器奇术!$A:$R,4,FALSE),VLOOKUP($E48,武器奇术!$A:$R,2,FALSE))*(1+CB48)*(1+CC48)*CD48*(1+$E$17+VLOOKUP($E48,武器奇术!$A:$R,10,FALSE))</f>
        <v>1826.1489511382</v>
      </c>
      <c r="CJ48" s="104">
        <f t="shared" si="19"/>
        <v>0.0986</v>
      </c>
      <c r="CK48" s="124">
        <f>BZ48*IF(VLOOKUP($E48,武器奇术!$A:$R,17,FALSE)="牵丝",VLOOKUP($E48,武器奇术!$A:$R,4,FALSE),VLOOKUP($E48,武器奇术!$A:$R,2,FALSE))*(1+CB48)*(1+CC48)*CD48</f>
        <v>1003.96240879704</v>
      </c>
      <c r="CL48" s="104">
        <f t="shared" si="20"/>
        <v>0.0311</v>
      </c>
      <c r="CM48" s="112">
        <f t="shared" si="39"/>
        <v>1866.16114690408</v>
      </c>
      <c r="CN48" s="110">
        <f>$B$13*IF($G$5="撼天",1.05,1)+IF(AND(VLOOKUP($E48,武器奇术!$A:$R,15,FALSE)="武器",VLOOKUP($E48,武器奇术!$A:$R,17,FALSE)="破竹"),$E$3*(1+$E$15),0)</f>
        <v>0</v>
      </c>
      <c r="CO48" s="102">
        <f t="shared" si="21"/>
        <v>0</v>
      </c>
      <c r="CP48" s="102">
        <f>MAX($C$13*IF($G$5="撼天",1.05,1)+IF(AND(VLOOKUP($E48,武器奇术!$A:$R,15,FALSE)="武器",VLOOKUP($E48,武器奇术!$A:$R,17,FALSE)="破竹"),$E$3*(1+$E$15),0),CN48)</f>
        <v>0</v>
      </c>
      <c r="CQ48" s="104">
        <f>IF(($D$13+IF(VLOOKUP($E48,武器奇术!$A:$R,17,FALSE)="破竹",$D$15,0)-VLOOKUP($F$7,目标属性!$A:$R,6,FALSE))&gt;0,($D$13+IF(VLOOKUP($E48,武器奇术!$A:$R,17,FALSE)="破竹",$D$15,0)-VLOOKUP($F$7,目标属性!$A:$R,6,FALSE))/200,($D$13+IF(VLOOKUP($E48,武器奇术!$A:$R,17,FALSE)="破竹",$D$15,0)-VLOOKUP($F$7,目标属性!$A:$R,6,FALSE))/100)</f>
        <v>-0.24</v>
      </c>
      <c r="CR48" s="111">
        <f t="shared" si="22"/>
        <v>0</v>
      </c>
      <c r="CS48" s="102">
        <v>1</v>
      </c>
      <c r="CT48" s="103">
        <f>CN48*IF(VLOOKUP($E48,武器奇术!$A:$R,17,FALSE)="破竹",VLOOKUP($E48,武器奇术!$A:$R,4,FALSE),VLOOKUP($E48,武器奇术!$A:$R,2,FALSE))*(1+CQ48)*(1+CR48)*CS48</f>
        <v>0</v>
      </c>
      <c r="CU48" s="104">
        <f>(1-IF(VLOOKUP($E48,武器奇术!$A:$R,18,FALSE)="叶龙",1,$N48))*(1-$M48)</f>
        <v>0</v>
      </c>
      <c r="CV48" s="103">
        <f>CO48*IF(VLOOKUP($E48,武器奇术!$A:$R,17,FALSE)="破竹",VLOOKUP($E48,武器奇术!$A:$R,4,FALSE),VLOOKUP($E48,武器奇术!$A:$R,2,FALSE))*(1+CQ48)*(1+CR48)*CS48*(1+$E$16+VLOOKUP($E48,武器奇术!$A:$R,8,FALSE))</f>
        <v>0</v>
      </c>
      <c r="CW48" s="104">
        <f t="shared" si="23"/>
        <v>0.8703</v>
      </c>
      <c r="CX48" s="103">
        <f>CP48*IF(VLOOKUP($E48,武器奇术!$A:$R,17,FALSE)="破竹",VLOOKUP($E48,武器奇术!$A:$R,4,FALSE),VLOOKUP($E48,武器奇术!$A:$R,2,FALSE))*(1+CQ48)*(1+CR48)*CS48*(1+$E$17+VLOOKUP($E48,武器奇术!$A:$R,10,FALSE))</f>
        <v>0</v>
      </c>
      <c r="CY48" s="104">
        <f t="shared" si="24"/>
        <v>0.0986</v>
      </c>
      <c r="CZ48" s="103">
        <f>CO48*IF(VLOOKUP($E48,武器奇术!$A:$R,17,FALSE)="破竹",VLOOKUP($E48,武器奇术!$A:$R,4,FALSE),VLOOKUP($E48,武器奇术!$A:$R,2,FALSE))*(1+CQ48)*(1+CR48)*CS48</f>
        <v>0</v>
      </c>
      <c r="DA48" s="104">
        <f t="shared" si="25"/>
        <v>0.0311</v>
      </c>
      <c r="DB48" s="112">
        <f t="shared" si="26"/>
        <v>0</v>
      </c>
      <c r="DC48" s="110">
        <f t="shared" si="40"/>
        <v>66</v>
      </c>
      <c r="DD48" s="102">
        <f t="shared" si="27"/>
        <v>125.8</v>
      </c>
      <c r="DE48" s="102">
        <f t="shared" si="41"/>
        <v>185.6</v>
      </c>
      <c r="DF48" s="104">
        <f>IF((IF(VLOOKUP($E48,武器奇术!$A:$R,17,FALSE)="鸣金",$D$7,0)+IF(VLOOKUP($E48,武器奇术!$A:$R,17,FALSE)="裂石",$D$9,0)+IF(VLOOKUP($E48,武器奇术!$A:$R,17,FALSE)="牵丝",$D$11,0)+IF(VLOOKUP($E48,武器奇术!$A:$R,17,FALSE)="破竹",$D$13,0)+$D$15-VLOOKUP($F$7,目标属性!$A:$R,6,FALSE))&gt;0,(IF(VLOOKUP($E48,武器奇术!$A:$R,17,FALSE)="鸣金",$D$7,0)+IF(VLOOKUP($E48,武器奇术!$A:$R,17,FALSE)="裂石",$D$9,0)+IF(VLOOKUP($E48,武器奇术!$A:$R,17,FALSE)="牵丝",$D$11,0)+IF(VLOOKUP($E48,武器奇术!$A:$R,17,FALSE)="破竹",$D$13,0)+$D$15-VLOOKUP($F$7,目标属性!$A:$R,6,FALSE))/200,(IF(VLOOKUP($E48,武器奇术!$A:$R,17,FALSE)="鸣金",$D$7,0)+IF(VLOOKUP($E48,武器奇术!$A:$R,17,FALSE)="裂石",$D$9,0)+IF(VLOOKUP($E48,武器奇术!$A:$R,17,FALSE)="牵丝",$D$11,0)+IF(VLOOKUP($E48,武器奇术!$A:$R,17,FALSE)="破竹",$D$13,0)+$D$15-VLOOKUP($F$7,目标属性!$A:$R,6,FALSE))/100)</f>
        <v>0.028</v>
      </c>
      <c r="DG48" s="111">
        <f>$E$11+IF($G$5="烟柳",IF(VLOOKUP($E48,武器奇术!$A:$T,20,FALSE)=1,0.1,0),0)</f>
        <v>0.148</v>
      </c>
      <c r="DH48" s="102">
        <v>1</v>
      </c>
      <c r="DI48" s="103">
        <f>DC48*IF(VLOOKUP($E48,武器奇术!$A:$R,17,FALSE)="牵丝",VLOOKUP($E48,武器奇术!$A:$R,4,FALSE),VLOOKUP($E48,武器奇术!$A:$R,2,FALSE))*(1+DF48)*(1+DG48)*DH48</f>
        <v>62.973663984</v>
      </c>
      <c r="DJ48" s="104">
        <f>(1-IF(VLOOKUP($E48,武器奇术!$A:$R,18,FALSE)="叶龙",1,$N48))*(1-$M48)</f>
        <v>0</v>
      </c>
      <c r="DK48" s="124">
        <f>DD48*IF(VLOOKUP($E48,武器奇术!$A:$R,17,FALSE)="牵丝",VLOOKUP($E48,武器奇术!$A:$R,4,FALSE),VLOOKUP($E48,武器奇术!$A:$R,2,FALSE))*(1+DF48)*(1+DG48)*DH48*(1+$E$16+VLOOKUP($E48,武器奇术!$A:$R,8,FALSE))</f>
        <v>227.339888543645</v>
      </c>
      <c r="DL48" s="104">
        <f t="shared" si="28"/>
        <v>0.8703</v>
      </c>
      <c r="DM48" s="103">
        <f>DE48*IF(VLOOKUP($E48,武器奇术!$A:$R,17,FALSE)="牵丝",VLOOKUP($E48,武器奇术!$A:$R,4,FALSE),VLOOKUP($E48,武器奇术!$A:$R,2,FALSE))*(1+DF48)*(1+DG48)*DH48*(1+$E$17+VLOOKUP($E48,武器奇术!$A:$R,10,FALSE))</f>
        <v>239.07092799744</v>
      </c>
      <c r="DN48" s="104">
        <f t="shared" si="29"/>
        <v>0.0986</v>
      </c>
      <c r="DO48" s="124">
        <f>DD48*IF(VLOOKUP($E48,武器奇术!$A:$R,17,FALSE)="牵丝",VLOOKUP($E48,武器奇术!$A:$R,4,FALSE),VLOOKUP($E48,武器奇术!$A:$R,2,FALSE))*(1+DF48)*(1+DG48)*DH48</f>
        <v>120.0316201392</v>
      </c>
      <c r="DP48" s="104">
        <f t="shared" si="30"/>
        <v>0.0311</v>
      </c>
      <c r="DQ48" s="112">
        <f t="shared" si="31"/>
        <v>225.159281886411</v>
      </c>
    </row>
    <row r="49" customFormat="1" customHeight="1" spans="1:121">
      <c r="B49" s="135"/>
      <c r="C49" s="127"/>
      <c r="D49" s="128"/>
      <c r="E49" s="115" t="s">
        <v>147</v>
      </c>
      <c r="F49" s="116">
        <v>1</v>
      </c>
      <c r="G49" s="117"/>
      <c r="H49" s="103">
        <f>IF(VLOOKUP($E49,武器奇术!$A:$R,18,FALSE)="天工",AE49,(AE49+AT49+BI49+BX49+CM49+DB49+DQ49))*(1+J49)*F49*K49*(1+G49)</f>
        <v>17396.6022034931</v>
      </c>
      <c r="I49" s="104">
        <f t="shared" si="42"/>
        <v>0.00200495767104134</v>
      </c>
      <c r="J49" s="138">
        <f>$F$3+VLOOKUP($E49,武器奇术!$A:$R,12,FALSE)+VLOOKUP($E49,武器奇术!$A:$R,14,FALSE)*$G$3+$P49</f>
        <v>0.417</v>
      </c>
      <c r="K49" s="105">
        <f>VLOOKUP($E49,武器奇术!$A:$R,11,FALSE)</f>
        <v>1</v>
      </c>
      <c r="L49" s="119">
        <f>IF(VLOOKUP($E49,武器奇术!$A:$R,15,FALSE)="天工",0%,IF($C$17+VLOOKUP($E49,武器奇术!$A:$R,7,FALSE)&gt;80%,80%,$C$17+VLOOKUP($E49,武器奇术!$A:$R,7,FALSE))+IF($C$19&gt;20%,20%,$C$19))</f>
        <v>0.8703</v>
      </c>
      <c r="M49" s="120">
        <f>IF(VLOOKUP($E49,武器奇术!$A:$R,15,FALSE)="天工",0%,IF($C$18+VLOOKUP($E49,武器奇术!$A:$R,9,FALSE)&gt;40%,40%,$C$18+VLOOKUP($E49,武器奇术!$A:$R,9,FALSE))+IF($C$20&gt;10%,10%,$C$20))</f>
        <v>0.0986</v>
      </c>
      <c r="N49" s="121">
        <f>IF(VLOOKUP($E49,武器奇术!$A:$R,15,FALSE)="天工",100%,MIN($C$16,1))</f>
        <v>1</v>
      </c>
      <c r="O49" s="122" t="str">
        <f>VLOOKUP($E49,武器奇术!$A:$R,16,FALSE)</f>
        <v>扇</v>
      </c>
      <c r="P49" s="123">
        <f t="shared" si="32"/>
        <v>0.084</v>
      </c>
      <c r="Q49" s="110">
        <f>$B$5*(1+VLOOKUP($E49,武器奇术!$A:$R,5,FALSE))*(1+VLOOKUP($E49,武器奇术!$A:$S,19,FALSE)+IF($G$5="飞隼",0.1,0)+IF($G$5="撼天",0.05,0))-$F$9+IF($J$5="√",160,0)</f>
        <v>3324.7</v>
      </c>
      <c r="R49" s="102">
        <f>IF(VLOOKUP($E49,武器奇术!$A:$Z,18,FALSE)="叶龙",(S49-(Q49+S49)*0.5)*($G$15-0.5)*2+(Q49+S49)*0.5,(Q49+S49)*0.5)</f>
        <v>3404.7</v>
      </c>
      <c r="S49" s="102">
        <f>MAX($C$5,$B$5)*(1+VLOOKUP($E49,武器奇术!$A:$R,6,FALSE))*(1+VLOOKUP($E49,武器奇术!$A:$S,19,FALSE)+IF($G$5="飞隼",0.1,0)+IF($G$5="撼天",0.05,0))-$F$9+IF($J$5="√",320,0)</f>
        <v>3484.7</v>
      </c>
      <c r="T49" s="104">
        <f>IF(($D$5+VLOOKUP($E49,武器奇术!$A:$R,13,FALSE)+IF($I$3="√",10,0)-VLOOKUP($F$7,目标属性!$A:$R,5,FALSE))&gt;0,($D$5+VLOOKUP($E49,武器奇术!$A:$R,13,FALSE)+IF($I$3="√",10,0)-VLOOKUP($F$7,目标属性!$A:$R,5,FALSE))/200,($D$5+VLOOKUP($E49,武器奇术!$A:$R,13,FALSE)+IF($I$3="√",10,0)-VLOOKUP($F$7,目标属性!$A:$R,5,FALSE))/100)</f>
        <v>0.3925</v>
      </c>
      <c r="U49" s="111">
        <f>$E$5+IF($G$5="烟柳",IF(VLOOKUP($E49,武器奇术!$A:$T,20,FALSE)=1,0.1,0),0)</f>
        <v>0</v>
      </c>
      <c r="V49" s="102">
        <v>1</v>
      </c>
      <c r="W49" s="103">
        <f>Q49*VLOOKUP($E49,武器奇术!$A:$R,2,FALSE)*(1+T49)*(1+U49)*V49</f>
        <v>4289.82882535</v>
      </c>
      <c r="X49" s="104">
        <f>(1-IF(VLOOKUP($E49,武器奇术!$A:$R,18,FALSE)="叶龙",1,$N49))*(1-$M49)</f>
        <v>0</v>
      </c>
      <c r="Y49" s="103">
        <f>R49*VLOOKUP($E49,武器奇术!$A:$R,2,FALSE)*(1+T49)*(1+U49)*V49*(1+$E$16+VLOOKUP($E49,武器奇术!$A:$R,8,FALSE))</f>
        <v>8320.4406117729</v>
      </c>
      <c r="Z49" s="104">
        <f t="shared" si="33"/>
        <v>0.8703</v>
      </c>
      <c r="AA49" s="103">
        <f>S49*VLOOKUP($E49,武器奇术!$A:$R,2,FALSE)*(1+T49)*(1+U49)*V49*(1+$E$17+VLOOKUP($E49,武器奇术!$A:$R,10,FALSE))</f>
        <v>6069.9716622225</v>
      </c>
      <c r="AB49" s="104">
        <f t="shared" si="34"/>
        <v>0.0986</v>
      </c>
      <c r="AC49" s="103">
        <f>R49*VLOOKUP($E49,武器奇术!$A:$R,2,FALSE)*(1+T49)*(1+U49)*V49</f>
        <v>4393.05206535</v>
      </c>
      <c r="AD49" s="104">
        <f t="shared" si="35"/>
        <v>0.0311</v>
      </c>
      <c r="AE49" s="112">
        <f t="shared" si="36"/>
        <v>7976.40258955348</v>
      </c>
      <c r="AF49" s="113">
        <f>VLOOKUP($E49,武器奇术!$A:$R,3,FALSE)*(1+IF(VLOOKUP($E49,武器奇术!$A:$R,15,FALSE)="武器",$E$15,0))</f>
        <v>279.5</v>
      </c>
      <c r="AG49" s="103">
        <f t="shared" si="1"/>
        <v>279.5</v>
      </c>
      <c r="AH49" s="103">
        <f>VLOOKUP($E49,武器奇术!$A:$R,3,FALSE)*(1+IF(VLOOKUP($E49,武器奇术!$A:$R,15,FALSE)="武器",$E$15,0))</f>
        <v>279.5</v>
      </c>
      <c r="AI49" s="104">
        <f>IF(($D$5+VLOOKUP($E49,武器奇术!$A:$R,13,FALSE)+IF($I$3="√",10,0)-VLOOKUP($F$7,目标属性!$A:$R,5,FALSE))&gt;0,($D$5+VLOOKUP($E49,武器奇术!$A:$R,13,FALSE)+IF($I$3="√",10,0)-VLOOKUP($F$7,目标属性!$A:$R,5,FALSE))/200,($D$5+VLOOKUP($E49,武器奇术!$A:$R,13,FALSE)+IF($I$3="√",10,0)-VLOOKUP($F$7,目标属性!$A:$R,5,FALSE))/100)</f>
        <v>0.3925</v>
      </c>
      <c r="AJ49" s="111">
        <f>$E$5+IF($G$5="烟柳",IF(VLOOKUP($E49,武器奇术!$A:$T,20,FALSE)=1,0.1,0),0)</f>
        <v>0</v>
      </c>
      <c r="AK49" s="102">
        <v>1</v>
      </c>
      <c r="AL49" s="103">
        <f t="shared" si="37"/>
        <v>389.20375</v>
      </c>
      <c r="AM49" s="104">
        <f>(1-IF(VLOOKUP($E49,武器奇术!$A:$R,18,FALSE)="叶龙",1,$N49))*(1-$M49)</f>
        <v>0</v>
      </c>
      <c r="AN49" s="103">
        <f>AG49*(1+AI49)*(1+AJ49)*AK49*(1+$E$16+VLOOKUP($E49,武器奇术!$A:$R,8,FALSE))</f>
        <v>737.1519025</v>
      </c>
      <c r="AO49" s="104">
        <f t="shared" si="2"/>
        <v>0.8703</v>
      </c>
      <c r="AP49" s="103">
        <f>AH49*(1+AI49)*(1+AJ49)*AK49*(1+$E$17+VLOOKUP($E49,武器奇术!$A:$R,10,FALSE))</f>
        <v>525.4250625</v>
      </c>
      <c r="AQ49" s="104">
        <f t="shared" si="3"/>
        <v>0.0986</v>
      </c>
      <c r="AR49" s="103">
        <f t="shared" si="38"/>
        <v>389.20375</v>
      </c>
      <c r="AS49" s="104">
        <f t="shared" si="4"/>
        <v>0.0311</v>
      </c>
      <c r="AT49" s="112">
        <f t="shared" si="5"/>
        <v>705.45444853325</v>
      </c>
      <c r="AU49" s="110">
        <f>$B$7*IF($G$5="撼天",1.05,1)+IF(AND(VLOOKUP($E49,武器奇术!$A:$R,15,FALSE)="武器",VLOOKUP($E49,武器奇术!$A:$R,17,FALSE)="鸣金"),$E$3*(1+$E$15),0)</f>
        <v>0</v>
      </c>
      <c r="AV49" s="102">
        <f t="shared" si="6"/>
        <v>0</v>
      </c>
      <c r="AW49" s="102">
        <f>MAX($C$7*IF($G$5="撼天",1.05,1)+IF(AND(VLOOKUP($E49,武器奇术!$A:$R,15,FALSE)="武器",VLOOKUP($E49,武器奇术!$A:$R,17,FALSE)="鸣金"),$E$3*(1+$E$15),0),AU49)</f>
        <v>0</v>
      </c>
      <c r="AX49" s="104">
        <f>IF(($D$7+IF(VLOOKUP($E49,武器奇术!$A:$R,17,FALSE)="鸣金",$D$15,0)-VLOOKUP($F$7,目标属性!$A:$R,6,FALSE))&gt;0,($D$7+IF(VLOOKUP($E49,武器奇术!$A:$R,17,FALSE)="鸣金",$D$15,0)-VLOOKUP($F$7,目标属性!$A:$R,6,FALSE))/200,($D$7+IF(VLOOKUP($E49,武器奇术!$A:$R,17,FALSE)="鸣金",$D$15,0)-VLOOKUP($F$7,目标属性!$A:$R,6,FALSE))/100)</f>
        <v>-0.24</v>
      </c>
      <c r="AY49" s="111">
        <f t="shared" si="7"/>
        <v>0</v>
      </c>
      <c r="AZ49" s="102">
        <v>1</v>
      </c>
      <c r="BA49" s="103">
        <f>AU49*IF(VLOOKUP($E49,武器奇术!$A:$R,17,FALSE)="鸣金",VLOOKUP($E49,武器奇术!$A:$R,4,FALSE),VLOOKUP($E49,武器奇术!$A:$R,2,FALSE))*(1+AX49)*(1+AY49)*AZ49</f>
        <v>0</v>
      </c>
      <c r="BB49" s="104">
        <f>(1-IF(VLOOKUP($E49,武器奇术!$A:$R,18,FALSE)="叶龙",1,$N49))*(1-$M49)</f>
        <v>0</v>
      </c>
      <c r="BC49" s="103">
        <f>AV49*IF(VLOOKUP($E49,武器奇术!$A:$R,17,FALSE)="鸣金",VLOOKUP($E49,武器奇术!$A:$R,4,FALSE),VLOOKUP($E49,武器奇术!$A:$R,2,FALSE))*(1+AX49)*(1+AY49)*AZ49*(1+$E$16+VLOOKUP($E49,武器奇术!$A:$R,8,FALSE))</f>
        <v>0</v>
      </c>
      <c r="BD49" s="104">
        <f t="shared" si="8"/>
        <v>0.8703</v>
      </c>
      <c r="BE49" s="103">
        <f>AW49*IF(VLOOKUP($E49,武器奇术!$A:$R,17,FALSE)="鸣金",VLOOKUP($E49,武器奇术!$A:$R,4,FALSE),VLOOKUP($E49,武器奇术!$A:$R,2,FALSE))*(1+AX49)*(1+AY49)*AZ49*(1+$E$17+VLOOKUP($E49,武器奇术!$A:$R,10,FALSE))</f>
        <v>0</v>
      </c>
      <c r="BF49" s="104">
        <f t="shared" si="9"/>
        <v>0.0986</v>
      </c>
      <c r="BG49" s="103">
        <f>AV49*IF(VLOOKUP($E49,武器奇术!$A:$R,17,FALSE)="鸣金",VLOOKUP($E49,武器奇术!$A:$R,4,FALSE),VLOOKUP($E49,武器奇术!$A:$R,2,FALSE))*(1+AX49)*(1+AY49)*AZ49</f>
        <v>0</v>
      </c>
      <c r="BH49" s="104">
        <f t="shared" si="10"/>
        <v>0.0311</v>
      </c>
      <c r="BI49" s="112">
        <f t="shared" si="11"/>
        <v>0</v>
      </c>
      <c r="BJ49" s="110">
        <f>$B$9*IF($G$5="撼天",1.05,1)+IF(AND(VLOOKUP($E49,武器奇术!$A:$R,15,FALSE)="武器",VLOOKUP($E49,武器奇术!$A:$R,17,FALSE)="裂石"),$E$3*(1+$E$15),0)</f>
        <v>0</v>
      </c>
      <c r="BK49" s="102">
        <f t="shared" si="12"/>
        <v>0</v>
      </c>
      <c r="BL49" s="102">
        <f>MAX($C$9*IF($G$5="撼天",1.05,1)+IF(AND(VLOOKUP($E49,武器奇术!$A:$R,15,FALSE)="武器",VLOOKUP($E49,武器奇术!$A:$R,17,FALSE)="裂石"),$E$3*(1+$E$15),0),BJ49)</f>
        <v>0</v>
      </c>
      <c r="BM49" s="104">
        <f>IF(($D$9+IF(VLOOKUP($E49,武器奇术!$A:$R,17,FALSE)="裂石",$D$15,0)-VLOOKUP($F$7,目标属性!$A:$R,6,FALSE))&gt;0,($D$9+IF(VLOOKUP($E49,武器奇术!$A:$R,17,FALSE)="裂石",$D$15,0)-VLOOKUP($F$7,目标属性!$A:$R,6,FALSE))/200,($D$9+IF(VLOOKUP($E49,武器奇术!$A:$R,17,FALSE)="裂石",$D$15,0)-VLOOKUP($F$7,目标属性!$A:$R,6,FALSE))/100)</f>
        <v>-0.24</v>
      </c>
      <c r="BN49" s="111">
        <f t="shared" si="13"/>
        <v>0</v>
      </c>
      <c r="BO49" s="102">
        <v>1</v>
      </c>
      <c r="BP49" s="103">
        <f>BJ49*IF(VLOOKUP($E49,武器奇术!$A:$R,17,FALSE)="裂石",VLOOKUP($E49,武器奇术!$A:$R,4,FALSE),VLOOKUP($E49,武器奇术!$A:$R,2,FALSE))*(1+BM49)*(1+BN49)*BO49</f>
        <v>0</v>
      </c>
      <c r="BQ49" s="104">
        <f>(1-IF(VLOOKUP($E49,武器奇术!$A:$R,18,FALSE)="叶龙",1,$N49))*(1-$M49)</f>
        <v>0</v>
      </c>
      <c r="BR49" s="103">
        <f>BK49*IF(VLOOKUP($E49,武器奇术!$A:$R,17,FALSE)="裂石",VLOOKUP($E49,武器奇术!$A:$R,4,FALSE),VLOOKUP($E49,武器奇术!$A:$R,2,FALSE))*(1+BM49)*(1+BN49)*BO49*(1+$E$16+VLOOKUP($E49,武器奇术!$A:$R,8,FALSE))</f>
        <v>0</v>
      </c>
      <c r="BS49" s="104">
        <f t="shared" si="14"/>
        <v>0.8703</v>
      </c>
      <c r="BT49" s="103">
        <f>BL49*IF(VLOOKUP($E49,武器奇术!$A:$R,17,FALSE)="裂石",VLOOKUP($E49,武器奇术!$A:$R,4,FALSE),VLOOKUP($E49,武器奇术!$A:$R,2,FALSE))*(1+BM49)*(1+BN49)*BO49*(1+$E$17+VLOOKUP($E49,武器奇术!$A:$R,10,FALSE))</f>
        <v>0</v>
      </c>
      <c r="BU49" s="104">
        <f t="shared" si="15"/>
        <v>0.0986</v>
      </c>
      <c r="BV49" s="103">
        <f>BK49*IF(VLOOKUP($E49,武器奇术!$A:$R,17,FALSE)="裂石",VLOOKUP($E49,武器奇术!$A:$R,4,FALSE),VLOOKUP($E49,武器奇术!$A:$R,2,FALSE))*(1+BM49)*(1+BN49)*BO49</f>
        <v>0</v>
      </c>
      <c r="BW49" s="104">
        <f t="shared" si="16"/>
        <v>0.0311</v>
      </c>
      <c r="BX49" s="112">
        <f t="shared" si="17"/>
        <v>0</v>
      </c>
      <c r="BY49" s="110">
        <f>$B$11*IF($G$5="撼天",1.05,1)+IF(AND(VLOOKUP($E49,武器奇术!$A:$R,15,FALSE)="武器",VLOOKUP($E49,武器奇术!$A:$R,17,FALSE)="牵丝"),$E$3*(1+$E$15),0)</f>
        <v>686.71</v>
      </c>
      <c r="BZ49" s="102">
        <f>IF(VLOOKUP($E49,武器奇术!$A:$Z,18,FALSE)="叶龙",(CA49-(BY49+CA49)*0.5)*($G$15-0.5)*2+(BY49+CA49)*0.5,(BY49+CA49)*0.5)</f>
        <v>1052.21</v>
      </c>
      <c r="CA49" s="102">
        <f>MAX($C$11*IF($G$5="撼天",1.05,1)+IF(AND(VLOOKUP($E49,武器奇术!$A:$R,15,FALSE)="武器",VLOOKUP($E49,武器奇术!$A:$R,17,FALSE)="牵丝"),$E$3*(1+$E$15),0),BY49)</f>
        <v>1417.71</v>
      </c>
      <c r="CB49" s="104">
        <f>IF(($D$11+IF(VLOOKUP($E49,武器奇术!$A:$R,17,FALSE)="牵丝",$D$15,0)-VLOOKUP($F$7,目标属性!$A:$R,6,FALSE))&gt;0,($D$11+IF(VLOOKUP($E49,武器奇术!$A:$R,17,FALSE)="牵丝",$D$15,0)-VLOOKUP($F$7,目标属性!$A:$R,6,FALSE))/200,($D$11+IF(VLOOKUP($E49,武器奇术!$A:$R,17,FALSE)="牵丝",$D$15,0)-VLOOKUP($F$7,目标属性!$A:$R,6,FALSE))/100)</f>
        <v>0.028</v>
      </c>
      <c r="CC49" s="111">
        <f>$E$11+IF($G$5="烟柳",IF(VLOOKUP($E49,武器奇术!$A:$T,20,FALSE)=1,0.1,0),0)</f>
        <v>0.148</v>
      </c>
      <c r="CD49" s="102">
        <v>1</v>
      </c>
      <c r="CE49" s="103">
        <f>BY49*IF(VLOOKUP($E49,武器奇术!$A:$R,17,FALSE)="牵丝",VLOOKUP($E49,武器奇术!$A:$R,4,FALSE),VLOOKUP($E49,武器奇术!$A:$R,2,FALSE))*(1+CB49)*(1+CC49)*CD49</f>
        <v>1126.39815220498</v>
      </c>
      <c r="CF49" s="104">
        <f>(1-IF(VLOOKUP($E49,武器奇术!$A:$R,18,FALSE)="叶龙",1,$N49))*(1-$M49)</f>
        <v>0</v>
      </c>
      <c r="CG49" s="124">
        <f>BZ49*IF(VLOOKUP($E49,武器奇术!$A:$R,17,FALSE)="牵丝",VLOOKUP($E49,武器奇术!$A:$R,4,FALSE),VLOOKUP($E49,武器奇术!$A:$R,2,FALSE))*(1+CB49)*(1+CC49)*CD49*(1+$E$16+VLOOKUP($E49,武器奇术!$A:$R,8,FALSE))</f>
        <v>3268.89489754284</v>
      </c>
      <c r="CH49" s="104">
        <f t="shared" si="18"/>
        <v>0.8703</v>
      </c>
      <c r="CI49" s="103">
        <f>CA49*IF(VLOOKUP($E49,武器奇术!$A:$R,17,FALSE)="牵丝",VLOOKUP($E49,武器奇术!$A:$R,4,FALSE),VLOOKUP($E49,武器奇术!$A:$R,2,FALSE))*(1+CB49)*(1+CC49)*CD49*(1+$E$17+VLOOKUP($E49,武器奇术!$A:$R,10,FALSE))</f>
        <v>3139.34994086208</v>
      </c>
      <c r="CJ49" s="104">
        <f t="shared" si="19"/>
        <v>0.0986</v>
      </c>
      <c r="CK49" s="124">
        <f>BZ49*IF(VLOOKUP($E49,武器奇术!$A:$R,17,FALSE)="牵丝",VLOOKUP($E49,武器奇术!$A:$R,4,FALSE),VLOOKUP($E49,武器奇术!$A:$R,2,FALSE))*(1+CB49)*(1+CC49)*CD49</f>
        <v>1725.92127642178</v>
      </c>
      <c r="CL49" s="104">
        <f t="shared" si="20"/>
        <v>0.0311</v>
      </c>
      <c r="CM49" s="112">
        <f t="shared" si="39"/>
        <v>3208.13528519726</v>
      </c>
      <c r="CN49" s="110">
        <f>$B$13*IF($G$5="撼天",1.05,1)+IF(AND(VLOOKUP($E49,武器奇术!$A:$R,15,FALSE)="武器",VLOOKUP($E49,武器奇术!$A:$R,17,FALSE)="破竹"),$E$3*(1+$E$15),0)</f>
        <v>0</v>
      </c>
      <c r="CO49" s="102">
        <f t="shared" si="21"/>
        <v>0</v>
      </c>
      <c r="CP49" s="102">
        <f>MAX($C$13*IF($G$5="撼天",1.05,1)+IF(AND(VLOOKUP($E49,武器奇术!$A:$R,15,FALSE)="武器",VLOOKUP($E49,武器奇术!$A:$R,17,FALSE)="破竹"),$E$3*(1+$E$15),0),CN49)</f>
        <v>0</v>
      </c>
      <c r="CQ49" s="104">
        <f>IF(($D$13+IF(VLOOKUP($E49,武器奇术!$A:$R,17,FALSE)="破竹",$D$15,0)-VLOOKUP($F$7,目标属性!$A:$R,6,FALSE))&gt;0,($D$13+IF(VLOOKUP($E49,武器奇术!$A:$R,17,FALSE)="破竹",$D$15,0)-VLOOKUP($F$7,目标属性!$A:$R,6,FALSE))/200,($D$13+IF(VLOOKUP($E49,武器奇术!$A:$R,17,FALSE)="破竹",$D$15,0)-VLOOKUP($F$7,目标属性!$A:$R,6,FALSE))/100)</f>
        <v>-0.24</v>
      </c>
      <c r="CR49" s="111">
        <f t="shared" si="22"/>
        <v>0</v>
      </c>
      <c r="CS49" s="102">
        <v>1</v>
      </c>
      <c r="CT49" s="103">
        <f>CN49*IF(VLOOKUP($E49,武器奇术!$A:$R,17,FALSE)="破竹",VLOOKUP($E49,武器奇术!$A:$R,4,FALSE),VLOOKUP($E49,武器奇术!$A:$R,2,FALSE))*(1+CQ49)*(1+CR49)*CS49</f>
        <v>0</v>
      </c>
      <c r="CU49" s="104">
        <f>(1-IF(VLOOKUP($E49,武器奇术!$A:$R,18,FALSE)="叶龙",1,$N49))*(1-$M49)</f>
        <v>0</v>
      </c>
      <c r="CV49" s="103">
        <f>CO49*IF(VLOOKUP($E49,武器奇术!$A:$R,17,FALSE)="破竹",VLOOKUP($E49,武器奇术!$A:$R,4,FALSE),VLOOKUP($E49,武器奇术!$A:$R,2,FALSE))*(1+CQ49)*(1+CR49)*CS49*(1+$E$16+VLOOKUP($E49,武器奇术!$A:$R,8,FALSE))</f>
        <v>0</v>
      </c>
      <c r="CW49" s="104">
        <f t="shared" si="23"/>
        <v>0.8703</v>
      </c>
      <c r="CX49" s="103">
        <f>CP49*IF(VLOOKUP($E49,武器奇术!$A:$R,17,FALSE)="破竹",VLOOKUP($E49,武器奇术!$A:$R,4,FALSE),VLOOKUP($E49,武器奇术!$A:$R,2,FALSE))*(1+CQ49)*(1+CR49)*CS49*(1+$E$17+VLOOKUP($E49,武器奇术!$A:$R,10,FALSE))</f>
        <v>0</v>
      </c>
      <c r="CY49" s="104">
        <f t="shared" si="24"/>
        <v>0.0986</v>
      </c>
      <c r="CZ49" s="103">
        <f>CO49*IF(VLOOKUP($E49,武器奇术!$A:$R,17,FALSE)="破竹",VLOOKUP($E49,武器奇术!$A:$R,4,FALSE),VLOOKUP($E49,武器奇术!$A:$R,2,FALSE))*(1+CQ49)*(1+CR49)*CS49</f>
        <v>0</v>
      </c>
      <c r="DA49" s="104">
        <f t="shared" si="25"/>
        <v>0.0311</v>
      </c>
      <c r="DB49" s="112">
        <f t="shared" si="26"/>
        <v>0</v>
      </c>
      <c r="DC49" s="110">
        <f t="shared" si="40"/>
        <v>66</v>
      </c>
      <c r="DD49" s="102">
        <f t="shared" si="27"/>
        <v>125.8</v>
      </c>
      <c r="DE49" s="102">
        <f t="shared" si="41"/>
        <v>185.6</v>
      </c>
      <c r="DF49" s="104">
        <f>IF((IF(VLOOKUP($E49,武器奇术!$A:$R,17,FALSE)="鸣金",$D$7,0)+IF(VLOOKUP($E49,武器奇术!$A:$R,17,FALSE)="裂石",$D$9,0)+IF(VLOOKUP($E49,武器奇术!$A:$R,17,FALSE)="牵丝",$D$11,0)+IF(VLOOKUP($E49,武器奇术!$A:$R,17,FALSE)="破竹",$D$13,0)+$D$15-VLOOKUP($F$7,目标属性!$A:$R,6,FALSE))&gt;0,(IF(VLOOKUP($E49,武器奇术!$A:$R,17,FALSE)="鸣金",$D$7,0)+IF(VLOOKUP($E49,武器奇术!$A:$R,17,FALSE)="裂石",$D$9,0)+IF(VLOOKUP($E49,武器奇术!$A:$R,17,FALSE)="牵丝",$D$11,0)+IF(VLOOKUP($E49,武器奇术!$A:$R,17,FALSE)="破竹",$D$13,0)+$D$15-VLOOKUP($F$7,目标属性!$A:$R,6,FALSE))/200,(IF(VLOOKUP($E49,武器奇术!$A:$R,17,FALSE)="鸣金",$D$7,0)+IF(VLOOKUP($E49,武器奇术!$A:$R,17,FALSE)="裂石",$D$9,0)+IF(VLOOKUP($E49,武器奇术!$A:$R,17,FALSE)="牵丝",$D$11,0)+IF(VLOOKUP($E49,武器奇术!$A:$R,17,FALSE)="破竹",$D$13,0)+$D$15-VLOOKUP($F$7,目标属性!$A:$R,6,FALSE))/100)</f>
        <v>0.028</v>
      </c>
      <c r="DG49" s="111">
        <f>$E$11+IF($G$5="烟柳",IF(VLOOKUP($E49,武器奇术!$A:$T,20,FALSE)=1,0.1,0),0)</f>
        <v>0.148</v>
      </c>
      <c r="DH49" s="102">
        <v>1</v>
      </c>
      <c r="DI49" s="103">
        <f>DC49*IF(VLOOKUP($E49,武器奇术!$A:$R,17,FALSE)="牵丝",VLOOKUP($E49,武器奇术!$A:$R,4,FALSE),VLOOKUP($E49,武器奇术!$A:$R,2,FALSE))*(1+DF49)*(1+DG49)*DH49</f>
        <v>108.2586216096</v>
      </c>
      <c r="DJ49" s="104">
        <f>(1-IF(VLOOKUP($E49,武器奇术!$A:$R,18,FALSE)="叶龙",1,$N49))*(1-$M49)</f>
        <v>0</v>
      </c>
      <c r="DK49" s="124">
        <f>DD49*IF(VLOOKUP($E49,武器奇术!$A:$R,17,FALSE)="牵丝",VLOOKUP($E49,武器奇术!$A:$R,4,FALSE),VLOOKUP($E49,武器奇术!$A:$R,2,FALSE))*(1+DF49)*(1+DG49)*DH49*(1+$E$16+VLOOKUP($E49,武器奇术!$A:$R,8,FALSE))</f>
        <v>390.822153477813</v>
      </c>
      <c r="DL49" s="104">
        <f t="shared" si="28"/>
        <v>0.8703</v>
      </c>
      <c r="DM49" s="103">
        <f>DE49*IF(VLOOKUP($E49,武器奇术!$A:$R,17,FALSE)="牵丝",VLOOKUP($E49,武器奇术!$A:$R,4,FALSE),VLOOKUP($E49,武器奇术!$A:$R,2,FALSE))*(1+DF49)*(1+DG49)*DH49*(1+$E$17+VLOOKUP($E49,武器奇术!$A:$R,10,FALSE))</f>
        <v>410.989094401536</v>
      </c>
      <c r="DN49" s="104">
        <f t="shared" si="29"/>
        <v>0.0986</v>
      </c>
      <c r="DO49" s="124">
        <f>DD49*IF(VLOOKUP($E49,武器奇术!$A:$R,17,FALSE)="牵丝",VLOOKUP($E49,武器奇术!$A:$R,4,FALSE),VLOOKUP($E49,武器奇术!$A:$R,2,FALSE))*(1+DF49)*(1+DG49)*DH49</f>
        <v>206.34749391648</v>
      </c>
      <c r="DP49" s="104">
        <f t="shared" si="30"/>
        <v>0.0311</v>
      </c>
      <c r="DQ49" s="112">
        <f t="shared" si="31"/>
        <v>387.073451940535</v>
      </c>
    </row>
    <row r="50" customFormat="1" customHeight="1" spans="1:121">
      <c r="E50" s="115" t="s">
        <v>148</v>
      </c>
      <c r="F50" s="116">
        <v>1</v>
      </c>
      <c r="G50" s="117"/>
      <c r="H50" s="103">
        <f>IF(VLOOKUP($E50,武器奇术!$A:$R,18,FALSE)="天工",AE50,(AE50+AT50+BI50+BX50+CM50+DB50+DQ50))*(1+J50)*F50*K50*(1+G50)</f>
        <v>95813.9539475668</v>
      </c>
      <c r="I50" s="104">
        <f t="shared" si="42"/>
        <v>0.0110425541558571</v>
      </c>
      <c r="J50" s="138">
        <f>$F$3+VLOOKUP($E50,武器奇术!$A:$R,12,FALSE)+VLOOKUP($E50,武器奇术!$A:$R,14,FALSE)*$G$3+$P50</f>
        <v>1.017</v>
      </c>
      <c r="K50" s="105">
        <f>VLOOKUP($E50,武器奇术!$A:$R,11,FALSE)</f>
        <v>1</v>
      </c>
      <c r="L50" s="119">
        <f>IF(VLOOKUP($E50,武器奇术!$A:$R,15,FALSE)="天工",0%,IF($C$17+VLOOKUP($E50,武器奇术!$A:$R,7,FALSE)&gt;80%,80%,$C$17+VLOOKUP($E50,武器奇术!$A:$R,7,FALSE))+IF($C$19&gt;20%,20%,$C$19))</f>
        <v>0.8703</v>
      </c>
      <c r="M50" s="120">
        <f>IF(VLOOKUP($E50,武器奇术!$A:$R,15,FALSE)="天工",0%,IF($C$18+VLOOKUP($E50,武器奇术!$A:$R,9,FALSE)&gt;40%,40%,$C$18+VLOOKUP($E50,武器奇术!$A:$R,9,FALSE))+IF($C$20&gt;10%,10%,$C$20))</f>
        <v>0.0986</v>
      </c>
      <c r="N50" s="121">
        <f>IF(VLOOKUP($E50,武器奇术!$A:$R,15,FALSE)="天工",100%,MIN($C$16,1))</f>
        <v>1</v>
      </c>
      <c r="O50" s="122" t="str">
        <f>VLOOKUP($E50,武器奇术!$A:$R,16,FALSE)</f>
        <v>扇</v>
      </c>
      <c r="P50" s="123">
        <f t="shared" si="32"/>
        <v>0.084</v>
      </c>
      <c r="Q50" s="110">
        <f>$B$5*(1+VLOOKUP($E50,武器奇术!$A:$R,5,FALSE))*(1+VLOOKUP($E50,武器奇术!$A:$S,19,FALSE)+IF($G$5="飞隼",0.1,0)+IF($G$5="撼天",0.05,0))-$F$9+IF($J$5="√",160,0)</f>
        <v>3324.7</v>
      </c>
      <c r="R50" s="102">
        <f>IF(VLOOKUP($E50,武器奇术!$A:$Z,18,FALSE)="叶龙",(S50-(Q50+S50)*0.5)*($G$15-0.5)*2+(Q50+S50)*0.5,(Q50+S50)*0.5)</f>
        <v>3404.7</v>
      </c>
      <c r="S50" s="102">
        <f>MAX($C$5,$B$5)*(1+VLOOKUP($E50,武器奇术!$A:$R,6,FALSE))*(1+VLOOKUP($E50,武器奇术!$A:$S,19,FALSE)+IF($G$5="飞隼",0.1,0)+IF($G$5="撼天",0.05,0))-$F$9+IF($J$5="√",320,0)</f>
        <v>3484.7</v>
      </c>
      <c r="T50" s="104">
        <f>IF(($D$5+VLOOKUP($E50,武器奇术!$A:$R,13,FALSE)+IF($I$3="√",10,0)-VLOOKUP($F$7,目标属性!$A:$R,5,FALSE))&gt;0,($D$5+VLOOKUP($E50,武器奇术!$A:$R,13,FALSE)+IF($I$3="√",10,0)-VLOOKUP($F$7,目标属性!$A:$R,5,FALSE))/200,($D$5+VLOOKUP($E50,武器奇术!$A:$R,13,FALSE)+IF($I$3="√",10,0)-VLOOKUP($F$7,目标属性!$A:$R,5,FALSE))/100)</f>
        <v>0.3925</v>
      </c>
      <c r="U50" s="111">
        <f>$E$5+IF($G$5="烟柳",IF(VLOOKUP($E50,武器奇术!$A:$T,20,FALSE)=1,0.1,0),0)</f>
        <v>0.1</v>
      </c>
      <c r="V50" s="102">
        <v>1</v>
      </c>
      <c r="W50" s="103">
        <f>Q50*VLOOKUP($E50,武器奇术!$A:$R,2,FALSE)*(1+T50)*(1+U50)*V50</f>
        <v>14062.6292617305</v>
      </c>
      <c r="X50" s="104">
        <f>(1-IF(VLOOKUP($E50,武器奇术!$A:$R,18,FALSE)="叶龙",1,$N50))*(1-$M50)</f>
        <v>0</v>
      </c>
      <c r="Y50" s="103">
        <f>R50*VLOOKUP($E50,武器奇术!$A:$R,2,FALSE)*(1+T50)*(1+U50)*V50*(1+$E$16+VLOOKUP($E50,武器奇术!$A:$R,8,FALSE))</f>
        <v>32459.8737606614</v>
      </c>
      <c r="Z50" s="104">
        <f t="shared" si="33"/>
        <v>0.8703</v>
      </c>
      <c r="AA50" s="103">
        <f>S50*VLOOKUP($E50,武器奇术!$A:$R,2,FALSE)*(1+T50)*(1+U50)*V50*(1+$E$17+VLOOKUP($E50,武器奇术!$A:$R,10,FALSE))</f>
        <v>19898.1741673762</v>
      </c>
      <c r="AB50" s="104">
        <f t="shared" si="34"/>
        <v>0.0986</v>
      </c>
      <c r="AC50" s="103">
        <f>R50*VLOOKUP($E50,武器奇术!$A:$R,2,FALSE)*(1+T50)*(1+U50)*V50</f>
        <v>14401.0087669305</v>
      </c>
      <c r="AD50" s="104">
        <f t="shared" si="35"/>
        <v>0.0311</v>
      </c>
      <c r="AE50" s="112">
        <f t="shared" si="36"/>
        <v>30659.6594794584</v>
      </c>
      <c r="AF50" s="113">
        <f>VLOOKUP($E50,武器奇术!$A:$R,3,FALSE)*(1+IF(VLOOKUP($E50,武器奇术!$A:$R,15,FALSE)="武器",$E$15,0))</f>
        <v>993.395</v>
      </c>
      <c r="AG50" s="103">
        <f t="shared" si="1"/>
        <v>993.395</v>
      </c>
      <c r="AH50" s="103">
        <f>VLOOKUP($E50,武器奇术!$A:$R,3,FALSE)*(1+IF(VLOOKUP($E50,武器奇术!$A:$R,15,FALSE)="武器",$E$15,0))</f>
        <v>993.395</v>
      </c>
      <c r="AI50" s="104">
        <f>IF(($D$5+VLOOKUP($E50,武器奇术!$A:$R,13,FALSE)+IF($I$3="√",10,0)-VLOOKUP($F$7,目标属性!$A:$R,5,FALSE))&gt;0,($D$5+VLOOKUP($E50,武器奇术!$A:$R,13,FALSE)+IF($I$3="√",10,0)-VLOOKUP($F$7,目标属性!$A:$R,5,FALSE))/200,($D$5+VLOOKUP($E50,武器奇术!$A:$R,13,FALSE)+IF($I$3="√",10,0)-VLOOKUP($F$7,目标属性!$A:$R,5,FALSE))/100)</f>
        <v>0.3925</v>
      </c>
      <c r="AJ50" s="111">
        <f>$E$5+IF($G$5="烟柳",IF(VLOOKUP($E50,武器奇术!$A:$T,20,FALSE)=1,0.1,0),0)</f>
        <v>0.1</v>
      </c>
      <c r="AK50" s="102">
        <v>1</v>
      </c>
      <c r="AL50" s="103">
        <f t="shared" si="37"/>
        <v>1521.63279125</v>
      </c>
      <c r="AM50" s="104">
        <f>(1-IF(VLOOKUP($E50,武器奇术!$A:$R,18,FALSE)="叶龙",1,$N50))*(1-$M50)</f>
        <v>0</v>
      </c>
      <c r="AN50" s="103">
        <f>AG50*(1+AI50)*(1+AJ50)*AK50*(1+$E$16+VLOOKUP($E50,武器奇术!$A:$R,8,FALSE))</f>
        <v>3429.7603114775</v>
      </c>
      <c r="AO50" s="104">
        <f t="shared" si="2"/>
        <v>0.8703</v>
      </c>
      <c r="AP50" s="103">
        <f>AH50*(1+AI50)*(1+AJ50)*AK50*(1+$E$17+VLOOKUP($E50,武器奇术!$A:$R,10,FALSE))</f>
        <v>2054.2042681875</v>
      </c>
      <c r="AQ50" s="104">
        <f t="shared" si="3"/>
        <v>0.0986</v>
      </c>
      <c r="AR50" s="103">
        <f t="shared" si="38"/>
        <v>1521.63279125</v>
      </c>
      <c r="AS50" s="104">
        <f t="shared" si="4"/>
        <v>0.0311</v>
      </c>
      <c r="AT50" s="112">
        <f t="shared" si="5"/>
        <v>3234.78771973003</v>
      </c>
      <c r="AU50" s="110">
        <f>$B$7*IF($G$5="撼天",1.05,1)+IF(AND(VLOOKUP($E50,武器奇术!$A:$R,15,FALSE)="武器",VLOOKUP($E50,武器奇术!$A:$R,17,FALSE)="鸣金"),$E$3*(1+$E$15),0)</f>
        <v>0</v>
      </c>
      <c r="AV50" s="102">
        <f t="shared" si="6"/>
        <v>0</v>
      </c>
      <c r="AW50" s="102">
        <f>MAX($C$7*IF($G$5="撼天",1.05,1)+IF(AND(VLOOKUP($E50,武器奇术!$A:$R,15,FALSE)="武器",VLOOKUP($E50,武器奇术!$A:$R,17,FALSE)="鸣金"),$E$3*(1+$E$15),0),AU50)</f>
        <v>0</v>
      </c>
      <c r="AX50" s="104">
        <f>IF(($D$7+IF(VLOOKUP($E50,武器奇术!$A:$R,17,FALSE)="鸣金",$D$15,0)-VLOOKUP($F$7,目标属性!$A:$R,6,FALSE))&gt;0,($D$7+IF(VLOOKUP($E50,武器奇术!$A:$R,17,FALSE)="鸣金",$D$15,0)-VLOOKUP($F$7,目标属性!$A:$R,6,FALSE))/200,($D$7+IF(VLOOKUP($E50,武器奇术!$A:$R,17,FALSE)="鸣金",$D$15,0)-VLOOKUP($F$7,目标属性!$A:$R,6,FALSE))/100)</f>
        <v>-0.24</v>
      </c>
      <c r="AY50" s="111">
        <f t="shared" si="7"/>
        <v>0</v>
      </c>
      <c r="AZ50" s="102">
        <v>1</v>
      </c>
      <c r="BA50" s="103">
        <f>AU50*IF(VLOOKUP($E50,武器奇术!$A:$R,17,FALSE)="鸣金",VLOOKUP($E50,武器奇术!$A:$R,4,FALSE),VLOOKUP($E50,武器奇术!$A:$R,2,FALSE))*(1+AX50)*(1+AY50)*AZ50</f>
        <v>0</v>
      </c>
      <c r="BB50" s="104">
        <f>(1-IF(VLOOKUP($E50,武器奇术!$A:$R,18,FALSE)="叶龙",1,$N50))*(1-$M50)</f>
        <v>0</v>
      </c>
      <c r="BC50" s="103">
        <f>AV50*IF(VLOOKUP($E50,武器奇术!$A:$R,17,FALSE)="鸣金",VLOOKUP($E50,武器奇术!$A:$R,4,FALSE),VLOOKUP($E50,武器奇术!$A:$R,2,FALSE))*(1+AX50)*(1+AY50)*AZ50*(1+$E$16+VLOOKUP($E50,武器奇术!$A:$R,8,FALSE))</f>
        <v>0</v>
      </c>
      <c r="BD50" s="104">
        <f t="shared" si="8"/>
        <v>0.8703</v>
      </c>
      <c r="BE50" s="103">
        <f>AW50*IF(VLOOKUP($E50,武器奇术!$A:$R,17,FALSE)="鸣金",VLOOKUP($E50,武器奇术!$A:$R,4,FALSE),VLOOKUP($E50,武器奇术!$A:$R,2,FALSE))*(1+AX50)*(1+AY50)*AZ50*(1+$E$17+VLOOKUP($E50,武器奇术!$A:$R,10,FALSE))</f>
        <v>0</v>
      </c>
      <c r="BF50" s="104">
        <f t="shared" si="9"/>
        <v>0.0986</v>
      </c>
      <c r="BG50" s="103">
        <f>AV50*IF(VLOOKUP($E50,武器奇术!$A:$R,17,FALSE)="鸣金",VLOOKUP($E50,武器奇术!$A:$R,4,FALSE),VLOOKUP($E50,武器奇术!$A:$R,2,FALSE))*(1+AX50)*(1+AY50)*AZ50</f>
        <v>0</v>
      </c>
      <c r="BH50" s="104">
        <f t="shared" si="10"/>
        <v>0.0311</v>
      </c>
      <c r="BI50" s="112">
        <f t="shared" si="11"/>
        <v>0</v>
      </c>
      <c r="BJ50" s="110">
        <f>$B$9*IF($G$5="撼天",1.05,1)+IF(AND(VLOOKUP($E50,武器奇术!$A:$R,15,FALSE)="武器",VLOOKUP($E50,武器奇术!$A:$R,17,FALSE)="裂石"),$E$3*(1+$E$15),0)</f>
        <v>0</v>
      </c>
      <c r="BK50" s="102">
        <f t="shared" si="12"/>
        <v>0</v>
      </c>
      <c r="BL50" s="102">
        <f>MAX($C$9*IF($G$5="撼天",1.05,1)+IF(AND(VLOOKUP($E50,武器奇术!$A:$R,15,FALSE)="武器",VLOOKUP($E50,武器奇术!$A:$R,17,FALSE)="裂石"),$E$3*(1+$E$15),0),BJ50)</f>
        <v>0</v>
      </c>
      <c r="BM50" s="104">
        <f>IF(($D$9+IF(VLOOKUP($E50,武器奇术!$A:$R,17,FALSE)="裂石",$D$15,0)-VLOOKUP($F$7,目标属性!$A:$R,6,FALSE))&gt;0,($D$9+IF(VLOOKUP($E50,武器奇术!$A:$R,17,FALSE)="裂石",$D$15,0)-VLOOKUP($F$7,目标属性!$A:$R,6,FALSE))/200,($D$9+IF(VLOOKUP($E50,武器奇术!$A:$R,17,FALSE)="裂石",$D$15,0)-VLOOKUP($F$7,目标属性!$A:$R,6,FALSE))/100)</f>
        <v>-0.24</v>
      </c>
      <c r="BN50" s="111">
        <f t="shared" si="13"/>
        <v>0</v>
      </c>
      <c r="BO50" s="102">
        <v>1</v>
      </c>
      <c r="BP50" s="103">
        <f>BJ50*IF(VLOOKUP($E50,武器奇术!$A:$R,17,FALSE)="裂石",VLOOKUP($E50,武器奇术!$A:$R,4,FALSE),VLOOKUP($E50,武器奇术!$A:$R,2,FALSE))*(1+BM50)*(1+BN50)*BO50</f>
        <v>0</v>
      </c>
      <c r="BQ50" s="104">
        <f>(1-IF(VLOOKUP($E50,武器奇术!$A:$R,18,FALSE)="叶龙",1,$N50))*(1-$M50)</f>
        <v>0</v>
      </c>
      <c r="BR50" s="103">
        <f>BK50*IF(VLOOKUP($E50,武器奇术!$A:$R,17,FALSE)="裂石",VLOOKUP($E50,武器奇术!$A:$R,4,FALSE),VLOOKUP($E50,武器奇术!$A:$R,2,FALSE))*(1+BM50)*(1+BN50)*BO50*(1+$E$16+VLOOKUP($E50,武器奇术!$A:$R,8,FALSE))</f>
        <v>0</v>
      </c>
      <c r="BS50" s="104">
        <f t="shared" si="14"/>
        <v>0.8703</v>
      </c>
      <c r="BT50" s="103">
        <f>BL50*IF(VLOOKUP($E50,武器奇术!$A:$R,17,FALSE)="裂石",VLOOKUP($E50,武器奇术!$A:$R,4,FALSE),VLOOKUP($E50,武器奇术!$A:$R,2,FALSE))*(1+BM50)*(1+BN50)*BO50*(1+$E$17+VLOOKUP($E50,武器奇术!$A:$R,10,FALSE))</f>
        <v>0</v>
      </c>
      <c r="BU50" s="104">
        <f t="shared" si="15"/>
        <v>0.0986</v>
      </c>
      <c r="BV50" s="103">
        <f>BK50*IF(VLOOKUP($E50,武器奇术!$A:$R,17,FALSE)="裂石",VLOOKUP($E50,武器奇术!$A:$R,4,FALSE),VLOOKUP($E50,武器奇术!$A:$R,2,FALSE))*(1+BM50)*(1+BN50)*BO50</f>
        <v>0</v>
      </c>
      <c r="BW50" s="104">
        <f t="shared" si="16"/>
        <v>0.0311</v>
      </c>
      <c r="BX50" s="112">
        <f t="shared" si="17"/>
        <v>0</v>
      </c>
      <c r="BY50" s="110">
        <f>$B$11*IF($G$5="撼天",1.05,1)+IF(AND(VLOOKUP($E50,武器奇术!$A:$R,15,FALSE)="武器",VLOOKUP($E50,武器奇术!$A:$R,17,FALSE)="牵丝"),$E$3*(1+$E$15),0)</f>
        <v>686.71</v>
      </c>
      <c r="BZ50" s="102">
        <f>IF(VLOOKUP($E50,武器奇术!$A:$Z,18,FALSE)="叶龙",(CA50-(BY50+CA50)*0.5)*($G$15-0.5)*2+(BY50+CA50)*0.5,(BY50+CA50)*0.5)</f>
        <v>1052.21</v>
      </c>
      <c r="CA50" s="102">
        <f>MAX($C$11*IF($G$5="撼天",1.05,1)+IF(AND(VLOOKUP($E50,武器奇术!$A:$R,15,FALSE)="武器",VLOOKUP($E50,武器奇术!$A:$R,17,FALSE)="牵丝"),$E$3*(1+$E$15),0),BY50)</f>
        <v>1417.71</v>
      </c>
      <c r="CB50" s="104">
        <f>IF(($D$11+IF(VLOOKUP($E50,武器奇术!$A:$R,17,FALSE)="牵丝",$D$15,0)-VLOOKUP($F$7,目标属性!$A:$R,6,FALSE))&gt;0,($D$11+IF(VLOOKUP($E50,武器奇术!$A:$R,17,FALSE)="牵丝",$D$15,0)-VLOOKUP($F$7,目标属性!$A:$R,6,FALSE))/200,($D$11+IF(VLOOKUP($E50,武器奇术!$A:$R,17,FALSE)="牵丝",$D$15,0)-VLOOKUP($F$7,目标属性!$A:$R,6,FALSE))/100)</f>
        <v>0.028</v>
      </c>
      <c r="CC50" s="111">
        <f>$E$11+IF($G$5="烟柳",IF(VLOOKUP($E50,武器奇术!$A:$T,20,FALSE)=1,0.1,0),0)</f>
        <v>0.248</v>
      </c>
      <c r="CD50" s="102">
        <v>1</v>
      </c>
      <c r="CE50" s="103">
        <f>BY50*IF(VLOOKUP($E50,武器奇术!$A:$R,17,FALSE)="牵丝",VLOOKUP($E50,武器奇术!$A:$R,4,FALSE),VLOOKUP($E50,武器奇术!$A:$R,2,FALSE))*(1+CB50)*(1+CC50)*CD50</f>
        <v>3649.20705503528</v>
      </c>
      <c r="CF50" s="104">
        <f>(1-IF(VLOOKUP($E50,武器奇术!$A:$R,18,FALSE)="叶龙",1,$N50))*(1-$M50)</f>
        <v>0</v>
      </c>
      <c r="CG50" s="124">
        <f>BZ50*IF(VLOOKUP($E50,武器奇术!$A:$R,17,FALSE)="牵丝",VLOOKUP($E50,武器奇术!$A:$R,4,FALSE),VLOOKUP($E50,武器奇术!$A:$R,2,FALSE))*(1+CB50)*(1+CC50)*CD50*(1+$E$16+VLOOKUP($E50,武器奇术!$A:$R,8,FALSE))</f>
        <v>12603.2186486632</v>
      </c>
      <c r="CH50" s="104">
        <f t="shared" si="18"/>
        <v>0.8703</v>
      </c>
      <c r="CI50" s="103">
        <f>CA50*IF(VLOOKUP($E50,武器奇术!$A:$R,17,FALSE)="牵丝",VLOOKUP($E50,武器奇术!$A:$R,4,FALSE),VLOOKUP($E50,武器奇术!$A:$R,2,FALSE))*(1+CB50)*(1+CC50)*CD50*(1+$E$17+VLOOKUP($E50,武器奇术!$A:$R,10,FALSE))</f>
        <v>10170.5937016965</v>
      </c>
      <c r="CJ50" s="104">
        <f t="shared" si="19"/>
        <v>0.0986</v>
      </c>
      <c r="CK50" s="124">
        <f>BZ50*IF(VLOOKUP($E50,武器奇术!$A:$R,17,FALSE)="牵丝",VLOOKUP($E50,武器奇术!$A:$R,4,FALSE),VLOOKUP($E50,武器奇术!$A:$R,2,FALSE))*(1+CB50)*(1+CC50)*CD50</f>
        <v>5591.49008370152</v>
      </c>
      <c r="CL50" s="104">
        <f t="shared" si="20"/>
        <v>0.0311</v>
      </c>
      <c r="CM50" s="112">
        <f t="shared" si="39"/>
        <v>12145.297070522</v>
      </c>
      <c r="CN50" s="110">
        <f>$B$13*IF($G$5="撼天",1.05,1)+IF(AND(VLOOKUP($E50,武器奇术!$A:$R,15,FALSE)="武器",VLOOKUP($E50,武器奇术!$A:$R,17,FALSE)="破竹"),$E$3*(1+$E$15),0)</f>
        <v>0</v>
      </c>
      <c r="CO50" s="102">
        <f t="shared" si="21"/>
        <v>0</v>
      </c>
      <c r="CP50" s="102">
        <f>MAX($C$13*IF($G$5="撼天",1.05,1)+IF(AND(VLOOKUP($E50,武器奇术!$A:$R,15,FALSE)="武器",VLOOKUP($E50,武器奇术!$A:$R,17,FALSE)="破竹"),$E$3*(1+$E$15),0),CN50)</f>
        <v>0</v>
      </c>
      <c r="CQ50" s="104">
        <f>IF(($D$13+IF(VLOOKUP($E50,武器奇术!$A:$R,17,FALSE)="破竹",$D$15,0)-VLOOKUP($F$7,目标属性!$A:$R,6,FALSE))&gt;0,($D$13+IF(VLOOKUP($E50,武器奇术!$A:$R,17,FALSE)="破竹",$D$15,0)-VLOOKUP($F$7,目标属性!$A:$R,6,FALSE))/200,($D$13+IF(VLOOKUP($E50,武器奇术!$A:$R,17,FALSE)="破竹",$D$15,0)-VLOOKUP($F$7,目标属性!$A:$R,6,FALSE))/100)</f>
        <v>-0.24</v>
      </c>
      <c r="CR50" s="111">
        <f t="shared" si="22"/>
        <v>0</v>
      </c>
      <c r="CS50" s="102">
        <v>1</v>
      </c>
      <c r="CT50" s="103">
        <f>CN50*IF(VLOOKUP($E50,武器奇术!$A:$R,17,FALSE)="破竹",VLOOKUP($E50,武器奇术!$A:$R,4,FALSE),VLOOKUP($E50,武器奇术!$A:$R,2,FALSE))*(1+CQ50)*(1+CR50)*CS50</f>
        <v>0</v>
      </c>
      <c r="CU50" s="104">
        <f>(1-IF(VLOOKUP($E50,武器奇术!$A:$R,18,FALSE)="叶龙",1,$N50))*(1-$M50)</f>
        <v>0</v>
      </c>
      <c r="CV50" s="103">
        <f>CO50*IF(VLOOKUP($E50,武器奇术!$A:$R,17,FALSE)="破竹",VLOOKUP($E50,武器奇术!$A:$R,4,FALSE),VLOOKUP($E50,武器奇术!$A:$R,2,FALSE))*(1+CQ50)*(1+CR50)*CS50*(1+$E$16+VLOOKUP($E50,武器奇术!$A:$R,8,FALSE))</f>
        <v>0</v>
      </c>
      <c r="CW50" s="104">
        <f t="shared" si="23"/>
        <v>0.8703</v>
      </c>
      <c r="CX50" s="103">
        <f>CP50*IF(VLOOKUP($E50,武器奇术!$A:$R,17,FALSE)="破竹",VLOOKUP($E50,武器奇术!$A:$R,4,FALSE),VLOOKUP($E50,武器奇术!$A:$R,2,FALSE))*(1+CQ50)*(1+CR50)*CS50*(1+$E$17+VLOOKUP($E50,武器奇术!$A:$R,10,FALSE))</f>
        <v>0</v>
      </c>
      <c r="CY50" s="104">
        <f t="shared" si="24"/>
        <v>0.0986</v>
      </c>
      <c r="CZ50" s="103">
        <f>CO50*IF(VLOOKUP($E50,武器奇术!$A:$R,17,FALSE)="破竹",VLOOKUP($E50,武器奇术!$A:$R,4,FALSE),VLOOKUP($E50,武器奇术!$A:$R,2,FALSE))*(1+CQ50)*(1+CR50)*CS50</f>
        <v>0</v>
      </c>
      <c r="DA50" s="104">
        <f t="shared" si="25"/>
        <v>0.0311</v>
      </c>
      <c r="DB50" s="112">
        <f t="shared" si="26"/>
        <v>0</v>
      </c>
      <c r="DC50" s="110">
        <f t="shared" si="40"/>
        <v>66</v>
      </c>
      <c r="DD50" s="102">
        <f t="shared" si="27"/>
        <v>125.8</v>
      </c>
      <c r="DE50" s="102">
        <f t="shared" si="41"/>
        <v>185.6</v>
      </c>
      <c r="DF50" s="104">
        <f>IF((IF(VLOOKUP($E50,武器奇术!$A:$R,17,FALSE)="鸣金",$D$7,0)+IF(VLOOKUP($E50,武器奇术!$A:$R,17,FALSE)="裂石",$D$9,0)+IF(VLOOKUP($E50,武器奇术!$A:$R,17,FALSE)="牵丝",$D$11,0)+IF(VLOOKUP($E50,武器奇术!$A:$R,17,FALSE)="破竹",$D$13,0)+$D$15-VLOOKUP($F$7,目标属性!$A:$R,6,FALSE))&gt;0,(IF(VLOOKUP($E50,武器奇术!$A:$R,17,FALSE)="鸣金",$D$7,0)+IF(VLOOKUP($E50,武器奇术!$A:$R,17,FALSE)="裂石",$D$9,0)+IF(VLOOKUP($E50,武器奇术!$A:$R,17,FALSE)="牵丝",$D$11,0)+IF(VLOOKUP($E50,武器奇术!$A:$R,17,FALSE)="破竹",$D$13,0)+$D$15-VLOOKUP($F$7,目标属性!$A:$R,6,FALSE))/200,(IF(VLOOKUP($E50,武器奇术!$A:$R,17,FALSE)="鸣金",$D$7,0)+IF(VLOOKUP($E50,武器奇术!$A:$R,17,FALSE)="裂石",$D$9,0)+IF(VLOOKUP($E50,武器奇术!$A:$R,17,FALSE)="牵丝",$D$11,0)+IF(VLOOKUP($E50,武器奇术!$A:$R,17,FALSE)="破竹",$D$13,0)+$D$15-VLOOKUP($F$7,目标属性!$A:$R,6,FALSE))/100)</f>
        <v>0.028</v>
      </c>
      <c r="DG50" s="111">
        <f>$E$11+IF($G$5="烟柳",IF(VLOOKUP($E50,武器奇术!$A:$T,20,FALSE)=1,0.1,0),0)</f>
        <v>0.248</v>
      </c>
      <c r="DH50" s="102">
        <v>1</v>
      </c>
      <c r="DI50" s="103">
        <f>DC50*IF(VLOOKUP($E50,武器奇术!$A:$R,17,FALSE)="牵丝",VLOOKUP($E50,武器奇术!$A:$R,4,FALSE),VLOOKUP($E50,武器奇术!$A:$R,2,FALSE))*(1+DF50)*(1+DG50)*DH50</f>
        <v>350.72689436928</v>
      </c>
      <c r="DJ50" s="104">
        <f>(1-IF(VLOOKUP($E50,武器奇术!$A:$R,18,FALSE)="叶龙",1,$N50))*(1-$M50)</f>
        <v>0</v>
      </c>
      <c r="DK50" s="124">
        <f>DD50*IF(VLOOKUP($E50,武器奇术!$A:$R,17,FALSE)="牵丝",VLOOKUP($E50,武器奇术!$A:$R,4,FALSE),VLOOKUP($E50,武器奇术!$A:$R,2,FALSE))*(1+DF50)*(1+DG50)*DH50*(1+$E$16+VLOOKUP($E50,武器奇术!$A:$R,8,FALSE))</f>
        <v>1506.81413976472</v>
      </c>
      <c r="DL50" s="104">
        <f t="shared" si="28"/>
        <v>0.8703</v>
      </c>
      <c r="DM50" s="103">
        <f>DE50*IF(VLOOKUP($E50,武器奇术!$A:$R,17,FALSE)="牵丝",VLOOKUP($E50,武器奇术!$A:$R,4,FALSE),VLOOKUP($E50,武器奇术!$A:$R,2,FALSE))*(1+DF50)*(1+DG50)*DH50*(1+$E$17+VLOOKUP($E50,武器奇术!$A:$R,10,FALSE))</f>
        <v>1331.48682807829</v>
      </c>
      <c r="DN50" s="104">
        <f t="shared" si="29"/>
        <v>0.0986</v>
      </c>
      <c r="DO50" s="124">
        <f>DD50*IF(VLOOKUP($E50,武器奇术!$A:$R,17,FALSE)="牵丝",VLOOKUP($E50,武器奇术!$A:$R,4,FALSE),VLOOKUP($E50,武器奇术!$A:$R,2,FALSE))*(1+DF50)*(1+DG50)*DH50</f>
        <v>668.506716843264</v>
      </c>
      <c r="DP50" s="104">
        <f t="shared" si="30"/>
        <v>0.0311</v>
      </c>
      <c r="DQ50" s="112">
        <f t="shared" si="31"/>
        <v>1463.45550597958</v>
      </c>
    </row>
    <row r="51" customFormat="1" customHeight="1" spans="1:121">
      <c r="E51" s="115" t="s">
        <v>149</v>
      </c>
      <c r="F51" s="116">
        <v>0.35</v>
      </c>
      <c r="G51" s="117"/>
      <c r="H51" s="103">
        <f>IF(VLOOKUP($E51,武器奇术!$A:$R,18,FALSE)="天工",AE51,(AE51+AT51+BI51+BX51+CM51+DB51+DQ51))*(1+J51)*F51*K51*(1+G51)</f>
        <v>41697.499932597</v>
      </c>
      <c r="I51" s="104">
        <f t="shared" si="42"/>
        <v>0.00480563511053436</v>
      </c>
      <c r="J51" s="138">
        <f>$F$3+VLOOKUP($E51,武器奇术!$A:$R,12,FALSE)+VLOOKUP($E51,武器奇术!$A:$R,14,FALSE)*$G$3+$P51</f>
        <v>0.567</v>
      </c>
      <c r="K51" s="105">
        <f>VLOOKUP($E51,武器奇术!$A:$R,11,FALSE)</f>
        <v>1</v>
      </c>
      <c r="L51" s="119">
        <f>IF(VLOOKUP($E51,武器奇术!$A:$R,15,FALSE)="天工",0%,IF($C$17+VLOOKUP($E51,武器奇术!$A:$R,7,FALSE)&gt;80%,80%,$C$17+VLOOKUP($E51,武器奇术!$A:$R,7,FALSE))+IF($C$19&gt;20%,20%,$C$19))</f>
        <v>0.887</v>
      </c>
      <c r="M51" s="120">
        <f>IF(VLOOKUP($E51,武器奇术!$A:$R,15,FALSE)="天工",0%,IF($C$18+VLOOKUP($E51,武器奇术!$A:$R,9,FALSE)&gt;40%,40%,$C$18+VLOOKUP($E51,武器奇术!$A:$R,9,FALSE))+IF($C$20&gt;10%,10%,$C$20))</f>
        <v>0.0986</v>
      </c>
      <c r="N51" s="121">
        <f>IF(VLOOKUP($E51,武器奇术!$A:$R,15,FALSE)="天工",100%,MIN($C$16,1))</f>
        <v>1</v>
      </c>
      <c r="O51" s="122" t="str">
        <f>VLOOKUP($E51,武器奇术!$A:$R,16,FALSE)</f>
        <v>扇</v>
      </c>
      <c r="P51" s="123">
        <f t="shared" si="32"/>
        <v>0.084</v>
      </c>
      <c r="Q51" s="110">
        <f>$B$5*(1+VLOOKUP($E51,武器奇术!$A:$R,5,FALSE))*(1+VLOOKUP($E51,武器奇术!$A:$S,19,FALSE)+IF($G$5="飞隼",0.1,0)+IF($G$5="撼天",0.05,0))-$F$9+IF($J$5="√",160,0)</f>
        <v>3324.7</v>
      </c>
      <c r="R51" s="102">
        <f>IF(VLOOKUP($E51,武器奇术!$A:$Z,18,FALSE)="叶龙",(S51-(Q51+S51)*0.5)*($G$15-0.5)*2+(Q51+S51)*0.5,(Q51+S51)*0.5)</f>
        <v>3404.7</v>
      </c>
      <c r="S51" s="102">
        <f>MAX($C$5,$B$5)*(1+VLOOKUP($E51,武器奇术!$A:$R,6,FALSE))*(1+VLOOKUP($E51,武器奇术!$A:$S,19,FALSE)+IF($G$5="飞隼",0.1,0)+IF($G$5="撼天",0.05,0))-$F$9+IF($J$5="√",320,0)</f>
        <v>3484.7</v>
      </c>
      <c r="T51" s="104">
        <f>IF(($D$5+VLOOKUP($E51,武器奇术!$A:$R,13,FALSE)+IF($I$3="√",10,0)-VLOOKUP($F$7,目标属性!$A:$R,5,FALSE))&gt;0,($D$5+VLOOKUP($E51,武器奇术!$A:$R,13,FALSE)+IF($I$3="√",10,0)-VLOOKUP($F$7,目标属性!$A:$R,5,FALSE))/200,($D$5+VLOOKUP($E51,武器奇术!$A:$R,13,FALSE)+IF($I$3="√",10,0)-VLOOKUP($F$7,目标属性!$A:$R,5,FALSE))/100)</f>
        <v>0.3925</v>
      </c>
      <c r="U51" s="111">
        <f>$E$5+IF($G$5="烟柳",IF(VLOOKUP($E51,武器奇术!$A:$T,20,FALSE)=1,0.1,0),0)</f>
        <v>0.1</v>
      </c>
      <c r="V51" s="102">
        <v>1</v>
      </c>
      <c r="W51" s="103">
        <f>Q51*VLOOKUP($E51,武器奇术!$A:$R,2,FALSE)*(1+T51)*(1+U51)*V51</f>
        <v>22289.4593712106</v>
      </c>
      <c r="X51" s="104">
        <f>(1-IF(VLOOKUP($E51,武器奇术!$A:$R,18,FALSE)="叶龙",1,$N51))*(1-$M51)</f>
        <v>0</v>
      </c>
      <c r="Y51" s="103">
        <f>R51*VLOOKUP($E51,武器奇术!$A:$R,2,FALSE)*(1+T51)*(1+U51)*V51*(1+$E$16+VLOOKUP($E51,武器奇术!$A:$R,8,FALSE))</f>
        <v>51449.3430721258</v>
      </c>
      <c r="Z51" s="104">
        <f t="shared" si="33"/>
        <v>0.887</v>
      </c>
      <c r="AA51" s="103">
        <f>S51*VLOOKUP($E51,武器奇术!$A:$R,2,FALSE)*(1+T51)*(1+U51)*V51*(1+$E$17+VLOOKUP($E51,武器奇术!$A:$R,10,FALSE))</f>
        <v>31538.8777169843</v>
      </c>
      <c r="AB51" s="104">
        <f t="shared" si="34"/>
        <v>0.0986</v>
      </c>
      <c r="AC51" s="103">
        <f>R51*VLOOKUP($E51,武器奇术!$A:$R,2,FALSE)*(1+T51)*(1+U51)*V51</f>
        <v>22825.7955067106</v>
      </c>
      <c r="AD51" s="104">
        <f t="shared" si="35"/>
        <v>0.0144</v>
      </c>
      <c r="AE51" s="112">
        <f t="shared" si="36"/>
        <v>49073.9921031668</v>
      </c>
      <c r="AF51" s="113">
        <f>VLOOKUP($E51,武器奇术!$A:$R,3,FALSE)*(1+IF(VLOOKUP($E51,武器奇术!$A:$R,15,FALSE)="武器",$E$15,0))</f>
        <v>1573.975</v>
      </c>
      <c r="AG51" s="103">
        <f t="shared" si="1"/>
        <v>1573.975</v>
      </c>
      <c r="AH51" s="103">
        <f>VLOOKUP($E51,武器奇术!$A:$R,3,FALSE)*(1+IF(VLOOKUP($E51,武器奇术!$A:$R,15,FALSE)="武器",$E$15,0))</f>
        <v>1573.975</v>
      </c>
      <c r="AI51" s="104">
        <f>IF(($D$5+VLOOKUP($E51,武器奇术!$A:$R,13,FALSE)+IF($I$3="√",10,0)-VLOOKUP($F$7,目标属性!$A:$R,5,FALSE))&gt;0,($D$5+VLOOKUP($E51,武器奇术!$A:$R,13,FALSE)+IF($I$3="√",10,0)-VLOOKUP($F$7,目标属性!$A:$R,5,FALSE))/200,($D$5+VLOOKUP($E51,武器奇术!$A:$R,13,FALSE)+IF($I$3="√",10,0)-VLOOKUP($F$7,目标属性!$A:$R,5,FALSE))/100)</f>
        <v>0.3925</v>
      </c>
      <c r="AJ51" s="111">
        <f>$E$5+IF($G$5="烟柳",IF(VLOOKUP($E51,武器奇术!$A:$T,20,FALSE)=1,0.1,0),0)</f>
        <v>0.1</v>
      </c>
      <c r="AK51" s="102">
        <v>1</v>
      </c>
      <c r="AL51" s="103">
        <f t="shared" si="37"/>
        <v>2410.93620625</v>
      </c>
      <c r="AM51" s="104">
        <f>(1-IF(VLOOKUP($E51,武器奇术!$A:$R,18,FALSE)="叶龙",1,$N51))*(1-$M51)</f>
        <v>0</v>
      </c>
      <c r="AN51" s="103">
        <f>AG51*(1+AI51)*(1+AJ51)*AK51*(1+$E$16+VLOOKUP($E51,武器奇术!$A:$R,8,FALSE))</f>
        <v>5434.2502088875</v>
      </c>
      <c r="AO51" s="104">
        <f t="shared" si="2"/>
        <v>0.887</v>
      </c>
      <c r="AP51" s="103">
        <f>AH51*(1+AI51)*(1+AJ51)*AK51*(1+$E$17+VLOOKUP($E51,武器奇术!$A:$R,10,FALSE))</f>
        <v>3254.7638784375</v>
      </c>
      <c r="AQ51" s="104">
        <f t="shared" si="3"/>
        <v>0.0986</v>
      </c>
      <c r="AR51" s="103">
        <f t="shared" si="38"/>
        <v>2410.93620625</v>
      </c>
      <c r="AS51" s="104">
        <f t="shared" si="4"/>
        <v>0.0144</v>
      </c>
      <c r="AT51" s="112">
        <f t="shared" si="5"/>
        <v>5175.81713506715</v>
      </c>
      <c r="AU51" s="110">
        <f>$B$7*IF($G$5="撼天",1.05,1)+IF(AND(VLOOKUP($E51,武器奇术!$A:$R,15,FALSE)="武器",VLOOKUP($E51,武器奇术!$A:$R,17,FALSE)="鸣金"),$E$3*(1+$E$15),0)</f>
        <v>0</v>
      </c>
      <c r="AV51" s="102">
        <f t="shared" si="6"/>
        <v>0</v>
      </c>
      <c r="AW51" s="102">
        <f>MAX($C$7*IF($G$5="撼天",1.05,1)+IF(AND(VLOOKUP($E51,武器奇术!$A:$R,15,FALSE)="武器",VLOOKUP($E51,武器奇术!$A:$R,17,FALSE)="鸣金"),$E$3*(1+$E$15),0),AU51)</f>
        <v>0</v>
      </c>
      <c r="AX51" s="104">
        <f>IF(($D$7+IF(VLOOKUP($E51,武器奇术!$A:$R,17,FALSE)="鸣金",$D$15,0)-VLOOKUP($F$7,目标属性!$A:$R,6,FALSE))&gt;0,($D$7+IF(VLOOKUP($E51,武器奇术!$A:$R,17,FALSE)="鸣金",$D$15,0)-VLOOKUP($F$7,目标属性!$A:$R,6,FALSE))/200,($D$7+IF(VLOOKUP($E51,武器奇术!$A:$R,17,FALSE)="鸣金",$D$15,0)-VLOOKUP($F$7,目标属性!$A:$R,6,FALSE))/100)</f>
        <v>-0.24</v>
      </c>
      <c r="AY51" s="111">
        <f t="shared" si="7"/>
        <v>0</v>
      </c>
      <c r="AZ51" s="102">
        <v>1</v>
      </c>
      <c r="BA51" s="103">
        <f>AU51*IF(VLOOKUP($E51,武器奇术!$A:$R,17,FALSE)="鸣金",VLOOKUP($E51,武器奇术!$A:$R,4,FALSE),VLOOKUP($E51,武器奇术!$A:$R,2,FALSE))*(1+AX51)*(1+AY51)*AZ51</f>
        <v>0</v>
      </c>
      <c r="BB51" s="104">
        <f>(1-IF(VLOOKUP($E51,武器奇术!$A:$R,18,FALSE)="叶龙",1,$N51))*(1-$M51)</f>
        <v>0</v>
      </c>
      <c r="BC51" s="103">
        <f>AV51*IF(VLOOKUP($E51,武器奇术!$A:$R,17,FALSE)="鸣金",VLOOKUP($E51,武器奇术!$A:$R,4,FALSE),VLOOKUP($E51,武器奇术!$A:$R,2,FALSE))*(1+AX51)*(1+AY51)*AZ51*(1+$E$16+VLOOKUP($E51,武器奇术!$A:$R,8,FALSE))</f>
        <v>0</v>
      </c>
      <c r="BD51" s="104">
        <f t="shared" si="8"/>
        <v>0.887</v>
      </c>
      <c r="BE51" s="103">
        <f>AW51*IF(VLOOKUP($E51,武器奇术!$A:$R,17,FALSE)="鸣金",VLOOKUP($E51,武器奇术!$A:$R,4,FALSE),VLOOKUP($E51,武器奇术!$A:$R,2,FALSE))*(1+AX51)*(1+AY51)*AZ51*(1+$E$17+VLOOKUP($E51,武器奇术!$A:$R,10,FALSE))</f>
        <v>0</v>
      </c>
      <c r="BF51" s="104">
        <f t="shared" si="9"/>
        <v>0.0986</v>
      </c>
      <c r="BG51" s="103">
        <f>AV51*IF(VLOOKUP($E51,武器奇术!$A:$R,17,FALSE)="鸣金",VLOOKUP($E51,武器奇术!$A:$R,4,FALSE),VLOOKUP($E51,武器奇术!$A:$R,2,FALSE))*(1+AX51)*(1+AY51)*AZ51</f>
        <v>0</v>
      </c>
      <c r="BH51" s="104">
        <f t="shared" si="10"/>
        <v>0.0144</v>
      </c>
      <c r="BI51" s="112">
        <f t="shared" si="11"/>
        <v>0</v>
      </c>
      <c r="BJ51" s="110">
        <f>$B$9*IF($G$5="撼天",1.05,1)+IF(AND(VLOOKUP($E51,武器奇术!$A:$R,15,FALSE)="武器",VLOOKUP($E51,武器奇术!$A:$R,17,FALSE)="裂石"),$E$3*(1+$E$15),0)</f>
        <v>0</v>
      </c>
      <c r="BK51" s="102">
        <f t="shared" si="12"/>
        <v>0</v>
      </c>
      <c r="BL51" s="102">
        <f>MAX($C$9*IF($G$5="撼天",1.05,1)+IF(AND(VLOOKUP($E51,武器奇术!$A:$R,15,FALSE)="武器",VLOOKUP($E51,武器奇术!$A:$R,17,FALSE)="裂石"),$E$3*(1+$E$15),0),BJ51)</f>
        <v>0</v>
      </c>
      <c r="BM51" s="104">
        <f>IF(($D$9+IF(VLOOKUP($E51,武器奇术!$A:$R,17,FALSE)="裂石",$D$15,0)-VLOOKUP($F$7,目标属性!$A:$R,6,FALSE))&gt;0,($D$9+IF(VLOOKUP($E51,武器奇术!$A:$R,17,FALSE)="裂石",$D$15,0)-VLOOKUP($F$7,目标属性!$A:$R,6,FALSE))/200,($D$9+IF(VLOOKUP($E51,武器奇术!$A:$R,17,FALSE)="裂石",$D$15,0)-VLOOKUP($F$7,目标属性!$A:$R,6,FALSE))/100)</f>
        <v>-0.24</v>
      </c>
      <c r="BN51" s="111">
        <f t="shared" si="13"/>
        <v>0</v>
      </c>
      <c r="BO51" s="102">
        <v>1</v>
      </c>
      <c r="BP51" s="103">
        <f>BJ51*IF(VLOOKUP($E51,武器奇术!$A:$R,17,FALSE)="裂石",VLOOKUP($E51,武器奇术!$A:$R,4,FALSE),VLOOKUP($E51,武器奇术!$A:$R,2,FALSE))*(1+BM51)*(1+BN51)*BO51</f>
        <v>0</v>
      </c>
      <c r="BQ51" s="104">
        <f>(1-IF(VLOOKUP($E51,武器奇术!$A:$R,18,FALSE)="叶龙",1,$N51))*(1-$M51)</f>
        <v>0</v>
      </c>
      <c r="BR51" s="103">
        <f>BK51*IF(VLOOKUP($E51,武器奇术!$A:$R,17,FALSE)="裂石",VLOOKUP($E51,武器奇术!$A:$R,4,FALSE),VLOOKUP($E51,武器奇术!$A:$R,2,FALSE))*(1+BM51)*(1+BN51)*BO51*(1+$E$16+VLOOKUP($E51,武器奇术!$A:$R,8,FALSE))</f>
        <v>0</v>
      </c>
      <c r="BS51" s="104">
        <f t="shared" si="14"/>
        <v>0.887</v>
      </c>
      <c r="BT51" s="103">
        <f>BL51*IF(VLOOKUP($E51,武器奇术!$A:$R,17,FALSE)="裂石",VLOOKUP($E51,武器奇术!$A:$R,4,FALSE),VLOOKUP($E51,武器奇术!$A:$R,2,FALSE))*(1+BM51)*(1+BN51)*BO51*(1+$E$17+VLOOKUP($E51,武器奇术!$A:$R,10,FALSE))</f>
        <v>0</v>
      </c>
      <c r="BU51" s="104">
        <f t="shared" si="15"/>
        <v>0.0986</v>
      </c>
      <c r="BV51" s="103">
        <f>BK51*IF(VLOOKUP($E51,武器奇术!$A:$R,17,FALSE)="裂石",VLOOKUP($E51,武器奇术!$A:$R,4,FALSE),VLOOKUP($E51,武器奇术!$A:$R,2,FALSE))*(1+BM51)*(1+BN51)*BO51</f>
        <v>0</v>
      </c>
      <c r="BW51" s="104">
        <f t="shared" si="16"/>
        <v>0.0144</v>
      </c>
      <c r="BX51" s="112">
        <f t="shared" si="17"/>
        <v>0</v>
      </c>
      <c r="BY51" s="110">
        <f>$B$11*IF($G$5="撼天",1.05,1)+IF(AND(VLOOKUP($E51,武器奇术!$A:$R,15,FALSE)="武器",VLOOKUP($E51,武器奇术!$A:$R,17,FALSE)="牵丝"),$E$3*(1+$E$15),0)</f>
        <v>686.71</v>
      </c>
      <c r="BZ51" s="102">
        <f>IF(VLOOKUP($E51,武器奇术!$A:$Z,18,FALSE)="叶龙",(CA51-(BY51+CA51)*0.5)*($G$15-0.5)*2+(BY51+CA51)*0.5,(BY51+CA51)*0.5)</f>
        <v>1052.21</v>
      </c>
      <c r="CA51" s="102">
        <f>MAX($C$11*IF($G$5="撼天",1.05,1)+IF(AND(VLOOKUP($E51,武器奇术!$A:$R,15,FALSE)="武器",VLOOKUP($E51,武器奇术!$A:$R,17,FALSE)="牵丝"),$E$3*(1+$E$15),0),BY51)</f>
        <v>1417.71</v>
      </c>
      <c r="CB51" s="104">
        <f>IF(($D$11+IF(VLOOKUP($E51,武器奇术!$A:$R,17,FALSE)="牵丝",$D$15,0)-VLOOKUP($F$7,目标属性!$A:$R,6,FALSE))&gt;0,($D$11+IF(VLOOKUP($E51,武器奇术!$A:$R,17,FALSE)="牵丝",$D$15,0)-VLOOKUP($F$7,目标属性!$A:$R,6,FALSE))/200,($D$11+IF(VLOOKUP($E51,武器奇术!$A:$R,17,FALSE)="牵丝",$D$15,0)-VLOOKUP($F$7,目标属性!$A:$R,6,FALSE))/100)</f>
        <v>0.028</v>
      </c>
      <c r="CC51" s="111">
        <f>$E$11+IF($G$5="烟柳",IF(VLOOKUP($E51,武器奇术!$A:$T,20,FALSE)=1,0.1,0),0)</f>
        <v>0.248</v>
      </c>
      <c r="CD51" s="102">
        <v>1</v>
      </c>
      <c r="CE51" s="103">
        <f>BY51*IF(VLOOKUP($E51,武器奇术!$A:$R,17,FALSE)="牵丝",VLOOKUP($E51,武器奇术!$A:$R,4,FALSE),VLOOKUP($E51,武器奇术!$A:$R,2,FALSE))*(1+CB51)*(1+CC51)*CD51</f>
        <v>5784.10687663261</v>
      </c>
      <c r="CF51" s="104">
        <f>(1-IF(VLOOKUP($E51,武器奇术!$A:$R,18,FALSE)="叶龙",1,$N51))*(1-$M51)</f>
        <v>0</v>
      </c>
      <c r="CG51" s="124">
        <f>BZ51*IF(VLOOKUP($E51,武器奇术!$A:$R,17,FALSE)="牵丝",VLOOKUP($E51,武器奇术!$A:$R,4,FALSE),VLOOKUP($E51,武器奇术!$A:$R,2,FALSE))*(1+CB51)*(1+CC51)*CD51*(1+$E$16+VLOOKUP($E51,武器奇术!$A:$R,8,FALSE))</f>
        <v>19976.4942229984</v>
      </c>
      <c r="CH51" s="104">
        <f t="shared" si="18"/>
        <v>0.887</v>
      </c>
      <c r="CI51" s="103">
        <f>CA51*IF(VLOOKUP($E51,武器奇术!$A:$R,17,FALSE)="牵丝",VLOOKUP($E51,武器奇术!$A:$R,4,FALSE),VLOOKUP($E51,武器奇术!$A:$R,2,FALSE))*(1+CB51)*(1+CC51)*CD51*(1+$E$17+VLOOKUP($E51,武器奇术!$A:$R,10,FALSE))</f>
        <v>16120.7078913888</v>
      </c>
      <c r="CJ51" s="104">
        <f t="shared" si="19"/>
        <v>0.0986</v>
      </c>
      <c r="CK51" s="124">
        <f>BZ51*IF(VLOOKUP($E51,武器奇术!$A:$R,17,FALSE)="牵丝",VLOOKUP($E51,武器奇术!$A:$R,4,FALSE),VLOOKUP($E51,武器奇术!$A:$R,2,FALSE))*(1+CB51)*(1+CC51)*CD51</f>
        <v>8862.68599068254</v>
      </c>
      <c r="CL51" s="104">
        <f t="shared" si="20"/>
        <v>0.0144</v>
      </c>
      <c r="CM51" s="112">
        <f t="shared" si="39"/>
        <v>19436.2748521564</v>
      </c>
      <c r="CN51" s="110">
        <f>$B$13*IF($G$5="撼天",1.05,1)+IF(AND(VLOOKUP($E51,武器奇术!$A:$R,15,FALSE)="武器",VLOOKUP($E51,武器奇术!$A:$R,17,FALSE)="破竹"),$E$3*(1+$E$15),0)</f>
        <v>0</v>
      </c>
      <c r="CO51" s="102">
        <f t="shared" si="21"/>
        <v>0</v>
      </c>
      <c r="CP51" s="102">
        <f>MAX($C$13*IF($G$5="撼天",1.05,1)+IF(AND(VLOOKUP($E51,武器奇术!$A:$R,15,FALSE)="武器",VLOOKUP($E51,武器奇术!$A:$R,17,FALSE)="破竹"),$E$3*(1+$E$15),0),CN51)</f>
        <v>0</v>
      </c>
      <c r="CQ51" s="104">
        <f>IF(($D$13+IF(VLOOKUP($E51,武器奇术!$A:$R,17,FALSE)="破竹",$D$15,0)-VLOOKUP($F$7,目标属性!$A:$R,6,FALSE))&gt;0,($D$13+IF(VLOOKUP($E51,武器奇术!$A:$R,17,FALSE)="破竹",$D$15,0)-VLOOKUP($F$7,目标属性!$A:$R,6,FALSE))/200,($D$13+IF(VLOOKUP($E51,武器奇术!$A:$R,17,FALSE)="破竹",$D$15,0)-VLOOKUP($F$7,目标属性!$A:$R,6,FALSE))/100)</f>
        <v>-0.24</v>
      </c>
      <c r="CR51" s="111">
        <f t="shared" si="22"/>
        <v>0</v>
      </c>
      <c r="CS51" s="102">
        <v>1</v>
      </c>
      <c r="CT51" s="103">
        <f>CN51*IF(VLOOKUP($E51,武器奇术!$A:$R,17,FALSE)="破竹",VLOOKUP($E51,武器奇术!$A:$R,4,FALSE),VLOOKUP($E51,武器奇术!$A:$R,2,FALSE))*(1+CQ51)*(1+CR51)*CS51</f>
        <v>0</v>
      </c>
      <c r="CU51" s="104">
        <f>(1-IF(VLOOKUP($E51,武器奇术!$A:$R,18,FALSE)="叶龙",1,$N51))*(1-$M51)</f>
        <v>0</v>
      </c>
      <c r="CV51" s="103">
        <f>CO51*IF(VLOOKUP($E51,武器奇术!$A:$R,17,FALSE)="破竹",VLOOKUP($E51,武器奇术!$A:$R,4,FALSE),VLOOKUP($E51,武器奇术!$A:$R,2,FALSE))*(1+CQ51)*(1+CR51)*CS51*(1+$E$16+VLOOKUP($E51,武器奇术!$A:$R,8,FALSE))</f>
        <v>0</v>
      </c>
      <c r="CW51" s="104">
        <f t="shared" si="23"/>
        <v>0.887</v>
      </c>
      <c r="CX51" s="103">
        <f>CP51*IF(VLOOKUP($E51,武器奇术!$A:$R,17,FALSE)="破竹",VLOOKUP($E51,武器奇术!$A:$R,4,FALSE),VLOOKUP($E51,武器奇术!$A:$R,2,FALSE))*(1+CQ51)*(1+CR51)*CS51*(1+$E$17+VLOOKUP($E51,武器奇术!$A:$R,10,FALSE))</f>
        <v>0</v>
      </c>
      <c r="CY51" s="104">
        <f t="shared" si="24"/>
        <v>0.0986</v>
      </c>
      <c r="CZ51" s="103">
        <f>CO51*IF(VLOOKUP($E51,武器奇术!$A:$R,17,FALSE)="破竹",VLOOKUP($E51,武器奇术!$A:$R,4,FALSE),VLOOKUP($E51,武器奇术!$A:$R,2,FALSE))*(1+CQ51)*(1+CR51)*CS51</f>
        <v>0</v>
      </c>
      <c r="DA51" s="104">
        <f t="shared" si="25"/>
        <v>0.0144</v>
      </c>
      <c r="DB51" s="112">
        <f t="shared" si="26"/>
        <v>0</v>
      </c>
      <c r="DC51" s="110">
        <f t="shared" si="40"/>
        <v>66</v>
      </c>
      <c r="DD51" s="102">
        <f t="shared" si="27"/>
        <v>125.8</v>
      </c>
      <c r="DE51" s="102">
        <f t="shared" si="41"/>
        <v>185.6</v>
      </c>
      <c r="DF51" s="104">
        <f>IF((IF(VLOOKUP($E51,武器奇术!$A:$R,17,FALSE)="鸣金",$D$7,0)+IF(VLOOKUP($E51,武器奇术!$A:$R,17,FALSE)="裂石",$D$9,0)+IF(VLOOKUP($E51,武器奇术!$A:$R,17,FALSE)="牵丝",$D$11,0)+IF(VLOOKUP($E51,武器奇术!$A:$R,17,FALSE)="破竹",$D$13,0)+$D$15-VLOOKUP($F$7,目标属性!$A:$R,6,FALSE))&gt;0,(IF(VLOOKUP($E51,武器奇术!$A:$R,17,FALSE)="鸣金",$D$7,0)+IF(VLOOKUP($E51,武器奇术!$A:$R,17,FALSE)="裂石",$D$9,0)+IF(VLOOKUP($E51,武器奇术!$A:$R,17,FALSE)="牵丝",$D$11,0)+IF(VLOOKUP($E51,武器奇术!$A:$R,17,FALSE)="破竹",$D$13,0)+$D$15-VLOOKUP($F$7,目标属性!$A:$R,6,FALSE))/200,(IF(VLOOKUP($E51,武器奇术!$A:$R,17,FALSE)="鸣金",$D$7,0)+IF(VLOOKUP($E51,武器奇术!$A:$R,17,FALSE)="裂石",$D$9,0)+IF(VLOOKUP($E51,武器奇术!$A:$R,17,FALSE)="牵丝",$D$11,0)+IF(VLOOKUP($E51,武器奇术!$A:$R,17,FALSE)="破竹",$D$13,0)+$D$15-VLOOKUP($F$7,目标属性!$A:$R,6,FALSE))/100)</f>
        <v>0.028</v>
      </c>
      <c r="DG51" s="111">
        <f>$E$11+IF($G$5="烟柳",IF(VLOOKUP($E51,武器奇术!$A:$T,20,FALSE)=1,0.1,0),0)</f>
        <v>0.248</v>
      </c>
      <c r="DH51" s="102">
        <v>1</v>
      </c>
      <c r="DI51" s="103">
        <f>DC51*IF(VLOOKUP($E51,武器奇术!$A:$R,17,FALSE)="牵丝",VLOOKUP($E51,武器奇术!$A:$R,4,FALSE),VLOOKUP($E51,武器奇术!$A:$R,2,FALSE))*(1+DF51)*(1+DG51)*DH51</f>
        <v>555.91305479424</v>
      </c>
      <c r="DJ51" s="104">
        <f>(1-IF(VLOOKUP($E51,武器奇术!$A:$R,18,FALSE)="叶龙",1,$N51))*(1-$M51)</f>
        <v>0</v>
      </c>
      <c r="DK51" s="124">
        <f>DD51*IF(VLOOKUP($E51,武器奇术!$A:$R,17,FALSE)="牵丝",VLOOKUP($E51,武器奇术!$A:$R,4,FALSE),VLOOKUP($E51,武器奇术!$A:$R,2,FALSE))*(1+DF51)*(1+DG51)*DH51*(1+$E$16+VLOOKUP($E51,武器奇术!$A:$R,8,FALSE))</f>
        <v>2388.3473577073</v>
      </c>
      <c r="DL51" s="104">
        <f t="shared" si="28"/>
        <v>0.887</v>
      </c>
      <c r="DM51" s="103">
        <f>DE51*IF(VLOOKUP($E51,武器奇术!$A:$R,17,FALSE)="牵丝",VLOOKUP($E51,武器奇术!$A:$R,4,FALSE),VLOOKUP($E51,武器奇术!$A:$R,2,FALSE))*(1+DF51)*(1+DG51)*DH51*(1+$E$17+VLOOKUP($E51,武器奇术!$A:$R,10,FALSE))</f>
        <v>2110.44810620068</v>
      </c>
      <c r="DN51" s="104">
        <f t="shared" si="29"/>
        <v>0.0986</v>
      </c>
      <c r="DO51" s="124">
        <f>DD51*IF(VLOOKUP($E51,武器奇术!$A:$R,17,FALSE)="牵丝",VLOOKUP($E51,武器奇术!$A:$R,4,FALSE),VLOOKUP($E51,武器奇术!$A:$R,2,FALSE))*(1+DF51)*(1+DG51)*DH51</f>
        <v>1059.60397413811</v>
      </c>
      <c r="DP51" s="104">
        <f t="shared" si="30"/>
        <v>0.0144</v>
      </c>
      <c r="DQ51" s="112">
        <f t="shared" si="31"/>
        <v>2341.81258678536</v>
      </c>
    </row>
    <row r="52" customFormat="1" customHeight="1" spans="1:121">
      <c r="A52" s="139"/>
      <c r="B52" s="139"/>
      <c r="C52" s="139"/>
      <c r="D52" s="139"/>
      <c r="E52" s="115" t="s">
        <v>150</v>
      </c>
      <c r="F52" s="116">
        <v>0.65</v>
      </c>
      <c r="G52" s="117"/>
      <c r="H52" s="103">
        <f>IF(VLOOKUP($E52,武器奇术!$A:$R,18,FALSE)="天工",AE52,(AE52+AT52+BI52+BX52+CM52+DB52+DQ52))*(1+J52)*F52*K52*(1+G52)</f>
        <v>65048.5939556949</v>
      </c>
      <c r="I52" s="104">
        <f t="shared" si="42"/>
        <v>0.007496847712925</v>
      </c>
      <c r="J52" s="138">
        <f>$F$3+VLOOKUP($E52,武器奇术!$A:$R,12,FALSE)+VLOOKUP($E52,武器奇术!$A:$R,14,FALSE)*$G$3+$P52</f>
        <v>0.567</v>
      </c>
      <c r="K52" s="105">
        <f>VLOOKUP($E52,武器奇术!$A:$R,11,FALSE)</f>
        <v>1</v>
      </c>
      <c r="L52" s="119">
        <f>IF(VLOOKUP($E52,武器奇术!$A:$R,15,FALSE)="天工",0%,IF($C$17+VLOOKUP($E52,武器奇术!$A:$R,7,FALSE)&gt;80%,80%,$C$17+VLOOKUP($E52,武器奇术!$A:$R,7,FALSE))+IF($C$19&gt;20%,20%,$C$19))</f>
        <v>0.887</v>
      </c>
      <c r="M52" s="120">
        <f>IF(VLOOKUP($E52,武器奇术!$A:$R,15,FALSE)="天工",0%,IF($C$18+VLOOKUP($E52,武器奇术!$A:$R,9,FALSE)&gt;40%,40%,$C$18+VLOOKUP($E52,武器奇术!$A:$R,9,FALSE))+IF($C$20&gt;10%,10%,$C$20))</f>
        <v>0.0986</v>
      </c>
      <c r="N52" s="121">
        <f>IF(VLOOKUP($E52,武器奇术!$A:$R,15,FALSE)="天工",100%,MIN($C$16,1))</f>
        <v>1</v>
      </c>
      <c r="O52" s="122" t="str">
        <f>VLOOKUP($E52,武器奇术!$A:$R,16,FALSE)</f>
        <v>扇</v>
      </c>
      <c r="P52" s="123">
        <f t="shared" si="32"/>
        <v>0.084</v>
      </c>
      <c r="Q52" s="110">
        <f>$B$5*(1+VLOOKUP($E52,武器奇术!$A:$R,5,FALSE))*(1+VLOOKUP($E52,武器奇术!$A:$S,19,FALSE)+IF($G$5="飞隼",0.1,0)+IF($G$5="撼天",0.05,0))-$F$9+IF($J$5="√",160,0)</f>
        <v>3324.7</v>
      </c>
      <c r="R52" s="102">
        <f>IF(VLOOKUP($E52,武器奇术!$A:$Z,18,FALSE)="叶龙",(S52-(Q52+S52)*0.5)*($G$15-0.5)*2+(Q52+S52)*0.5,(Q52+S52)*0.5)</f>
        <v>3404.7</v>
      </c>
      <c r="S52" s="102">
        <f>MAX($C$5,$B$5)*(1+VLOOKUP($E52,武器奇术!$A:$R,6,FALSE))*(1+VLOOKUP($E52,武器奇术!$A:$S,19,FALSE)+IF($G$5="飞隼",0.1,0)+IF($G$5="撼天",0.05,0))-$F$9+IF($J$5="√",320,0)</f>
        <v>3484.7</v>
      </c>
      <c r="T52" s="104">
        <f>IF(($D$5+VLOOKUP($E52,武器奇术!$A:$R,13,FALSE)+IF($I$3="√",10,0)-VLOOKUP($F$7,目标属性!$A:$R,5,FALSE))&gt;0,($D$5+VLOOKUP($E52,武器奇术!$A:$R,13,FALSE)+IF($I$3="√",10,0)-VLOOKUP($F$7,目标属性!$A:$R,5,FALSE))/200,($D$5+VLOOKUP($E52,武器奇术!$A:$R,13,FALSE)+IF($I$3="√",10,0)-VLOOKUP($F$7,目标属性!$A:$R,5,FALSE))/100)</f>
        <v>0.2675</v>
      </c>
      <c r="U52" s="111">
        <f>$E$5+IF($G$5="烟柳",IF(VLOOKUP($E52,武器奇术!$A:$T,20,FALSE)=1,0.1,0),0)</f>
        <v>0.1</v>
      </c>
      <c r="V52" s="102">
        <v>1</v>
      </c>
      <c r="W52" s="103">
        <f>Q52*VLOOKUP($E52,武器奇术!$A:$R,2,FALSE)*(1+T52)*(1+U52)*V52</f>
        <v>20288.6102355544</v>
      </c>
      <c r="X52" s="104">
        <f>(1-IF(VLOOKUP($E52,武器奇术!$A:$R,18,FALSE)="叶龙",1,$N52))*(1-$M52)</f>
        <v>0</v>
      </c>
      <c r="Y52" s="103">
        <f>R52*VLOOKUP($E52,武器奇术!$A:$R,2,FALSE)*(1+T52)*(1+U52)*V52*(1+$E$16+VLOOKUP($E52,武器奇术!$A:$R,8,FALSE))</f>
        <v>41636.709797293</v>
      </c>
      <c r="Z52" s="104">
        <f t="shared" si="33"/>
        <v>0.887</v>
      </c>
      <c r="AA52" s="103">
        <f>S52*VLOOKUP($E52,武器奇术!$A:$R,2,FALSE)*(1+T52)*(1+U52)*V52*(1+$E$17+VLOOKUP($E52,武器奇术!$A:$R,10,FALSE))</f>
        <v>28707.7396813484</v>
      </c>
      <c r="AB52" s="104">
        <f t="shared" si="34"/>
        <v>0.0986</v>
      </c>
      <c r="AC52" s="103">
        <f>R52*VLOOKUP($E52,武器奇术!$A:$R,2,FALSE)*(1+T52)*(1+U52)*V52</f>
        <v>20776.8012960544</v>
      </c>
      <c r="AD52" s="104">
        <f t="shared" si="35"/>
        <v>0.0144</v>
      </c>
      <c r="AE52" s="112">
        <f t="shared" si="36"/>
        <v>40061.530661443</v>
      </c>
      <c r="AF52" s="113">
        <f>VLOOKUP($E52,武器奇术!$A:$R,3,FALSE)*(1+IF(VLOOKUP($E52,武器奇术!$A:$R,15,FALSE)="武器",$E$15,0))</f>
        <v>1573.975</v>
      </c>
      <c r="AG52" s="103">
        <f t="shared" si="1"/>
        <v>1573.975</v>
      </c>
      <c r="AH52" s="103">
        <f>VLOOKUP($E52,武器奇术!$A:$R,3,FALSE)*(1+IF(VLOOKUP($E52,武器奇术!$A:$R,15,FALSE)="武器",$E$15,0))</f>
        <v>1573.975</v>
      </c>
      <c r="AI52" s="104">
        <f>IF(($D$5+VLOOKUP($E52,武器奇术!$A:$R,13,FALSE)+IF($I$3="√",10,0)-VLOOKUP($F$7,目标属性!$A:$R,5,FALSE))&gt;0,($D$5+VLOOKUP($E52,武器奇术!$A:$R,13,FALSE)+IF($I$3="√",10,0)-VLOOKUP($F$7,目标属性!$A:$R,5,FALSE))/200,($D$5+VLOOKUP($E52,武器奇术!$A:$R,13,FALSE)+IF($I$3="√",10,0)-VLOOKUP($F$7,目标属性!$A:$R,5,FALSE))/100)</f>
        <v>0.2675</v>
      </c>
      <c r="AJ52" s="111">
        <f>$E$5+IF($G$5="烟柳",IF(VLOOKUP($E52,武器奇术!$A:$T,20,FALSE)=1,0.1,0),0)</f>
        <v>0.1</v>
      </c>
      <c r="AK52" s="102">
        <v>1</v>
      </c>
      <c r="AL52" s="103">
        <f t="shared" si="37"/>
        <v>2194.51464375</v>
      </c>
      <c r="AM52" s="104">
        <f>(1-IF(VLOOKUP($E52,武器奇术!$A:$R,18,FALSE)="叶龙",1,$N52))*(1-$M52)</f>
        <v>0</v>
      </c>
      <c r="AN52" s="103">
        <f>AG52*(1+AI52)*(1+AJ52)*AK52*(1+$E$16+VLOOKUP($E52,武器奇术!$A:$R,8,FALSE))</f>
        <v>4397.807346075</v>
      </c>
      <c r="AO52" s="104">
        <f t="shared" si="2"/>
        <v>0.887</v>
      </c>
      <c r="AP52" s="103">
        <f>AH52*(1+AI52)*(1+AJ52)*AK52*(1+$E$17+VLOOKUP($E52,武器奇术!$A:$R,10,FALSE))</f>
        <v>2962.5947690625</v>
      </c>
      <c r="AQ52" s="104">
        <f t="shared" si="3"/>
        <v>0.0986</v>
      </c>
      <c r="AR52" s="103">
        <f t="shared" si="38"/>
        <v>2194.51464375</v>
      </c>
      <c r="AS52" s="104">
        <f t="shared" si="4"/>
        <v>0.0144</v>
      </c>
      <c r="AT52" s="112">
        <f t="shared" si="5"/>
        <v>4224.56797106809</v>
      </c>
      <c r="AU52" s="110">
        <f>$B$7*IF($G$5="撼天",1.05,1)+IF(AND(VLOOKUP($E52,武器奇术!$A:$R,15,FALSE)="武器",VLOOKUP($E52,武器奇术!$A:$R,17,FALSE)="鸣金"),$E$3*(1+$E$15),0)</f>
        <v>0</v>
      </c>
      <c r="AV52" s="102">
        <f t="shared" si="6"/>
        <v>0</v>
      </c>
      <c r="AW52" s="102">
        <f>MAX($C$7*IF($G$5="撼天",1.05,1)+IF(AND(VLOOKUP($E52,武器奇术!$A:$R,15,FALSE)="武器",VLOOKUP($E52,武器奇术!$A:$R,17,FALSE)="鸣金"),$E$3*(1+$E$15),0),AU52)</f>
        <v>0</v>
      </c>
      <c r="AX52" s="104">
        <f>IF(($D$7+IF(VLOOKUP($E52,武器奇术!$A:$R,17,FALSE)="鸣金",$D$15,0)-VLOOKUP($F$7,目标属性!$A:$R,6,FALSE))&gt;0,($D$7+IF(VLOOKUP($E52,武器奇术!$A:$R,17,FALSE)="鸣金",$D$15,0)-VLOOKUP($F$7,目标属性!$A:$R,6,FALSE))/200,($D$7+IF(VLOOKUP($E52,武器奇术!$A:$R,17,FALSE)="鸣金",$D$15,0)-VLOOKUP($F$7,目标属性!$A:$R,6,FALSE))/100)</f>
        <v>-0.24</v>
      </c>
      <c r="AY52" s="111">
        <f t="shared" si="7"/>
        <v>0</v>
      </c>
      <c r="AZ52" s="102">
        <v>1</v>
      </c>
      <c r="BA52" s="103">
        <f>AU52*IF(VLOOKUP($E52,武器奇术!$A:$R,17,FALSE)="鸣金",VLOOKUP($E52,武器奇术!$A:$R,4,FALSE),VLOOKUP($E52,武器奇术!$A:$R,2,FALSE))*(1+AX52)*(1+AY52)*AZ52</f>
        <v>0</v>
      </c>
      <c r="BB52" s="104">
        <f>(1-IF(VLOOKUP($E52,武器奇术!$A:$R,18,FALSE)="叶龙",1,$N52))*(1-$M52)</f>
        <v>0</v>
      </c>
      <c r="BC52" s="103">
        <f>AV52*IF(VLOOKUP($E52,武器奇术!$A:$R,17,FALSE)="鸣金",VLOOKUP($E52,武器奇术!$A:$R,4,FALSE),VLOOKUP($E52,武器奇术!$A:$R,2,FALSE))*(1+AX52)*(1+AY52)*AZ52*(1+$E$16+VLOOKUP($E52,武器奇术!$A:$R,8,FALSE))</f>
        <v>0</v>
      </c>
      <c r="BD52" s="104">
        <f t="shared" si="8"/>
        <v>0.887</v>
      </c>
      <c r="BE52" s="103">
        <f>AW52*IF(VLOOKUP($E52,武器奇术!$A:$R,17,FALSE)="鸣金",VLOOKUP($E52,武器奇术!$A:$R,4,FALSE),VLOOKUP($E52,武器奇术!$A:$R,2,FALSE))*(1+AX52)*(1+AY52)*AZ52*(1+$E$17+VLOOKUP($E52,武器奇术!$A:$R,10,FALSE))</f>
        <v>0</v>
      </c>
      <c r="BF52" s="104">
        <f t="shared" si="9"/>
        <v>0.0986</v>
      </c>
      <c r="BG52" s="103">
        <f>AV52*IF(VLOOKUP($E52,武器奇术!$A:$R,17,FALSE)="鸣金",VLOOKUP($E52,武器奇术!$A:$R,4,FALSE),VLOOKUP($E52,武器奇术!$A:$R,2,FALSE))*(1+AX52)*(1+AY52)*AZ52</f>
        <v>0</v>
      </c>
      <c r="BH52" s="104">
        <f t="shared" si="10"/>
        <v>0.0144</v>
      </c>
      <c r="BI52" s="112">
        <f t="shared" si="11"/>
        <v>0</v>
      </c>
      <c r="BJ52" s="110">
        <f>$B$9*IF($G$5="撼天",1.05,1)+IF(AND(VLOOKUP($E52,武器奇术!$A:$R,15,FALSE)="武器",VLOOKUP($E52,武器奇术!$A:$R,17,FALSE)="裂石"),$E$3*(1+$E$15),0)</f>
        <v>0</v>
      </c>
      <c r="BK52" s="102">
        <f t="shared" si="12"/>
        <v>0</v>
      </c>
      <c r="BL52" s="102">
        <f>MAX($C$9*IF($G$5="撼天",1.05,1)+IF(AND(VLOOKUP($E52,武器奇术!$A:$R,15,FALSE)="武器",VLOOKUP($E52,武器奇术!$A:$R,17,FALSE)="裂石"),$E$3*(1+$E$15),0),BJ52)</f>
        <v>0</v>
      </c>
      <c r="BM52" s="104">
        <f>IF(($D$9+IF(VLOOKUP($E52,武器奇术!$A:$R,17,FALSE)="裂石",$D$15,0)-VLOOKUP($F$7,目标属性!$A:$R,6,FALSE))&gt;0,($D$9+IF(VLOOKUP($E52,武器奇术!$A:$R,17,FALSE)="裂石",$D$15,0)-VLOOKUP($F$7,目标属性!$A:$R,6,FALSE))/200,($D$9+IF(VLOOKUP($E52,武器奇术!$A:$R,17,FALSE)="裂石",$D$15,0)-VLOOKUP($F$7,目标属性!$A:$R,6,FALSE))/100)</f>
        <v>-0.24</v>
      </c>
      <c r="BN52" s="111">
        <f t="shared" si="13"/>
        <v>0</v>
      </c>
      <c r="BO52" s="102">
        <v>1</v>
      </c>
      <c r="BP52" s="103">
        <f>BJ52*IF(VLOOKUP($E52,武器奇术!$A:$R,17,FALSE)="裂石",VLOOKUP($E52,武器奇术!$A:$R,4,FALSE),VLOOKUP($E52,武器奇术!$A:$R,2,FALSE))*(1+BM52)*(1+BN52)*BO52</f>
        <v>0</v>
      </c>
      <c r="BQ52" s="104">
        <f>(1-IF(VLOOKUP($E52,武器奇术!$A:$R,18,FALSE)="叶龙",1,$N52))*(1-$M52)</f>
        <v>0</v>
      </c>
      <c r="BR52" s="103">
        <f>BK52*IF(VLOOKUP($E52,武器奇术!$A:$R,17,FALSE)="裂石",VLOOKUP($E52,武器奇术!$A:$R,4,FALSE),VLOOKUP($E52,武器奇术!$A:$R,2,FALSE))*(1+BM52)*(1+BN52)*BO52*(1+$E$16+VLOOKUP($E52,武器奇术!$A:$R,8,FALSE))</f>
        <v>0</v>
      </c>
      <c r="BS52" s="104">
        <f t="shared" si="14"/>
        <v>0.887</v>
      </c>
      <c r="BT52" s="103">
        <f>BL52*IF(VLOOKUP($E52,武器奇术!$A:$R,17,FALSE)="裂石",VLOOKUP($E52,武器奇术!$A:$R,4,FALSE),VLOOKUP($E52,武器奇术!$A:$R,2,FALSE))*(1+BM52)*(1+BN52)*BO52*(1+$E$17+VLOOKUP($E52,武器奇术!$A:$R,10,FALSE))</f>
        <v>0</v>
      </c>
      <c r="BU52" s="104">
        <f t="shared" si="15"/>
        <v>0.0986</v>
      </c>
      <c r="BV52" s="103">
        <f>BK52*IF(VLOOKUP($E52,武器奇术!$A:$R,17,FALSE)="裂石",VLOOKUP($E52,武器奇术!$A:$R,4,FALSE),VLOOKUP($E52,武器奇术!$A:$R,2,FALSE))*(1+BM52)*(1+BN52)*BO52</f>
        <v>0</v>
      </c>
      <c r="BW52" s="104">
        <f t="shared" si="16"/>
        <v>0.0144</v>
      </c>
      <c r="BX52" s="112">
        <f t="shared" si="17"/>
        <v>0</v>
      </c>
      <c r="BY52" s="110">
        <f>$B$11*IF($G$5="撼天",1.05,1)+IF(AND(VLOOKUP($E52,武器奇术!$A:$R,15,FALSE)="武器",VLOOKUP($E52,武器奇术!$A:$R,17,FALSE)="牵丝"),$E$3*(1+$E$15),0)</f>
        <v>686.71</v>
      </c>
      <c r="BZ52" s="102">
        <f>IF(VLOOKUP($E52,武器奇术!$A:$Z,18,FALSE)="叶龙",(CA52-(BY52+CA52)*0.5)*($G$15-0.5)*2+(BY52+CA52)*0.5,(BY52+CA52)*0.5)</f>
        <v>1052.21</v>
      </c>
      <c r="CA52" s="102">
        <f>MAX($C$11*IF($G$5="撼天",1.05,1)+IF(AND(VLOOKUP($E52,武器奇术!$A:$R,15,FALSE)="武器",VLOOKUP($E52,武器奇术!$A:$R,17,FALSE)="牵丝"),$E$3*(1+$E$15),0),BY52)</f>
        <v>1417.71</v>
      </c>
      <c r="CB52" s="104">
        <f>IF(($D$11+IF(VLOOKUP($E52,武器奇术!$A:$R,17,FALSE)="牵丝",$D$15,0)-VLOOKUP($F$7,目标属性!$A:$R,6,FALSE))&gt;0,($D$11+IF(VLOOKUP($E52,武器奇术!$A:$R,17,FALSE)="牵丝",$D$15,0)-VLOOKUP($F$7,目标属性!$A:$R,6,FALSE))/200,($D$11+IF(VLOOKUP($E52,武器奇术!$A:$R,17,FALSE)="牵丝",$D$15,0)-VLOOKUP($F$7,目标属性!$A:$R,6,FALSE))/100)</f>
        <v>0.028</v>
      </c>
      <c r="CC52" s="111">
        <f>$E$11+IF($G$5="烟柳",IF(VLOOKUP($E52,武器奇术!$A:$T,20,FALSE)=1,0.1,0),0)</f>
        <v>0.248</v>
      </c>
      <c r="CD52" s="102">
        <v>1</v>
      </c>
      <c r="CE52" s="103">
        <f>BY52*IF(VLOOKUP($E52,武器奇术!$A:$R,17,FALSE)="牵丝",VLOOKUP($E52,武器奇术!$A:$R,4,FALSE),VLOOKUP($E52,武器奇术!$A:$R,2,FALSE))*(1+CB52)*(1+CC52)*CD52</f>
        <v>5784.10687663261</v>
      </c>
      <c r="CF52" s="104">
        <f>(1-IF(VLOOKUP($E52,武器奇术!$A:$R,18,FALSE)="叶龙",1,$N52))*(1-$M52)</f>
        <v>0</v>
      </c>
      <c r="CG52" s="124">
        <f>BZ52*IF(VLOOKUP($E52,武器奇术!$A:$R,17,FALSE)="牵丝",VLOOKUP($E52,武器奇术!$A:$R,4,FALSE),VLOOKUP($E52,武器奇术!$A:$R,2,FALSE))*(1+CB52)*(1+CC52)*CD52*(1+$E$16+VLOOKUP($E52,武器奇术!$A:$R,8,FALSE))</f>
        <v>17760.8227253278</v>
      </c>
      <c r="CH52" s="104">
        <f t="shared" si="18"/>
        <v>0.887</v>
      </c>
      <c r="CI52" s="103">
        <f>CA52*IF(VLOOKUP($E52,武器奇术!$A:$R,17,FALSE)="牵丝",VLOOKUP($E52,武器奇术!$A:$R,4,FALSE),VLOOKUP($E52,武器奇术!$A:$R,2,FALSE))*(1+CB52)*(1+CC52)*CD52*(1+$E$17+VLOOKUP($E52,武器奇术!$A:$R,10,FALSE))</f>
        <v>16120.7078913888</v>
      </c>
      <c r="CJ52" s="104">
        <f t="shared" si="19"/>
        <v>0.0986</v>
      </c>
      <c r="CK52" s="124">
        <f>BZ52*IF(VLOOKUP($E52,武器奇术!$A:$R,17,FALSE)="牵丝",VLOOKUP($E52,武器奇术!$A:$R,4,FALSE),VLOOKUP($E52,武器奇术!$A:$R,2,FALSE))*(1+CB52)*(1+CC52)*CD52</f>
        <v>8862.68599068254</v>
      </c>
      <c r="CL52" s="104">
        <f t="shared" si="20"/>
        <v>0.0144</v>
      </c>
      <c r="CM52" s="112">
        <f t="shared" si="39"/>
        <v>17470.9742337225</v>
      </c>
      <c r="CN52" s="110">
        <f>$B$13*IF($G$5="撼天",1.05,1)+IF(AND(VLOOKUP($E52,武器奇术!$A:$R,15,FALSE)="武器",VLOOKUP($E52,武器奇术!$A:$R,17,FALSE)="破竹"),$E$3*(1+$E$15),0)</f>
        <v>0</v>
      </c>
      <c r="CO52" s="102">
        <f t="shared" si="21"/>
        <v>0</v>
      </c>
      <c r="CP52" s="102">
        <f>MAX($C$13*IF($G$5="撼天",1.05,1)+IF(AND(VLOOKUP($E52,武器奇术!$A:$R,15,FALSE)="武器",VLOOKUP($E52,武器奇术!$A:$R,17,FALSE)="破竹"),$E$3*(1+$E$15),0),CN52)</f>
        <v>0</v>
      </c>
      <c r="CQ52" s="104">
        <f>IF(($D$13+IF(VLOOKUP($E52,武器奇术!$A:$R,17,FALSE)="破竹",$D$15,0)-VLOOKUP($F$7,目标属性!$A:$R,6,FALSE))&gt;0,($D$13+IF(VLOOKUP($E52,武器奇术!$A:$R,17,FALSE)="破竹",$D$15,0)-VLOOKUP($F$7,目标属性!$A:$R,6,FALSE))/200,($D$13+IF(VLOOKUP($E52,武器奇术!$A:$R,17,FALSE)="破竹",$D$15,0)-VLOOKUP($F$7,目标属性!$A:$R,6,FALSE))/100)</f>
        <v>-0.24</v>
      </c>
      <c r="CR52" s="111">
        <f t="shared" si="22"/>
        <v>0</v>
      </c>
      <c r="CS52" s="102">
        <v>1</v>
      </c>
      <c r="CT52" s="103">
        <f>CN52*IF(VLOOKUP($E52,武器奇术!$A:$R,17,FALSE)="破竹",VLOOKUP($E52,武器奇术!$A:$R,4,FALSE),VLOOKUP($E52,武器奇术!$A:$R,2,FALSE))*(1+CQ52)*(1+CR52)*CS52</f>
        <v>0</v>
      </c>
      <c r="CU52" s="104">
        <f>(1-IF(VLOOKUP($E52,武器奇术!$A:$R,18,FALSE)="叶龙",1,$N52))*(1-$M52)</f>
        <v>0</v>
      </c>
      <c r="CV52" s="103">
        <f>CO52*IF(VLOOKUP($E52,武器奇术!$A:$R,17,FALSE)="破竹",VLOOKUP($E52,武器奇术!$A:$R,4,FALSE),VLOOKUP($E52,武器奇术!$A:$R,2,FALSE))*(1+CQ52)*(1+CR52)*CS52*(1+$E$16+VLOOKUP($E52,武器奇术!$A:$R,8,FALSE))</f>
        <v>0</v>
      </c>
      <c r="CW52" s="104">
        <f t="shared" si="23"/>
        <v>0.887</v>
      </c>
      <c r="CX52" s="103">
        <f>CP52*IF(VLOOKUP($E52,武器奇术!$A:$R,17,FALSE)="破竹",VLOOKUP($E52,武器奇术!$A:$R,4,FALSE),VLOOKUP($E52,武器奇术!$A:$R,2,FALSE))*(1+CQ52)*(1+CR52)*CS52*(1+$E$17+VLOOKUP($E52,武器奇术!$A:$R,10,FALSE))</f>
        <v>0</v>
      </c>
      <c r="CY52" s="104">
        <f t="shared" si="24"/>
        <v>0.0986</v>
      </c>
      <c r="CZ52" s="103">
        <f>CO52*IF(VLOOKUP($E52,武器奇术!$A:$R,17,FALSE)="破竹",VLOOKUP($E52,武器奇术!$A:$R,4,FALSE),VLOOKUP($E52,武器奇术!$A:$R,2,FALSE))*(1+CQ52)*(1+CR52)*CS52</f>
        <v>0</v>
      </c>
      <c r="DA52" s="104">
        <f t="shared" si="25"/>
        <v>0.0144</v>
      </c>
      <c r="DB52" s="112">
        <f t="shared" si="26"/>
        <v>0</v>
      </c>
      <c r="DC52" s="110">
        <f t="shared" si="40"/>
        <v>66</v>
      </c>
      <c r="DD52" s="102">
        <f t="shared" si="27"/>
        <v>125.8</v>
      </c>
      <c r="DE52" s="102">
        <f t="shared" si="41"/>
        <v>185.6</v>
      </c>
      <c r="DF52" s="104">
        <f>IF((IF(VLOOKUP($E52,武器奇术!$A:$R,17,FALSE)="鸣金",$D$7,0)+IF(VLOOKUP($E52,武器奇术!$A:$R,17,FALSE)="裂石",$D$9,0)+IF(VLOOKUP($E52,武器奇术!$A:$R,17,FALSE)="牵丝",$D$11,0)+IF(VLOOKUP($E52,武器奇术!$A:$R,17,FALSE)="破竹",$D$13,0)+$D$15-VLOOKUP($F$7,目标属性!$A:$R,6,FALSE))&gt;0,(IF(VLOOKUP($E52,武器奇术!$A:$R,17,FALSE)="鸣金",$D$7,0)+IF(VLOOKUP($E52,武器奇术!$A:$R,17,FALSE)="裂石",$D$9,0)+IF(VLOOKUP($E52,武器奇术!$A:$R,17,FALSE)="牵丝",$D$11,0)+IF(VLOOKUP($E52,武器奇术!$A:$R,17,FALSE)="破竹",$D$13,0)+$D$15-VLOOKUP($F$7,目标属性!$A:$R,6,FALSE))/200,(IF(VLOOKUP($E52,武器奇术!$A:$R,17,FALSE)="鸣金",$D$7,0)+IF(VLOOKUP($E52,武器奇术!$A:$R,17,FALSE)="裂石",$D$9,0)+IF(VLOOKUP($E52,武器奇术!$A:$R,17,FALSE)="牵丝",$D$11,0)+IF(VLOOKUP($E52,武器奇术!$A:$R,17,FALSE)="破竹",$D$13,0)+$D$15-VLOOKUP($F$7,目标属性!$A:$R,6,FALSE))/100)</f>
        <v>0.028</v>
      </c>
      <c r="DG52" s="111">
        <f>$E$11+IF($G$5="烟柳",IF(VLOOKUP($E52,武器奇术!$A:$T,20,FALSE)=1,0.1,0),0)</f>
        <v>0.248</v>
      </c>
      <c r="DH52" s="102">
        <v>1</v>
      </c>
      <c r="DI52" s="103">
        <f>DC52*IF(VLOOKUP($E52,武器奇术!$A:$R,17,FALSE)="牵丝",VLOOKUP($E52,武器奇术!$A:$R,4,FALSE),VLOOKUP($E52,武器奇术!$A:$R,2,FALSE))*(1+DF52)*(1+DG52)*DH52</f>
        <v>555.91305479424</v>
      </c>
      <c r="DJ52" s="104">
        <f>(1-IF(VLOOKUP($E52,武器奇术!$A:$R,18,FALSE)="叶龙",1,$N52))*(1-$M52)</f>
        <v>0</v>
      </c>
      <c r="DK52" s="124">
        <f>DD52*IF(VLOOKUP($E52,武器奇术!$A:$R,17,FALSE)="牵丝",VLOOKUP($E52,武器奇术!$A:$R,4,FALSE),VLOOKUP($E52,武器奇术!$A:$R,2,FALSE))*(1+DF52)*(1+DG52)*DH52*(1+$E$16+VLOOKUP($E52,武器奇术!$A:$R,8,FALSE))</f>
        <v>2123.44636417278</v>
      </c>
      <c r="DL52" s="104">
        <f t="shared" si="28"/>
        <v>0.887</v>
      </c>
      <c r="DM52" s="103">
        <f>DE52*IF(VLOOKUP($E52,武器奇术!$A:$R,17,FALSE)="牵丝",VLOOKUP($E52,武器奇术!$A:$R,4,FALSE),VLOOKUP($E52,武器奇术!$A:$R,2,FALSE))*(1+DF52)*(1+DG52)*DH52*(1+$E$17+VLOOKUP($E52,武器奇术!$A:$R,10,FALSE))</f>
        <v>2110.44810620068</v>
      </c>
      <c r="DN52" s="104">
        <f t="shared" si="29"/>
        <v>0.0986</v>
      </c>
      <c r="DO52" s="124">
        <f>DD52*IF(VLOOKUP($E52,武器奇术!$A:$R,17,FALSE)="牵丝",VLOOKUP($E52,武器奇术!$A:$R,4,FALSE),VLOOKUP($E52,武器奇术!$A:$R,2,FALSE))*(1+DF52)*(1+DG52)*DH52</f>
        <v>1059.60397413811</v>
      </c>
      <c r="DP52" s="104">
        <f t="shared" si="30"/>
        <v>0.0144</v>
      </c>
      <c r="DQ52" s="112">
        <f t="shared" si="31"/>
        <v>2106.84540552023</v>
      </c>
    </row>
    <row r="53" customFormat="1" customHeight="1" spans="1:121">
      <c r="A53" s="37" t="s">
        <v>151</v>
      </c>
      <c r="B53" t="s">
        <v>152</v>
      </c>
      <c r="C53">
        <v>1.25</v>
      </c>
      <c r="D53" s="139"/>
      <c r="E53" s="115" t="s">
        <v>153</v>
      </c>
      <c r="F53" s="116">
        <v>10</v>
      </c>
      <c r="G53" s="117">
        <f>$E$23</f>
        <v>0.32</v>
      </c>
      <c r="H53" s="103">
        <f>IF(VLOOKUP($E53,武器奇术!$A:$R,18,FALSE)="天工",AE53,(AE53+AT53+BI53+BX53+CM53+DB53+DQ53))*(1+J53)*F53*K53*(1+G53)</f>
        <v>568169.732082762</v>
      </c>
      <c r="I53" s="104">
        <f t="shared" si="42"/>
        <v>0.0654815376857958</v>
      </c>
      <c r="J53" s="138">
        <f>$F$3+VLOOKUP($E53,武器奇术!$A:$R,12,FALSE)+VLOOKUP($E53,武器奇术!$A:$R,14,FALSE)*$G$3+$P53</f>
        <v>1.103</v>
      </c>
      <c r="K53" s="105">
        <f>VLOOKUP($E53,武器奇术!$A:$R,11,FALSE)</f>
        <v>1</v>
      </c>
      <c r="L53" s="119">
        <f>IF(VLOOKUP($E53,武器奇术!$A:$R,15,FALSE)="天工",0%,IF($C$17+VLOOKUP($E53,武器奇术!$A:$R,7,FALSE)&gt;80%,80%,$C$17+VLOOKUP($E53,武器奇术!$A:$R,7,FALSE))+IF($C$19&gt;20%,20%,$C$19))</f>
        <v>0.8703</v>
      </c>
      <c r="M53" s="120">
        <f>IF(VLOOKUP($E53,武器奇术!$A:$R,15,FALSE)="天工",0%,IF($C$18+VLOOKUP($E53,武器奇术!$A:$R,9,FALSE)&gt;40%,40%,$C$18+VLOOKUP($E53,武器奇术!$A:$R,9,FALSE))+IF($C$20&gt;10%,10%,$C$20))</f>
        <v>0.0986</v>
      </c>
      <c r="N53" s="121">
        <f>IF(VLOOKUP($E53,武器奇术!$A:$R,15,FALSE)="天工",100%,MIN($C$16,1))</f>
        <v>1</v>
      </c>
      <c r="O53" s="122" t="str">
        <f>VLOOKUP($E53,武器奇术!$A:$R,16,FALSE)</f>
        <v>伞</v>
      </c>
      <c r="P53" s="123">
        <f t="shared" si="32"/>
        <v>0.17</v>
      </c>
      <c r="Q53" s="110">
        <f>$B$5*(1+VLOOKUP($E53,武器奇术!$A:$R,5,FALSE))*(1+VLOOKUP($E53,武器奇术!$A:$S,19,FALSE)+IF($G$5="飞隼",0.1,0)+IF($G$5="撼天",0.05,0))-$F$9+IF($J$5="√",160,0)</f>
        <v>3324.7</v>
      </c>
      <c r="R53" s="102">
        <f>IF(VLOOKUP($E53,武器奇术!$A:$Z,18,FALSE)="叶龙",(S53-(Q53+S53)*0.5)*($G$15-0.5)*2+(Q53+S53)*0.5,(Q53+S53)*0.5)</f>
        <v>3404.7</v>
      </c>
      <c r="S53" s="102">
        <f>MAX($C$5,$B$5)*(1+VLOOKUP($E53,武器奇术!$A:$R,6,FALSE))*(1+VLOOKUP($E53,武器奇术!$A:$S,19,FALSE)+IF($G$5="飞隼",0.1,0)+IF($G$5="撼天",0.05,0))-$F$9+IF($J$5="√",320,0)</f>
        <v>3484.7</v>
      </c>
      <c r="T53" s="104">
        <f>IF(($D$5+VLOOKUP($E53,武器奇术!$A:$R,13,FALSE)+IF($I$3="√",10,0)-VLOOKUP($F$7,目标属性!$A:$R,5,FALSE))&gt;0,($D$5+VLOOKUP($E53,武器奇术!$A:$R,13,FALSE)+IF($I$3="√",10,0)-VLOOKUP($F$7,目标属性!$A:$R,5,FALSE))/200,($D$5+VLOOKUP($E53,武器奇术!$A:$R,13,FALSE)+IF($I$3="√",10,0)-VLOOKUP($F$7,目标属性!$A:$R,5,FALSE))/100)</f>
        <v>0.4175</v>
      </c>
      <c r="U53" s="111">
        <f>$E$5+IF($G$5="烟柳",IF(VLOOKUP($E53,武器奇术!$A:$T,20,FALSE)=1,0.1,0),0)</f>
        <v>0.1</v>
      </c>
      <c r="V53" s="102">
        <v>1</v>
      </c>
      <c r="W53" s="103">
        <f>Q53*VLOOKUP($E53,武器奇术!$A:$R,2,FALSE)*(1+T53)*(1+U53)*V53</f>
        <v>6091.01192639362</v>
      </c>
      <c r="X53" s="104">
        <f>(1-IF(VLOOKUP($E53,武器奇术!$A:$R,18,FALSE)="叶龙",1,$N53))*(1-$M53)</f>
        <v>0</v>
      </c>
      <c r="Y53" s="103">
        <f>R53*VLOOKUP($E53,武器奇术!$A:$R,2,FALSE)*(1+T53)*(1+U53)*V53*(1+$E$16+VLOOKUP($E53,武器奇术!$A:$R,8,FALSE))</f>
        <v>14059.495882713</v>
      </c>
      <c r="Z53" s="104">
        <f t="shared" si="33"/>
        <v>0.8703</v>
      </c>
      <c r="AA53" s="103">
        <f>S53*VLOOKUP($E53,武器奇术!$A:$R,2,FALSE)*(1+T53)*(1+U53)*V53*(1+$E$17+VLOOKUP($E53,武器奇术!$A:$R,10,FALSE))</f>
        <v>8618.58859472139</v>
      </c>
      <c r="AB53" s="104">
        <f t="shared" si="34"/>
        <v>0.0986</v>
      </c>
      <c r="AC53" s="103">
        <f>R53*VLOOKUP($E53,武器奇术!$A:$R,2,FALSE)*(1+T53)*(1+U53)*V53</f>
        <v>6237.57581309363</v>
      </c>
      <c r="AD53" s="104">
        <f t="shared" si="35"/>
        <v>0.0311</v>
      </c>
      <c r="AE53" s="112">
        <f t="shared" si="36"/>
        <v>13279.7607099519</v>
      </c>
      <c r="AF53" s="113">
        <f>VLOOKUP($E53,武器奇术!$A:$R,3,FALSE)*(1+IF(VLOOKUP($E53,武器奇术!$A:$R,15,FALSE)="武器",$E$15,0))</f>
        <v>421.59</v>
      </c>
      <c r="AG53" s="103">
        <f t="shared" si="1"/>
        <v>421.59</v>
      </c>
      <c r="AH53" s="103">
        <f>VLOOKUP($E53,武器奇术!$A:$R,3,FALSE)*(1+IF(VLOOKUP($E53,武器奇术!$A:$R,15,FALSE)="武器",$E$15,0))</f>
        <v>421.59</v>
      </c>
      <c r="AI53" s="104">
        <f>IF(($D$5+VLOOKUP($E53,武器奇术!$A:$R,13,FALSE)+IF($I$3="√",10,0)-VLOOKUP($F$7,目标属性!$A:$R,5,FALSE))&gt;0,($D$5+VLOOKUP($E53,武器奇术!$A:$R,13,FALSE)+IF($I$3="√",10,0)-VLOOKUP($F$7,目标属性!$A:$R,5,FALSE))/200,($D$5+VLOOKUP($E53,武器奇术!$A:$R,13,FALSE)+IF($I$3="√",10,0)-VLOOKUP($F$7,目标属性!$A:$R,5,FALSE))/100)</f>
        <v>0.4175</v>
      </c>
      <c r="AJ53" s="111">
        <f>$E$5+IF($G$5="烟柳",IF(VLOOKUP($E53,武器奇术!$A:$T,20,FALSE)=1,0.1,0),0)</f>
        <v>0.1</v>
      </c>
      <c r="AK53" s="102">
        <v>1</v>
      </c>
      <c r="AL53" s="103">
        <f t="shared" si="37"/>
        <v>657.3642075</v>
      </c>
      <c r="AM53" s="104">
        <f>(1-IF(VLOOKUP($E53,武器奇术!$A:$R,18,FALSE)="叶龙",1,$N53))*(1-$M53)</f>
        <v>0</v>
      </c>
      <c r="AN53" s="103">
        <f>AG53*(1+AI53)*(1+AJ53)*AK53*(1+$E$16+VLOOKUP($E53,武器奇术!$A:$R,8,FALSE))</f>
        <v>1481.698923705</v>
      </c>
      <c r="AO53" s="104">
        <f t="shared" si="2"/>
        <v>0.8703</v>
      </c>
      <c r="AP53" s="103">
        <f>AH53*(1+AI53)*(1+AJ53)*AK53*(1+$E$17+VLOOKUP($E53,武器奇术!$A:$R,10,FALSE))</f>
        <v>887.441680125</v>
      </c>
      <c r="AQ53" s="104">
        <f t="shared" si="3"/>
        <v>0.0986</v>
      </c>
      <c r="AR53" s="103">
        <f t="shared" si="38"/>
        <v>657.3642075</v>
      </c>
      <c r="AS53" s="104">
        <f t="shared" si="4"/>
        <v>0.0311</v>
      </c>
      <c r="AT53" s="112">
        <f t="shared" si="5"/>
        <v>1397.46834981404</v>
      </c>
      <c r="AU53" s="110">
        <f>$B$7*IF($G$5="撼天",1.05,1)+IF(AND(VLOOKUP($E53,武器奇术!$A:$R,15,FALSE)="武器",VLOOKUP($E53,武器奇术!$A:$R,17,FALSE)="鸣金"),$E$3*(1+$E$15),0)</f>
        <v>0</v>
      </c>
      <c r="AV53" s="102">
        <f t="shared" si="6"/>
        <v>0</v>
      </c>
      <c r="AW53" s="102">
        <f>MAX($C$7*IF($G$5="撼天",1.05,1)+IF(AND(VLOOKUP($E53,武器奇术!$A:$R,15,FALSE)="武器",VLOOKUP($E53,武器奇术!$A:$R,17,FALSE)="鸣金"),$E$3*(1+$E$15),0),AU53)</f>
        <v>0</v>
      </c>
      <c r="AX53" s="104">
        <f>IF(($D$7+IF(VLOOKUP($E53,武器奇术!$A:$R,17,FALSE)="鸣金",$D$15,0)-VLOOKUP($F$7,目标属性!$A:$R,6,FALSE))&gt;0,($D$7+IF(VLOOKUP($E53,武器奇术!$A:$R,17,FALSE)="鸣金",$D$15,0)-VLOOKUP($F$7,目标属性!$A:$R,6,FALSE))/200,($D$7+IF(VLOOKUP($E53,武器奇术!$A:$R,17,FALSE)="鸣金",$D$15,0)-VLOOKUP($F$7,目标属性!$A:$R,6,FALSE))/100)</f>
        <v>-0.24</v>
      </c>
      <c r="AY53" s="111">
        <f t="shared" si="7"/>
        <v>0</v>
      </c>
      <c r="AZ53" s="102">
        <v>1</v>
      </c>
      <c r="BA53" s="103">
        <f>AU53*IF(VLOOKUP($E53,武器奇术!$A:$R,17,FALSE)="鸣金",VLOOKUP($E53,武器奇术!$A:$R,4,FALSE),VLOOKUP($E53,武器奇术!$A:$R,2,FALSE))*(1+AX53)*(1+AY53)*AZ53</f>
        <v>0</v>
      </c>
      <c r="BB53" s="104">
        <f>(1-IF(VLOOKUP($E53,武器奇术!$A:$R,18,FALSE)="叶龙",1,$N53))*(1-$M53)</f>
        <v>0</v>
      </c>
      <c r="BC53" s="103">
        <f>AV53*IF(VLOOKUP($E53,武器奇术!$A:$R,17,FALSE)="鸣金",VLOOKUP($E53,武器奇术!$A:$R,4,FALSE),VLOOKUP($E53,武器奇术!$A:$R,2,FALSE))*(1+AX53)*(1+AY53)*AZ53*(1+$E$16+VLOOKUP($E53,武器奇术!$A:$R,8,FALSE))</f>
        <v>0</v>
      </c>
      <c r="BD53" s="104">
        <f t="shared" si="8"/>
        <v>0.8703</v>
      </c>
      <c r="BE53" s="103">
        <f>AW53*IF(VLOOKUP($E53,武器奇术!$A:$R,17,FALSE)="鸣金",VLOOKUP($E53,武器奇术!$A:$R,4,FALSE),VLOOKUP($E53,武器奇术!$A:$R,2,FALSE))*(1+AX53)*(1+AY53)*AZ53*(1+$E$17+VLOOKUP($E53,武器奇术!$A:$R,10,FALSE))</f>
        <v>0</v>
      </c>
      <c r="BF53" s="104">
        <f t="shared" si="9"/>
        <v>0.0986</v>
      </c>
      <c r="BG53" s="103">
        <f>AV53*IF(VLOOKUP($E53,武器奇术!$A:$R,17,FALSE)="鸣金",VLOOKUP($E53,武器奇术!$A:$R,4,FALSE),VLOOKUP($E53,武器奇术!$A:$R,2,FALSE))*(1+AX53)*(1+AY53)*AZ53</f>
        <v>0</v>
      </c>
      <c r="BH53" s="104">
        <f t="shared" si="10"/>
        <v>0.0311</v>
      </c>
      <c r="BI53" s="112">
        <f t="shared" si="11"/>
        <v>0</v>
      </c>
      <c r="BJ53" s="110">
        <f>$B$9*IF($G$5="撼天",1.05,1)+IF(AND(VLOOKUP($E53,武器奇术!$A:$R,15,FALSE)="武器",VLOOKUP($E53,武器奇术!$A:$R,17,FALSE)="裂石"),$E$3*(1+$E$15),0)</f>
        <v>0</v>
      </c>
      <c r="BK53" s="102">
        <f t="shared" si="12"/>
        <v>0</v>
      </c>
      <c r="BL53" s="102">
        <f>MAX($C$9*IF($G$5="撼天",1.05,1)+IF(AND(VLOOKUP($E53,武器奇术!$A:$R,15,FALSE)="武器",VLOOKUP($E53,武器奇术!$A:$R,17,FALSE)="裂石"),$E$3*(1+$E$15),0),BJ53)</f>
        <v>0</v>
      </c>
      <c r="BM53" s="104">
        <f>IF(($D$9+IF(VLOOKUP($E53,武器奇术!$A:$R,17,FALSE)="裂石",$D$15,0)-VLOOKUP($F$7,目标属性!$A:$R,6,FALSE))&gt;0,($D$9+IF(VLOOKUP($E53,武器奇术!$A:$R,17,FALSE)="裂石",$D$15,0)-VLOOKUP($F$7,目标属性!$A:$R,6,FALSE))/200,($D$9+IF(VLOOKUP($E53,武器奇术!$A:$R,17,FALSE)="裂石",$D$15,0)-VLOOKUP($F$7,目标属性!$A:$R,6,FALSE))/100)</f>
        <v>-0.24</v>
      </c>
      <c r="BN53" s="111">
        <f t="shared" si="13"/>
        <v>0</v>
      </c>
      <c r="BO53" s="102">
        <v>1</v>
      </c>
      <c r="BP53" s="103">
        <f>BJ53*IF(VLOOKUP($E53,武器奇术!$A:$R,17,FALSE)="裂石",VLOOKUP($E53,武器奇术!$A:$R,4,FALSE),VLOOKUP($E53,武器奇术!$A:$R,2,FALSE))*(1+BM53)*(1+BN53)*BO53</f>
        <v>0</v>
      </c>
      <c r="BQ53" s="104">
        <f>(1-IF(VLOOKUP($E53,武器奇术!$A:$R,18,FALSE)="叶龙",1,$N53))*(1-$M53)</f>
        <v>0</v>
      </c>
      <c r="BR53" s="103">
        <f>BK53*IF(VLOOKUP($E53,武器奇术!$A:$R,17,FALSE)="裂石",VLOOKUP($E53,武器奇术!$A:$R,4,FALSE),VLOOKUP($E53,武器奇术!$A:$R,2,FALSE))*(1+BM53)*(1+BN53)*BO53*(1+$E$16+VLOOKUP($E53,武器奇术!$A:$R,8,FALSE))</f>
        <v>0</v>
      </c>
      <c r="BS53" s="104">
        <f t="shared" si="14"/>
        <v>0.8703</v>
      </c>
      <c r="BT53" s="103">
        <f>BL53*IF(VLOOKUP($E53,武器奇术!$A:$R,17,FALSE)="裂石",VLOOKUP($E53,武器奇术!$A:$R,4,FALSE),VLOOKUP($E53,武器奇术!$A:$R,2,FALSE))*(1+BM53)*(1+BN53)*BO53*(1+$E$17+VLOOKUP($E53,武器奇术!$A:$R,10,FALSE))</f>
        <v>0</v>
      </c>
      <c r="BU53" s="104">
        <f t="shared" si="15"/>
        <v>0.0986</v>
      </c>
      <c r="BV53" s="103">
        <f>BK53*IF(VLOOKUP($E53,武器奇术!$A:$R,17,FALSE)="裂石",VLOOKUP($E53,武器奇术!$A:$R,4,FALSE),VLOOKUP($E53,武器奇术!$A:$R,2,FALSE))*(1+BM53)*(1+BN53)*BO53</f>
        <v>0</v>
      </c>
      <c r="BW53" s="104">
        <f t="shared" si="16"/>
        <v>0.0311</v>
      </c>
      <c r="BX53" s="112">
        <f t="shared" si="17"/>
        <v>0</v>
      </c>
      <c r="BY53" s="110">
        <f>$B$11*IF($G$5="撼天",1.05,1)+IF(AND(VLOOKUP($E53,武器奇术!$A:$R,15,FALSE)="武器",VLOOKUP($E53,武器奇术!$A:$R,17,FALSE)="牵丝"),$E$3*(1+$E$15),0)</f>
        <v>686.71</v>
      </c>
      <c r="BZ53" s="102">
        <f>IF(VLOOKUP($E53,武器奇术!$A:$Z,18,FALSE)="叶龙",(CA53-(BY53+CA53)*0.5)*($G$15-0.5)*2+(BY53+CA53)*0.5,(BY53+CA53)*0.5)</f>
        <v>1052.21</v>
      </c>
      <c r="CA53" s="102">
        <f>MAX($C$11*IF($G$5="撼天",1.05,1)+IF(AND(VLOOKUP($E53,武器奇术!$A:$R,15,FALSE)="武器",VLOOKUP($E53,武器奇术!$A:$R,17,FALSE)="牵丝"),$E$3*(1+$E$15),0),BY53)</f>
        <v>1417.71</v>
      </c>
      <c r="CB53" s="104">
        <f>IF(($D$11+IF(VLOOKUP($E53,武器奇术!$A:$R,17,FALSE)="牵丝",$D$15,0)-VLOOKUP($F$7,目标属性!$A:$R,6,FALSE))&gt;0,($D$11+IF(VLOOKUP($E53,武器奇术!$A:$R,17,FALSE)="牵丝",$D$15,0)-VLOOKUP($F$7,目标属性!$A:$R,6,FALSE))/200,($D$11+IF(VLOOKUP($E53,武器奇术!$A:$R,17,FALSE)="牵丝",$D$15,0)-VLOOKUP($F$7,目标属性!$A:$R,6,FALSE))/100)</f>
        <v>0.028</v>
      </c>
      <c r="CC53" s="111">
        <f>$E$11+IF($G$5="烟柳",IF(VLOOKUP($E53,武器奇术!$A:$T,20,FALSE)=1,0.1,0),0)</f>
        <v>0.248</v>
      </c>
      <c r="CD53" s="102">
        <v>1</v>
      </c>
      <c r="CE53" s="103">
        <f>BY53*IF(VLOOKUP($E53,武器奇术!$A:$R,17,FALSE)="牵丝",VLOOKUP($E53,武器奇术!$A:$R,4,FALSE),VLOOKUP($E53,武器奇术!$A:$R,2,FALSE))*(1+CB53)*(1+CC53)*CD53</f>
        <v>1552.67083453872</v>
      </c>
      <c r="CF53" s="104">
        <f>(1-IF(VLOOKUP($E53,武器奇术!$A:$R,18,FALSE)="叶龙",1,$N53))*(1-$M53)</f>
        <v>0</v>
      </c>
      <c r="CG53" s="124">
        <f>BZ53*IF(VLOOKUP($E53,武器奇术!$A:$R,17,FALSE)="牵丝",VLOOKUP($E53,武器奇术!$A:$R,4,FALSE),VLOOKUP($E53,武器奇术!$A:$R,2,FALSE))*(1+CB53)*(1+CC53)*CD53*(1+$E$16+VLOOKUP($E53,武器奇术!$A:$R,8,FALSE))</f>
        <v>5362.43894138386</v>
      </c>
      <c r="CH53" s="104">
        <f t="shared" si="18"/>
        <v>0.8703</v>
      </c>
      <c r="CI53" s="103">
        <f>CA53*IF(VLOOKUP($E53,武器奇术!$A:$R,17,FALSE)="牵丝",VLOOKUP($E53,武器奇术!$A:$R,4,FALSE),VLOOKUP($E53,武器奇术!$A:$R,2,FALSE))*(1+CB53)*(1+CC53)*CD53*(1+$E$17+VLOOKUP($E53,武器奇术!$A:$R,10,FALSE))</f>
        <v>4327.40153474647</v>
      </c>
      <c r="CJ53" s="104">
        <f t="shared" si="19"/>
        <v>0.0986</v>
      </c>
      <c r="CK53" s="124">
        <f>BZ53*IF(VLOOKUP($E53,武器奇术!$A:$R,17,FALSE)="牵丝",VLOOKUP($E53,武器奇术!$A:$R,4,FALSE),VLOOKUP($E53,武器奇术!$A:$R,2,FALSE))*(1+CB53)*(1+CC53)*CD53</f>
        <v>2379.07672643472</v>
      </c>
      <c r="CL53" s="104">
        <f t="shared" si="20"/>
        <v>0.0311</v>
      </c>
      <c r="CM53" s="112">
        <f t="shared" si="39"/>
        <v>5167.60168820449</v>
      </c>
      <c r="CN53" s="110">
        <f>$B$13*IF($G$5="撼天",1.05,1)+IF(AND(VLOOKUP($E53,武器奇术!$A:$R,15,FALSE)="武器",VLOOKUP($E53,武器奇术!$A:$R,17,FALSE)="破竹"),$E$3*(1+$E$15),0)</f>
        <v>0</v>
      </c>
      <c r="CO53" s="102">
        <f t="shared" si="21"/>
        <v>0</v>
      </c>
      <c r="CP53" s="102">
        <f>MAX($C$13*IF($G$5="撼天",1.05,1)+IF(AND(VLOOKUP($E53,武器奇术!$A:$R,15,FALSE)="武器",VLOOKUP($E53,武器奇术!$A:$R,17,FALSE)="破竹"),$E$3*(1+$E$15),0),CN53)</f>
        <v>0</v>
      </c>
      <c r="CQ53" s="104">
        <f>IF(($D$13+IF(VLOOKUP($E53,武器奇术!$A:$R,17,FALSE)="破竹",$D$15,0)-VLOOKUP($F$7,目标属性!$A:$R,6,FALSE))&gt;0,($D$13+IF(VLOOKUP($E53,武器奇术!$A:$R,17,FALSE)="破竹",$D$15,0)-VLOOKUP($F$7,目标属性!$A:$R,6,FALSE))/200,($D$13+IF(VLOOKUP($E53,武器奇术!$A:$R,17,FALSE)="破竹",$D$15,0)-VLOOKUP($F$7,目标属性!$A:$R,6,FALSE))/100)</f>
        <v>-0.24</v>
      </c>
      <c r="CR53" s="111">
        <f t="shared" si="22"/>
        <v>0</v>
      </c>
      <c r="CS53" s="102">
        <v>1</v>
      </c>
      <c r="CT53" s="103">
        <f>CN53*IF(VLOOKUP($E53,武器奇术!$A:$R,17,FALSE)="破竹",VLOOKUP($E53,武器奇术!$A:$R,4,FALSE),VLOOKUP($E53,武器奇术!$A:$R,2,FALSE))*(1+CQ53)*(1+CR53)*CS53</f>
        <v>0</v>
      </c>
      <c r="CU53" s="104">
        <f>(1-IF(VLOOKUP($E53,武器奇术!$A:$R,18,FALSE)="叶龙",1,$N53))*(1-$M53)</f>
        <v>0</v>
      </c>
      <c r="CV53" s="103">
        <f>CO53*IF(VLOOKUP($E53,武器奇术!$A:$R,17,FALSE)="破竹",VLOOKUP($E53,武器奇术!$A:$R,4,FALSE),VLOOKUP($E53,武器奇术!$A:$R,2,FALSE))*(1+CQ53)*(1+CR53)*CS53*(1+$E$16+VLOOKUP($E53,武器奇术!$A:$R,8,FALSE))</f>
        <v>0</v>
      </c>
      <c r="CW53" s="104">
        <f t="shared" si="23"/>
        <v>0.8703</v>
      </c>
      <c r="CX53" s="103">
        <f>CP53*IF(VLOOKUP($E53,武器奇术!$A:$R,17,FALSE)="破竹",VLOOKUP($E53,武器奇术!$A:$R,4,FALSE),VLOOKUP($E53,武器奇术!$A:$R,2,FALSE))*(1+CQ53)*(1+CR53)*CS53*(1+$E$17+VLOOKUP($E53,武器奇术!$A:$R,10,FALSE))</f>
        <v>0</v>
      </c>
      <c r="CY53" s="104">
        <f t="shared" si="24"/>
        <v>0.0986</v>
      </c>
      <c r="CZ53" s="103">
        <f>CO53*IF(VLOOKUP($E53,武器奇术!$A:$R,17,FALSE)="破竹",VLOOKUP($E53,武器奇术!$A:$R,4,FALSE),VLOOKUP($E53,武器奇术!$A:$R,2,FALSE))*(1+CQ53)*(1+CR53)*CS53</f>
        <v>0</v>
      </c>
      <c r="DA53" s="104">
        <f t="shared" si="25"/>
        <v>0.0311</v>
      </c>
      <c r="DB53" s="112">
        <f t="shared" si="26"/>
        <v>0</v>
      </c>
      <c r="DC53" s="110">
        <f t="shared" si="40"/>
        <v>66</v>
      </c>
      <c r="DD53" s="102">
        <f t="shared" si="27"/>
        <v>125.8</v>
      </c>
      <c r="DE53" s="102">
        <f t="shared" si="41"/>
        <v>185.6</v>
      </c>
      <c r="DF53" s="104">
        <f>IF((IF(VLOOKUP($E53,武器奇术!$A:$R,17,FALSE)="鸣金",$D$7,0)+IF(VLOOKUP($E53,武器奇术!$A:$R,17,FALSE)="裂石",$D$9,0)+IF(VLOOKUP($E53,武器奇术!$A:$R,17,FALSE)="牵丝",$D$11,0)+IF(VLOOKUP($E53,武器奇术!$A:$R,17,FALSE)="破竹",$D$13,0)+$D$15-VLOOKUP($F$7,目标属性!$A:$R,6,FALSE))&gt;0,(IF(VLOOKUP($E53,武器奇术!$A:$R,17,FALSE)="鸣金",$D$7,0)+IF(VLOOKUP($E53,武器奇术!$A:$R,17,FALSE)="裂石",$D$9,0)+IF(VLOOKUP($E53,武器奇术!$A:$R,17,FALSE)="牵丝",$D$11,0)+IF(VLOOKUP($E53,武器奇术!$A:$R,17,FALSE)="破竹",$D$13,0)+$D$15-VLOOKUP($F$7,目标属性!$A:$R,6,FALSE))/200,(IF(VLOOKUP($E53,武器奇术!$A:$R,17,FALSE)="鸣金",$D$7,0)+IF(VLOOKUP($E53,武器奇术!$A:$R,17,FALSE)="裂石",$D$9,0)+IF(VLOOKUP($E53,武器奇术!$A:$R,17,FALSE)="牵丝",$D$11,0)+IF(VLOOKUP($E53,武器奇术!$A:$R,17,FALSE)="破竹",$D$13,0)+$D$15-VLOOKUP($F$7,目标属性!$A:$R,6,FALSE))/100)</f>
        <v>0.028</v>
      </c>
      <c r="DG53" s="111">
        <f>$E$11+IF($G$5="烟柳",IF(VLOOKUP($E53,武器奇术!$A:$T,20,FALSE)=1,0.1,0),0)</f>
        <v>0.248</v>
      </c>
      <c r="DH53" s="102">
        <v>1</v>
      </c>
      <c r="DI53" s="103">
        <f>DC53*IF(VLOOKUP($E53,武器奇术!$A:$R,17,FALSE)="牵丝",VLOOKUP($E53,武器奇术!$A:$R,4,FALSE),VLOOKUP($E53,武器奇术!$A:$R,2,FALSE))*(1+DF53)*(1+DG53)*DH53</f>
        <v>149.227876512</v>
      </c>
      <c r="DJ53" s="104">
        <f>(1-IF(VLOOKUP($E53,武器奇术!$A:$R,18,FALSE)="叶龙",1,$N53))*(1-$M53)</f>
        <v>0</v>
      </c>
      <c r="DK53" s="124">
        <f>DD53*IF(VLOOKUP($E53,武器奇术!$A:$R,17,FALSE)="牵丝",VLOOKUP($E53,武器奇术!$A:$R,4,FALSE),VLOOKUP($E53,武器奇术!$A:$R,2,FALSE))*(1+DF53)*(1+DG53)*DH53*(1+$E$16+VLOOKUP($E53,武器奇术!$A:$R,8,FALSE))</f>
        <v>641.121847184582</v>
      </c>
      <c r="DL53" s="104">
        <f t="shared" si="28"/>
        <v>0.8703</v>
      </c>
      <c r="DM53" s="103">
        <f>DE53*IF(VLOOKUP($E53,武器奇术!$A:$R,17,FALSE)="牵丝",VLOOKUP($E53,武器奇术!$A:$R,4,FALSE),VLOOKUP($E53,武器奇术!$A:$R,2,FALSE))*(1+DF53)*(1+DG53)*DH53*(1+$E$17+VLOOKUP($E53,武器奇术!$A:$R,10,FALSE))</f>
        <v>566.52328392192</v>
      </c>
      <c r="DN53" s="104">
        <f t="shared" si="29"/>
        <v>0.0986</v>
      </c>
      <c r="DO53" s="124">
        <f>DD53*IF(VLOOKUP($E53,武器奇术!$A:$R,17,FALSE)="牵丝",VLOOKUP($E53,武器奇术!$A:$R,4,FALSE),VLOOKUP($E53,武器奇术!$A:$R,2,FALSE))*(1+DF53)*(1+DG53)*DH53</f>
        <v>284.4373767456</v>
      </c>
      <c r="DP53" s="104">
        <f t="shared" si="30"/>
        <v>0.0311</v>
      </c>
      <c r="DQ53" s="112">
        <f t="shared" si="31"/>
        <v>622.673541816231</v>
      </c>
    </row>
    <row r="54" customFormat="1" customHeight="1" spans="1:121">
      <c r="A54" s="37"/>
      <c r="B54" t="s">
        <v>154</v>
      </c>
      <c r="C54" s="141">
        <v>1.16</v>
      </c>
      <c r="D54" s="139"/>
      <c r="E54" s="115" t="s">
        <v>155</v>
      </c>
      <c r="F54" s="116">
        <v>1</v>
      </c>
      <c r="G54" s="117"/>
      <c r="H54" s="103">
        <f>IF(VLOOKUP($E54,武器奇术!$A:$R,18,FALSE)="天工",AE54,(AE54+AT54+BI54+BX54+CM54+DB54+DQ54))*(1+J54)*F54*K54*(1+G54)</f>
        <v>89809.5296030743</v>
      </c>
      <c r="I54" s="104">
        <f t="shared" si="42"/>
        <v>0.0103505445031181</v>
      </c>
      <c r="J54" s="138">
        <f>$F$3+VLOOKUP($E54,武器奇术!$A:$R,12,FALSE)+VLOOKUP($E54,武器奇术!$A:$R,14,FALSE)*$G$3+$P54</f>
        <v>1.203</v>
      </c>
      <c r="K54" s="105">
        <f>VLOOKUP($E54,武器奇术!$A:$R,11,FALSE)</f>
        <v>1</v>
      </c>
      <c r="L54" s="119">
        <f>IF(VLOOKUP($E54,武器奇术!$A:$R,15,FALSE)="天工",0%,IF($C$17+VLOOKUP($E54,武器奇术!$A:$R,7,FALSE)&gt;80%,80%,$C$17+VLOOKUP($E54,武器奇术!$A:$R,7,FALSE))+IF($C$19&gt;20%,20%,$C$19))</f>
        <v>0.8703</v>
      </c>
      <c r="M54" s="120">
        <f>IF(VLOOKUP($E54,武器奇术!$A:$R,15,FALSE)="天工",0%,IF($C$18+VLOOKUP($E54,武器奇术!$A:$R,9,FALSE)&gt;40%,40%,$C$18+VLOOKUP($E54,武器奇术!$A:$R,9,FALSE))+IF($C$20&gt;10%,10%,$C$20))</f>
        <v>0.0986</v>
      </c>
      <c r="N54" s="121">
        <f>IF(VLOOKUP($E54,武器奇术!$A:$R,15,FALSE)="天工",100%,MIN($C$16,1))</f>
        <v>1</v>
      </c>
      <c r="O54" s="122" t="str">
        <f>VLOOKUP($E54,武器奇术!$A:$R,16,FALSE)</f>
        <v>伞</v>
      </c>
      <c r="P54" s="123">
        <f t="shared" si="32"/>
        <v>0.17</v>
      </c>
      <c r="Q54" s="110">
        <f>$B$5*(1+VLOOKUP($E54,武器奇术!$A:$R,5,FALSE))*(1+VLOOKUP($E54,武器奇术!$A:$S,19,FALSE)+IF($G$5="飞隼",0.1,0)+IF($G$5="撼天",0.05,0))-$F$9+IF($J$5="√",160,0)</f>
        <v>3324.7</v>
      </c>
      <c r="R54" s="102">
        <f>IF(VLOOKUP($E54,武器奇术!$A:$Z,18,FALSE)="叶龙",(S54-(Q54+S54)*0.5)*($G$15-0.5)*2+(Q54+S54)*0.5,(Q54+S54)*0.5)</f>
        <v>3404.7</v>
      </c>
      <c r="S54" s="102">
        <f>MAX($C$5,$B$5)*(1+VLOOKUP($E54,武器奇术!$A:$R,6,FALSE))*(1+VLOOKUP($E54,武器奇术!$A:$S,19,FALSE)+IF($G$5="飞隼",0.1,0)+IF($G$5="撼天",0.05,0))-$F$9+IF($J$5="√",320,0)</f>
        <v>3484.7</v>
      </c>
      <c r="T54" s="104">
        <f>IF(($D$5+VLOOKUP($E54,武器奇术!$A:$R,13,FALSE)+IF($I$3="√",10,0)-VLOOKUP($F$7,目标属性!$A:$R,5,FALSE))&gt;0,($D$5+VLOOKUP($E54,武器奇术!$A:$R,13,FALSE)+IF($I$3="√",10,0)-VLOOKUP($F$7,目标属性!$A:$R,5,FALSE))/200,($D$5+VLOOKUP($E54,武器奇术!$A:$R,13,FALSE)+IF($I$3="√",10,0)-VLOOKUP($F$7,目标属性!$A:$R,5,FALSE))/100)</f>
        <v>0.4175</v>
      </c>
      <c r="U54" s="111">
        <f>$E$5+IF($G$5="烟柳",IF(VLOOKUP($E54,武器奇术!$A:$T,20,FALSE)=1,0.1,0),0)</f>
        <v>0.1</v>
      </c>
      <c r="V54" s="102">
        <v>1</v>
      </c>
      <c r="W54" s="103">
        <f>Q54*VLOOKUP($E54,武器奇术!$A:$R,2,FALSE)*(1+T54)*(1+U54)*V54</f>
        <v>12129.0948199575</v>
      </c>
      <c r="X54" s="104">
        <f>(1-IF(VLOOKUP($E54,武器奇术!$A:$R,18,FALSE)="叶龙",1,$N54))*(1-$M54)</f>
        <v>0</v>
      </c>
      <c r="Y54" s="103">
        <f>R54*VLOOKUP($E54,武器奇术!$A:$R,2,FALSE)*(1+T54)*(1+U54)*V54*(1+$E$16+VLOOKUP($E54,武器奇术!$A:$R,8,FALSE))</f>
        <v>27996.8190413962</v>
      </c>
      <c r="Z54" s="104">
        <f t="shared" si="33"/>
        <v>0.8703</v>
      </c>
      <c r="AA54" s="103">
        <f>S54*VLOOKUP($E54,武器奇术!$A:$R,2,FALSE)*(1+T54)*(1+U54)*V54*(1+$E$17+VLOOKUP($E54,武器奇术!$A:$R,10,FALSE))</f>
        <v>17162.2842875426</v>
      </c>
      <c r="AB54" s="104">
        <f t="shared" si="34"/>
        <v>0.0986</v>
      </c>
      <c r="AC54" s="103">
        <f>R54*VLOOKUP($E54,武器奇术!$A:$R,2,FALSE)*(1+T54)*(1+U54)*V54</f>
        <v>12420.9489979575</v>
      </c>
      <c r="AD54" s="104">
        <f t="shared" si="35"/>
        <v>0.0311</v>
      </c>
      <c r="AE54" s="112">
        <f t="shared" si="36"/>
        <v>26444.1243563153</v>
      </c>
      <c r="AF54" s="113">
        <f>VLOOKUP($E54,武器奇术!$A:$R,3,FALSE)*(1+IF(VLOOKUP($E54,武器奇术!$A:$R,15,FALSE)="武器",$E$15,0))</f>
        <v>842.4</v>
      </c>
      <c r="AG54" s="103">
        <f t="shared" si="1"/>
        <v>842.4</v>
      </c>
      <c r="AH54" s="103">
        <f>VLOOKUP($E54,武器奇术!$A:$R,3,FALSE)*(1+IF(VLOOKUP($E54,武器奇术!$A:$R,15,FALSE)="武器",$E$15,0))</f>
        <v>842.4</v>
      </c>
      <c r="AI54" s="104">
        <f>IF(($D$5+VLOOKUP($E54,武器奇术!$A:$R,13,FALSE)+IF($I$3="√",10,0)-VLOOKUP($F$7,目标属性!$A:$R,5,FALSE))&gt;0,($D$5+VLOOKUP($E54,武器奇术!$A:$R,13,FALSE)+IF($I$3="√",10,0)-VLOOKUP($F$7,目标属性!$A:$R,5,FALSE))/200,($D$5+VLOOKUP($E54,武器奇术!$A:$R,13,FALSE)+IF($I$3="√",10,0)-VLOOKUP($F$7,目标属性!$A:$R,5,FALSE))/100)</f>
        <v>0.4175</v>
      </c>
      <c r="AJ54" s="111">
        <f>$E$5+IF($G$5="烟柳",IF(VLOOKUP($E54,武器奇术!$A:$T,20,FALSE)=1,0.1,0),0)</f>
        <v>0.1</v>
      </c>
      <c r="AK54" s="102">
        <v>1</v>
      </c>
      <c r="AL54" s="103">
        <f t="shared" si="37"/>
        <v>1313.5122</v>
      </c>
      <c r="AM54" s="104">
        <f>(1-IF(VLOOKUP($E54,武器奇术!$A:$R,18,FALSE)="叶龙",1,$N54))*(1-$M54)</f>
        <v>0</v>
      </c>
      <c r="AN54" s="103">
        <f>AG54*(1+AI54)*(1+AJ54)*AK54*(1+$E$16+VLOOKUP($E54,武器奇术!$A:$R,8,FALSE))</f>
        <v>2960.6564988</v>
      </c>
      <c r="AO54" s="104">
        <f t="shared" si="2"/>
        <v>0.8703</v>
      </c>
      <c r="AP54" s="103">
        <f>AH54*(1+AI54)*(1+AJ54)*AK54*(1+$E$17+VLOOKUP($E54,武器奇术!$A:$R,10,FALSE))</f>
        <v>1773.24147</v>
      </c>
      <c r="AQ54" s="104">
        <f t="shared" si="3"/>
        <v>0.0986</v>
      </c>
      <c r="AR54" s="103">
        <f t="shared" si="38"/>
        <v>1313.5122</v>
      </c>
      <c r="AS54" s="104">
        <f t="shared" si="4"/>
        <v>0.0311</v>
      </c>
      <c r="AT54" s="112">
        <f t="shared" si="5"/>
        <v>2792.35118926764</v>
      </c>
      <c r="AU54" s="110">
        <f>$B$7*IF($G$5="撼天",1.05,1)+IF(AND(VLOOKUP($E54,武器奇术!$A:$R,15,FALSE)="武器",VLOOKUP($E54,武器奇术!$A:$R,17,FALSE)="鸣金"),$E$3*(1+$E$15),0)</f>
        <v>0</v>
      </c>
      <c r="AV54" s="102">
        <f t="shared" si="6"/>
        <v>0</v>
      </c>
      <c r="AW54" s="102">
        <f>MAX($C$7*IF($G$5="撼天",1.05,1)+IF(AND(VLOOKUP($E54,武器奇术!$A:$R,15,FALSE)="武器",VLOOKUP($E54,武器奇术!$A:$R,17,FALSE)="鸣金"),$E$3*(1+$E$15),0),AU54)</f>
        <v>0</v>
      </c>
      <c r="AX54" s="104">
        <f>IF(($D$7+IF(VLOOKUP($E54,武器奇术!$A:$R,17,FALSE)="鸣金",$D$15,0)-VLOOKUP($F$7,目标属性!$A:$R,6,FALSE))&gt;0,($D$7+IF(VLOOKUP($E54,武器奇术!$A:$R,17,FALSE)="鸣金",$D$15,0)-VLOOKUP($F$7,目标属性!$A:$R,6,FALSE))/200,($D$7+IF(VLOOKUP($E54,武器奇术!$A:$R,17,FALSE)="鸣金",$D$15,0)-VLOOKUP($F$7,目标属性!$A:$R,6,FALSE))/100)</f>
        <v>-0.24</v>
      </c>
      <c r="AY54" s="111">
        <f t="shared" si="7"/>
        <v>0</v>
      </c>
      <c r="AZ54" s="102">
        <v>1</v>
      </c>
      <c r="BA54" s="103">
        <f>AU54*IF(VLOOKUP($E54,武器奇术!$A:$R,17,FALSE)="鸣金",VLOOKUP($E54,武器奇术!$A:$R,4,FALSE),VLOOKUP($E54,武器奇术!$A:$R,2,FALSE))*(1+AX54)*(1+AY54)*AZ54</f>
        <v>0</v>
      </c>
      <c r="BB54" s="104">
        <f>(1-IF(VLOOKUP($E54,武器奇术!$A:$R,18,FALSE)="叶龙",1,$N54))*(1-$M54)</f>
        <v>0</v>
      </c>
      <c r="BC54" s="103">
        <f>AV54*IF(VLOOKUP($E54,武器奇术!$A:$R,17,FALSE)="鸣金",VLOOKUP($E54,武器奇术!$A:$R,4,FALSE),VLOOKUP($E54,武器奇术!$A:$R,2,FALSE))*(1+AX54)*(1+AY54)*AZ54*(1+$E$16+VLOOKUP($E54,武器奇术!$A:$R,8,FALSE))</f>
        <v>0</v>
      </c>
      <c r="BD54" s="104">
        <f t="shared" si="8"/>
        <v>0.8703</v>
      </c>
      <c r="BE54" s="103">
        <f>AW54*IF(VLOOKUP($E54,武器奇术!$A:$R,17,FALSE)="鸣金",VLOOKUP($E54,武器奇术!$A:$R,4,FALSE),VLOOKUP($E54,武器奇术!$A:$R,2,FALSE))*(1+AX54)*(1+AY54)*AZ54*(1+$E$17+VLOOKUP($E54,武器奇术!$A:$R,10,FALSE))</f>
        <v>0</v>
      </c>
      <c r="BF54" s="104">
        <f t="shared" si="9"/>
        <v>0.0986</v>
      </c>
      <c r="BG54" s="103">
        <f>AV54*IF(VLOOKUP($E54,武器奇术!$A:$R,17,FALSE)="鸣金",VLOOKUP($E54,武器奇术!$A:$R,4,FALSE),VLOOKUP($E54,武器奇术!$A:$R,2,FALSE))*(1+AX54)*(1+AY54)*AZ54</f>
        <v>0</v>
      </c>
      <c r="BH54" s="104">
        <f t="shared" si="10"/>
        <v>0.0311</v>
      </c>
      <c r="BI54" s="112">
        <f t="shared" si="11"/>
        <v>0</v>
      </c>
      <c r="BJ54" s="110">
        <f>$B$9*IF($G$5="撼天",1.05,1)+IF(AND(VLOOKUP($E54,武器奇术!$A:$R,15,FALSE)="武器",VLOOKUP($E54,武器奇术!$A:$R,17,FALSE)="裂石"),$E$3*(1+$E$15),0)</f>
        <v>0</v>
      </c>
      <c r="BK54" s="102">
        <f t="shared" si="12"/>
        <v>0</v>
      </c>
      <c r="BL54" s="102">
        <f>MAX($C$9*IF($G$5="撼天",1.05,1)+IF(AND(VLOOKUP($E54,武器奇术!$A:$R,15,FALSE)="武器",VLOOKUP($E54,武器奇术!$A:$R,17,FALSE)="裂石"),$E$3*(1+$E$15),0),BJ54)</f>
        <v>0</v>
      </c>
      <c r="BM54" s="104">
        <f>IF(($D$9+IF(VLOOKUP($E54,武器奇术!$A:$R,17,FALSE)="裂石",$D$15,0)-VLOOKUP($F$7,目标属性!$A:$R,6,FALSE))&gt;0,($D$9+IF(VLOOKUP($E54,武器奇术!$A:$R,17,FALSE)="裂石",$D$15,0)-VLOOKUP($F$7,目标属性!$A:$R,6,FALSE))/200,($D$9+IF(VLOOKUP($E54,武器奇术!$A:$R,17,FALSE)="裂石",$D$15,0)-VLOOKUP($F$7,目标属性!$A:$R,6,FALSE))/100)</f>
        <v>-0.24</v>
      </c>
      <c r="BN54" s="111">
        <f t="shared" si="13"/>
        <v>0</v>
      </c>
      <c r="BO54" s="102">
        <v>1</v>
      </c>
      <c r="BP54" s="103">
        <f>BJ54*IF(VLOOKUP($E54,武器奇术!$A:$R,17,FALSE)="裂石",VLOOKUP($E54,武器奇术!$A:$R,4,FALSE),VLOOKUP($E54,武器奇术!$A:$R,2,FALSE))*(1+BM54)*(1+BN54)*BO54</f>
        <v>0</v>
      </c>
      <c r="BQ54" s="104">
        <f>(1-IF(VLOOKUP($E54,武器奇术!$A:$R,18,FALSE)="叶龙",1,$N54))*(1-$M54)</f>
        <v>0</v>
      </c>
      <c r="BR54" s="103">
        <f>BK54*IF(VLOOKUP($E54,武器奇术!$A:$R,17,FALSE)="裂石",VLOOKUP($E54,武器奇术!$A:$R,4,FALSE),VLOOKUP($E54,武器奇术!$A:$R,2,FALSE))*(1+BM54)*(1+BN54)*BO54*(1+$E$16+VLOOKUP($E54,武器奇术!$A:$R,8,FALSE))</f>
        <v>0</v>
      </c>
      <c r="BS54" s="104">
        <f t="shared" si="14"/>
        <v>0.8703</v>
      </c>
      <c r="BT54" s="103">
        <f>BL54*IF(VLOOKUP($E54,武器奇术!$A:$R,17,FALSE)="裂石",VLOOKUP($E54,武器奇术!$A:$R,4,FALSE),VLOOKUP($E54,武器奇术!$A:$R,2,FALSE))*(1+BM54)*(1+BN54)*BO54*(1+$E$17+VLOOKUP($E54,武器奇术!$A:$R,10,FALSE))</f>
        <v>0</v>
      </c>
      <c r="BU54" s="104">
        <f t="shared" si="15"/>
        <v>0.0986</v>
      </c>
      <c r="BV54" s="103">
        <f>BK54*IF(VLOOKUP($E54,武器奇术!$A:$R,17,FALSE)="裂石",VLOOKUP($E54,武器奇术!$A:$R,4,FALSE),VLOOKUP($E54,武器奇术!$A:$R,2,FALSE))*(1+BM54)*(1+BN54)*BO54</f>
        <v>0</v>
      </c>
      <c r="BW54" s="104">
        <f t="shared" si="16"/>
        <v>0.0311</v>
      </c>
      <c r="BX54" s="112">
        <f t="shared" si="17"/>
        <v>0</v>
      </c>
      <c r="BY54" s="110">
        <f>$B$11*IF($G$5="撼天",1.05,1)+IF(AND(VLOOKUP($E54,武器奇术!$A:$R,15,FALSE)="武器",VLOOKUP($E54,武器奇术!$A:$R,17,FALSE)="牵丝"),$E$3*(1+$E$15),0)</f>
        <v>686.71</v>
      </c>
      <c r="BZ54" s="102">
        <f>IF(VLOOKUP($E54,武器奇术!$A:$Z,18,FALSE)="叶龙",(CA54-(BY54+CA54)*0.5)*($G$15-0.5)*2+(BY54+CA54)*0.5,(BY54+CA54)*0.5)</f>
        <v>1052.21</v>
      </c>
      <c r="CA54" s="102">
        <f>MAX($C$11*IF($G$5="撼天",1.05,1)+IF(AND(VLOOKUP($E54,武器奇术!$A:$R,15,FALSE)="武器",VLOOKUP($E54,武器奇术!$A:$R,17,FALSE)="牵丝"),$E$3*(1+$E$15),0),BY54)</f>
        <v>1417.71</v>
      </c>
      <c r="CB54" s="104">
        <f>IF(($D$11+IF(VLOOKUP($E54,武器奇术!$A:$R,17,FALSE)="牵丝",$D$15,0)-VLOOKUP($F$7,目标属性!$A:$R,6,FALSE))&gt;0,($D$11+IF(VLOOKUP($E54,武器奇术!$A:$R,17,FALSE)="牵丝",$D$15,0)-VLOOKUP($F$7,目标属性!$A:$R,6,FALSE))/200,($D$11+IF(VLOOKUP($E54,武器奇术!$A:$R,17,FALSE)="牵丝",$D$15,0)-VLOOKUP($F$7,目标属性!$A:$R,6,FALSE))/100)</f>
        <v>0.028</v>
      </c>
      <c r="CC54" s="111">
        <f>$E$11+IF($G$5="烟柳",IF(VLOOKUP($E54,武器奇术!$A:$T,20,FALSE)=1,0.1,0),0)</f>
        <v>0.248</v>
      </c>
      <c r="CD54" s="102">
        <v>1</v>
      </c>
      <c r="CE54" s="103">
        <f>BY54*IF(VLOOKUP($E54,武器奇术!$A:$R,17,FALSE)="牵丝",VLOOKUP($E54,武器奇术!$A:$R,4,FALSE),VLOOKUP($E54,武器奇术!$A:$R,2,FALSE))*(1+CB54)*(1+CC54)*CD54</f>
        <v>3091.90625934528</v>
      </c>
      <c r="CF54" s="104">
        <f>(1-IF(VLOOKUP($E54,武器奇术!$A:$R,18,FALSE)="叶龙",1,$N54))*(1-$M54)</f>
        <v>0</v>
      </c>
      <c r="CG54" s="124">
        <f>BZ54*IF(VLOOKUP($E54,武器奇术!$A:$R,17,FALSE)="牵丝",VLOOKUP($E54,武器奇术!$A:$R,4,FALSE),VLOOKUP($E54,武器奇术!$A:$R,2,FALSE))*(1+CB54)*(1+CC54)*CD54*(1+$E$16+VLOOKUP($E54,武器奇术!$A:$R,8,FALSE))</f>
        <v>10678.4761840055</v>
      </c>
      <c r="CH54" s="104">
        <f t="shared" si="18"/>
        <v>0.8703</v>
      </c>
      <c r="CI54" s="103">
        <f>CA54*IF(VLOOKUP($E54,武器奇术!$A:$R,17,FALSE)="牵丝",VLOOKUP($E54,武器奇术!$A:$R,4,FALSE),VLOOKUP($E54,武器奇术!$A:$R,2,FALSE))*(1+CB54)*(1+CC54)*CD54*(1+$E$17+VLOOKUP($E54,武器奇术!$A:$R,10,FALSE))</f>
        <v>8617.35764873693</v>
      </c>
      <c r="CJ54" s="104">
        <f t="shared" si="19"/>
        <v>0.0986</v>
      </c>
      <c r="CK54" s="124">
        <f>BZ54*IF(VLOOKUP($E54,武器奇术!$A:$R,17,FALSE)="牵丝",VLOOKUP($E54,武器奇术!$A:$R,4,FALSE),VLOOKUP($E54,武器奇术!$A:$R,2,FALSE))*(1+CB54)*(1+CC54)*CD54</f>
        <v>4737.56707364928</v>
      </c>
      <c r="CL54" s="104">
        <f t="shared" si="20"/>
        <v>0.0311</v>
      </c>
      <c r="CM54" s="112">
        <f t="shared" si="39"/>
        <v>10290.4876230959</v>
      </c>
      <c r="CN54" s="110">
        <f>$B$13*IF($G$5="撼天",1.05,1)+IF(AND(VLOOKUP($E54,武器奇术!$A:$R,15,FALSE)="武器",VLOOKUP($E54,武器奇术!$A:$R,17,FALSE)="破竹"),$E$3*(1+$E$15),0)</f>
        <v>0</v>
      </c>
      <c r="CO54" s="102">
        <f t="shared" si="21"/>
        <v>0</v>
      </c>
      <c r="CP54" s="102">
        <f>MAX($C$13*IF($G$5="撼天",1.05,1)+IF(AND(VLOOKUP($E54,武器奇术!$A:$R,15,FALSE)="武器",VLOOKUP($E54,武器奇术!$A:$R,17,FALSE)="破竹"),$E$3*(1+$E$15),0),CN54)</f>
        <v>0</v>
      </c>
      <c r="CQ54" s="104">
        <f>IF(($D$13+IF(VLOOKUP($E54,武器奇术!$A:$R,17,FALSE)="破竹",$D$15,0)-VLOOKUP($F$7,目标属性!$A:$R,6,FALSE))&gt;0,($D$13+IF(VLOOKUP($E54,武器奇术!$A:$R,17,FALSE)="破竹",$D$15,0)-VLOOKUP($F$7,目标属性!$A:$R,6,FALSE))/200,($D$13+IF(VLOOKUP($E54,武器奇术!$A:$R,17,FALSE)="破竹",$D$15,0)-VLOOKUP($F$7,目标属性!$A:$R,6,FALSE))/100)</f>
        <v>-0.24</v>
      </c>
      <c r="CR54" s="111">
        <f t="shared" si="22"/>
        <v>0</v>
      </c>
      <c r="CS54" s="102">
        <v>1</v>
      </c>
      <c r="CT54" s="103">
        <f>CN54*IF(VLOOKUP($E54,武器奇术!$A:$R,17,FALSE)="破竹",VLOOKUP($E54,武器奇术!$A:$R,4,FALSE),VLOOKUP($E54,武器奇术!$A:$R,2,FALSE))*(1+CQ54)*(1+CR54)*CS54</f>
        <v>0</v>
      </c>
      <c r="CU54" s="104">
        <f>(1-IF(VLOOKUP($E54,武器奇术!$A:$R,18,FALSE)="叶龙",1,$N54))*(1-$M54)</f>
        <v>0</v>
      </c>
      <c r="CV54" s="103">
        <f>CO54*IF(VLOOKUP($E54,武器奇术!$A:$R,17,FALSE)="破竹",VLOOKUP($E54,武器奇术!$A:$R,4,FALSE),VLOOKUP($E54,武器奇术!$A:$R,2,FALSE))*(1+CQ54)*(1+CR54)*CS54*(1+$E$16+VLOOKUP($E54,武器奇术!$A:$R,8,FALSE))</f>
        <v>0</v>
      </c>
      <c r="CW54" s="104">
        <f t="shared" si="23"/>
        <v>0.8703</v>
      </c>
      <c r="CX54" s="103">
        <f>CP54*IF(VLOOKUP($E54,武器奇术!$A:$R,17,FALSE)="破竹",VLOOKUP($E54,武器奇术!$A:$R,4,FALSE),VLOOKUP($E54,武器奇术!$A:$R,2,FALSE))*(1+CQ54)*(1+CR54)*CS54*(1+$E$17+VLOOKUP($E54,武器奇术!$A:$R,10,FALSE))</f>
        <v>0</v>
      </c>
      <c r="CY54" s="104">
        <f t="shared" si="24"/>
        <v>0.0986</v>
      </c>
      <c r="CZ54" s="103">
        <f>CO54*IF(VLOOKUP($E54,武器奇术!$A:$R,17,FALSE)="破竹",VLOOKUP($E54,武器奇术!$A:$R,4,FALSE),VLOOKUP($E54,武器奇术!$A:$R,2,FALSE))*(1+CQ54)*(1+CR54)*CS54</f>
        <v>0</v>
      </c>
      <c r="DA54" s="104">
        <f t="shared" si="25"/>
        <v>0.0311</v>
      </c>
      <c r="DB54" s="112">
        <f t="shared" si="26"/>
        <v>0</v>
      </c>
      <c r="DC54" s="110">
        <f t="shared" si="40"/>
        <v>66</v>
      </c>
      <c r="DD54" s="102">
        <f t="shared" si="27"/>
        <v>125.8</v>
      </c>
      <c r="DE54" s="102">
        <f t="shared" si="41"/>
        <v>185.6</v>
      </c>
      <c r="DF54" s="104">
        <f>IF((IF(VLOOKUP($E54,武器奇术!$A:$R,17,FALSE)="鸣金",$D$7,0)+IF(VLOOKUP($E54,武器奇术!$A:$R,17,FALSE)="裂石",$D$9,0)+IF(VLOOKUP($E54,武器奇术!$A:$R,17,FALSE)="牵丝",$D$11,0)+IF(VLOOKUP($E54,武器奇术!$A:$R,17,FALSE)="破竹",$D$13,0)+$D$15-VLOOKUP($F$7,目标属性!$A:$R,6,FALSE))&gt;0,(IF(VLOOKUP($E54,武器奇术!$A:$R,17,FALSE)="鸣金",$D$7,0)+IF(VLOOKUP($E54,武器奇术!$A:$R,17,FALSE)="裂石",$D$9,0)+IF(VLOOKUP($E54,武器奇术!$A:$R,17,FALSE)="牵丝",$D$11,0)+IF(VLOOKUP($E54,武器奇术!$A:$R,17,FALSE)="破竹",$D$13,0)+$D$15-VLOOKUP($F$7,目标属性!$A:$R,6,FALSE))/200,(IF(VLOOKUP($E54,武器奇术!$A:$R,17,FALSE)="鸣金",$D$7,0)+IF(VLOOKUP($E54,武器奇术!$A:$R,17,FALSE)="裂石",$D$9,0)+IF(VLOOKUP($E54,武器奇术!$A:$R,17,FALSE)="牵丝",$D$11,0)+IF(VLOOKUP($E54,武器奇术!$A:$R,17,FALSE)="破竹",$D$13,0)+$D$15-VLOOKUP($F$7,目标属性!$A:$R,6,FALSE))/100)</f>
        <v>0.028</v>
      </c>
      <c r="DG54" s="111">
        <f>$E$11+IF($G$5="烟柳",IF(VLOOKUP($E54,武器奇术!$A:$T,20,FALSE)=1,0.1,0),0)</f>
        <v>0.248</v>
      </c>
      <c r="DH54" s="102">
        <v>1</v>
      </c>
      <c r="DI54" s="103">
        <f>DC54*IF(VLOOKUP($E54,武器奇术!$A:$R,17,FALSE)="牵丝",VLOOKUP($E54,武器奇术!$A:$R,4,FALSE),VLOOKUP($E54,武器奇术!$A:$R,2,FALSE))*(1+DF54)*(1+DG54)*DH54</f>
        <v>297.164469888</v>
      </c>
      <c r="DJ54" s="104">
        <f>(1-IF(VLOOKUP($E54,武器奇术!$A:$R,18,FALSE)="叶龙",1,$N54))*(1-$M54)</f>
        <v>0</v>
      </c>
      <c r="DK54" s="124">
        <f>DD54*IF(VLOOKUP($E54,武器奇术!$A:$R,17,FALSE)="牵丝",VLOOKUP($E54,武器奇术!$A:$R,4,FALSE),VLOOKUP($E54,武器奇术!$A:$R,2,FALSE))*(1+DF54)*(1+DG54)*DH54*(1+$E$16+VLOOKUP($E54,武器奇术!$A:$R,8,FALSE))</f>
        <v>1276.6960055007</v>
      </c>
      <c r="DL54" s="104">
        <f t="shared" si="28"/>
        <v>0.8703</v>
      </c>
      <c r="DM54" s="103">
        <f>DE54*IF(VLOOKUP($E54,武器奇术!$A:$R,17,FALSE)="牵丝",VLOOKUP($E54,武器奇术!$A:$R,4,FALSE),VLOOKUP($E54,武器奇术!$A:$R,2,FALSE))*(1+DF54)*(1+DG54)*DH54*(1+$E$17+VLOOKUP($E54,武器奇术!$A:$R,10,FALSE))</f>
        <v>1128.14438750208</v>
      </c>
      <c r="DN54" s="104">
        <f t="shared" si="29"/>
        <v>0.0986</v>
      </c>
      <c r="DO54" s="124">
        <f>DD54*IF(VLOOKUP($E54,武器奇术!$A:$R,17,FALSE)="牵丝",VLOOKUP($E54,武器奇术!$A:$R,4,FALSE),VLOOKUP($E54,武器奇术!$A:$R,2,FALSE))*(1+DF54)*(1+DG54)*DH54</f>
        <v>566.4134895744</v>
      </c>
      <c r="DP54" s="104">
        <f t="shared" si="30"/>
        <v>0.0311</v>
      </c>
      <c r="DQ54" s="112">
        <f t="shared" si="31"/>
        <v>1239.95902972073</v>
      </c>
    </row>
    <row r="55" customFormat="1" customHeight="1" spans="1:121">
      <c r="A55" s="37"/>
      <c r="B55" t="s">
        <v>156</v>
      </c>
      <c r="C55">
        <v>0.1</v>
      </c>
      <c r="D55" s="139"/>
      <c r="E55" s="115" t="s">
        <v>157</v>
      </c>
      <c r="F55" s="116">
        <v>1</v>
      </c>
      <c r="G55" s="117"/>
      <c r="H55" s="103">
        <f>IF(VLOOKUP($E55,武器奇术!$A:$R,18,FALSE)="天工",AE55,(AE55+AT55+BI55+BX55+CM55+DB55+DQ55))*(1+J55)*F55*K55*(1+G55)</f>
        <v>39561.1762537117</v>
      </c>
      <c r="I55" s="104">
        <f t="shared" si="42"/>
        <v>0.00455942389654521</v>
      </c>
      <c r="J55" s="138">
        <f>$F$3+VLOOKUP($E55,武器奇术!$A:$R,12,FALSE)+VLOOKUP($E55,武器奇术!$A:$R,14,FALSE)*$G$3+$P55</f>
        <v>0.603</v>
      </c>
      <c r="K55" s="105">
        <f>VLOOKUP($E55,武器奇术!$A:$R,11,FALSE)</f>
        <v>1</v>
      </c>
      <c r="L55" s="119">
        <f>IF(VLOOKUP($E55,武器奇术!$A:$R,15,FALSE)="天工",0%,IF($C$17+VLOOKUP($E55,武器奇术!$A:$R,7,FALSE)&gt;80%,80%,$C$17+VLOOKUP($E55,武器奇术!$A:$R,7,FALSE))+IF($C$19&gt;20%,20%,$C$19))</f>
        <v>0.8703</v>
      </c>
      <c r="M55" s="120">
        <f>IF(VLOOKUP($E55,武器奇术!$A:$R,15,FALSE)="天工",0%,IF($C$18+VLOOKUP($E55,武器奇术!$A:$R,9,FALSE)&gt;40%,40%,$C$18+VLOOKUP($E55,武器奇术!$A:$R,9,FALSE))+IF($C$20&gt;10%,10%,$C$20))</f>
        <v>0.0986</v>
      </c>
      <c r="N55" s="121">
        <f>IF(VLOOKUP($E55,武器奇术!$A:$R,15,FALSE)="天工",100%,MIN($C$16,1))</f>
        <v>1</v>
      </c>
      <c r="O55" s="122" t="str">
        <f>VLOOKUP($E55,武器奇术!$A:$R,16,FALSE)</f>
        <v>伞</v>
      </c>
      <c r="P55" s="123">
        <f t="shared" si="32"/>
        <v>0.17</v>
      </c>
      <c r="Q55" s="110">
        <f>$B$5*(1+VLOOKUP($E55,武器奇术!$A:$R,5,FALSE))*(1+VLOOKUP($E55,武器奇术!$A:$S,19,FALSE)+IF($G$5="飞隼",0.1,0)+IF($G$5="撼天",0.05,0))-$F$9+IF($J$5="√",160,0)</f>
        <v>3324.7</v>
      </c>
      <c r="R55" s="102">
        <f>IF(VLOOKUP($E55,武器奇术!$A:$Z,18,FALSE)="叶龙",(S55-(Q55+S55)*0.5)*($G$15-0.5)*2+(Q55+S55)*0.5,(Q55+S55)*0.5)</f>
        <v>3404.7</v>
      </c>
      <c r="S55" s="102">
        <f>MAX($C$5,$B$5)*(1+VLOOKUP($E55,武器奇术!$A:$R,6,FALSE))*(1+VLOOKUP($E55,武器奇术!$A:$S,19,FALSE)+IF($G$5="飞隼",0.1,0)+IF($G$5="撼天",0.05,0))-$F$9+IF($J$5="√",320,0)</f>
        <v>3484.7</v>
      </c>
      <c r="T55" s="104">
        <f>IF(($D$5+VLOOKUP($E55,武器奇术!$A:$R,13,FALSE)+IF($I$3="√",10,0)-VLOOKUP($F$7,目标属性!$A:$R,5,FALSE))&gt;0,($D$5+VLOOKUP($E55,武器奇术!$A:$R,13,FALSE)+IF($I$3="√",10,0)-VLOOKUP($F$7,目标属性!$A:$R,5,FALSE))/200,($D$5+VLOOKUP($E55,武器奇术!$A:$R,13,FALSE)+IF($I$3="√",10,0)-VLOOKUP($F$7,目标属性!$A:$R,5,FALSE))/100)</f>
        <v>0.3925</v>
      </c>
      <c r="U55" s="111">
        <f>$E$5+IF($G$5="烟柳",IF(VLOOKUP($E55,武器奇术!$A:$T,20,FALSE)=1,0.1,0),0)</f>
        <v>0.1</v>
      </c>
      <c r="V55" s="102">
        <v>1</v>
      </c>
      <c r="W55" s="103">
        <f>Q55*VLOOKUP($E55,武器奇术!$A:$R,2,FALSE)*(1+T55)*(1+U55)*V55</f>
        <v>8654.8893778875</v>
      </c>
      <c r="X55" s="104">
        <f>(1-IF(VLOOKUP($E55,武器奇术!$A:$R,18,FALSE)="叶龙",1,$N55))*(1-$M55)</f>
        <v>0</v>
      </c>
      <c r="Y55" s="103">
        <f>R55*VLOOKUP($E55,武器奇术!$A:$R,2,FALSE)*(1+T55)*(1+U55)*V55*(1+$E$16+VLOOKUP($E55,武器奇术!$A:$R,8,FALSE))</f>
        <v>16786.7987283389</v>
      </c>
      <c r="Z55" s="104">
        <f t="shared" si="33"/>
        <v>0.8703</v>
      </c>
      <c r="AA55" s="103">
        <f>S55*VLOOKUP($E55,武器奇术!$A:$R,2,FALSE)*(1+T55)*(1+U55)*V55*(1+$E$17+VLOOKUP($E55,武器奇术!$A:$R,10,FALSE))</f>
        <v>12246.3938311481</v>
      </c>
      <c r="AB55" s="104">
        <f t="shared" si="34"/>
        <v>0.0986</v>
      </c>
      <c r="AC55" s="103">
        <f>R55*VLOOKUP($E55,武器奇术!$A:$R,2,FALSE)*(1+T55)*(1+U55)*V55</f>
        <v>8863.1461078875</v>
      </c>
      <c r="AD55" s="104">
        <f t="shared" si="35"/>
        <v>0.0311</v>
      </c>
      <c r="AE55" s="112">
        <f t="shared" si="36"/>
        <v>16092.6892089799</v>
      </c>
      <c r="AF55" s="113">
        <f>VLOOKUP($E55,武器奇术!$A:$R,3,FALSE)*(1+IF(VLOOKUP($E55,武器奇术!$A:$R,15,FALSE)="武器",$E$15,0))</f>
        <v>510.9</v>
      </c>
      <c r="AG55" s="103">
        <f t="shared" si="1"/>
        <v>510.9</v>
      </c>
      <c r="AH55" s="103">
        <f>VLOOKUP($E55,武器奇术!$A:$R,3,FALSE)*(1+IF(VLOOKUP($E55,武器奇术!$A:$R,15,FALSE)="武器",$E$15,0))</f>
        <v>510.9</v>
      </c>
      <c r="AI55" s="104">
        <f>IF(($D$5+VLOOKUP($E55,武器奇术!$A:$R,13,FALSE)+IF($I$3="√",10,0)-VLOOKUP($F$7,目标属性!$A:$R,5,FALSE))&gt;0,($D$5+VLOOKUP($E55,武器奇术!$A:$R,13,FALSE)+IF($I$3="√",10,0)-VLOOKUP($F$7,目标属性!$A:$R,5,FALSE))/200,($D$5+VLOOKUP($E55,武器奇术!$A:$R,13,FALSE)+IF($I$3="√",10,0)-VLOOKUP($F$7,目标属性!$A:$R,5,FALSE))/100)</f>
        <v>0.3925</v>
      </c>
      <c r="AJ55" s="111">
        <f>$E$5+IF($G$5="烟柳",IF(VLOOKUP($E55,武器奇术!$A:$T,20,FALSE)=1,0.1,0),0)</f>
        <v>0.1</v>
      </c>
      <c r="AK55" s="102">
        <v>1</v>
      </c>
      <c r="AL55" s="103">
        <f t="shared" si="37"/>
        <v>782.571075</v>
      </c>
      <c r="AM55" s="104">
        <f>(1-IF(VLOOKUP($E55,武器奇术!$A:$R,18,FALSE)="叶龙",1,$N55))*(1-$M55)</f>
        <v>0</v>
      </c>
      <c r="AN55" s="103">
        <f>AG55*(1+AI55)*(1+AJ55)*AK55*(1+$E$16+VLOOKUP($E55,武器奇术!$A:$R,8,FALSE))</f>
        <v>1482.18961605</v>
      </c>
      <c r="AO55" s="104">
        <f t="shared" si="2"/>
        <v>0.8703</v>
      </c>
      <c r="AP55" s="103">
        <f>AH55*(1+AI55)*(1+AJ55)*AK55*(1+$E$17+VLOOKUP($E55,武器奇术!$A:$R,10,FALSE))</f>
        <v>1056.47095125</v>
      </c>
      <c r="AQ55" s="104">
        <f t="shared" si="3"/>
        <v>0.0986</v>
      </c>
      <c r="AR55" s="103">
        <f t="shared" si="38"/>
        <v>782.571075</v>
      </c>
      <c r="AS55" s="104">
        <f t="shared" si="4"/>
        <v>0.0311</v>
      </c>
      <c r="AT55" s="112">
        <f t="shared" si="5"/>
        <v>1418.45561907407</v>
      </c>
      <c r="AU55" s="110">
        <f>$B$7*IF($G$5="撼天",1.05,1)+IF(AND(VLOOKUP($E55,武器奇术!$A:$R,15,FALSE)="武器",VLOOKUP($E55,武器奇术!$A:$R,17,FALSE)="鸣金"),$E$3*(1+$E$15),0)</f>
        <v>0</v>
      </c>
      <c r="AV55" s="102">
        <f t="shared" si="6"/>
        <v>0</v>
      </c>
      <c r="AW55" s="102">
        <f>MAX($C$7*IF($G$5="撼天",1.05,1)+IF(AND(VLOOKUP($E55,武器奇术!$A:$R,15,FALSE)="武器",VLOOKUP($E55,武器奇术!$A:$R,17,FALSE)="鸣金"),$E$3*(1+$E$15),0),AU55)</f>
        <v>0</v>
      </c>
      <c r="AX55" s="104">
        <f>IF(($D$7+IF(VLOOKUP($E55,武器奇术!$A:$R,17,FALSE)="鸣金",$D$15,0)-VLOOKUP($F$7,目标属性!$A:$R,6,FALSE))&gt;0,($D$7+IF(VLOOKUP($E55,武器奇术!$A:$R,17,FALSE)="鸣金",$D$15,0)-VLOOKUP($F$7,目标属性!$A:$R,6,FALSE))/200,($D$7+IF(VLOOKUP($E55,武器奇术!$A:$R,17,FALSE)="鸣金",$D$15,0)-VLOOKUP($F$7,目标属性!$A:$R,6,FALSE))/100)</f>
        <v>-0.24</v>
      </c>
      <c r="AY55" s="111">
        <f t="shared" si="7"/>
        <v>0</v>
      </c>
      <c r="AZ55" s="102">
        <v>1</v>
      </c>
      <c r="BA55" s="103">
        <f>AU55*IF(VLOOKUP($E55,武器奇术!$A:$R,17,FALSE)="鸣金",VLOOKUP($E55,武器奇术!$A:$R,4,FALSE),VLOOKUP($E55,武器奇术!$A:$R,2,FALSE))*(1+AX55)*(1+AY55)*AZ55</f>
        <v>0</v>
      </c>
      <c r="BB55" s="104">
        <f>(1-IF(VLOOKUP($E55,武器奇术!$A:$R,18,FALSE)="叶龙",1,$N55))*(1-$M55)</f>
        <v>0</v>
      </c>
      <c r="BC55" s="103">
        <f>AV55*IF(VLOOKUP($E55,武器奇术!$A:$R,17,FALSE)="鸣金",VLOOKUP($E55,武器奇术!$A:$R,4,FALSE),VLOOKUP($E55,武器奇术!$A:$R,2,FALSE))*(1+AX55)*(1+AY55)*AZ55*(1+$E$16+VLOOKUP($E55,武器奇术!$A:$R,8,FALSE))</f>
        <v>0</v>
      </c>
      <c r="BD55" s="104">
        <f t="shared" si="8"/>
        <v>0.8703</v>
      </c>
      <c r="BE55" s="103">
        <f>AW55*IF(VLOOKUP($E55,武器奇术!$A:$R,17,FALSE)="鸣金",VLOOKUP($E55,武器奇术!$A:$R,4,FALSE),VLOOKUP($E55,武器奇术!$A:$R,2,FALSE))*(1+AX55)*(1+AY55)*AZ55*(1+$E$17+VLOOKUP($E55,武器奇术!$A:$R,10,FALSE))</f>
        <v>0</v>
      </c>
      <c r="BF55" s="104">
        <f t="shared" si="9"/>
        <v>0.0986</v>
      </c>
      <c r="BG55" s="103">
        <f>AV55*IF(VLOOKUP($E55,武器奇术!$A:$R,17,FALSE)="鸣金",VLOOKUP($E55,武器奇术!$A:$R,4,FALSE),VLOOKUP($E55,武器奇术!$A:$R,2,FALSE))*(1+AX55)*(1+AY55)*AZ55</f>
        <v>0</v>
      </c>
      <c r="BH55" s="104">
        <f t="shared" si="10"/>
        <v>0.0311</v>
      </c>
      <c r="BI55" s="112">
        <f t="shared" si="11"/>
        <v>0</v>
      </c>
      <c r="BJ55" s="110">
        <f>$B$9*IF($G$5="撼天",1.05,1)+IF(AND(VLOOKUP($E55,武器奇术!$A:$R,15,FALSE)="武器",VLOOKUP($E55,武器奇术!$A:$R,17,FALSE)="裂石"),$E$3*(1+$E$15),0)</f>
        <v>0</v>
      </c>
      <c r="BK55" s="102">
        <f t="shared" si="12"/>
        <v>0</v>
      </c>
      <c r="BL55" s="102">
        <f>MAX($C$9*IF($G$5="撼天",1.05,1)+IF(AND(VLOOKUP($E55,武器奇术!$A:$R,15,FALSE)="武器",VLOOKUP($E55,武器奇术!$A:$R,17,FALSE)="裂石"),$E$3*(1+$E$15),0),BJ55)</f>
        <v>0</v>
      </c>
      <c r="BM55" s="104">
        <f>IF(($D$9+IF(VLOOKUP($E55,武器奇术!$A:$R,17,FALSE)="裂石",$D$15,0)-VLOOKUP($F$7,目标属性!$A:$R,6,FALSE))&gt;0,($D$9+IF(VLOOKUP($E55,武器奇术!$A:$R,17,FALSE)="裂石",$D$15,0)-VLOOKUP($F$7,目标属性!$A:$R,6,FALSE))/200,($D$9+IF(VLOOKUP($E55,武器奇术!$A:$R,17,FALSE)="裂石",$D$15,0)-VLOOKUP($F$7,目标属性!$A:$R,6,FALSE))/100)</f>
        <v>-0.24</v>
      </c>
      <c r="BN55" s="111">
        <f t="shared" si="13"/>
        <v>0</v>
      </c>
      <c r="BO55" s="102">
        <v>1</v>
      </c>
      <c r="BP55" s="103">
        <f>BJ55*IF(VLOOKUP($E55,武器奇术!$A:$R,17,FALSE)="裂石",VLOOKUP($E55,武器奇术!$A:$R,4,FALSE),VLOOKUP($E55,武器奇术!$A:$R,2,FALSE))*(1+BM55)*(1+BN55)*BO55</f>
        <v>0</v>
      </c>
      <c r="BQ55" s="104">
        <f>(1-IF(VLOOKUP($E55,武器奇术!$A:$R,18,FALSE)="叶龙",1,$N55))*(1-$M55)</f>
        <v>0</v>
      </c>
      <c r="BR55" s="103">
        <f>BK55*IF(VLOOKUP($E55,武器奇术!$A:$R,17,FALSE)="裂石",VLOOKUP($E55,武器奇术!$A:$R,4,FALSE),VLOOKUP($E55,武器奇术!$A:$R,2,FALSE))*(1+BM55)*(1+BN55)*BO55*(1+$E$16+VLOOKUP($E55,武器奇术!$A:$R,8,FALSE))</f>
        <v>0</v>
      </c>
      <c r="BS55" s="104">
        <f t="shared" si="14"/>
        <v>0.8703</v>
      </c>
      <c r="BT55" s="103">
        <f>BL55*IF(VLOOKUP($E55,武器奇术!$A:$R,17,FALSE)="裂石",VLOOKUP($E55,武器奇术!$A:$R,4,FALSE),VLOOKUP($E55,武器奇术!$A:$R,2,FALSE))*(1+BM55)*(1+BN55)*BO55*(1+$E$17+VLOOKUP($E55,武器奇术!$A:$R,10,FALSE))</f>
        <v>0</v>
      </c>
      <c r="BU55" s="104">
        <f t="shared" si="15"/>
        <v>0.0986</v>
      </c>
      <c r="BV55" s="103">
        <f>BK55*IF(VLOOKUP($E55,武器奇术!$A:$R,17,FALSE)="裂石",VLOOKUP($E55,武器奇术!$A:$R,4,FALSE),VLOOKUP($E55,武器奇术!$A:$R,2,FALSE))*(1+BM55)*(1+BN55)*BO55</f>
        <v>0</v>
      </c>
      <c r="BW55" s="104">
        <f t="shared" si="16"/>
        <v>0.0311</v>
      </c>
      <c r="BX55" s="112">
        <f t="shared" si="17"/>
        <v>0</v>
      </c>
      <c r="BY55" s="110">
        <f>$B$11*IF($G$5="撼天",1.05,1)+IF(AND(VLOOKUP($E55,武器奇术!$A:$R,15,FALSE)="武器",VLOOKUP($E55,武器奇术!$A:$R,17,FALSE)="牵丝"),$E$3*(1+$E$15),0)</f>
        <v>686.71</v>
      </c>
      <c r="BZ55" s="102">
        <f>IF(VLOOKUP($E55,武器奇术!$A:$Z,18,FALSE)="叶龙",(CA55-(BY55+CA55)*0.5)*($G$15-0.5)*2+(BY55+CA55)*0.5,(BY55+CA55)*0.5)</f>
        <v>1052.21</v>
      </c>
      <c r="CA55" s="102">
        <f>MAX($C$11*IF($G$5="撼天",1.05,1)+IF(AND(VLOOKUP($E55,武器奇术!$A:$R,15,FALSE)="武器",VLOOKUP($E55,武器奇术!$A:$R,17,FALSE)="牵丝"),$E$3*(1+$E$15),0),BY55)</f>
        <v>1417.71</v>
      </c>
      <c r="CB55" s="104">
        <f>IF(($D$11+IF(VLOOKUP($E55,武器奇术!$A:$R,17,FALSE)="牵丝",$D$15,0)-VLOOKUP($F$7,目标属性!$A:$R,6,FALSE))&gt;0,($D$11+IF(VLOOKUP($E55,武器奇术!$A:$R,17,FALSE)="牵丝",$D$15,0)-VLOOKUP($F$7,目标属性!$A:$R,6,FALSE))/200,($D$11+IF(VLOOKUP($E55,武器奇术!$A:$R,17,FALSE)="牵丝",$D$15,0)-VLOOKUP($F$7,目标属性!$A:$R,6,FALSE))/100)</f>
        <v>0.028</v>
      </c>
      <c r="CC55" s="111">
        <f>$E$11+IF($G$5="烟柳",IF(VLOOKUP($E55,武器奇术!$A:$T,20,FALSE)=1,0.1,0),0)</f>
        <v>0.248</v>
      </c>
      <c r="CD55" s="102">
        <v>1</v>
      </c>
      <c r="CE55" s="103">
        <f>BY55*IF(VLOOKUP($E55,武器奇术!$A:$R,17,FALSE)="牵丝",VLOOKUP($E55,武器奇术!$A:$R,4,FALSE),VLOOKUP($E55,武器奇术!$A:$R,2,FALSE))*(1+CB55)*(1+CC55)*CD55</f>
        <v>2245.87190093261</v>
      </c>
      <c r="CF55" s="104">
        <f>(1-IF(VLOOKUP($E55,武器奇术!$A:$R,18,FALSE)="叶龙",1,$N55))*(1-$M55)</f>
        <v>0</v>
      </c>
      <c r="CG55" s="124">
        <f>BZ55*IF(VLOOKUP($E55,武器奇术!$A:$R,17,FALSE)="牵丝",VLOOKUP($E55,武器奇术!$A:$R,4,FALSE),VLOOKUP($E55,武器奇术!$A:$R,2,FALSE))*(1+CB55)*(1+CC55)*CD55*(1+$E$16+VLOOKUP($E55,武器奇术!$A:$R,8,FALSE))</f>
        <v>6517.69463854507</v>
      </c>
      <c r="CH55" s="104">
        <f t="shared" si="18"/>
        <v>0.8703</v>
      </c>
      <c r="CI55" s="103">
        <f>CA55*IF(VLOOKUP($E55,武器奇术!$A:$R,17,FALSE)="牵丝",VLOOKUP($E55,武器奇术!$A:$R,4,FALSE),VLOOKUP($E55,武器奇术!$A:$R,2,FALSE))*(1+CB55)*(1+CC55)*CD55*(1+$E$17+VLOOKUP($E55,武器奇术!$A:$R,10,FALSE))</f>
        <v>6259.4010879499</v>
      </c>
      <c r="CJ55" s="104">
        <f t="shared" si="19"/>
        <v>0.0986</v>
      </c>
      <c r="CK55" s="124">
        <f>BZ55*IF(VLOOKUP($E55,武器奇术!$A:$R,17,FALSE)="牵丝",VLOOKUP($E55,武器奇术!$A:$R,4,FALSE),VLOOKUP($E55,武器奇术!$A:$R,2,FALSE))*(1+CB55)*(1+CC55)*CD55</f>
        <v>3441.23264970701</v>
      </c>
      <c r="CL55" s="104">
        <f t="shared" si="20"/>
        <v>0.0311</v>
      </c>
      <c r="CM55" s="112">
        <f t="shared" si="39"/>
        <v>6396.54892660353</v>
      </c>
      <c r="CN55" s="110">
        <f>$B$13*IF($G$5="撼天",1.05,1)+IF(AND(VLOOKUP($E55,武器奇术!$A:$R,15,FALSE)="武器",VLOOKUP($E55,武器奇术!$A:$R,17,FALSE)="破竹"),$E$3*(1+$E$15),0)</f>
        <v>0</v>
      </c>
      <c r="CO55" s="102">
        <f t="shared" si="21"/>
        <v>0</v>
      </c>
      <c r="CP55" s="102">
        <f>MAX($C$13*IF($G$5="撼天",1.05,1)+IF(AND(VLOOKUP($E55,武器奇术!$A:$R,15,FALSE)="武器",VLOOKUP($E55,武器奇术!$A:$R,17,FALSE)="破竹"),$E$3*(1+$E$15),0),CN55)</f>
        <v>0</v>
      </c>
      <c r="CQ55" s="104">
        <f>IF(($D$13+IF(VLOOKUP($E55,武器奇术!$A:$R,17,FALSE)="破竹",$D$15,0)-VLOOKUP($F$7,目标属性!$A:$R,6,FALSE))&gt;0,($D$13+IF(VLOOKUP($E55,武器奇术!$A:$R,17,FALSE)="破竹",$D$15,0)-VLOOKUP($F$7,目标属性!$A:$R,6,FALSE))/200,($D$13+IF(VLOOKUP($E55,武器奇术!$A:$R,17,FALSE)="破竹",$D$15,0)-VLOOKUP($F$7,目标属性!$A:$R,6,FALSE))/100)</f>
        <v>-0.24</v>
      </c>
      <c r="CR55" s="111">
        <f t="shared" si="22"/>
        <v>0</v>
      </c>
      <c r="CS55" s="102">
        <v>1</v>
      </c>
      <c r="CT55" s="103">
        <f>CN55*IF(VLOOKUP($E55,武器奇术!$A:$R,17,FALSE)="破竹",VLOOKUP($E55,武器奇术!$A:$R,4,FALSE),VLOOKUP($E55,武器奇术!$A:$R,2,FALSE))*(1+CQ55)*(1+CR55)*CS55</f>
        <v>0</v>
      </c>
      <c r="CU55" s="104">
        <f>(1-IF(VLOOKUP($E55,武器奇术!$A:$R,18,FALSE)="叶龙",1,$N55))*(1-$M55)</f>
        <v>0</v>
      </c>
      <c r="CV55" s="103">
        <f>CO55*IF(VLOOKUP($E55,武器奇术!$A:$R,17,FALSE)="破竹",VLOOKUP($E55,武器奇术!$A:$R,4,FALSE),VLOOKUP($E55,武器奇术!$A:$R,2,FALSE))*(1+CQ55)*(1+CR55)*CS55*(1+$E$16+VLOOKUP($E55,武器奇术!$A:$R,8,FALSE))</f>
        <v>0</v>
      </c>
      <c r="CW55" s="104">
        <f t="shared" si="23"/>
        <v>0.8703</v>
      </c>
      <c r="CX55" s="103">
        <f>CP55*IF(VLOOKUP($E55,武器奇术!$A:$R,17,FALSE)="破竹",VLOOKUP($E55,武器奇术!$A:$R,4,FALSE),VLOOKUP($E55,武器奇术!$A:$R,2,FALSE))*(1+CQ55)*(1+CR55)*CS55*(1+$E$17+VLOOKUP($E55,武器奇术!$A:$R,10,FALSE))</f>
        <v>0</v>
      </c>
      <c r="CY55" s="104">
        <f t="shared" si="24"/>
        <v>0.0986</v>
      </c>
      <c r="CZ55" s="103">
        <f>CO55*IF(VLOOKUP($E55,武器奇术!$A:$R,17,FALSE)="破竹",VLOOKUP($E55,武器奇术!$A:$R,4,FALSE),VLOOKUP($E55,武器奇术!$A:$R,2,FALSE))*(1+CQ55)*(1+CR55)*CS55</f>
        <v>0</v>
      </c>
      <c r="DA55" s="104">
        <f t="shared" si="25"/>
        <v>0.0311</v>
      </c>
      <c r="DB55" s="112">
        <f t="shared" si="26"/>
        <v>0</v>
      </c>
      <c r="DC55" s="110">
        <f t="shared" si="40"/>
        <v>66</v>
      </c>
      <c r="DD55" s="102">
        <f t="shared" si="27"/>
        <v>125.8</v>
      </c>
      <c r="DE55" s="102">
        <f t="shared" si="41"/>
        <v>185.6</v>
      </c>
      <c r="DF55" s="104">
        <f>IF((IF(VLOOKUP($E55,武器奇术!$A:$R,17,FALSE)="鸣金",$D$7,0)+IF(VLOOKUP($E55,武器奇术!$A:$R,17,FALSE)="裂石",$D$9,0)+IF(VLOOKUP($E55,武器奇术!$A:$R,17,FALSE)="牵丝",$D$11,0)+IF(VLOOKUP($E55,武器奇术!$A:$R,17,FALSE)="破竹",$D$13,0)+$D$15-VLOOKUP($F$7,目标属性!$A:$R,6,FALSE))&gt;0,(IF(VLOOKUP($E55,武器奇术!$A:$R,17,FALSE)="鸣金",$D$7,0)+IF(VLOOKUP($E55,武器奇术!$A:$R,17,FALSE)="裂石",$D$9,0)+IF(VLOOKUP($E55,武器奇术!$A:$R,17,FALSE)="牵丝",$D$11,0)+IF(VLOOKUP($E55,武器奇术!$A:$R,17,FALSE)="破竹",$D$13,0)+$D$15-VLOOKUP($F$7,目标属性!$A:$R,6,FALSE))/200,(IF(VLOOKUP($E55,武器奇术!$A:$R,17,FALSE)="鸣金",$D$7,0)+IF(VLOOKUP($E55,武器奇术!$A:$R,17,FALSE)="裂石",$D$9,0)+IF(VLOOKUP($E55,武器奇术!$A:$R,17,FALSE)="牵丝",$D$11,0)+IF(VLOOKUP($E55,武器奇术!$A:$R,17,FALSE)="破竹",$D$13,0)+$D$15-VLOOKUP($F$7,目标属性!$A:$R,6,FALSE))/100)</f>
        <v>0.028</v>
      </c>
      <c r="DG55" s="111">
        <f>$E$11+IF($G$5="烟柳",IF(VLOOKUP($E55,武器奇术!$A:$T,20,FALSE)=1,0.1,0),0)</f>
        <v>0.248</v>
      </c>
      <c r="DH55" s="102">
        <v>1</v>
      </c>
      <c r="DI55" s="103">
        <f>DC55*IF(VLOOKUP($E55,武器奇术!$A:$R,17,FALSE)="牵丝",VLOOKUP($E55,武器奇术!$A:$R,4,FALSE),VLOOKUP($E55,武器奇术!$A:$R,2,FALSE))*(1+DF55)*(1+DG55)*DH55</f>
        <v>215.8517357568</v>
      </c>
      <c r="DJ55" s="104">
        <f>(1-IF(VLOOKUP($E55,武器奇术!$A:$R,18,FALSE)="叶龙",1,$N55))*(1-$M55)</f>
        <v>0</v>
      </c>
      <c r="DK55" s="124">
        <f>DD55*IF(VLOOKUP($E55,武器奇术!$A:$R,17,FALSE)="牵丝",VLOOKUP($E55,武器奇术!$A:$R,4,FALSE),VLOOKUP($E55,武器奇术!$A:$R,2,FALSE))*(1+DF55)*(1+DG55)*DH55*(1+$E$16+VLOOKUP($E55,武器奇术!$A:$R,8,FALSE))</f>
        <v>779.241772582441</v>
      </c>
      <c r="DL55" s="104">
        <f t="shared" si="28"/>
        <v>0.8703</v>
      </c>
      <c r="DM55" s="103">
        <f>DE55*IF(VLOOKUP($E55,武器奇术!$A:$R,17,FALSE)="牵丝",VLOOKUP($E55,武器奇术!$A:$R,4,FALSE),VLOOKUP($E55,武器奇术!$A:$R,2,FALSE))*(1+DF55)*(1+DG55)*DH55*(1+$E$17+VLOOKUP($E55,武器奇术!$A:$R,10,FALSE))</f>
        <v>819.451680473088</v>
      </c>
      <c r="DN55" s="104">
        <f t="shared" si="29"/>
        <v>0.0986</v>
      </c>
      <c r="DO55" s="124">
        <f>DD55*IF(VLOOKUP($E55,武器奇术!$A:$R,17,FALSE)="牵丝",VLOOKUP($E55,武器奇术!$A:$R,4,FALSE),VLOOKUP($E55,武器奇术!$A:$R,2,FALSE))*(1+DF55)*(1+DG55)*DH55</f>
        <v>411.42649027584</v>
      </c>
      <c r="DP55" s="104">
        <f t="shared" si="30"/>
        <v>0.0311</v>
      </c>
      <c r="DQ55" s="112">
        <f t="shared" si="31"/>
        <v>771.767414220723</v>
      </c>
    </row>
    <row r="56" customFormat="1" customHeight="1" spans="1:121">
      <c r="A56" s="37"/>
      <c r="B56" t="s">
        <v>158</v>
      </c>
      <c r="C56">
        <v>1.33</v>
      </c>
      <c r="D56" s="139"/>
      <c r="E56" s="115" t="s">
        <v>159</v>
      </c>
      <c r="F56" s="116">
        <v>1</v>
      </c>
      <c r="G56" s="117"/>
      <c r="H56" s="103">
        <f>IF(VLOOKUP($E56,武器奇术!$A:$R,18,FALSE)="天工",AE56,(AE56+AT56+BI56+BX56+CM56+DB56+DQ56))*(1+J56)*F56*K56*(1+G56)</f>
        <v>11444.9438619993</v>
      </c>
      <c r="I56" s="104">
        <f t="shared" si="42"/>
        <v>0.00131902929792493</v>
      </c>
      <c r="J56" s="138">
        <f>$F$3+VLOOKUP($E56,武器奇术!$A:$R,12,FALSE)+VLOOKUP($E56,武器奇术!$A:$R,14,FALSE)*$G$3+$P56</f>
        <v>0.603</v>
      </c>
      <c r="K56" s="105">
        <f>VLOOKUP($E56,武器奇术!$A:$R,11,FALSE)</f>
        <v>1</v>
      </c>
      <c r="L56" s="119">
        <f>IF(VLOOKUP($E56,武器奇术!$A:$R,15,FALSE)="天工",0%,IF($C$17+VLOOKUP($E56,武器奇术!$A:$R,7,FALSE)&gt;80%,80%,$C$17+VLOOKUP($E56,武器奇术!$A:$R,7,FALSE))+IF($C$19&gt;20%,20%,$C$19))</f>
        <v>0.8703</v>
      </c>
      <c r="M56" s="120">
        <f>IF(VLOOKUP($E56,武器奇术!$A:$R,15,FALSE)="天工",0%,IF($C$18+VLOOKUP($E56,武器奇术!$A:$R,9,FALSE)&gt;40%,40%,$C$18+VLOOKUP($E56,武器奇术!$A:$R,9,FALSE))+IF($C$20&gt;10%,10%,$C$20))</f>
        <v>0.0986</v>
      </c>
      <c r="N56" s="121">
        <f>IF(VLOOKUP($E56,武器奇术!$A:$R,15,FALSE)="天工",100%,MIN($C$16,1))</f>
        <v>1</v>
      </c>
      <c r="O56" s="122" t="str">
        <f>VLOOKUP($E56,武器奇术!$A:$R,16,FALSE)</f>
        <v>伞</v>
      </c>
      <c r="P56" s="123">
        <f t="shared" si="32"/>
        <v>0.17</v>
      </c>
      <c r="Q56" s="110">
        <f>$B$5*(1+VLOOKUP($E56,武器奇术!$A:$R,5,FALSE))*(1+VLOOKUP($E56,武器奇术!$A:$S,19,FALSE)+IF($G$5="飞隼",0.1,0)+IF($G$5="撼天",0.05,0))-$F$9+IF($J$5="√",160,0)</f>
        <v>3324.7</v>
      </c>
      <c r="R56" s="102">
        <f>IF(VLOOKUP($E56,武器奇术!$A:$Z,18,FALSE)="叶龙",(S56-(Q56+S56)*0.5)*($G$15-0.5)*2+(Q56+S56)*0.5,(Q56+S56)*0.5)</f>
        <v>3404.7</v>
      </c>
      <c r="S56" s="102">
        <f>MAX($C$5,$B$5)*(1+VLOOKUP($E56,武器奇术!$A:$R,6,FALSE))*(1+VLOOKUP($E56,武器奇术!$A:$S,19,FALSE)+IF($G$5="飞隼",0.1,0)+IF($G$5="撼天",0.05,0))-$F$9+IF($J$5="√",320,0)</f>
        <v>3484.7</v>
      </c>
      <c r="T56" s="104">
        <f>IF(($D$5+VLOOKUP($E56,武器奇术!$A:$R,13,FALSE)+IF($I$3="√",10,0)-VLOOKUP($F$7,目标属性!$A:$R,5,FALSE))&gt;0,($D$5+VLOOKUP($E56,武器奇术!$A:$R,13,FALSE)+IF($I$3="√",10,0)-VLOOKUP($F$7,目标属性!$A:$R,5,FALSE))/200,($D$5+VLOOKUP($E56,武器奇术!$A:$R,13,FALSE)+IF($I$3="√",10,0)-VLOOKUP($F$7,目标属性!$A:$R,5,FALSE))/100)</f>
        <v>0.3925</v>
      </c>
      <c r="U56" s="111">
        <f>$E$5+IF($G$5="烟柳",IF(VLOOKUP($E56,武器奇术!$A:$T,20,FALSE)=1,0.1,0),0)</f>
        <v>0</v>
      </c>
      <c r="V56" s="102">
        <v>1</v>
      </c>
      <c r="W56" s="103">
        <f>Q56*VLOOKUP($E56,武器奇术!$A:$R,2,FALSE)*(1+T56)*(1+U56)*V56</f>
        <v>2495.37852025</v>
      </c>
      <c r="X56" s="104">
        <f>(1-IF(VLOOKUP($E56,武器奇术!$A:$R,18,FALSE)="叶龙",1,$N56))*(1-$M56)</f>
        <v>0</v>
      </c>
      <c r="Y56" s="103">
        <f>R56*VLOOKUP($E56,武器奇术!$A:$R,2,FALSE)*(1+T56)*(1+U56)*V56*(1+$E$16+VLOOKUP($E56,武器奇术!$A:$R,8,FALSE))</f>
        <v>4839.9713897535</v>
      </c>
      <c r="Z56" s="104">
        <f t="shared" si="33"/>
        <v>0.8703</v>
      </c>
      <c r="AA56" s="103">
        <f>S56*VLOOKUP($E56,武器奇术!$A:$R,2,FALSE)*(1+T56)*(1+U56)*V56*(1+$E$17+VLOOKUP($E56,武器奇术!$A:$R,10,FALSE))</f>
        <v>3530.8814223375</v>
      </c>
      <c r="AB56" s="104">
        <f t="shared" si="34"/>
        <v>0.0986</v>
      </c>
      <c r="AC56" s="103">
        <f>R56*VLOOKUP($E56,武器奇术!$A:$R,2,FALSE)*(1+T56)*(1+U56)*V56</f>
        <v>2555.42312025</v>
      </c>
      <c r="AD56" s="104">
        <f t="shared" si="35"/>
        <v>0.0311</v>
      </c>
      <c r="AE56" s="112">
        <f t="shared" si="36"/>
        <v>4639.84566778472</v>
      </c>
      <c r="AF56" s="113">
        <f>VLOOKUP($E56,武器奇术!$A:$R,3,FALSE)*(1+IF(VLOOKUP($E56,武器奇术!$A:$R,15,FALSE)="武器",$E$15,0))</f>
        <v>161.8617</v>
      </c>
      <c r="AG56" s="103">
        <f t="shared" si="1"/>
        <v>161.8617</v>
      </c>
      <c r="AH56" s="103">
        <f>VLOOKUP($E56,武器奇术!$A:$R,3,FALSE)*(1+IF(VLOOKUP($E56,武器奇术!$A:$R,15,FALSE)="武器",$E$15,0))</f>
        <v>161.8617</v>
      </c>
      <c r="AI56" s="104">
        <f>IF(($D$5+VLOOKUP($E56,武器奇术!$A:$R,13,FALSE)+IF($I$3="√",10,0)-VLOOKUP($F$7,目标属性!$A:$R,5,FALSE))&gt;0,($D$5+VLOOKUP($E56,武器奇术!$A:$R,13,FALSE)+IF($I$3="√",10,0)-VLOOKUP($F$7,目标属性!$A:$R,5,FALSE))/200,($D$5+VLOOKUP($E56,武器奇术!$A:$R,13,FALSE)+IF($I$3="√",10,0)-VLOOKUP($F$7,目标属性!$A:$R,5,FALSE))/100)</f>
        <v>0.3925</v>
      </c>
      <c r="AJ56" s="111">
        <f>$E$5+IF($G$5="烟柳",IF(VLOOKUP($E56,武器奇术!$A:$T,20,FALSE)=1,0.1,0),0)</f>
        <v>0</v>
      </c>
      <c r="AK56" s="102">
        <v>1</v>
      </c>
      <c r="AL56" s="103">
        <f t="shared" si="37"/>
        <v>225.39241725</v>
      </c>
      <c r="AM56" s="104">
        <f>(1-IF(VLOOKUP($E56,武器奇术!$A:$R,18,FALSE)="叶龙",1,$N56))*(1-$M56)</f>
        <v>0</v>
      </c>
      <c r="AN56" s="103">
        <f>AG56*(1+AI56)*(1+AJ56)*AK56*(1+$E$16+VLOOKUP($E56,武器奇术!$A:$R,8,FALSE))</f>
        <v>426.8932382715</v>
      </c>
      <c r="AO56" s="104">
        <f t="shared" si="2"/>
        <v>0.8703</v>
      </c>
      <c r="AP56" s="103">
        <f>AH56*(1+AI56)*(1+AJ56)*AK56*(1+$E$17+VLOOKUP($E56,武器奇术!$A:$R,10,FALSE))</f>
        <v>304.2797632875</v>
      </c>
      <c r="AQ56" s="104">
        <f t="shared" si="3"/>
        <v>0.0986</v>
      </c>
      <c r="AR56" s="103">
        <f t="shared" si="38"/>
        <v>225.39241725</v>
      </c>
      <c r="AS56" s="104">
        <f t="shared" si="4"/>
        <v>0.0311</v>
      </c>
      <c r="AT56" s="112">
        <f t="shared" si="5"/>
        <v>408.536874104309</v>
      </c>
      <c r="AU56" s="110">
        <f>$B$7*IF($G$5="撼天",1.05,1)+IF(AND(VLOOKUP($E56,武器奇术!$A:$R,15,FALSE)="武器",VLOOKUP($E56,武器奇术!$A:$R,17,FALSE)="鸣金"),$E$3*(1+$E$15),0)</f>
        <v>0</v>
      </c>
      <c r="AV56" s="102">
        <f t="shared" si="6"/>
        <v>0</v>
      </c>
      <c r="AW56" s="102">
        <f>MAX($C$7*IF($G$5="撼天",1.05,1)+IF(AND(VLOOKUP($E56,武器奇术!$A:$R,15,FALSE)="武器",VLOOKUP($E56,武器奇术!$A:$R,17,FALSE)="鸣金"),$E$3*(1+$E$15),0),AU56)</f>
        <v>0</v>
      </c>
      <c r="AX56" s="104">
        <f>IF(($D$7+IF(VLOOKUP($E56,武器奇术!$A:$R,17,FALSE)="鸣金",$D$15,0)-VLOOKUP($F$7,目标属性!$A:$R,6,FALSE))&gt;0,($D$7+IF(VLOOKUP($E56,武器奇术!$A:$R,17,FALSE)="鸣金",$D$15,0)-VLOOKUP($F$7,目标属性!$A:$R,6,FALSE))/200,($D$7+IF(VLOOKUP($E56,武器奇术!$A:$R,17,FALSE)="鸣金",$D$15,0)-VLOOKUP($F$7,目标属性!$A:$R,6,FALSE))/100)</f>
        <v>-0.24</v>
      </c>
      <c r="AY56" s="111">
        <f t="shared" si="7"/>
        <v>0</v>
      </c>
      <c r="AZ56" s="102">
        <v>1</v>
      </c>
      <c r="BA56" s="103">
        <f>AU56*IF(VLOOKUP($E56,武器奇术!$A:$R,17,FALSE)="鸣金",VLOOKUP($E56,武器奇术!$A:$R,4,FALSE),VLOOKUP($E56,武器奇术!$A:$R,2,FALSE))*(1+AX56)*(1+AY56)*AZ56</f>
        <v>0</v>
      </c>
      <c r="BB56" s="104">
        <f>(1-IF(VLOOKUP($E56,武器奇术!$A:$R,18,FALSE)="叶龙",1,$N56))*(1-$M56)</f>
        <v>0</v>
      </c>
      <c r="BC56" s="103">
        <f>AV56*IF(VLOOKUP($E56,武器奇术!$A:$R,17,FALSE)="鸣金",VLOOKUP($E56,武器奇术!$A:$R,4,FALSE),VLOOKUP($E56,武器奇术!$A:$R,2,FALSE))*(1+AX56)*(1+AY56)*AZ56*(1+$E$16+VLOOKUP($E56,武器奇术!$A:$R,8,FALSE))</f>
        <v>0</v>
      </c>
      <c r="BD56" s="104">
        <f t="shared" si="8"/>
        <v>0.8703</v>
      </c>
      <c r="BE56" s="103">
        <f>AW56*IF(VLOOKUP($E56,武器奇术!$A:$R,17,FALSE)="鸣金",VLOOKUP($E56,武器奇术!$A:$R,4,FALSE),VLOOKUP($E56,武器奇术!$A:$R,2,FALSE))*(1+AX56)*(1+AY56)*AZ56*(1+$E$17+VLOOKUP($E56,武器奇术!$A:$R,10,FALSE))</f>
        <v>0</v>
      </c>
      <c r="BF56" s="104">
        <f t="shared" si="9"/>
        <v>0.0986</v>
      </c>
      <c r="BG56" s="103">
        <f>AV56*IF(VLOOKUP($E56,武器奇术!$A:$R,17,FALSE)="鸣金",VLOOKUP($E56,武器奇术!$A:$R,4,FALSE),VLOOKUP($E56,武器奇术!$A:$R,2,FALSE))*(1+AX56)*(1+AY56)*AZ56</f>
        <v>0</v>
      </c>
      <c r="BH56" s="104">
        <f t="shared" si="10"/>
        <v>0.0311</v>
      </c>
      <c r="BI56" s="112">
        <f t="shared" si="11"/>
        <v>0</v>
      </c>
      <c r="BJ56" s="110">
        <f>$B$9*IF($G$5="撼天",1.05,1)+IF(AND(VLOOKUP($E56,武器奇术!$A:$R,15,FALSE)="武器",VLOOKUP($E56,武器奇术!$A:$R,17,FALSE)="裂石"),$E$3*(1+$E$15),0)</f>
        <v>0</v>
      </c>
      <c r="BK56" s="102">
        <f t="shared" si="12"/>
        <v>0</v>
      </c>
      <c r="BL56" s="102">
        <f>MAX($C$9*IF($G$5="撼天",1.05,1)+IF(AND(VLOOKUP($E56,武器奇术!$A:$R,15,FALSE)="武器",VLOOKUP($E56,武器奇术!$A:$R,17,FALSE)="裂石"),$E$3*(1+$E$15),0),BJ56)</f>
        <v>0</v>
      </c>
      <c r="BM56" s="104">
        <f>IF(($D$9+IF(VLOOKUP($E56,武器奇术!$A:$R,17,FALSE)="裂石",$D$15,0)-VLOOKUP($F$7,目标属性!$A:$R,6,FALSE))&gt;0,($D$9+IF(VLOOKUP($E56,武器奇术!$A:$R,17,FALSE)="裂石",$D$15,0)-VLOOKUP($F$7,目标属性!$A:$R,6,FALSE))/200,($D$9+IF(VLOOKUP($E56,武器奇术!$A:$R,17,FALSE)="裂石",$D$15,0)-VLOOKUP($F$7,目标属性!$A:$R,6,FALSE))/100)</f>
        <v>-0.24</v>
      </c>
      <c r="BN56" s="111">
        <f t="shared" si="13"/>
        <v>0</v>
      </c>
      <c r="BO56" s="102">
        <v>1</v>
      </c>
      <c r="BP56" s="103">
        <f>BJ56*IF(VLOOKUP($E56,武器奇术!$A:$R,17,FALSE)="裂石",VLOOKUP($E56,武器奇术!$A:$R,4,FALSE),VLOOKUP($E56,武器奇术!$A:$R,2,FALSE))*(1+BM56)*(1+BN56)*BO56</f>
        <v>0</v>
      </c>
      <c r="BQ56" s="104">
        <f>(1-IF(VLOOKUP($E56,武器奇术!$A:$R,18,FALSE)="叶龙",1,$N56))*(1-$M56)</f>
        <v>0</v>
      </c>
      <c r="BR56" s="103">
        <f>BK56*IF(VLOOKUP($E56,武器奇术!$A:$R,17,FALSE)="裂石",VLOOKUP($E56,武器奇术!$A:$R,4,FALSE),VLOOKUP($E56,武器奇术!$A:$R,2,FALSE))*(1+BM56)*(1+BN56)*BO56*(1+$E$16+VLOOKUP($E56,武器奇术!$A:$R,8,FALSE))</f>
        <v>0</v>
      </c>
      <c r="BS56" s="104">
        <f t="shared" si="14"/>
        <v>0.8703</v>
      </c>
      <c r="BT56" s="103">
        <f>BL56*IF(VLOOKUP($E56,武器奇术!$A:$R,17,FALSE)="裂石",VLOOKUP($E56,武器奇术!$A:$R,4,FALSE),VLOOKUP($E56,武器奇术!$A:$R,2,FALSE))*(1+BM56)*(1+BN56)*BO56*(1+$E$17+VLOOKUP($E56,武器奇术!$A:$R,10,FALSE))</f>
        <v>0</v>
      </c>
      <c r="BU56" s="104">
        <f t="shared" si="15"/>
        <v>0.0986</v>
      </c>
      <c r="BV56" s="103">
        <f>BK56*IF(VLOOKUP($E56,武器奇术!$A:$R,17,FALSE)="裂石",VLOOKUP($E56,武器奇术!$A:$R,4,FALSE),VLOOKUP($E56,武器奇术!$A:$R,2,FALSE))*(1+BM56)*(1+BN56)*BO56</f>
        <v>0</v>
      </c>
      <c r="BW56" s="104">
        <f t="shared" si="16"/>
        <v>0.0311</v>
      </c>
      <c r="BX56" s="112">
        <f t="shared" si="17"/>
        <v>0</v>
      </c>
      <c r="BY56" s="110">
        <f>$B$11*IF($G$5="撼天",1.05,1)+IF(AND(VLOOKUP($E56,武器奇术!$A:$R,15,FALSE)="武器",VLOOKUP($E56,武器奇术!$A:$R,17,FALSE)="牵丝"),$E$3*(1+$E$15),0)</f>
        <v>686.71</v>
      </c>
      <c r="BZ56" s="102">
        <f>IF(VLOOKUP($E56,武器奇术!$A:$Z,18,FALSE)="叶龙",(CA56-(BY56+CA56)*0.5)*($G$15-0.5)*2+(BY56+CA56)*0.5,(BY56+CA56)*0.5)</f>
        <v>1052.21</v>
      </c>
      <c r="CA56" s="102">
        <f>MAX($C$11*IF($G$5="撼天",1.05,1)+IF(AND(VLOOKUP($E56,武器奇术!$A:$R,15,FALSE)="武器",VLOOKUP($E56,武器奇术!$A:$R,17,FALSE)="牵丝"),$E$3*(1+$E$15),0),BY56)</f>
        <v>1417.71</v>
      </c>
      <c r="CB56" s="104">
        <f>IF(($D$11+IF(VLOOKUP($E56,武器奇术!$A:$R,17,FALSE)="牵丝",$D$15,0)-VLOOKUP($F$7,目标属性!$A:$R,6,FALSE))&gt;0,($D$11+IF(VLOOKUP($E56,武器奇术!$A:$R,17,FALSE)="牵丝",$D$15,0)-VLOOKUP($F$7,目标属性!$A:$R,6,FALSE))/200,($D$11+IF(VLOOKUP($E56,武器奇术!$A:$R,17,FALSE)="牵丝",$D$15,0)-VLOOKUP($F$7,目标属性!$A:$R,6,FALSE))/100)</f>
        <v>0.028</v>
      </c>
      <c r="CC56" s="111">
        <f>$E$11+IF($G$5="烟柳",IF(VLOOKUP($E56,武器奇术!$A:$T,20,FALSE)=1,0.1,0),0)</f>
        <v>0.148</v>
      </c>
      <c r="CD56" s="102">
        <v>1</v>
      </c>
      <c r="CE56" s="103">
        <f>BY56*IF(VLOOKUP($E56,武器奇术!$A:$R,17,FALSE)="牵丝",VLOOKUP($E56,武器奇术!$A:$R,4,FALSE),VLOOKUP($E56,武器奇术!$A:$R,2,FALSE))*(1+CB56)*(1+CC56)*CD56</f>
        <v>655.22189082504</v>
      </c>
      <c r="CF56" s="104">
        <f>(1-IF(VLOOKUP($E56,武器奇术!$A:$R,18,FALSE)="叶龙",1,$N56))*(1-$M56)</f>
        <v>0</v>
      </c>
      <c r="CG56" s="124">
        <f>BZ56*IF(VLOOKUP($E56,武器奇术!$A:$R,17,FALSE)="牵丝",VLOOKUP($E56,武器奇术!$A:$R,4,FALSE),VLOOKUP($E56,武器奇术!$A:$R,2,FALSE))*(1+CB56)*(1+CC56)*CD56*(1+$E$16+VLOOKUP($E56,武器奇术!$A:$R,8,FALSE))</f>
        <v>1901.50480226159</v>
      </c>
      <c r="CH56" s="104">
        <f t="shared" si="18"/>
        <v>0.8703</v>
      </c>
      <c r="CI56" s="103">
        <f>CA56*IF(VLOOKUP($E56,武器奇术!$A:$R,17,FALSE)="牵丝",VLOOKUP($E56,武器奇术!$A:$R,4,FALSE),VLOOKUP($E56,武器奇术!$A:$R,2,FALSE))*(1+CB56)*(1+CC56)*CD56*(1+$E$17+VLOOKUP($E56,武器奇术!$A:$R,10,FALSE))</f>
        <v>1826.1489511382</v>
      </c>
      <c r="CJ56" s="104">
        <f t="shared" si="19"/>
        <v>0.0986</v>
      </c>
      <c r="CK56" s="124">
        <f>BZ56*IF(VLOOKUP($E56,武器奇术!$A:$R,17,FALSE)="牵丝",VLOOKUP($E56,武器奇术!$A:$R,4,FALSE),VLOOKUP($E56,武器奇术!$A:$R,2,FALSE))*(1+CB56)*(1+CC56)*CD56</f>
        <v>1003.96240879704</v>
      </c>
      <c r="CL56" s="104">
        <f t="shared" si="20"/>
        <v>0.0311</v>
      </c>
      <c r="CM56" s="112">
        <f t="shared" si="39"/>
        <v>1866.16114690408</v>
      </c>
      <c r="CN56" s="110">
        <f>$B$13*IF($G$5="撼天",1.05,1)+IF(AND(VLOOKUP($E56,武器奇术!$A:$R,15,FALSE)="武器",VLOOKUP($E56,武器奇术!$A:$R,17,FALSE)="破竹"),$E$3*(1+$E$15),0)</f>
        <v>0</v>
      </c>
      <c r="CO56" s="102">
        <f t="shared" si="21"/>
        <v>0</v>
      </c>
      <c r="CP56" s="102">
        <f>MAX($C$13*IF($G$5="撼天",1.05,1)+IF(AND(VLOOKUP($E56,武器奇术!$A:$R,15,FALSE)="武器",VLOOKUP($E56,武器奇术!$A:$R,17,FALSE)="破竹"),$E$3*(1+$E$15),0),CN56)</f>
        <v>0</v>
      </c>
      <c r="CQ56" s="104">
        <f>IF(($D$13+IF(VLOOKUP($E56,武器奇术!$A:$R,17,FALSE)="破竹",$D$15,0)-VLOOKUP($F$7,目标属性!$A:$R,6,FALSE))&gt;0,($D$13+IF(VLOOKUP($E56,武器奇术!$A:$R,17,FALSE)="破竹",$D$15,0)-VLOOKUP($F$7,目标属性!$A:$R,6,FALSE))/200,($D$13+IF(VLOOKUP($E56,武器奇术!$A:$R,17,FALSE)="破竹",$D$15,0)-VLOOKUP($F$7,目标属性!$A:$R,6,FALSE))/100)</f>
        <v>-0.24</v>
      </c>
      <c r="CR56" s="111">
        <f t="shared" si="22"/>
        <v>0</v>
      </c>
      <c r="CS56" s="102">
        <v>1</v>
      </c>
      <c r="CT56" s="103">
        <f>CN56*IF(VLOOKUP($E56,武器奇术!$A:$R,17,FALSE)="破竹",VLOOKUP($E56,武器奇术!$A:$R,4,FALSE),VLOOKUP($E56,武器奇术!$A:$R,2,FALSE))*(1+CQ56)*(1+CR56)*CS56</f>
        <v>0</v>
      </c>
      <c r="CU56" s="104">
        <f>(1-IF(VLOOKUP($E56,武器奇术!$A:$R,18,FALSE)="叶龙",1,$N56))*(1-$M56)</f>
        <v>0</v>
      </c>
      <c r="CV56" s="103">
        <f>CO56*IF(VLOOKUP($E56,武器奇术!$A:$R,17,FALSE)="破竹",VLOOKUP($E56,武器奇术!$A:$R,4,FALSE),VLOOKUP($E56,武器奇术!$A:$R,2,FALSE))*(1+CQ56)*(1+CR56)*CS56*(1+$E$16+VLOOKUP($E56,武器奇术!$A:$R,8,FALSE))</f>
        <v>0</v>
      </c>
      <c r="CW56" s="104">
        <f t="shared" si="23"/>
        <v>0.8703</v>
      </c>
      <c r="CX56" s="103">
        <f>CP56*IF(VLOOKUP($E56,武器奇术!$A:$R,17,FALSE)="破竹",VLOOKUP($E56,武器奇术!$A:$R,4,FALSE),VLOOKUP($E56,武器奇术!$A:$R,2,FALSE))*(1+CQ56)*(1+CR56)*CS56*(1+$E$17+VLOOKUP($E56,武器奇术!$A:$R,10,FALSE))</f>
        <v>0</v>
      </c>
      <c r="CY56" s="104">
        <f t="shared" si="24"/>
        <v>0.0986</v>
      </c>
      <c r="CZ56" s="103">
        <f>CO56*IF(VLOOKUP($E56,武器奇术!$A:$R,17,FALSE)="破竹",VLOOKUP($E56,武器奇术!$A:$R,4,FALSE),VLOOKUP($E56,武器奇术!$A:$R,2,FALSE))*(1+CQ56)*(1+CR56)*CS56</f>
        <v>0</v>
      </c>
      <c r="DA56" s="104">
        <f t="shared" si="25"/>
        <v>0.0311</v>
      </c>
      <c r="DB56" s="112">
        <f t="shared" si="26"/>
        <v>0</v>
      </c>
      <c r="DC56" s="110">
        <f t="shared" si="40"/>
        <v>66</v>
      </c>
      <c r="DD56" s="102">
        <f t="shared" si="27"/>
        <v>125.8</v>
      </c>
      <c r="DE56" s="102">
        <f t="shared" si="41"/>
        <v>185.6</v>
      </c>
      <c r="DF56" s="104">
        <f>IF((IF(VLOOKUP($E56,武器奇术!$A:$R,17,FALSE)="鸣金",$D$7,0)+IF(VLOOKUP($E56,武器奇术!$A:$R,17,FALSE)="裂石",$D$9,0)+IF(VLOOKUP($E56,武器奇术!$A:$R,17,FALSE)="牵丝",$D$11,0)+IF(VLOOKUP($E56,武器奇术!$A:$R,17,FALSE)="破竹",$D$13,0)+$D$15-VLOOKUP($F$7,目标属性!$A:$R,6,FALSE))&gt;0,(IF(VLOOKUP($E56,武器奇术!$A:$R,17,FALSE)="鸣金",$D$7,0)+IF(VLOOKUP($E56,武器奇术!$A:$R,17,FALSE)="裂石",$D$9,0)+IF(VLOOKUP($E56,武器奇术!$A:$R,17,FALSE)="牵丝",$D$11,0)+IF(VLOOKUP($E56,武器奇术!$A:$R,17,FALSE)="破竹",$D$13,0)+$D$15-VLOOKUP($F$7,目标属性!$A:$R,6,FALSE))/200,(IF(VLOOKUP($E56,武器奇术!$A:$R,17,FALSE)="鸣金",$D$7,0)+IF(VLOOKUP($E56,武器奇术!$A:$R,17,FALSE)="裂石",$D$9,0)+IF(VLOOKUP($E56,武器奇术!$A:$R,17,FALSE)="牵丝",$D$11,0)+IF(VLOOKUP($E56,武器奇术!$A:$R,17,FALSE)="破竹",$D$13,0)+$D$15-VLOOKUP($F$7,目标属性!$A:$R,6,FALSE))/100)</f>
        <v>0.028</v>
      </c>
      <c r="DG56" s="111">
        <f>$E$11+IF($G$5="烟柳",IF(VLOOKUP($E56,武器奇术!$A:$T,20,FALSE)=1,0.1,0),0)</f>
        <v>0.148</v>
      </c>
      <c r="DH56" s="102">
        <v>1</v>
      </c>
      <c r="DI56" s="103">
        <f>DC56*IF(VLOOKUP($E56,武器奇术!$A:$R,17,FALSE)="牵丝",VLOOKUP($E56,武器奇术!$A:$R,4,FALSE),VLOOKUP($E56,武器奇术!$A:$R,2,FALSE))*(1+DF56)*(1+DG56)*DH56</f>
        <v>62.973663984</v>
      </c>
      <c r="DJ56" s="104">
        <f>(1-IF(VLOOKUP($E56,武器奇术!$A:$R,18,FALSE)="叶龙",1,$N56))*(1-$M56)</f>
        <v>0</v>
      </c>
      <c r="DK56" s="124">
        <f>DD56*IF(VLOOKUP($E56,武器奇术!$A:$R,17,FALSE)="牵丝",VLOOKUP($E56,武器奇术!$A:$R,4,FALSE),VLOOKUP($E56,武器奇术!$A:$R,2,FALSE))*(1+DF56)*(1+DG56)*DH56*(1+$E$16+VLOOKUP($E56,武器奇术!$A:$R,8,FALSE))</f>
        <v>227.339888543645</v>
      </c>
      <c r="DL56" s="104">
        <f t="shared" si="28"/>
        <v>0.8703</v>
      </c>
      <c r="DM56" s="103">
        <f>DE56*IF(VLOOKUP($E56,武器奇术!$A:$R,17,FALSE)="牵丝",VLOOKUP($E56,武器奇术!$A:$R,4,FALSE),VLOOKUP($E56,武器奇术!$A:$R,2,FALSE))*(1+DF56)*(1+DG56)*DH56*(1+$E$17+VLOOKUP($E56,武器奇术!$A:$R,10,FALSE))</f>
        <v>239.07092799744</v>
      </c>
      <c r="DN56" s="104">
        <f t="shared" si="29"/>
        <v>0.0986</v>
      </c>
      <c r="DO56" s="124">
        <f>DD56*IF(VLOOKUP($E56,武器奇术!$A:$R,17,FALSE)="牵丝",VLOOKUP($E56,武器奇术!$A:$R,4,FALSE),VLOOKUP($E56,武器奇术!$A:$R,2,FALSE))*(1+DF56)*(1+DG56)*DH56</f>
        <v>120.0316201392</v>
      </c>
      <c r="DP56" s="104">
        <f t="shared" si="30"/>
        <v>0.0311</v>
      </c>
      <c r="DQ56" s="112">
        <f t="shared" si="31"/>
        <v>225.159281886411</v>
      </c>
    </row>
    <row r="57" customFormat="1" customHeight="1" spans="1:121">
      <c r="A57" s="37"/>
      <c r="B57" t="s">
        <v>160</v>
      </c>
      <c r="C57">
        <v>1.93</v>
      </c>
      <c r="D57" s="139"/>
      <c r="E57" s="115" t="s">
        <v>161</v>
      </c>
      <c r="F57" s="116">
        <v>1</v>
      </c>
      <c r="G57" s="117"/>
      <c r="H57" s="103">
        <f>IF(VLOOKUP($E57,武器奇术!$A:$R,18,FALSE)="天工",AE57,(AE57+AT57+BI57+BX57+CM57+DB57+DQ57))*(1+J57)*F57*K57*(1+G57)</f>
        <v>134784.681629361</v>
      </c>
      <c r="I57" s="104">
        <f t="shared" si="42"/>
        <v>0.0155339288793641</v>
      </c>
      <c r="J57" s="138">
        <f>$F$3+VLOOKUP($E57,武器奇术!$A:$R,12,FALSE)+VLOOKUP($E57,武器奇术!$A:$R,14,FALSE)*$G$3+$P57</f>
        <v>0.433</v>
      </c>
      <c r="K57" s="105">
        <f>VLOOKUP($E57,武器奇术!$A:$R,11,FALSE)</f>
        <v>1</v>
      </c>
      <c r="L57" s="119">
        <f>IF(VLOOKUP($E57,武器奇术!$A:$R,15,FALSE)="天工",0%,IF($C$17+VLOOKUP($E57,武器奇术!$A:$R,7,FALSE)&gt;80%,80%,$C$17+VLOOKUP($E57,武器奇术!$A:$R,7,FALSE))+IF($C$19&gt;20%,20%,$C$19))</f>
        <v>0.8703</v>
      </c>
      <c r="M57" s="120">
        <f>IF(VLOOKUP($E57,武器奇术!$A:$R,15,FALSE)="天工",0%,IF($C$18+VLOOKUP($E57,武器奇术!$A:$R,9,FALSE)&gt;40%,40%,$C$18+VLOOKUP($E57,武器奇术!$A:$R,9,FALSE))+IF($C$20&gt;10%,10%,$C$20))</f>
        <v>0.0986</v>
      </c>
      <c r="N57" s="121">
        <f>IF(VLOOKUP($E57,武器奇术!$A:$R,15,FALSE)="天工",100%,MIN($C$16,1))</f>
        <v>1</v>
      </c>
      <c r="O57" s="122" t="str">
        <f>VLOOKUP($E57,武器奇术!$A:$R,16,FALSE)</f>
        <v>群体奇术</v>
      </c>
      <c r="P57" s="123">
        <f t="shared" si="32"/>
        <v>0</v>
      </c>
      <c r="Q57" s="110">
        <f>$B$5*(1+VLOOKUP($E57,武器奇术!$A:$R,5,FALSE))*(1+VLOOKUP($E57,武器奇术!$A:$S,19,FALSE)+IF($G$5="飞隼",0.1,0)+IF($G$5="撼天",0.05,0))-$F$9+IF($J$5="√",160,0)</f>
        <v>3324.7</v>
      </c>
      <c r="R57" s="102">
        <f>IF(VLOOKUP($E57,武器奇术!$A:$Z,18,FALSE)="叶龙",(S57-(Q57+S57)*0.5)*($G$15-0.5)*2+(Q57+S57)*0.5,(Q57+S57)*0.5)</f>
        <v>3404.7</v>
      </c>
      <c r="S57" s="102">
        <f>MAX($C$5,$B$5)*(1+VLOOKUP($E57,武器奇术!$A:$R,6,FALSE))*(1+VLOOKUP($E57,武器奇术!$A:$S,19,FALSE)+IF($G$5="飞隼",0.1,0)+IF($G$5="撼天",0.05,0))-$F$9+IF($J$5="√",320,0)</f>
        <v>3484.7</v>
      </c>
      <c r="T57" s="104">
        <f>IF(($D$5+VLOOKUP($E57,武器奇术!$A:$R,13,FALSE)+IF($I$3="√",10,0)-VLOOKUP($F$7,目标属性!$A:$R,5,FALSE))&gt;0,($D$5+VLOOKUP($E57,武器奇术!$A:$R,13,FALSE)+IF($I$3="√",10,0)-VLOOKUP($F$7,目标属性!$A:$R,5,FALSE))/200,($D$5+VLOOKUP($E57,武器奇术!$A:$R,13,FALSE)+IF($I$3="√",10,0)-VLOOKUP($F$7,目标属性!$A:$R,5,FALSE))/100)</f>
        <v>0.3925</v>
      </c>
      <c r="U57" s="111">
        <f>$E$5+IF($G$5="烟柳",IF(VLOOKUP($E57,武器奇术!$A:$T,20,FALSE)=1,0.1,0),0)</f>
        <v>0</v>
      </c>
      <c r="V57" s="102">
        <v>1</v>
      </c>
      <c r="W57" s="103">
        <f>Q57*VLOOKUP($E57,武器奇术!$A:$R,2,FALSE)*(1+T57)*(1+U57)*V57</f>
        <v>35372.3377479</v>
      </c>
      <c r="X57" s="104">
        <f>(1-IF(VLOOKUP($E57,武器奇术!$A:$R,18,FALSE)="叶龙",1,$N57))*(1-$M57)</f>
        <v>0</v>
      </c>
      <c r="Y57" s="103">
        <f>R57*VLOOKUP($E57,武器奇术!$A:$R,2,FALSE)*(1+T57)*(1+U57)*V57*(1+$E$16+VLOOKUP($E57,武器奇术!$A:$R,8,FALSE))</f>
        <v>68607.2679151626</v>
      </c>
      <c r="Z57" s="104">
        <f t="shared" si="33"/>
        <v>0.8703</v>
      </c>
      <c r="AA57" s="103">
        <f>S57*VLOOKUP($E57,武器奇术!$A:$R,2,FALSE)*(1+T57)*(1+U57)*V57*(1+$E$17+VLOOKUP($E57,武器奇术!$A:$R,10,FALSE))</f>
        <v>50050.735471665</v>
      </c>
      <c r="AB57" s="104">
        <f t="shared" si="34"/>
        <v>0.0986</v>
      </c>
      <c r="AC57" s="103">
        <f>R57*VLOOKUP($E57,武器奇术!$A:$R,2,FALSE)*(1+T57)*(1+U57)*V57</f>
        <v>36223.4783079</v>
      </c>
      <c r="AD57" s="104">
        <f t="shared" si="35"/>
        <v>0.0311</v>
      </c>
      <c r="AE57" s="112">
        <f t="shared" si="36"/>
        <v>65770.4579594479</v>
      </c>
      <c r="AF57" s="113">
        <f>VLOOKUP($E57,武器奇术!$A:$R,3,FALSE)*(1+IF(VLOOKUP($E57,武器奇术!$A:$R,15,FALSE)="武器",$E$15,0))</f>
        <v>1365</v>
      </c>
      <c r="AG57" s="103">
        <f t="shared" si="1"/>
        <v>1365</v>
      </c>
      <c r="AH57" s="103">
        <f>VLOOKUP($E57,武器奇术!$A:$R,3,FALSE)*(1+IF(VLOOKUP($E57,武器奇术!$A:$R,15,FALSE)="武器",$E$15,0))</f>
        <v>1365</v>
      </c>
      <c r="AI57" s="104">
        <f>IF(($D$5+VLOOKUP($E57,武器奇术!$A:$R,13,FALSE)+IF($I$3="√",10,0)-VLOOKUP($F$7,目标属性!$A:$R,5,FALSE))&gt;0,($D$5+VLOOKUP($E57,武器奇术!$A:$R,13,FALSE)+IF($I$3="√",10,0)-VLOOKUP($F$7,目标属性!$A:$R,5,FALSE))/200,($D$5+VLOOKUP($E57,武器奇术!$A:$R,13,FALSE)+IF($I$3="√",10,0)-VLOOKUP($F$7,目标属性!$A:$R,5,FALSE))/100)</f>
        <v>0.3925</v>
      </c>
      <c r="AJ57" s="111">
        <f>$E$5+IF($G$5="烟柳",IF(VLOOKUP($E57,武器奇术!$A:$T,20,FALSE)=1,0.1,0),0)</f>
        <v>0</v>
      </c>
      <c r="AK57" s="102">
        <v>1</v>
      </c>
      <c r="AL57" s="103">
        <f t="shared" si="37"/>
        <v>1900.7625</v>
      </c>
      <c r="AM57" s="104">
        <f>(1-IF(VLOOKUP($E57,武器奇术!$A:$R,18,FALSE)="叶龙",1,$N57))*(1-$M57)</f>
        <v>0</v>
      </c>
      <c r="AN57" s="103">
        <f>AG57*(1+AI57)*(1+AJ57)*AK57*(1+$E$16+VLOOKUP($E57,武器奇术!$A:$R,8,FALSE))</f>
        <v>3600.044175</v>
      </c>
      <c r="AO57" s="104">
        <f t="shared" si="2"/>
        <v>0.8703</v>
      </c>
      <c r="AP57" s="103">
        <f>AH57*(1+AI57)*(1+AJ57)*AK57*(1+$E$17+VLOOKUP($E57,武器奇术!$A:$R,10,FALSE))</f>
        <v>2566.029375</v>
      </c>
      <c r="AQ57" s="104">
        <f t="shared" si="3"/>
        <v>0.0986</v>
      </c>
      <c r="AR57" s="103">
        <f t="shared" si="38"/>
        <v>1900.7625</v>
      </c>
      <c r="AS57" s="104">
        <f t="shared" si="4"/>
        <v>0.0311</v>
      </c>
      <c r="AT57" s="112">
        <f t="shared" si="5"/>
        <v>3445.2426556275</v>
      </c>
      <c r="AU57" s="110">
        <f>$B$7*IF($G$5="撼天",1.05,1)+IF(AND(VLOOKUP($E57,武器奇术!$A:$R,15,FALSE)="武器",VLOOKUP($E57,武器奇术!$A:$R,17,FALSE)="鸣金"),$E$3*(1+$E$15),0)</f>
        <v>0</v>
      </c>
      <c r="AV57" s="102">
        <f t="shared" si="6"/>
        <v>0</v>
      </c>
      <c r="AW57" s="102">
        <f>MAX($C$7*IF($G$5="撼天",1.05,1)+IF(AND(VLOOKUP($E57,武器奇术!$A:$R,15,FALSE)="武器",VLOOKUP($E57,武器奇术!$A:$R,17,FALSE)="鸣金"),$E$3*(1+$E$15),0),AU57)</f>
        <v>0</v>
      </c>
      <c r="AX57" s="104">
        <f>IF(($D$7+IF(VLOOKUP($E57,武器奇术!$A:$R,17,FALSE)="鸣金",$D$15,0)-VLOOKUP($F$7,目标属性!$A:$R,6,FALSE))&gt;0,($D$7+IF(VLOOKUP($E57,武器奇术!$A:$R,17,FALSE)="鸣金",$D$15,0)-VLOOKUP($F$7,目标属性!$A:$R,6,FALSE))/200,($D$7+IF(VLOOKUP($E57,武器奇术!$A:$R,17,FALSE)="鸣金",$D$15,0)-VLOOKUP($F$7,目标属性!$A:$R,6,FALSE))/100)</f>
        <v>-0.24</v>
      </c>
      <c r="AY57" s="111">
        <f t="shared" si="7"/>
        <v>0</v>
      </c>
      <c r="AZ57" s="102">
        <v>1</v>
      </c>
      <c r="BA57" s="103">
        <f>AU57*IF(VLOOKUP($E57,武器奇术!$A:$R,17,FALSE)="鸣金",VLOOKUP($E57,武器奇术!$A:$R,4,FALSE),VLOOKUP($E57,武器奇术!$A:$R,2,FALSE))*(1+AX57)*(1+AY57)*AZ57</f>
        <v>0</v>
      </c>
      <c r="BB57" s="104">
        <f>(1-IF(VLOOKUP($E57,武器奇术!$A:$R,18,FALSE)="叶龙",1,$N57))*(1-$M57)</f>
        <v>0</v>
      </c>
      <c r="BC57" s="103">
        <f>AV57*IF(VLOOKUP($E57,武器奇术!$A:$R,17,FALSE)="鸣金",VLOOKUP($E57,武器奇术!$A:$R,4,FALSE),VLOOKUP($E57,武器奇术!$A:$R,2,FALSE))*(1+AX57)*(1+AY57)*AZ57*(1+$E$16+VLOOKUP($E57,武器奇术!$A:$R,8,FALSE))</f>
        <v>0</v>
      </c>
      <c r="BD57" s="104">
        <f t="shared" si="8"/>
        <v>0.8703</v>
      </c>
      <c r="BE57" s="103">
        <f>AW57*IF(VLOOKUP($E57,武器奇术!$A:$R,17,FALSE)="鸣金",VLOOKUP($E57,武器奇术!$A:$R,4,FALSE),VLOOKUP($E57,武器奇术!$A:$R,2,FALSE))*(1+AX57)*(1+AY57)*AZ57*(1+$E$17+VLOOKUP($E57,武器奇术!$A:$R,10,FALSE))</f>
        <v>0</v>
      </c>
      <c r="BF57" s="104">
        <f t="shared" si="9"/>
        <v>0.0986</v>
      </c>
      <c r="BG57" s="103">
        <f>AV57*IF(VLOOKUP($E57,武器奇术!$A:$R,17,FALSE)="鸣金",VLOOKUP($E57,武器奇术!$A:$R,4,FALSE),VLOOKUP($E57,武器奇术!$A:$R,2,FALSE))*(1+AX57)*(1+AY57)*AZ57</f>
        <v>0</v>
      </c>
      <c r="BH57" s="104">
        <f t="shared" si="10"/>
        <v>0.0311</v>
      </c>
      <c r="BI57" s="112">
        <f t="shared" si="11"/>
        <v>0</v>
      </c>
      <c r="BJ57" s="110">
        <f>$B$9*IF($G$5="撼天",1.05,1)+IF(AND(VLOOKUP($E57,武器奇术!$A:$R,15,FALSE)="武器",VLOOKUP($E57,武器奇术!$A:$R,17,FALSE)="裂石"),$E$3*(1+$E$15),0)</f>
        <v>0</v>
      </c>
      <c r="BK57" s="102">
        <f t="shared" si="12"/>
        <v>0</v>
      </c>
      <c r="BL57" s="102">
        <f>MAX($C$9*IF($G$5="撼天",1.05,1)+IF(AND(VLOOKUP($E57,武器奇术!$A:$R,15,FALSE)="武器",VLOOKUP($E57,武器奇术!$A:$R,17,FALSE)="裂石"),$E$3*(1+$E$15),0),BJ57)</f>
        <v>0</v>
      </c>
      <c r="BM57" s="104">
        <f>IF(($D$9+IF(VLOOKUP($E57,武器奇术!$A:$R,17,FALSE)="裂石",$D$15,0)-VLOOKUP($F$7,目标属性!$A:$R,6,FALSE))&gt;0,($D$9+IF(VLOOKUP($E57,武器奇术!$A:$R,17,FALSE)="裂石",$D$15,0)-VLOOKUP($F$7,目标属性!$A:$R,6,FALSE))/200,($D$9+IF(VLOOKUP($E57,武器奇术!$A:$R,17,FALSE)="裂石",$D$15,0)-VLOOKUP($F$7,目标属性!$A:$R,6,FALSE))/100)</f>
        <v>-0.24</v>
      </c>
      <c r="BN57" s="111">
        <f t="shared" si="13"/>
        <v>0</v>
      </c>
      <c r="BO57" s="102">
        <v>1</v>
      </c>
      <c r="BP57" s="103">
        <f>BJ57*IF(VLOOKUP($E57,武器奇术!$A:$R,17,FALSE)="裂石",VLOOKUP($E57,武器奇术!$A:$R,4,FALSE),VLOOKUP($E57,武器奇术!$A:$R,2,FALSE))*(1+BM57)*(1+BN57)*BO57</f>
        <v>0</v>
      </c>
      <c r="BQ57" s="104">
        <f>(1-IF(VLOOKUP($E57,武器奇术!$A:$R,18,FALSE)="叶龙",1,$N57))*(1-$M57)</f>
        <v>0</v>
      </c>
      <c r="BR57" s="103">
        <f>BK57*IF(VLOOKUP($E57,武器奇术!$A:$R,17,FALSE)="裂石",VLOOKUP($E57,武器奇术!$A:$R,4,FALSE),VLOOKUP($E57,武器奇术!$A:$R,2,FALSE))*(1+BM57)*(1+BN57)*BO57*(1+$E$16+VLOOKUP($E57,武器奇术!$A:$R,8,FALSE))</f>
        <v>0</v>
      </c>
      <c r="BS57" s="104">
        <f t="shared" si="14"/>
        <v>0.8703</v>
      </c>
      <c r="BT57" s="103">
        <f>BL57*IF(VLOOKUP($E57,武器奇术!$A:$R,17,FALSE)="裂石",VLOOKUP($E57,武器奇术!$A:$R,4,FALSE),VLOOKUP($E57,武器奇术!$A:$R,2,FALSE))*(1+BM57)*(1+BN57)*BO57*(1+$E$17+VLOOKUP($E57,武器奇术!$A:$R,10,FALSE))</f>
        <v>0</v>
      </c>
      <c r="BU57" s="104">
        <f t="shared" si="15"/>
        <v>0.0986</v>
      </c>
      <c r="BV57" s="103">
        <f>BK57*IF(VLOOKUP($E57,武器奇术!$A:$R,17,FALSE)="裂石",VLOOKUP($E57,武器奇术!$A:$R,4,FALSE),VLOOKUP($E57,武器奇术!$A:$R,2,FALSE))*(1+BM57)*(1+BN57)*BO57</f>
        <v>0</v>
      </c>
      <c r="BW57" s="104">
        <f t="shared" si="16"/>
        <v>0.0311</v>
      </c>
      <c r="BX57" s="112">
        <f t="shared" si="17"/>
        <v>0</v>
      </c>
      <c r="BY57" s="110">
        <f>$B$11*IF($G$5="撼天",1.05,1)+IF(AND(VLOOKUP($E57,武器奇术!$A:$R,15,FALSE)="武器",VLOOKUP($E57,武器奇术!$A:$R,17,FALSE)="牵丝"),$E$3*(1+$E$15),0)</f>
        <v>490.8</v>
      </c>
      <c r="BZ57" s="102">
        <f>IF(VLOOKUP($E57,武器奇术!$A:$Z,18,FALSE)="叶龙",(CA57-(BY57+CA57)*0.5)*($G$15-0.5)*2+(BY57+CA57)*0.5,(BY57+CA57)*0.5)</f>
        <v>856.3</v>
      </c>
      <c r="CA57" s="102">
        <f>MAX($C$11*IF($G$5="撼天",1.05,1)+IF(AND(VLOOKUP($E57,武器奇术!$A:$R,15,FALSE)="武器",VLOOKUP($E57,武器奇术!$A:$R,17,FALSE)="牵丝"),$E$3*(1+$E$15),0),BY57)</f>
        <v>1221.8</v>
      </c>
      <c r="CB57" s="104">
        <f>IF(($D$11+IF(VLOOKUP($E57,武器奇术!$A:$R,17,FALSE)="牵丝",$D$15,0)-VLOOKUP($F$7,目标属性!$A:$R,6,FALSE))&gt;0,($D$11+IF(VLOOKUP($E57,武器奇术!$A:$R,17,FALSE)="牵丝",$D$15,0)-VLOOKUP($F$7,目标属性!$A:$R,6,FALSE))/200,($D$11+IF(VLOOKUP($E57,武器奇术!$A:$R,17,FALSE)="牵丝",$D$15,0)-VLOOKUP($F$7,目标属性!$A:$R,6,FALSE))/100)</f>
        <v>0.028</v>
      </c>
      <c r="CC57" s="111">
        <f>$E$11+IF($G$5="烟柳",IF(VLOOKUP($E57,武器奇术!$A:$T,20,FALSE)=1,0.1,0),0)</f>
        <v>0.148</v>
      </c>
      <c r="CD57" s="102">
        <v>1</v>
      </c>
      <c r="CE57" s="103">
        <f>BY57*IF(VLOOKUP($E57,武器奇术!$A:$R,17,FALSE)="牵丝",VLOOKUP($E57,武器奇术!$A:$R,4,FALSE),VLOOKUP($E57,武器奇术!$A:$R,2,FALSE))*(1+CB57)*(1+CC57)*CD57</f>
        <v>6638.14770659712</v>
      </c>
      <c r="CF57" s="104">
        <f>(1-IF(VLOOKUP($E57,武器奇术!$A:$R,18,FALSE)="叶龙",1,$N57))*(1-$M57)</f>
        <v>0</v>
      </c>
      <c r="CG57" s="124">
        <f>BZ57*IF(VLOOKUP($E57,武器奇术!$A:$R,17,FALSE)="牵丝",VLOOKUP($E57,武器奇术!$A:$R,4,FALSE),VLOOKUP($E57,武器奇术!$A:$R,2,FALSE))*(1+CB57)*(1+CC57)*CD57*(1+$E$16+VLOOKUP($E57,武器奇术!$A:$R,8,FALSE))</f>
        <v>21935.5372838536</v>
      </c>
      <c r="CH57" s="104">
        <f t="shared" si="18"/>
        <v>0.8703</v>
      </c>
      <c r="CI57" s="103">
        <f>CA57*IF(VLOOKUP($E57,武器奇术!$A:$R,17,FALSE)="牵丝",VLOOKUP($E57,武器奇术!$A:$R,4,FALSE),VLOOKUP($E57,武器奇术!$A:$R,2,FALSE))*(1+CB57)*(1+CC57)*CD57*(1+$E$17+VLOOKUP($E57,武器奇术!$A:$R,10,FALSE))</f>
        <v>22308.801898314</v>
      </c>
      <c r="CJ57" s="104">
        <f t="shared" si="19"/>
        <v>0.0986</v>
      </c>
      <c r="CK57" s="124">
        <f>BZ57*IF(VLOOKUP($E57,武器奇术!$A:$R,17,FALSE)="牵丝",VLOOKUP($E57,武器奇术!$A:$R,4,FALSE),VLOOKUP($E57,武器奇术!$A:$R,2,FALSE))*(1+CB57)*(1+CC57)*CD57</f>
        <v>11581.5930748963</v>
      </c>
      <c r="CL57" s="104">
        <f t="shared" si="20"/>
        <v>0.0311</v>
      </c>
      <c r="CM57" s="112">
        <f t="shared" si="39"/>
        <v>21650.3335099408</v>
      </c>
      <c r="CN57" s="110">
        <f>$B$13*IF($G$5="撼天",1.05,1)+IF(AND(VLOOKUP($E57,武器奇术!$A:$R,15,FALSE)="武器",VLOOKUP($E57,武器奇术!$A:$R,17,FALSE)="破竹"),$E$3*(1+$E$15),0)</f>
        <v>0</v>
      </c>
      <c r="CO57" s="102">
        <f t="shared" si="21"/>
        <v>0</v>
      </c>
      <c r="CP57" s="102">
        <f>MAX($C$13*IF($G$5="撼天",1.05,1)+IF(AND(VLOOKUP($E57,武器奇术!$A:$R,15,FALSE)="武器",VLOOKUP($E57,武器奇术!$A:$R,17,FALSE)="破竹"),$E$3*(1+$E$15),0),CN57)</f>
        <v>0</v>
      </c>
      <c r="CQ57" s="104">
        <f>IF(($D$13+IF(VLOOKUP($E57,武器奇术!$A:$R,17,FALSE)="破竹",$D$15,0)-VLOOKUP($F$7,目标属性!$A:$R,6,FALSE))&gt;0,($D$13+IF(VLOOKUP($E57,武器奇术!$A:$R,17,FALSE)="破竹",$D$15,0)-VLOOKUP($F$7,目标属性!$A:$R,6,FALSE))/200,($D$13+IF(VLOOKUP($E57,武器奇术!$A:$R,17,FALSE)="破竹",$D$15,0)-VLOOKUP($F$7,目标属性!$A:$R,6,FALSE))/100)</f>
        <v>-0.24</v>
      </c>
      <c r="CR57" s="111">
        <f t="shared" si="22"/>
        <v>0</v>
      </c>
      <c r="CS57" s="102">
        <v>1</v>
      </c>
      <c r="CT57" s="103">
        <f>CN57*IF(VLOOKUP($E57,武器奇术!$A:$R,17,FALSE)="破竹",VLOOKUP($E57,武器奇术!$A:$R,4,FALSE),VLOOKUP($E57,武器奇术!$A:$R,2,FALSE))*(1+CQ57)*(1+CR57)*CS57</f>
        <v>0</v>
      </c>
      <c r="CU57" s="104">
        <f>(1-IF(VLOOKUP($E57,武器奇术!$A:$R,18,FALSE)="叶龙",1,$N57))*(1-$M57)</f>
        <v>0</v>
      </c>
      <c r="CV57" s="103">
        <f>CO57*IF(VLOOKUP($E57,武器奇术!$A:$R,17,FALSE)="破竹",VLOOKUP($E57,武器奇术!$A:$R,4,FALSE),VLOOKUP($E57,武器奇术!$A:$R,2,FALSE))*(1+CQ57)*(1+CR57)*CS57*(1+$E$16+VLOOKUP($E57,武器奇术!$A:$R,8,FALSE))</f>
        <v>0</v>
      </c>
      <c r="CW57" s="104">
        <f t="shared" si="23"/>
        <v>0.8703</v>
      </c>
      <c r="CX57" s="103">
        <f>CP57*IF(VLOOKUP($E57,武器奇术!$A:$R,17,FALSE)="破竹",VLOOKUP($E57,武器奇术!$A:$R,4,FALSE),VLOOKUP($E57,武器奇术!$A:$R,2,FALSE))*(1+CQ57)*(1+CR57)*CS57*(1+$E$17+VLOOKUP($E57,武器奇术!$A:$R,10,FALSE))</f>
        <v>0</v>
      </c>
      <c r="CY57" s="104">
        <f t="shared" si="24"/>
        <v>0.0986</v>
      </c>
      <c r="CZ57" s="103">
        <f>CO57*IF(VLOOKUP($E57,武器奇术!$A:$R,17,FALSE)="破竹",VLOOKUP($E57,武器奇术!$A:$R,4,FALSE),VLOOKUP($E57,武器奇术!$A:$R,2,FALSE))*(1+CQ57)*(1+CR57)*CS57</f>
        <v>0</v>
      </c>
      <c r="DA57" s="104">
        <f t="shared" si="25"/>
        <v>0.0311</v>
      </c>
      <c r="DB57" s="112">
        <f t="shared" si="26"/>
        <v>0</v>
      </c>
      <c r="DC57" s="110">
        <f t="shared" si="40"/>
        <v>66</v>
      </c>
      <c r="DD57" s="102">
        <f t="shared" si="27"/>
        <v>125.8</v>
      </c>
      <c r="DE57" s="102">
        <f t="shared" si="41"/>
        <v>185.6</v>
      </c>
      <c r="DF57" s="104">
        <f>IF((IF(VLOOKUP($E57,武器奇术!$A:$R,17,FALSE)="鸣金",$D$7,0)+IF(VLOOKUP($E57,武器奇术!$A:$R,17,FALSE)="裂石",$D$9,0)+IF(VLOOKUP($E57,武器奇术!$A:$R,17,FALSE)="牵丝",$D$11,0)+IF(VLOOKUP($E57,武器奇术!$A:$R,17,FALSE)="破竹",$D$13,0)+$D$15-VLOOKUP($F$7,目标属性!$A:$R,6,FALSE))&gt;0,(IF(VLOOKUP($E57,武器奇术!$A:$R,17,FALSE)="鸣金",$D$7,0)+IF(VLOOKUP($E57,武器奇术!$A:$R,17,FALSE)="裂石",$D$9,0)+IF(VLOOKUP($E57,武器奇术!$A:$R,17,FALSE)="牵丝",$D$11,0)+IF(VLOOKUP($E57,武器奇术!$A:$R,17,FALSE)="破竹",$D$13,0)+$D$15-VLOOKUP($F$7,目标属性!$A:$R,6,FALSE))/200,(IF(VLOOKUP($E57,武器奇术!$A:$R,17,FALSE)="鸣金",$D$7,0)+IF(VLOOKUP($E57,武器奇术!$A:$R,17,FALSE)="裂石",$D$9,0)+IF(VLOOKUP($E57,武器奇术!$A:$R,17,FALSE)="牵丝",$D$11,0)+IF(VLOOKUP($E57,武器奇术!$A:$R,17,FALSE)="破竹",$D$13,0)+$D$15-VLOOKUP($F$7,目标属性!$A:$R,6,FALSE))/100)</f>
        <v>0.028</v>
      </c>
      <c r="DG57" s="111">
        <f>$E$11+IF($G$5="烟柳",IF(VLOOKUP($E57,武器奇术!$A:$T,20,FALSE)=1,0.1,0),0)</f>
        <v>0.148</v>
      </c>
      <c r="DH57" s="102">
        <v>1</v>
      </c>
      <c r="DI57" s="103">
        <f>DC57*IF(VLOOKUP($E57,武器奇术!$A:$R,17,FALSE)="牵丝",VLOOKUP($E57,武器奇术!$A:$R,4,FALSE),VLOOKUP($E57,武器奇术!$A:$R,2,FALSE))*(1+DF57)*(1+DG57)*DH57</f>
        <v>892.6604495424</v>
      </c>
      <c r="DJ57" s="104">
        <f>(1-IF(VLOOKUP($E57,武器奇术!$A:$R,18,FALSE)="叶龙",1,$N57))*(1-$M57)</f>
        <v>0</v>
      </c>
      <c r="DK57" s="124">
        <f>DD57*IF(VLOOKUP($E57,武器奇术!$A:$R,17,FALSE)="牵丝",VLOOKUP($E57,武器奇术!$A:$R,4,FALSE),VLOOKUP($E57,武器奇术!$A:$R,2,FALSE))*(1+DF57)*(1+DG57)*DH57*(1+$E$16+VLOOKUP($E57,武器奇术!$A:$R,8,FALSE))</f>
        <v>3222.57455367136</v>
      </c>
      <c r="DL57" s="104">
        <f t="shared" si="28"/>
        <v>0.8703</v>
      </c>
      <c r="DM57" s="103">
        <f>DE57*IF(VLOOKUP($E57,武器奇术!$A:$R,17,FALSE)="牵丝",VLOOKUP($E57,武器奇术!$A:$R,4,FALSE),VLOOKUP($E57,武器奇术!$A:$R,2,FALSE))*(1+DF57)*(1+DG57)*DH57*(1+$E$17+VLOOKUP($E57,武器奇术!$A:$R,10,FALSE))</f>
        <v>3388.86367026279</v>
      </c>
      <c r="DN57" s="104">
        <f t="shared" si="29"/>
        <v>0.0986</v>
      </c>
      <c r="DO57" s="124">
        <f>DD57*IF(VLOOKUP($E57,武器奇术!$A:$R,17,FALSE)="牵丝",VLOOKUP($E57,武器奇术!$A:$R,4,FALSE),VLOOKUP($E57,武器奇术!$A:$R,2,FALSE))*(1+DF57)*(1+DG57)*DH57</f>
        <v>1701.46491746112</v>
      </c>
      <c r="DP57" s="104">
        <f t="shared" si="30"/>
        <v>0.0311</v>
      </c>
      <c r="DQ57" s="112">
        <f t="shared" si="31"/>
        <v>3191.66415088114</v>
      </c>
    </row>
    <row r="58" customFormat="1" customHeight="1" spans="1:121">
      <c r="A58" s="37"/>
      <c r="B58" t="s">
        <v>162</v>
      </c>
      <c r="C58">
        <v>1.5</v>
      </c>
      <c r="D58" s="139"/>
      <c r="E58" s="115" t="s">
        <v>163</v>
      </c>
      <c r="F58" s="116">
        <v>1</v>
      </c>
      <c r="G58" s="117"/>
      <c r="H58" s="103">
        <f>IF(VLOOKUP($E58,武器奇术!$A:$R,18,FALSE)="天工",AE58,(AE58+AT58+BI58+BX58+CM58+DB58+DQ58))*(1+J58)*F58*K58*(1+G58)</f>
        <v>125362.198079245</v>
      </c>
      <c r="I58" s="104">
        <f t="shared" si="42"/>
        <v>0.0144479880471783</v>
      </c>
      <c r="J58" s="138">
        <f>$F$3+VLOOKUP($E58,武器奇术!$A:$R,12,FALSE)+VLOOKUP($E58,武器奇术!$A:$R,14,FALSE)*$G$3+$P58</f>
        <v>0.433</v>
      </c>
      <c r="K58" s="105">
        <f>VLOOKUP($E58,武器奇术!$A:$R,11,FALSE)</f>
        <v>1</v>
      </c>
      <c r="L58" s="119">
        <f>IF(VLOOKUP($E58,武器奇术!$A:$R,15,FALSE)="天工",0%,IF($C$17+VLOOKUP($E58,武器奇术!$A:$R,7,FALSE)&gt;80%,80%,$C$17+VLOOKUP($E58,武器奇术!$A:$R,7,FALSE))+IF($C$19&gt;20%,20%,$C$19))</f>
        <v>0.8703</v>
      </c>
      <c r="M58" s="120">
        <f>IF(VLOOKUP($E58,武器奇术!$A:$R,15,FALSE)="天工",0%,IF($C$18+VLOOKUP($E58,武器奇术!$A:$R,9,FALSE)&gt;40%,40%,$C$18+VLOOKUP($E58,武器奇术!$A:$R,9,FALSE))+IF($C$20&gt;10%,10%,$C$20))</f>
        <v>0.0986</v>
      </c>
      <c r="N58" s="121">
        <f>IF(VLOOKUP($E58,武器奇术!$A:$R,15,FALSE)="天工",100%,MIN($C$16,1))</f>
        <v>1</v>
      </c>
      <c r="O58" s="122" t="str">
        <f>VLOOKUP($E58,武器奇术!$A:$R,16,FALSE)</f>
        <v>单体奇术</v>
      </c>
      <c r="P58" s="123">
        <f t="shared" si="32"/>
        <v>0</v>
      </c>
      <c r="Q58" s="110">
        <f>$B$5*(1+VLOOKUP($E58,武器奇术!$A:$R,5,FALSE))*(1+VLOOKUP($E58,武器奇术!$A:$S,19,FALSE)+IF($G$5="飞隼",0.1,0)+IF($G$5="撼天",0.05,0))-$F$9+IF($J$5="√",160,0)</f>
        <v>3324.7</v>
      </c>
      <c r="R58" s="102">
        <f>IF(VLOOKUP($E58,武器奇术!$A:$Z,18,FALSE)="叶龙",(S58-(Q58+S58)*0.5)*($G$15-0.5)*2+(Q58+S58)*0.5,(Q58+S58)*0.5)</f>
        <v>3404.7</v>
      </c>
      <c r="S58" s="102">
        <f>MAX($C$5,$B$5)*(1+VLOOKUP($E58,武器奇术!$A:$R,6,FALSE))*(1+VLOOKUP($E58,武器奇术!$A:$S,19,FALSE)+IF($G$5="飞隼",0.1,0)+IF($G$5="撼天",0.05,0))-$F$9+IF($J$5="√",320,0)</f>
        <v>3484.7</v>
      </c>
      <c r="T58" s="104">
        <f>IF(($D$5+VLOOKUP($E58,武器奇术!$A:$R,13,FALSE)+IF($I$3="√",10,0)-VLOOKUP($F$7,目标属性!$A:$R,5,FALSE))&gt;0,($D$5+VLOOKUP($E58,武器奇术!$A:$R,13,FALSE)+IF($I$3="√",10,0)-VLOOKUP($F$7,目标属性!$A:$R,5,FALSE))/200,($D$5+VLOOKUP($E58,武器奇术!$A:$R,13,FALSE)+IF($I$3="√",10,0)-VLOOKUP($F$7,目标属性!$A:$R,5,FALSE))/100)</f>
        <v>0.3925</v>
      </c>
      <c r="U58" s="111">
        <f>$E$5+IF($G$5="烟柳",IF(VLOOKUP($E58,武器奇术!$A:$T,20,FALSE)=1,0.1,0),0)</f>
        <v>0</v>
      </c>
      <c r="V58" s="102">
        <v>1</v>
      </c>
      <c r="W58" s="103">
        <f>Q58*VLOOKUP($E58,武器奇术!$A:$R,2,FALSE)*(1+T58)*(1+U58)*V58</f>
        <v>32900.1074514</v>
      </c>
      <c r="X58" s="104">
        <f>(1-IF(VLOOKUP($E58,武器奇术!$A:$R,18,FALSE)="叶龙",1,$N58))*(1-$M58)</f>
        <v>0</v>
      </c>
      <c r="Y58" s="103">
        <f>R58*VLOOKUP($E58,武器奇术!$A:$R,2,FALSE)*(1+T58)*(1+U58)*V58*(1+$E$16+VLOOKUP($E58,武器奇术!$A:$R,8,FALSE))</f>
        <v>63812.1942191916</v>
      </c>
      <c r="Z58" s="104">
        <f t="shared" si="33"/>
        <v>0.8703</v>
      </c>
      <c r="AA58" s="103">
        <f>S58*VLOOKUP($E58,武器奇术!$A:$R,2,FALSE)*(1+T58)*(1+U58)*V58*(1+$E$17+VLOOKUP($E58,武器奇术!$A:$R,10,FALSE))</f>
        <v>46552.60805139</v>
      </c>
      <c r="AB58" s="104">
        <f t="shared" si="34"/>
        <v>0.0986</v>
      </c>
      <c r="AC58" s="103">
        <f>R58*VLOOKUP($E58,武器奇术!$A:$R,2,FALSE)*(1+T58)*(1+U58)*V58</f>
        <v>33691.7604114</v>
      </c>
      <c r="AD58" s="104">
        <f t="shared" si="35"/>
        <v>0.0311</v>
      </c>
      <c r="AE58" s="112">
        <f t="shared" si="36"/>
        <v>61173.653531624</v>
      </c>
      <c r="AF58" s="113">
        <f>VLOOKUP($E58,武器奇术!$A:$R,3,FALSE)*(1+IF(VLOOKUP($E58,武器奇术!$A:$R,15,FALSE)="武器",$E$15,0))</f>
        <v>1269</v>
      </c>
      <c r="AG58" s="103">
        <f t="shared" si="1"/>
        <v>1269</v>
      </c>
      <c r="AH58" s="103">
        <f>VLOOKUP($E58,武器奇术!$A:$R,3,FALSE)*(1+IF(VLOOKUP($E58,武器奇术!$A:$R,15,FALSE)="武器",$E$15,0))</f>
        <v>1269</v>
      </c>
      <c r="AI58" s="104">
        <f>IF(($D$5+VLOOKUP($E58,武器奇术!$A:$R,13,FALSE)+IF($I$3="√",10,0)-VLOOKUP($F$7,目标属性!$A:$R,5,FALSE))&gt;0,($D$5+VLOOKUP($E58,武器奇术!$A:$R,13,FALSE)+IF($I$3="√",10,0)-VLOOKUP($F$7,目标属性!$A:$R,5,FALSE))/200,($D$5+VLOOKUP($E58,武器奇术!$A:$R,13,FALSE)+IF($I$3="√",10,0)-VLOOKUP($F$7,目标属性!$A:$R,5,FALSE))/100)</f>
        <v>0.3925</v>
      </c>
      <c r="AJ58" s="111">
        <f>$E$5+IF($G$5="烟柳",IF(VLOOKUP($E58,武器奇术!$A:$T,20,FALSE)=1,0.1,0),0)</f>
        <v>0</v>
      </c>
      <c r="AK58" s="102">
        <v>1</v>
      </c>
      <c r="AL58" s="103">
        <f t="shared" si="37"/>
        <v>1767.0825</v>
      </c>
      <c r="AM58" s="104">
        <f>(1-IF(VLOOKUP($E58,武器奇术!$A:$R,18,FALSE)="叶龙",1,$N58))*(1-$M58)</f>
        <v>0</v>
      </c>
      <c r="AN58" s="103">
        <f>AG58*(1+AI58)*(1+AJ58)*AK58*(1+$E$16+VLOOKUP($E58,武器奇术!$A:$R,8,FALSE))</f>
        <v>3346.854255</v>
      </c>
      <c r="AO58" s="104">
        <f t="shared" si="2"/>
        <v>0.8703</v>
      </c>
      <c r="AP58" s="103">
        <f>AH58*(1+AI58)*(1+AJ58)*AK58*(1+$E$17+VLOOKUP($E58,武器奇术!$A:$R,10,FALSE))</f>
        <v>2385.561375</v>
      </c>
      <c r="AQ58" s="104">
        <f t="shared" si="3"/>
        <v>0.0986</v>
      </c>
      <c r="AR58" s="103">
        <f t="shared" si="38"/>
        <v>1767.0825</v>
      </c>
      <c r="AS58" s="104">
        <f t="shared" si="4"/>
        <v>0.0311</v>
      </c>
      <c r="AT58" s="112">
        <f t="shared" si="5"/>
        <v>3202.9398754515</v>
      </c>
      <c r="AU58" s="110">
        <f>$B$7*IF($G$5="撼天",1.05,1)+IF(AND(VLOOKUP($E58,武器奇术!$A:$R,15,FALSE)="武器",VLOOKUP($E58,武器奇术!$A:$R,17,FALSE)="鸣金"),$E$3*(1+$E$15),0)</f>
        <v>0</v>
      </c>
      <c r="AV58" s="102">
        <f t="shared" si="6"/>
        <v>0</v>
      </c>
      <c r="AW58" s="102">
        <f>MAX($C$7*IF($G$5="撼天",1.05,1)+IF(AND(VLOOKUP($E58,武器奇术!$A:$R,15,FALSE)="武器",VLOOKUP($E58,武器奇术!$A:$R,17,FALSE)="鸣金"),$E$3*(1+$E$15),0),AU58)</f>
        <v>0</v>
      </c>
      <c r="AX58" s="104">
        <f>IF(($D$7+IF(VLOOKUP($E58,武器奇术!$A:$R,17,FALSE)="鸣金",$D$15,0)-VLOOKUP($F$7,目标属性!$A:$R,6,FALSE))&gt;0,($D$7+IF(VLOOKUP($E58,武器奇术!$A:$R,17,FALSE)="鸣金",$D$15,0)-VLOOKUP($F$7,目标属性!$A:$R,6,FALSE))/200,($D$7+IF(VLOOKUP($E58,武器奇术!$A:$R,17,FALSE)="鸣金",$D$15,0)-VLOOKUP($F$7,目标属性!$A:$R,6,FALSE))/100)</f>
        <v>-0.24</v>
      </c>
      <c r="AY58" s="111">
        <f t="shared" si="7"/>
        <v>0</v>
      </c>
      <c r="AZ58" s="102">
        <v>1</v>
      </c>
      <c r="BA58" s="103">
        <f>AU58*IF(VLOOKUP($E58,武器奇术!$A:$R,17,FALSE)="鸣金",VLOOKUP($E58,武器奇术!$A:$R,4,FALSE),VLOOKUP($E58,武器奇术!$A:$R,2,FALSE))*(1+AX58)*(1+AY58)*AZ58</f>
        <v>0</v>
      </c>
      <c r="BB58" s="104">
        <f>(1-IF(VLOOKUP($E58,武器奇术!$A:$R,18,FALSE)="叶龙",1,$N58))*(1-$M58)</f>
        <v>0</v>
      </c>
      <c r="BC58" s="103">
        <f>AV58*IF(VLOOKUP($E58,武器奇术!$A:$R,17,FALSE)="鸣金",VLOOKUP($E58,武器奇术!$A:$R,4,FALSE),VLOOKUP($E58,武器奇术!$A:$R,2,FALSE))*(1+AX58)*(1+AY58)*AZ58*(1+$E$16+VLOOKUP($E58,武器奇术!$A:$R,8,FALSE))</f>
        <v>0</v>
      </c>
      <c r="BD58" s="104">
        <f t="shared" si="8"/>
        <v>0.8703</v>
      </c>
      <c r="BE58" s="103">
        <f>AW58*IF(VLOOKUP($E58,武器奇术!$A:$R,17,FALSE)="鸣金",VLOOKUP($E58,武器奇术!$A:$R,4,FALSE),VLOOKUP($E58,武器奇术!$A:$R,2,FALSE))*(1+AX58)*(1+AY58)*AZ58*(1+$E$17+VLOOKUP($E58,武器奇术!$A:$R,10,FALSE))</f>
        <v>0</v>
      </c>
      <c r="BF58" s="104">
        <f t="shared" si="9"/>
        <v>0.0986</v>
      </c>
      <c r="BG58" s="103">
        <f>AV58*IF(VLOOKUP($E58,武器奇术!$A:$R,17,FALSE)="鸣金",VLOOKUP($E58,武器奇术!$A:$R,4,FALSE),VLOOKUP($E58,武器奇术!$A:$R,2,FALSE))*(1+AX58)*(1+AY58)*AZ58</f>
        <v>0</v>
      </c>
      <c r="BH58" s="104">
        <f t="shared" si="10"/>
        <v>0.0311</v>
      </c>
      <c r="BI58" s="112">
        <f t="shared" si="11"/>
        <v>0</v>
      </c>
      <c r="BJ58" s="110">
        <f>$B$9*IF($G$5="撼天",1.05,1)+IF(AND(VLOOKUP($E58,武器奇术!$A:$R,15,FALSE)="武器",VLOOKUP($E58,武器奇术!$A:$R,17,FALSE)="裂石"),$E$3*(1+$E$15),0)</f>
        <v>0</v>
      </c>
      <c r="BK58" s="102">
        <f t="shared" si="12"/>
        <v>0</v>
      </c>
      <c r="BL58" s="102">
        <f>MAX($C$9*IF($G$5="撼天",1.05,1)+IF(AND(VLOOKUP($E58,武器奇术!$A:$R,15,FALSE)="武器",VLOOKUP($E58,武器奇术!$A:$R,17,FALSE)="裂石"),$E$3*(1+$E$15),0),BJ58)</f>
        <v>0</v>
      </c>
      <c r="BM58" s="104">
        <f>IF(($D$9+IF(VLOOKUP($E58,武器奇术!$A:$R,17,FALSE)="裂石",$D$15,0)-VLOOKUP($F$7,目标属性!$A:$R,6,FALSE))&gt;0,($D$9+IF(VLOOKUP($E58,武器奇术!$A:$R,17,FALSE)="裂石",$D$15,0)-VLOOKUP($F$7,目标属性!$A:$R,6,FALSE))/200,($D$9+IF(VLOOKUP($E58,武器奇术!$A:$R,17,FALSE)="裂石",$D$15,0)-VLOOKUP($F$7,目标属性!$A:$R,6,FALSE))/100)</f>
        <v>-0.24</v>
      </c>
      <c r="BN58" s="111">
        <f t="shared" si="13"/>
        <v>0</v>
      </c>
      <c r="BO58" s="102">
        <v>1</v>
      </c>
      <c r="BP58" s="103">
        <f>BJ58*IF(VLOOKUP($E58,武器奇术!$A:$R,17,FALSE)="裂石",VLOOKUP($E58,武器奇术!$A:$R,4,FALSE),VLOOKUP($E58,武器奇术!$A:$R,2,FALSE))*(1+BM58)*(1+BN58)*BO58</f>
        <v>0</v>
      </c>
      <c r="BQ58" s="104">
        <f>(1-IF(VLOOKUP($E58,武器奇术!$A:$R,18,FALSE)="叶龙",1,$N58))*(1-$M58)</f>
        <v>0</v>
      </c>
      <c r="BR58" s="103">
        <f>BK58*IF(VLOOKUP($E58,武器奇术!$A:$R,17,FALSE)="裂石",VLOOKUP($E58,武器奇术!$A:$R,4,FALSE),VLOOKUP($E58,武器奇术!$A:$R,2,FALSE))*(1+BM58)*(1+BN58)*BO58*(1+$E$16+VLOOKUP($E58,武器奇术!$A:$R,8,FALSE))</f>
        <v>0</v>
      </c>
      <c r="BS58" s="104">
        <f t="shared" si="14"/>
        <v>0.8703</v>
      </c>
      <c r="BT58" s="103">
        <f>BL58*IF(VLOOKUP($E58,武器奇术!$A:$R,17,FALSE)="裂石",VLOOKUP($E58,武器奇术!$A:$R,4,FALSE),VLOOKUP($E58,武器奇术!$A:$R,2,FALSE))*(1+BM58)*(1+BN58)*BO58*(1+$E$17+VLOOKUP($E58,武器奇术!$A:$R,10,FALSE))</f>
        <v>0</v>
      </c>
      <c r="BU58" s="104">
        <f t="shared" si="15"/>
        <v>0.0986</v>
      </c>
      <c r="BV58" s="103">
        <f>BK58*IF(VLOOKUP($E58,武器奇术!$A:$R,17,FALSE)="裂石",VLOOKUP($E58,武器奇术!$A:$R,4,FALSE),VLOOKUP($E58,武器奇术!$A:$R,2,FALSE))*(1+BM58)*(1+BN58)*BO58</f>
        <v>0</v>
      </c>
      <c r="BW58" s="104">
        <f t="shared" si="16"/>
        <v>0.0311</v>
      </c>
      <c r="BX58" s="112">
        <f t="shared" si="17"/>
        <v>0</v>
      </c>
      <c r="BY58" s="110">
        <f>$B$11*IF($G$5="撼天",1.05,1)+IF(AND(VLOOKUP($E58,武器奇术!$A:$R,15,FALSE)="武器",VLOOKUP($E58,武器奇术!$A:$R,17,FALSE)="牵丝"),$E$3*(1+$E$15),0)</f>
        <v>490.8</v>
      </c>
      <c r="BZ58" s="102">
        <f>IF(VLOOKUP($E58,武器奇术!$A:$Z,18,FALSE)="叶龙",(CA58-(BY58+CA58)*0.5)*($G$15-0.5)*2+(BY58+CA58)*0.5,(BY58+CA58)*0.5)</f>
        <v>856.3</v>
      </c>
      <c r="CA58" s="102">
        <f>MAX($C$11*IF($G$5="撼天",1.05,1)+IF(AND(VLOOKUP($E58,武器奇术!$A:$R,15,FALSE)="武器",VLOOKUP($E58,武器奇术!$A:$R,17,FALSE)="牵丝"),$E$3*(1+$E$15),0),BY58)</f>
        <v>1221.8</v>
      </c>
      <c r="CB58" s="104">
        <f>IF(($D$11+IF(VLOOKUP($E58,武器奇术!$A:$R,17,FALSE)="牵丝",$D$15,0)-VLOOKUP($F$7,目标属性!$A:$R,6,FALSE))&gt;0,($D$11+IF(VLOOKUP($E58,武器奇术!$A:$R,17,FALSE)="牵丝",$D$15,0)-VLOOKUP($F$7,目标属性!$A:$R,6,FALSE))/200,($D$11+IF(VLOOKUP($E58,武器奇术!$A:$R,17,FALSE)="牵丝",$D$15,0)-VLOOKUP($F$7,目标属性!$A:$R,6,FALSE))/100)</f>
        <v>0.028</v>
      </c>
      <c r="CC58" s="111">
        <f>$E$11+IF($G$5="烟柳",IF(VLOOKUP($E58,武器奇术!$A:$T,20,FALSE)=1,0.1,0),0)</f>
        <v>0.148</v>
      </c>
      <c r="CD58" s="102">
        <v>1</v>
      </c>
      <c r="CE58" s="103">
        <f>BY58*IF(VLOOKUP($E58,武器奇术!$A:$R,17,FALSE)="牵丝",VLOOKUP($E58,武器奇术!$A:$R,4,FALSE),VLOOKUP($E58,武器奇术!$A:$R,2,FALSE))*(1+CB58)*(1+CC58)*CD58</f>
        <v>6174.19675176192</v>
      </c>
      <c r="CF58" s="104">
        <f>(1-IF(VLOOKUP($E58,武器奇术!$A:$R,18,FALSE)="叶龙",1,$N58))*(1-$M58)</f>
        <v>0</v>
      </c>
      <c r="CG58" s="124">
        <f>BZ58*IF(VLOOKUP($E58,武器奇术!$A:$R,17,FALSE)="牵丝",VLOOKUP($E58,武器奇术!$A:$R,4,FALSE),VLOOKUP($E58,武器奇术!$A:$R,2,FALSE))*(1+CB58)*(1+CC58)*CD58*(1+$E$16+VLOOKUP($E58,武器奇术!$A:$R,8,FALSE))</f>
        <v>20402.4268564444</v>
      </c>
      <c r="CH58" s="104">
        <f t="shared" si="18"/>
        <v>0.8703</v>
      </c>
      <c r="CI58" s="103">
        <f>CA58*IF(VLOOKUP($E58,武器奇术!$A:$R,17,FALSE)="牵丝",VLOOKUP($E58,武器奇术!$A:$R,4,FALSE),VLOOKUP($E58,武器奇术!$A:$R,2,FALSE))*(1+CB58)*(1+CC58)*CD58*(1+$E$17+VLOOKUP($E58,武器奇术!$A:$R,10,FALSE))</f>
        <v>20749.60339906</v>
      </c>
      <c r="CJ58" s="104">
        <f t="shared" si="19"/>
        <v>0.0986</v>
      </c>
      <c r="CK58" s="124">
        <f>BZ58*IF(VLOOKUP($E58,武器奇术!$A:$R,17,FALSE)="牵丝",VLOOKUP($E58,武器奇术!$A:$R,4,FALSE),VLOOKUP($E58,武器奇术!$A:$R,2,FALSE))*(1+CB58)*(1+CC58)*CD58</f>
        <v>10772.1366718291</v>
      </c>
      <c r="CL58" s="104">
        <f t="shared" si="20"/>
        <v>0.0311</v>
      </c>
      <c r="CM58" s="112">
        <f t="shared" si="39"/>
        <v>20137.1564388047</v>
      </c>
      <c r="CN58" s="110">
        <f>$B$13*IF($G$5="撼天",1.05,1)+IF(AND(VLOOKUP($E58,武器奇术!$A:$R,15,FALSE)="武器",VLOOKUP($E58,武器奇术!$A:$R,17,FALSE)="破竹"),$E$3*(1+$E$15),0)</f>
        <v>0</v>
      </c>
      <c r="CO58" s="102">
        <f t="shared" si="21"/>
        <v>0</v>
      </c>
      <c r="CP58" s="102">
        <f>MAX($C$13*IF($G$5="撼天",1.05,1)+IF(AND(VLOOKUP($E58,武器奇术!$A:$R,15,FALSE)="武器",VLOOKUP($E58,武器奇术!$A:$R,17,FALSE)="破竹"),$E$3*(1+$E$15),0),CN58)</f>
        <v>0</v>
      </c>
      <c r="CQ58" s="104">
        <f>IF(($D$13+IF(VLOOKUP($E58,武器奇术!$A:$R,17,FALSE)="破竹",$D$15,0)-VLOOKUP($F$7,目标属性!$A:$R,6,FALSE))&gt;0,($D$13+IF(VLOOKUP($E58,武器奇术!$A:$R,17,FALSE)="破竹",$D$15,0)-VLOOKUP($F$7,目标属性!$A:$R,6,FALSE))/200,($D$13+IF(VLOOKUP($E58,武器奇术!$A:$R,17,FALSE)="破竹",$D$15,0)-VLOOKUP($F$7,目标属性!$A:$R,6,FALSE))/100)</f>
        <v>-0.24</v>
      </c>
      <c r="CR58" s="111">
        <f t="shared" si="22"/>
        <v>0</v>
      </c>
      <c r="CS58" s="102">
        <v>1</v>
      </c>
      <c r="CT58" s="103">
        <f>CN58*IF(VLOOKUP($E58,武器奇术!$A:$R,17,FALSE)="破竹",VLOOKUP($E58,武器奇术!$A:$R,4,FALSE),VLOOKUP($E58,武器奇术!$A:$R,2,FALSE))*(1+CQ58)*(1+CR58)*CS58</f>
        <v>0</v>
      </c>
      <c r="CU58" s="104">
        <f>(1-IF(VLOOKUP($E58,武器奇术!$A:$R,18,FALSE)="叶龙",1,$N58))*(1-$M58)</f>
        <v>0</v>
      </c>
      <c r="CV58" s="103">
        <f>CO58*IF(VLOOKUP($E58,武器奇术!$A:$R,17,FALSE)="破竹",VLOOKUP($E58,武器奇术!$A:$R,4,FALSE),VLOOKUP($E58,武器奇术!$A:$R,2,FALSE))*(1+CQ58)*(1+CR58)*CS58*(1+$E$16+VLOOKUP($E58,武器奇术!$A:$R,8,FALSE))</f>
        <v>0</v>
      </c>
      <c r="CW58" s="104">
        <f t="shared" si="23"/>
        <v>0.8703</v>
      </c>
      <c r="CX58" s="103">
        <f>CP58*IF(VLOOKUP($E58,武器奇术!$A:$R,17,FALSE)="破竹",VLOOKUP($E58,武器奇术!$A:$R,4,FALSE),VLOOKUP($E58,武器奇术!$A:$R,2,FALSE))*(1+CQ58)*(1+CR58)*CS58*(1+$E$17+VLOOKUP($E58,武器奇术!$A:$R,10,FALSE))</f>
        <v>0</v>
      </c>
      <c r="CY58" s="104">
        <f t="shared" si="24"/>
        <v>0.0986</v>
      </c>
      <c r="CZ58" s="103">
        <f>CO58*IF(VLOOKUP($E58,武器奇术!$A:$R,17,FALSE)="破竹",VLOOKUP($E58,武器奇术!$A:$R,4,FALSE),VLOOKUP($E58,武器奇术!$A:$R,2,FALSE))*(1+CQ58)*(1+CR58)*CS58</f>
        <v>0</v>
      </c>
      <c r="DA58" s="104">
        <f t="shared" si="25"/>
        <v>0.0311</v>
      </c>
      <c r="DB58" s="112">
        <f t="shared" si="26"/>
        <v>0</v>
      </c>
      <c r="DC58" s="110">
        <f t="shared" si="40"/>
        <v>66</v>
      </c>
      <c r="DD58" s="102">
        <f t="shared" si="27"/>
        <v>125.8</v>
      </c>
      <c r="DE58" s="102">
        <f t="shared" si="41"/>
        <v>185.6</v>
      </c>
      <c r="DF58" s="104">
        <f>IF((IF(VLOOKUP($E58,武器奇术!$A:$R,17,FALSE)="鸣金",$D$7,0)+IF(VLOOKUP($E58,武器奇术!$A:$R,17,FALSE)="裂石",$D$9,0)+IF(VLOOKUP($E58,武器奇术!$A:$R,17,FALSE)="牵丝",$D$11,0)+IF(VLOOKUP($E58,武器奇术!$A:$R,17,FALSE)="破竹",$D$13,0)+$D$15-VLOOKUP($F$7,目标属性!$A:$R,6,FALSE))&gt;0,(IF(VLOOKUP($E58,武器奇术!$A:$R,17,FALSE)="鸣金",$D$7,0)+IF(VLOOKUP($E58,武器奇术!$A:$R,17,FALSE)="裂石",$D$9,0)+IF(VLOOKUP($E58,武器奇术!$A:$R,17,FALSE)="牵丝",$D$11,0)+IF(VLOOKUP($E58,武器奇术!$A:$R,17,FALSE)="破竹",$D$13,0)+$D$15-VLOOKUP($F$7,目标属性!$A:$R,6,FALSE))/200,(IF(VLOOKUP($E58,武器奇术!$A:$R,17,FALSE)="鸣金",$D$7,0)+IF(VLOOKUP($E58,武器奇术!$A:$R,17,FALSE)="裂石",$D$9,0)+IF(VLOOKUP($E58,武器奇术!$A:$R,17,FALSE)="牵丝",$D$11,0)+IF(VLOOKUP($E58,武器奇术!$A:$R,17,FALSE)="破竹",$D$13,0)+$D$15-VLOOKUP($F$7,目标属性!$A:$R,6,FALSE))/100)</f>
        <v>0.028</v>
      </c>
      <c r="DG58" s="111">
        <f>$E$11+IF($G$5="烟柳",IF(VLOOKUP($E58,武器奇术!$A:$T,20,FALSE)=1,0.1,0),0)</f>
        <v>0.148</v>
      </c>
      <c r="DH58" s="102">
        <v>1</v>
      </c>
      <c r="DI58" s="103">
        <f>DC58*IF(VLOOKUP($E58,武器奇术!$A:$R,17,FALSE)="牵丝",VLOOKUP($E58,武器奇术!$A:$R,4,FALSE),VLOOKUP($E58,武器奇术!$A:$R,2,FALSE))*(1+DF58)*(1+DG58)*DH58</f>
        <v>830.2709568384</v>
      </c>
      <c r="DJ58" s="104">
        <f>(1-IF(VLOOKUP($E58,武器奇术!$A:$R,18,FALSE)="叶龙",1,$N58))*(1-$M58)</f>
        <v>0</v>
      </c>
      <c r="DK58" s="124">
        <f>DD58*IF(VLOOKUP($E58,武器奇术!$A:$R,17,FALSE)="牵丝",VLOOKUP($E58,武器奇术!$A:$R,4,FALSE),VLOOKUP($E58,武器奇术!$A:$R,2,FALSE))*(1+DF58)*(1+DG58)*DH58*(1+$E$16+VLOOKUP($E58,武器奇术!$A:$R,8,FALSE))</f>
        <v>2997.34356947413</v>
      </c>
      <c r="DL58" s="104">
        <f t="shared" si="28"/>
        <v>0.8703</v>
      </c>
      <c r="DM58" s="103">
        <f>DE58*IF(VLOOKUP($E58,武器奇术!$A:$R,17,FALSE)="牵丝",VLOOKUP($E58,武器奇术!$A:$R,4,FALSE),VLOOKUP($E58,武器奇术!$A:$R,2,FALSE))*(1+DF58)*(1+DG58)*DH58*(1+$E$17+VLOOKUP($E58,武器奇术!$A:$R,10,FALSE))</f>
        <v>3152.01046887014</v>
      </c>
      <c r="DN58" s="104">
        <f t="shared" si="29"/>
        <v>0.0986</v>
      </c>
      <c r="DO58" s="124">
        <f>DD58*IF(VLOOKUP($E58,武器奇术!$A:$R,17,FALSE)="牵丝",VLOOKUP($E58,武器奇术!$A:$R,4,FALSE),VLOOKUP($E58,武器奇术!$A:$R,2,FALSE))*(1+DF58)*(1+DG58)*DH58</f>
        <v>1582.54676318592</v>
      </c>
      <c r="DP58" s="104">
        <f t="shared" si="30"/>
        <v>0.0311</v>
      </c>
      <c r="DQ58" s="112">
        <f t="shared" si="31"/>
        <v>2968.59354507902</v>
      </c>
    </row>
    <row r="59" customFormat="1" customHeight="1" spans="1:121">
      <c r="A59" s="37"/>
      <c r="B59" t="s">
        <v>156</v>
      </c>
      <c r="C59">
        <v>0.1</v>
      </c>
      <c r="D59" s="139"/>
      <c r="E59" s="115" t="s">
        <v>164</v>
      </c>
      <c r="F59" s="116">
        <v>10</v>
      </c>
      <c r="G59" s="117">
        <f>$E$23</f>
        <v>0.32</v>
      </c>
      <c r="H59" s="103">
        <f>IF(VLOOKUP($E59,武器奇术!$A:$R,18,FALSE)="天工",AE59,(AE59+AT59+BI59+BX59+CM59+DB59+DQ59))*(1+J59)*F59*K59*(1+G59)</f>
        <v>595186.83774528</v>
      </c>
      <c r="I59" s="104">
        <f t="shared" si="42"/>
        <v>0.0685952579751822</v>
      </c>
      <c r="J59" s="138">
        <f>$F$3+VLOOKUP($E59,武器奇术!$A:$R,12,FALSE)+VLOOKUP($E59,武器奇术!$A:$R,14,FALSE)*$G$3+$P59</f>
        <v>1.203</v>
      </c>
      <c r="K59" s="105">
        <f>VLOOKUP($E59,武器奇术!$A:$R,11,FALSE)</f>
        <v>1</v>
      </c>
      <c r="L59" s="119">
        <f>IF(VLOOKUP($E59,武器奇术!$A:$R,15,FALSE)="天工",0%,IF($C$17+VLOOKUP($E59,武器奇术!$A:$R,7,FALSE)&gt;80%,80%,$C$17+VLOOKUP($E59,武器奇术!$A:$R,7,FALSE))+IF($C$19&gt;20%,20%,$C$19))</f>
        <v>0.8703</v>
      </c>
      <c r="M59" s="120">
        <f>IF(VLOOKUP($E59,武器奇术!$A:$R,15,FALSE)="天工",0%,IF($C$18+VLOOKUP($E59,武器奇术!$A:$R,9,FALSE)&gt;40%,40%,$C$18+VLOOKUP($E59,武器奇术!$A:$R,9,FALSE))+IF($C$20&gt;10%,10%,$C$20))</f>
        <v>0.0986</v>
      </c>
      <c r="N59" s="121">
        <f>IF(VLOOKUP($E59,武器奇术!$A:$R,15,FALSE)="天工",100%,MIN($C$16,1))</f>
        <v>1</v>
      </c>
      <c r="O59" s="122" t="str">
        <f>VLOOKUP($E59,武器奇术!$A:$R,16,FALSE)</f>
        <v>伞</v>
      </c>
      <c r="P59" s="123">
        <f t="shared" si="32"/>
        <v>0.17</v>
      </c>
      <c r="Q59" s="110">
        <f>$B$5*(1+VLOOKUP($E59,武器奇术!$A:$R,5,FALSE))*(1+VLOOKUP($E59,武器奇术!$A:$S,19,FALSE)+IF($G$5="飞隼",0.1,0)+IF($G$5="撼天",0.05,0))-$F$9+IF($J$5="√",160,0)</f>
        <v>3324.7</v>
      </c>
      <c r="R59" s="102">
        <f>IF(VLOOKUP($E59,武器奇术!$A:$Z,18,FALSE)="叶龙",(S59-(Q59+S59)*0.5)*($G$15-0.5)*2+(Q59+S59)*0.5,(Q59+S59)*0.5)</f>
        <v>3404.7</v>
      </c>
      <c r="S59" s="102">
        <f>MAX($C$5,$B$5)*(1+VLOOKUP($E59,武器奇术!$A:$R,6,FALSE))*(1+VLOOKUP($E59,武器奇术!$A:$S,19,FALSE)+IF($G$5="飞隼",0.1,0)+IF($G$5="撼天",0.05,0))-$F$9+IF($J$5="√",320,0)</f>
        <v>3484.7</v>
      </c>
      <c r="T59" s="104">
        <f>IF(($D$5+VLOOKUP($E59,武器奇术!$A:$R,13,FALSE)+IF($I$3="√",10,0)-VLOOKUP($F$7,目标属性!$A:$R,5,FALSE))&gt;0,($D$5+VLOOKUP($E59,武器奇术!$A:$R,13,FALSE)+IF($I$3="√",10,0)-VLOOKUP($F$7,目标属性!$A:$R,5,FALSE))/200,($D$5+VLOOKUP($E59,武器奇术!$A:$R,13,FALSE)+IF($I$3="√",10,0)-VLOOKUP($F$7,目标属性!$A:$R,5,FALSE))/100)</f>
        <v>0.4175</v>
      </c>
      <c r="U59" s="111">
        <f>$E$5+IF($G$5="烟柳",IF(VLOOKUP($E59,武器奇术!$A:$T,20,FALSE)=1,0.1,0),0)</f>
        <v>0.1</v>
      </c>
      <c r="V59" s="102">
        <v>1</v>
      </c>
      <c r="W59" s="103">
        <f>Q59*VLOOKUP($E59,武器奇术!$A:$R,2,FALSE)*(1+T59)*(1+U59)*V59</f>
        <v>6091.01192639362</v>
      </c>
      <c r="X59" s="104">
        <f>(1-IF(VLOOKUP($E59,武器奇术!$A:$R,18,FALSE)="叶龙",1,$N59))*(1-$M59)</f>
        <v>0</v>
      </c>
      <c r="Y59" s="103">
        <f>R59*VLOOKUP($E59,武器奇术!$A:$R,2,FALSE)*(1+T59)*(1+U59)*V59*(1+$E$16+VLOOKUP($E59,武器奇术!$A:$R,8,FALSE))</f>
        <v>14059.495882713</v>
      </c>
      <c r="Z59" s="104">
        <f t="shared" si="33"/>
        <v>0.8703</v>
      </c>
      <c r="AA59" s="103">
        <f>S59*VLOOKUP($E59,武器奇术!$A:$R,2,FALSE)*(1+T59)*(1+U59)*V59*(1+$E$17+VLOOKUP($E59,武器奇术!$A:$R,10,FALSE))</f>
        <v>8618.58859472139</v>
      </c>
      <c r="AB59" s="104">
        <f t="shared" si="34"/>
        <v>0.0986</v>
      </c>
      <c r="AC59" s="103">
        <f>R59*VLOOKUP($E59,武器奇术!$A:$R,2,FALSE)*(1+T59)*(1+U59)*V59</f>
        <v>6237.57581309363</v>
      </c>
      <c r="AD59" s="104">
        <f t="shared" si="35"/>
        <v>0.0311</v>
      </c>
      <c r="AE59" s="112">
        <f t="shared" si="36"/>
        <v>13279.7607099519</v>
      </c>
      <c r="AF59" s="113">
        <f>VLOOKUP($E59,武器奇术!$A:$R,3,FALSE)*(1+IF(VLOOKUP($E59,武器奇术!$A:$R,15,FALSE)="武器",$E$15,0))</f>
        <v>421.59</v>
      </c>
      <c r="AG59" s="103">
        <f t="shared" si="1"/>
        <v>421.59</v>
      </c>
      <c r="AH59" s="103">
        <f>VLOOKUP($E59,武器奇术!$A:$R,3,FALSE)*(1+IF(VLOOKUP($E59,武器奇术!$A:$R,15,FALSE)="武器",$E$15,0))</f>
        <v>421.59</v>
      </c>
      <c r="AI59" s="104">
        <f>IF(($D$5+VLOOKUP($E59,武器奇术!$A:$R,13,FALSE)+IF($I$3="√",10,0)-VLOOKUP($F$7,目标属性!$A:$R,5,FALSE))&gt;0,($D$5+VLOOKUP($E59,武器奇术!$A:$R,13,FALSE)+IF($I$3="√",10,0)-VLOOKUP($F$7,目标属性!$A:$R,5,FALSE))/200,($D$5+VLOOKUP($E59,武器奇术!$A:$R,13,FALSE)+IF($I$3="√",10,0)-VLOOKUP($F$7,目标属性!$A:$R,5,FALSE))/100)</f>
        <v>0.4175</v>
      </c>
      <c r="AJ59" s="111">
        <f>$E$5+IF($G$5="烟柳",IF(VLOOKUP($E59,武器奇术!$A:$T,20,FALSE)=1,0.1,0),0)</f>
        <v>0.1</v>
      </c>
      <c r="AK59" s="102">
        <v>1</v>
      </c>
      <c r="AL59" s="103">
        <f t="shared" si="37"/>
        <v>657.3642075</v>
      </c>
      <c r="AM59" s="104">
        <f>(1-IF(VLOOKUP($E59,武器奇术!$A:$R,18,FALSE)="叶龙",1,$N59))*(1-$M59)</f>
        <v>0</v>
      </c>
      <c r="AN59" s="103">
        <f>AG59*(1+AI59)*(1+AJ59)*AK59*(1+$E$16+VLOOKUP($E59,武器奇术!$A:$R,8,FALSE))</f>
        <v>1481.698923705</v>
      </c>
      <c r="AO59" s="104">
        <f t="shared" si="2"/>
        <v>0.8703</v>
      </c>
      <c r="AP59" s="103">
        <f>AH59*(1+AI59)*(1+AJ59)*AK59*(1+$E$17+VLOOKUP($E59,武器奇术!$A:$R,10,FALSE))</f>
        <v>887.441680125</v>
      </c>
      <c r="AQ59" s="104">
        <f t="shared" si="3"/>
        <v>0.0986</v>
      </c>
      <c r="AR59" s="103">
        <f t="shared" si="38"/>
        <v>657.3642075</v>
      </c>
      <c r="AS59" s="104">
        <f t="shared" si="4"/>
        <v>0.0311</v>
      </c>
      <c r="AT59" s="112">
        <f t="shared" si="5"/>
        <v>1397.46834981404</v>
      </c>
      <c r="AU59" s="110">
        <f>$B$7*IF($G$5="撼天",1.05,1)+IF(AND(VLOOKUP($E59,武器奇术!$A:$R,15,FALSE)="武器",VLOOKUP($E59,武器奇术!$A:$R,17,FALSE)="鸣金"),$E$3*(1+$E$15),0)</f>
        <v>0</v>
      </c>
      <c r="AV59" s="102">
        <f t="shared" si="6"/>
        <v>0</v>
      </c>
      <c r="AW59" s="102">
        <f>MAX($C$7*IF($G$5="撼天",1.05,1)+IF(AND(VLOOKUP($E59,武器奇术!$A:$R,15,FALSE)="武器",VLOOKUP($E59,武器奇术!$A:$R,17,FALSE)="鸣金"),$E$3*(1+$E$15),0),AU59)</f>
        <v>0</v>
      </c>
      <c r="AX59" s="104">
        <f>IF(($D$7+IF(VLOOKUP($E59,武器奇术!$A:$R,17,FALSE)="鸣金",$D$15,0)-VLOOKUP($F$7,目标属性!$A:$R,6,FALSE))&gt;0,($D$7+IF(VLOOKUP($E59,武器奇术!$A:$R,17,FALSE)="鸣金",$D$15,0)-VLOOKUP($F$7,目标属性!$A:$R,6,FALSE))/200,($D$7+IF(VLOOKUP($E59,武器奇术!$A:$R,17,FALSE)="鸣金",$D$15,0)-VLOOKUP($F$7,目标属性!$A:$R,6,FALSE))/100)</f>
        <v>-0.24</v>
      </c>
      <c r="AY59" s="111">
        <f t="shared" si="7"/>
        <v>0</v>
      </c>
      <c r="AZ59" s="102">
        <v>1</v>
      </c>
      <c r="BA59" s="103">
        <f>AU59*IF(VLOOKUP($E59,武器奇术!$A:$R,17,FALSE)="鸣金",VLOOKUP($E59,武器奇术!$A:$R,4,FALSE),VLOOKUP($E59,武器奇术!$A:$R,2,FALSE))*(1+AX59)*(1+AY59)*AZ59</f>
        <v>0</v>
      </c>
      <c r="BB59" s="104">
        <f>(1-IF(VLOOKUP($E59,武器奇术!$A:$R,18,FALSE)="叶龙",1,$N59))*(1-$M59)</f>
        <v>0</v>
      </c>
      <c r="BC59" s="103">
        <f>AV59*IF(VLOOKUP($E59,武器奇术!$A:$R,17,FALSE)="鸣金",VLOOKUP($E59,武器奇术!$A:$R,4,FALSE),VLOOKUP($E59,武器奇术!$A:$R,2,FALSE))*(1+AX59)*(1+AY59)*AZ59*(1+$E$16+VLOOKUP($E59,武器奇术!$A:$R,8,FALSE))</f>
        <v>0</v>
      </c>
      <c r="BD59" s="104">
        <f t="shared" si="8"/>
        <v>0.8703</v>
      </c>
      <c r="BE59" s="103">
        <f>AW59*IF(VLOOKUP($E59,武器奇术!$A:$R,17,FALSE)="鸣金",VLOOKUP($E59,武器奇术!$A:$R,4,FALSE),VLOOKUP($E59,武器奇术!$A:$R,2,FALSE))*(1+AX59)*(1+AY59)*AZ59*(1+$E$17+VLOOKUP($E59,武器奇术!$A:$R,10,FALSE))</f>
        <v>0</v>
      </c>
      <c r="BF59" s="104">
        <f t="shared" si="9"/>
        <v>0.0986</v>
      </c>
      <c r="BG59" s="103">
        <f>AV59*IF(VLOOKUP($E59,武器奇术!$A:$R,17,FALSE)="鸣金",VLOOKUP($E59,武器奇术!$A:$R,4,FALSE),VLOOKUP($E59,武器奇术!$A:$R,2,FALSE))*(1+AX59)*(1+AY59)*AZ59</f>
        <v>0</v>
      </c>
      <c r="BH59" s="104">
        <f t="shared" si="10"/>
        <v>0.0311</v>
      </c>
      <c r="BI59" s="112">
        <f t="shared" si="11"/>
        <v>0</v>
      </c>
      <c r="BJ59" s="110">
        <f>$B$9*IF($G$5="撼天",1.05,1)+IF(AND(VLOOKUP($E59,武器奇术!$A:$R,15,FALSE)="武器",VLOOKUP($E59,武器奇术!$A:$R,17,FALSE)="裂石"),$E$3*(1+$E$15),0)</f>
        <v>0</v>
      </c>
      <c r="BK59" s="102">
        <f t="shared" si="12"/>
        <v>0</v>
      </c>
      <c r="BL59" s="102">
        <f>MAX($C$9*IF($G$5="撼天",1.05,1)+IF(AND(VLOOKUP($E59,武器奇术!$A:$R,15,FALSE)="武器",VLOOKUP($E59,武器奇术!$A:$R,17,FALSE)="裂石"),$E$3*(1+$E$15),0),BJ59)</f>
        <v>0</v>
      </c>
      <c r="BM59" s="104">
        <f>IF(($D$9+IF(VLOOKUP($E59,武器奇术!$A:$R,17,FALSE)="裂石",$D$15,0)-VLOOKUP($F$7,目标属性!$A:$R,6,FALSE))&gt;0,($D$9+IF(VLOOKUP($E59,武器奇术!$A:$R,17,FALSE)="裂石",$D$15,0)-VLOOKUP($F$7,目标属性!$A:$R,6,FALSE))/200,($D$9+IF(VLOOKUP($E59,武器奇术!$A:$R,17,FALSE)="裂石",$D$15,0)-VLOOKUP($F$7,目标属性!$A:$R,6,FALSE))/100)</f>
        <v>-0.24</v>
      </c>
      <c r="BN59" s="111">
        <f t="shared" si="13"/>
        <v>0</v>
      </c>
      <c r="BO59" s="102">
        <v>1</v>
      </c>
      <c r="BP59" s="103">
        <f>BJ59*IF(VLOOKUP($E59,武器奇术!$A:$R,17,FALSE)="裂石",VLOOKUP($E59,武器奇术!$A:$R,4,FALSE),VLOOKUP($E59,武器奇术!$A:$R,2,FALSE))*(1+BM59)*(1+BN59)*BO59</f>
        <v>0</v>
      </c>
      <c r="BQ59" s="104">
        <f>(1-IF(VLOOKUP($E59,武器奇术!$A:$R,18,FALSE)="叶龙",1,$N59))*(1-$M59)</f>
        <v>0</v>
      </c>
      <c r="BR59" s="103">
        <f>BK59*IF(VLOOKUP($E59,武器奇术!$A:$R,17,FALSE)="裂石",VLOOKUP($E59,武器奇术!$A:$R,4,FALSE),VLOOKUP($E59,武器奇术!$A:$R,2,FALSE))*(1+BM59)*(1+BN59)*BO59*(1+$E$16+VLOOKUP($E59,武器奇术!$A:$R,8,FALSE))</f>
        <v>0</v>
      </c>
      <c r="BS59" s="104">
        <f t="shared" si="14"/>
        <v>0.8703</v>
      </c>
      <c r="BT59" s="103">
        <f>BL59*IF(VLOOKUP($E59,武器奇术!$A:$R,17,FALSE)="裂石",VLOOKUP($E59,武器奇术!$A:$R,4,FALSE),VLOOKUP($E59,武器奇术!$A:$R,2,FALSE))*(1+BM59)*(1+BN59)*BO59*(1+$E$17+VLOOKUP($E59,武器奇术!$A:$R,10,FALSE))</f>
        <v>0</v>
      </c>
      <c r="BU59" s="104">
        <f t="shared" si="15"/>
        <v>0.0986</v>
      </c>
      <c r="BV59" s="103">
        <f>BK59*IF(VLOOKUP($E59,武器奇术!$A:$R,17,FALSE)="裂石",VLOOKUP($E59,武器奇术!$A:$R,4,FALSE),VLOOKUP($E59,武器奇术!$A:$R,2,FALSE))*(1+BM59)*(1+BN59)*BO59</f>
        <v>0</v>
      </c>
      <c r="BW59" s="104">
        <f t="shared" si="16"/>
        <v>0.0311</v>
      </c>
      <c r="BX59" s="112">
        <f t="shared" si="17"/>
        <v>0</v>
      </c>
      <c r="BY59" s="110">
        <f>$B$11*IF($G$5="撼天",1.05,1)+IF(AND(VLOOKUP($E59,武器奇术!$A:$R,15,FALSE)="武器",VLOOKUP($E59,武器奇术!$A:$R,17,FALSE)="牵丝"),$E$3*(1+$E$15),0)</f>
        <v>686.71</v>
      </c>
      <c r="BZ59" s="102">
        <f>IF(VLOOKUP($E59,武器奇术!$A:$Z,18,FALSE)="叶龙",(CA59-(BY59+CA59)*0.5)*($G$15-0.5)*2+(BY59+CA59)*0.5,(BY59+CA59)*0.5)</f>
        <v>1052.21</v>
      </c>
      <c r="CA59" s="102">
        <f>MAX($C$11*IF($G$5="撼天",1.05,1)+IF(AND(VLOOKUP($E59,武器奇术!$A:$R,15,FALSE)="武器",VLOOKUP($E59,武器奇术!$A:$R,17,FALSE)="牵丝"),$E$3*(1+$E$15),0),BY59)</f>
        <v>1417.71</v>
      </c>
      <c r="CB59" s="104">
        <f>IF(($D$11+IF(VLOOKUP($E59,武器奇术!$A:$R,17,FALSE)="牵丝",$D$15,0)-VLOOKUP($F$7,目标属性!$A:$R,6,FALSE))&gt;0,($D$11+IF(VLOOKUP($E59,武器奇术!$A:$R,17,FALSE)="牵丝",$D$15,0)-VLOOKUP($F$7,目标属性!$A:$R,6,FALSE))/200,($D$11+IF(VLOOKUP($E59,武器奇术!$A:$R,17,FALSE)="牵丝",$D$15,0)-VLOOKUP($F$7,目标属性!$A:$R,6,FALSE))/100)</f>
        <v>0.028</v>
      </c>
      <c r="CC59" s="111">
        <f>$E$11+IF($G$5="烟柳",IF(VLOOKUP($E59,武器奇术!$A:$T,20,FALSE)=1,0.1,0),0)</f>
        <v>0.248</v>
      </c>
      <c r="CD59" s="102">
        <v>1</v>
      </c>
      <c r="CE59" s="103">
        <f>BY59*IF(VLOOKUP($E59,武器奇术!$A:$R,17,FALSE)="牵丝",VLOOKUP($E59,武器奇术!$A:$R,4,FALSE),VLOOKUP($E59,武器奇术!$A:$R,2,FALSE))*(1+CB59)*(1+CC59)*CD59</f>
        <v>1552.67083453872</v>
      </c>
      <c r="CF59" s="104">
        <f>(1-IF(VLOOKUP($E59,武器奇术!$A:$R,18,FALSE)="叶龙",1,$N59))*(1-$M59)</f>
        <v>0</v>
      </c>
      <c r="CG59" s="124">
        <f>BZ59*IF(VLOOKUP($E59,武器奇术!$A:$R,17,FALSE)="牵丝",VLOOKUP($E59,武器奇术!$A:$R,4,FALSE),VLOOKUP($E59,武器奇术!$A:$R,2,FALSE))*(1+CB59)*(1+CC59)*CD59*(1+$E$16+VLOOKUP($E59,武器奇术!$A:$R,8,FALSE))</f>
        <v>5362.43894138386</v>
      </c>
      <c r="CH59" s="104">
        <f t="shared" si="18"/>
        <v>0.8703</v>
      </c>
      <c r="CI59" s="103">
        <f>CA59*IF(VLOOKUP($E59,武器奇术!$A:$R,17,FALSE)="牵丝",VLOOKUP($E59,武器奇术!$A:$R,4,FALSE),VLOOKUP($E59,武器奇术!$A:$R,2,FALSE))*(1+CB59)*(1+CC59)*CD59*(1+$E$17+VLOOKUP($E59,武器奇术!$A:$R,10,FALSE))</f>
        <v>4327.40153474647</v>
      </c>
      <c r="CJ59" s="104">
        <f t="shared" si="19"/>
        <v>0.0986</v>
      </c>
      <c r="CK59" s="124">
        <f>BZ59*IF(VLOOKUP($E59,武器奇术!$A:$R,17,FALSE)="牵丝",VLOOKUP($E59,武器奇术!$A:$R,4,FALSE),VLOOKUP($E59,武器奇术!$A:$R,2,FALSE))*(1+CB59)*(1+CC59)*CD59</f>
        <v>2379.07672643472</v>
      </c>
      <c r="CL59" s="104">
        <f t="shared" si="20"/>
        <v>0.0311</v>
      </c>
      <c r="CM59" s="112">
        <f t="shared" si="39"/>
        <v>5167.60168820449</v>
      </c>
      <c r="CN59" s="110">
        <f>$B$13*IF($G$5="撼天",1.05,1)+IF(AND(VLOOKUP($E59,武器奇术!$A:$R,15,FALSE)="武器",VLOOKUP($E59,武器奇术!$A:$R,17,FALSE)="破竹"),$E$3*(1+$E$15),0)</f>
        <v>0</v>
      </c>
      <c r="CO59" s="102">
        <f t="shared" si="21"/>
        <v>0</v>
      </c>
      <c r="CP59" s="102">
        <f>MAX($C$13*IF($G$5="撼天",1.05,1)+IF(AND(VLOOKUP($E59,武器奇术!$A:$R,15,FALSE)="武器",VLOOKUP($E59,武器奇术!$A:$R,17,FALSE)="破竹"),$E$3*(1+$E$15),0),CN59)</f>
        <v>0</v>
      </c>
      <c r="CQ59" s="104">
        <f>IF(($D$13+IF(VLOOKUP($E59,武器奇术!$A:$R,17,FALSE)="破竹",$D$15,0)-VLOOKUP($F$7,目标属性!$A:$R,6,FALSE))&gt;0,($D$13+IF(VLOOKUP($E59,武器奇术!$A:$R,17,FALSE)="破竹",$D$15,0)-VLOOKUP($F$7,目标属性!$A:$R,6,FALSE))/200,($D$13+IF(VLOOKUP($E59,武器奇术!$A:$R,17,FALSE)="破竹",$D$15,0)-VLOOKUP($F$7,目标属性!$A:$R,6,FALSE))/100)</f>
        <v>-0.24</v>
      </c>
      <c r="CR59" s="111">
        <f t="shared" si="22"/>
        <v>0</v>
      </c>
      <c r="CS59" s="102">
        <v>1</v>
      </c>
      <c r="CT59" s="103">
        <f>CN59*IF(VLOOKUP($E59,武器奇术!$A:$R,17,FALSE)="破竹",VLOOKUP($E59,武器奇术!$A:$R,4,FALSE),VLOOKUP($E59,武器奇术!$A:$R,2,FALSE))*(1+CQ59)*(1+CR59)*CS59</f>
        <v>0</v>
      </c>
      <c r="CU59" s="104">
        <f>(1-IF(VLOOKUP($E59,武器奇术!$A:$R,18,FALSE)="叶龙",1,$N59))*(1-$M59)</f>
        <v>0</v>
      </c>
      <c r="CV59" s="103">
        <f>CO59*IF(VLOOKUP($E59,武器奇术!$A:$R,17,FALSE)="破竹",VLOOKUP($E59,武器奇术!$A:$R,4,FALSE),VLOOKUP($E59,武器奇术!$A:$R,2,FALSE))*(1+CQ59)*(1+CR59)*CS59*(1+$E$16+VLOOKUP($E59,武器奇术!$A:$R,8,FALSE))</f>
        <v>0</v>
      </c>
      <c r="CW59" s="104">
        <f t="shared" si="23"/>
        <v>0.8703</v>
      </c>
      <c r="CX59" s="103">
        <f>CP59*IF(VLOOKUP($E59,武器奇术!$A:$R,17,FALSE)="破竹",VLOOKUP($E59,武器奇术!$A:$R,4,FALSE),VLOOKUP($E59,武器奇术!$A:$R,2,FALSE))*(1+CQ59)*(1+CR59)*CS59*(1+$E$17+VLOOKUP($E59,武器奇术!$A:$R,10,FALSE))</f>
        <v>0</v>
      </c>
      <c r="CY59" s="104">
        <f t="shared" si="24"/>
        <v>0.0986</v>
      </c>
      <c r="CZ59" s="103">
        <f>CO59*IF(VLOOKUP($E59,武器奇术!$A:$R,17,FALSE)="破竹",VLOOKUP($E59,武器奇术!$A:$R,4,FALSE),VLOOKUP($E59,武器奇术!$A:$R,2,FALSE))*(1+CQ59)*(1+CR59)*CS59</f>
        <v>0</v>
      </c>
      <c r="DA59" s="104">
        <f t="shared" si="25"/>
        <v>0.0311</v>
      </c>
      <c r="DB59" s="112">
        <f t="shared" si="26"/>
        <v>0</v>
      </c>
      <c r="DC59" s="110">
        <f t="shared" si="40"/>
        <v>66</v>
      </c>
      <c r="DD59" s="102">
        <f t="shared" si="27"/>
        <v>125.8</v>
      </c>
      <c r="DE59" s="102">
        <f t="shared" si="41"/>
        <v>185.6</v>
      </c>
      <c r="DF59" s="104">
        <f>IF((IF(VLOOKUP($E59,武器奇术!$A:$R,17,FALSE)="鸣金",$D$7,0)+IF(VLOOKUP($E59,武器奇术!$A:$R,17,FALSE)="裂石",$D$9,0)+IF(VLOOKUP($E59,武器奇术!$A:$R,17,FALSE)="牵丝",$D$11,0)+IF(VLOOKUP($E59,武器奇术!$A:$R,17,FALSE)="破竹",$D$13,0)+$D$15-VLOOKUP($F$7,目标属性!$A:$R,6,FALSE))&gt;0,(IF(VLOOKUP($E59,武器奇术!$A:$R,17,FALSE)="鸣金",$D$7,0)+IF(VLOOKUP($E59,武器奇术!$A:$R,17,FALSE)="裂石",$D$9,0)+IF(VLOOKUP($E59,武器奇术!$A:$R,17,FALSE)="牵丝",$D$11,0)+IF(VLOOKUP($E59,武器奇术!$A:$R,17,FALSE)="破竹",$D$13,0)+$D$15-VLOOKUP($F$7,目标属性!$A:$R,6,FALSE))/200,(IF(VLOOKUP($E59,武器奇术!$A:$R,17,FALSE)="鸣金",$D$7,0)+IF(VLOOKUP($E59,武器奇术!$A:$R,17,FALSE)="裂石",$D$9,0)+IF(VLOOKUP($E59,武器奇术!$A:$R,17,FALSE)="牵丝",$D$11,0)+IF(VLOOKUP($E59,武器奇术!$A:$R,17,FALSE)="破竹",$D$13,0)+$D$15-VLOOKUP($F$7,目标属性!$A:$R,6,FALSE))/100)</f>
        <v>0.028</v>
      </c>
      <c r="DG59" s="111">
        <f>$E$11+IF($G$5="烟柳",IF(VLOOKUP($E59,武器奇术!$A:$T,20,FALSE)=1,0.1,0),0)</f>
        <v>0.248</v>
      </c>
      <c r="DH59" s="102">
        <v>1</v>
      </c>
      <c r="DI59" s="103">
        <f>DC59*IF(VLOOKUP($E59,武器奇术!$A:$R,17,FALSE)="牵丝",VLOOKUP($E59,武器奇术!$A:$R,4,FALSE),VLOOKUP($E59,武器奇术!$A:$R,2,FALSE))*(1+DF59)*(1+DG59)*DH59</f>
        <v>149.227876512</v>
      </c>
      <c r="DJ59" s="104">
        <f>(1-IF(VLOOKUP($E59,武器奇术!$A:$R,18,FALSE)="叶龙",1,$N59))*(1-$M59)</f>
        <v>0</v>
      </c>
      <c r="DK59" s="124">
        <f>DD59*IF(VLOOKUP($E59,武器奇术!$A:$R,17,FALSE)="牵丝",VLOOKUP($E59,武器奇术!$A:$R,4,FALSE),VLOOKUP($E59,武器奇术!$A:$R,2,FALSE))*(1+DF59)*(1+DG59)*DH59*(1+$E$16+VLOOKUP($E59,武器奇术!$A:$R,8,FALSE))</f>
        <v>641.121847184582</v>
      </c>
      <c r="DL59" s="104">
        <f t="shared" si="28"/>
        <v>0.8703</v>
      </c>
      <c r="DM59" s="103">
        <f>DE59*IF(VLOOKUP($E59,武器奇术!$A:$R,17,FALSE)="牵丝",VLOOKUP($E59,武器奇术!$A:$R,4,FALSE),VLOOKUP($E59,武器奇术!$A:$R,2,FALSE))*(1+DF59)*(1+DG59)*DH59*(1+$E$17+VLOOKUP($E59,武器奇术!$A:$R,10,FALSE))</f>
        <v>566.52328392192</v>
      </c>
      <c r="DN59" s="104">
        <f t="shared" si="29"/>
        <v>0.0986</v>
      </c>
      <c r="DO59" s="124">
        <f>DD59*IF(VLOOKUP($E59,武器奇术!$A:$R,17,FALSE)="牵丝",VLOOKUP($E59,武器奇术!$A:$R,4,FALSE),VLOOKUP($E59,武器奇术!$A:$R,2,FALSE))*(1+DF59)*(1+DG59)*DH59</f>
        <v>284.4373767456</v>
      </c>
      <c r="DP59" s="104">
        <f t="shared" si="30"/>
        <v>0.0311</v>
      </c>
      <c r="DQ59" s="112">
        <f t="shared" si="31"/>
        <v>622.673541816231</v>
      </c>
    </row>
    <row r="60" customFormat="1" customHeight="1" spans="1:121">
      <c r="A60" s="37"/>
      <c r="B60" t="s">
        <v>152</v>
      </c>
      <c r="C60">
        <v>1.25</v>
      </c>
      <c r="D60" s="139"/>
      <c r="E60" s="115" t="s">
        <v>155</v>
      </c>
      <c r="F60" s="116">
        <v>1</v>
      </c>
      <c r="G60" s="117"/>
      <c r="H60" s="103">
        <f>IF(VLOOKUP($E60,武器奇术!$A:$R,18,FALSE)="天工",AE60,(AE60+AT60+BI60+BX60+CM60+DB60+DQ60))*(1+J60)*F60*K60*(1+G60)</f>
        <v>89809.5296030743</v>
      </c>
      <c r="I60" s="104">
        <f t="shared" si="42"/>
        <v>0.0103505445031181</v>
      </c>
      <c r="J60" s="138">
        <f>$F$3+VLOOKUP($E60,武器奇术!$A:$R,12,FALSE)+VLOOKUP($E60,武器奇术!$A:$R,14,FALSE)*$G$3+$P60</f>
        <v>1.203</v>
      </c>
      <c r="K60" s="105">
        <f>VLOOKUP($E60,武器奇术!$A:$R,11,FALSE)</f>
        <v>1</v>
      </c>
      <c r="L60" s="119">
        <f>IF(VLOOKUP($E60,武器奇术!$A:$R,15,FALSE)="天工",0%,IF($C$17+VLOOKUP($E60,武器奇术!$A:$R,7,FALSE)&gt;80%,80%,$C$17+VLOOKUP($E60,武器奇术!$A:$R,7,FALSE))+IF($C$19&gt;20%,20%,$C$19))</f>
        <v>0.8703</v>
      </c>
      <c r="M60" s="120">
        <f>IF(VLOOKUP($E60,武器奇术!$A:$R,15,FALSE)="天工",0%,IF($C$18+VLOOKUP($E60,武器奇术!$A:$R,9,FALSE)&gt;40%,40%,$C$18+VLOOKUP($E60,武器奇术!$A:$R,9,FALSE))+IF($C$20&gt;10%,10%,$C$20))</f>
        <v>0.0986</v>
      </c>
      <c r="N60" s="121">
        <f>IF(VLOOKUP($E60,武器奇术!$A:$R,15,FALSE)="天工",100%,MIN($C$16,1))</f>
        <v>1</v>
      </c>
      <c r="O60" s="122" t="str">
        <f>VLOOKUP($E60,武器奇术!$A:$R,16,FALSE)</f>
        <v>伞</v>
      </c>
      <c r="P60" s="123">
        <f t="shared" si="32"/>
        <v>0.17</v>
      </c>
      <c r="Q60" s="110">
        <f>$B$5*(1+VLOOKUP($E60,武器奇术!$A:$R,5,FALSE))*(1+VLOOKUP($E60,武器奇术!$A:$S,19,FALSE)+IF($G$5="飞隼",0.1,0)+IF($G$5="撼天",0.05,0))-$F$9+IF($J$5="√",160,0)</f>
        <v>3324.7</v>
      </c>
      <c r="R60" s="102">
        <f>IF(VLOOKUP($E60,武器奇术!$A:$Z,18,FALSE)="叶龙",(S60-(Q60+S60)*0.5)*($G$15-0.5)*2+(Q60+S60)*0.5,(Q60+S60)*0.5)</f>
        <v>3404.7</v>
      </c>
      <c r="S60" s="102">
        <f>MAX($C$5,$B$5)*(1+VLOOKUP($E60,武器奇术!$A:$R,6,FALSE))*(1+VLOOKUP($E60,武器奇术!$A:$S,19,FALSE)+IF($G$5="飞隼",0.1,0)+IF($G$5="撼天",0.05,0))-$F$9+IF($J$5="√",320,0)</f>
        <v>3484.7</v>
      </c>
      <c r="T60" s="104">
        <f>IF(($D$5+VLOOKUP($E60,武器奇术!$A:$R,13,FALSE)+IF($I$3="√",10,0)-VLOOKUP($F$7,目标属性!$A:$R,5,FALSE))&gt;0,($D$5+VLOOKUP($E60,武器奇术!$A:$R,13,FALSE)+IF($I$3="√",10,0)-VLOOKUP($F$7,目标属性!$A:$R,5,FALSE))/200,($D$5+VLOOKUP($E60,武器奇术!$A:$R,13,FALSE)+IF($I$3="√",10,0)-VLOOKUP($F$7,目标属性!$A:$R,5,FALSE))/100)</f>
        <v>0.4175</v>
      </c>
      <c r="U60" s="111">
        <f>$E$5+IF($G$5="烟柳",IF(VLOOKUP($E60,武器奇术!$A:$T,20,FALSE)=1,0.1,0),0)</f>
        <v>0.1</v>
      </c>
      <c r="V60" s="102">
        <v>1</v>
      </c>
      <c r="W60" s="103">
        <f>Q60*VLOOKUP($E60,武器奇术!$A:$R,2,FALSE)*(1+T60)*(1+U60)*V60</f>
        <v>12129.0948199575</v>
      </c>
      <c r="X60" s="104">
        <f>(1-IF(VLOOKUP($E60,武器奇术!$A:$R,18,FALSE)="叶龙",1,$N60))*(1-$M60)</f>
        <v>0</v>
      </c>
      <c r="Y60" s="103">
        <f>R60*VLOOKUP($E60,武器奇术!$A:$R,2,FALSE)*(1+T60)*(1+U60)*V60*(1+$E$16+VLOOKUP($E60,武器奇术!$A:$R,8,FALSE))</f>
        <v>27996.8190413962</v>
      </c>
      <c r="Z60" s="104">
        <f t="shared" si="33"/>
        <v>0.8703</v>
      </c>
      <c r="AA60" s="103">
        <f>S60*VLOOKUP($E60,武器奇术!$A:$R,2,FALSE)*(1+T60)*(1+U60)*V60*(1+$E$17+VLOOKUP($E60,武器奇术!$A:$R,10,FALSE))</f>
        <v>17162.2842875426</v>
      </c>
      <c r="AB60" s="104">
        <f t="shared" si="34"/>
        <v>0.0986</v>
      </c>
      <c r="AC60" s="103">
        <f>R60*VLOOKUP($E60,武器奇术!$A:$R,2,FALSE)*(1+T60)*(1+U60)*V60</f>
        <v>12420.9489979575</v>
      </c>
      <c r="AD60" s="104">
        <f t="shared" si="35"/>
        <v>0.0311</v>
      </c>
      <c r="AE60" s="112">
        <f t="shared" si="36"/>
        <v>26444.1243563153</v>
      </c>
      <c r="AF60" s="113">
        <f>VLOOKUP($E60,武器奇术!$A:$R,3,FALSE)*(1+IF(VLOOKUP($E60,武器奇术!$A:$R,15,FALSE)="武器",$E$15,0))</f>
        <v>842.4</v>
      </c>
      <c r="AG60" s="103">
        <f t="shared" si="1"/>
        <v>842.4</v>
      </c>
      <c r="AH60" s="103">
        <f>VLOOKUP($E60,武器奇术!$A:$R,3,FALSE)*(1+IF(VLOOKUP($E60,武器奇术!$A:$R,15,FALSE)="武器",$E$15,0))</f>
        <v>842.4</v>
      </c>
      <c r="AI60" s="104">
        <f>IF(($D$5+VLOOKUP($E60,武器奇术!$A:$R,13,FALSE)+IF($I$3="√",10,0)-VLOOKUP($F$7,目标属性!$A:$R,5,FALSE))&gt;0,($D$5+VLOOKUP($E60,武器奇术!$A:$R,13,FALSE)+IF($I$3="√",10,0)-VLOOKUP($F$7,目标属性!$A:$R,5,FALSE))/200,($D$5+VLOOKUP($E60,武器奇术!$A:$R,13,FALSE)+IF($I$3="√",10,0)-VLOOKUP($F$7,目标属性!$A:$R,5,FALSE))/100)</f>
        <v>0.4175</v>
      </c>
      <c r="AJ60" s="111">
        <f>$E$5+IF($G$5="烟柳",IF(VLOOKUP($E60,武器奇术!$A:$T,20,FALSE)=1,0.1,0),0)</f>
        <v>0.1</v>
      </c>
      <c r="AK60" s="102">
        <v>1</v>
      </c>
      <c r="AL60" s="103">
        <f t="shared" si="37"/>
        <v>1313.5122</v>
      </c>
      <c r="AM60" s="104">
        <f>(1-IF(VLOOKUP($E60,武器奇术!$A:$R,18,FALSE)="叶龙",1,$N60))*(1-$M60)</f>
        <v>0</v>
      </c>
      <c r="AN60" s="103">
        <f>AG60*(1+AI60)*(1+AJ60)*AK60*(1+$E$16+VLOOKUP($E60,武器奇术!$A:$R,8,FALSE))</f>
        <v>2960.6564988</v>
      </c>
      <c r="AO60" s="104">
        <f t="shared" si="2"/>
        <v>0.8703</v>
      </c>
      <c r="AP60" s="103">
        <f>AH60*(1+AI60)*(1+AJ60)*AK60*(1+$E$17+VLOOKUP($E60,武器奇术!$A:$R,10,FALSE))</f>
        <v>1773.24147</v>
      </c>
      <c r="AQ60" s="104">
        <f t="shared" si="3"/>
        <v>0.0986</v>
      </c>
      <c r="AR60" s="103">
        <f t="shared" si="38"/>
        <v>1313.5122</v>
      </c>
      <c r="AS60" s="104">
        <f t="shared" si="4"/>
        <v>0.0311</v>
      </c>
      <c r="AT60" s="112">
        <f t="shared" si="5"/>
        <v>2792.35118926764</v>
      </c>
      <c r="AU60" s="110">
        <f>$B$7*IF($G$5="撼天",1.05,1)+IF(AND(VLOOKUP($E60,武器奇术!$A:$R,15,FALSE)="武器",VLOOKUP($E60,武器奇术!$A:$R,17,FALSE)="鸣金"),$E$3*(1+$E$15),0)</f>
        <v>0</v>
      </c>
      <c r="AV60" s="102">
        <f t="shared" si="6"/>
        <v>0</v>
      </c>
      <c r="AW60" s="102">
        <f>MAX($C$7*IF($G$5="撼天",1.05,1)+IF(AND(VLOOKUP($E60,武器奇术!$A:$R,15,FALSE)="武器",VLOOKUP($E60,武器奇术!$A:$R,17,FALSE)="鸣金"),$E$3*(1+$E$15),0),AU60)</f>
        <v>0</v>
      </c>
      <c r="AX60" s="104">
        <f>IF(($D$7+IF(VLOOKUP($E60,武器奇术!$A:$R,17,FALSE)="鸣金",$D$15,0)-VLOOKUP($F$7,目标属性!$A:$R,6,FALSE))&gt;0,($D$7+IF(VLOOKUP($E60,武器奇术!$A:$R,17,FALSE)="鸣金",$D$15,0)-VLOOKUP($F$7,目标属性!$A:$R,6,FALSE))/200,($D$7+IF(VLOOKUP($E60,武器奇术!$A:$R,17,FALSE)="鸣金",$D$15,0)-VLOOKUP($F$7,目标属性!$A:$R,6,FALSE))/100)</f>
        <v>-0.24</v>
      </c>
      <c r="AY60" s="111">
        <f t="shared" si="7"/>
        <v>0</v>
      </c>
      <c r="AZ60" s="102">
        <v>1</v>
      </c>
      <c r="BA60" s="103">
        <f>AU60*IF(VLOOKUP($E60,武器奇术!$A:$R,17,FALSE)="鸣金",VLOOKUP($E60,武器奇术!$A:$R,4,FALSE),VLOOKUP($E60,武器奇术!$A:$R,2,FALSE))*(1+AX60)*(1+AY60)*AZ60</f>
        <v>0</v>
      </c>
      <c r="BB60" s="104">
        <f>(1-IF(VLOOKUP($E60,武器奇术!$A:$R,18,FALSE)="叶龙",1,$N60))*(1-$M60)</f>
        <v>0</v>
      </c>
      <c r="BC60" s="103">
        <f>AV60*IF(VLOOKUP($E60,武器奇术!$A:$R,17,FALSE)="鸣金",VLOOKUP($E60,武器奇术!$A:$R,4,FALSE),VLOOKUP($E60,武器奇术!$A:$R,2,FALSE))*(1+AX60)*(1+AY60)*AZ60*(1+$E$16+VLOOKUP($E60,武器奇术!$A:$R,8,FALSE))</f>
        <v>0</v>
      </c>
      <c r="BD60" s="104">
        <f t="shared" si="8"/>
        <v>0.8703</v>
      </c>
      <c r="BE60" s="103">
        <f>AW60*IF(VLOOKUP($E60,武器奇术!$A:$R,17,FALSE)="鸣金",VLOOKUP($E60,武器奇术!$A:$R,4,FALSE),VLOOKUP($E60,武器奇术!$A:$R,2,FALSE))*(1+AX60)*(1+AY60)*AZ60*(1+$E$17+VLOOKUP($E60,武器奇术!$A:$R,10,FALSE))</f>
        <v>0</v>
      </c>
      <c r="BF60" s="104">
        <f t="shared" si="9"/>
        <v>0.0986</v>
      </c>
      <c r="BG60" s="103">
        <f>AV60*IF(VLOOKUP($E60,武器奇术!$A:$R,17,FALSE)="鸣金",VLOOKUP($E60,武器奇术!$A:$R,4,FALSE),VLOOKUP($E60,武器奇术!$A:$R,2,FALSE))*(1+AX60)*(1+AY60)*AZ60</f>
        <v>0</v>
      </c>
      <c r="BH60" s="104">
        <f t="shared" si="10"/>
        <v>0.0311</v>
      </c>
      <c r="BI60" s="112">
        <f t="shared" si="11"/>
        <v>0</v>
      </c>
      <c r="BJ60" s="110">
        <f>$B$9*IF($G$5="撼天",1.05,1)+IF(AND(VLOOKUP($E60,武器奇术!$A:$R,15,FALSE)="武器",VLOOKUP($E60,武器奇术!$A:$R,17,FALSE)="裂石"),$E$3*(1+$E$15),0)</f>
        <v>0</v>
      </c>
      <c r="BK60" s="102">
        <f t="shared" si="12"/>
        <v>0</v>
      </c>
      <c r="BL60" s="102">
        <f>MAX($C$9*IF($G$5="撼天",1.05,1)+IF(AND(VLOOKUP($E60,武器奇术!$A:$R,15,FALSE)="武器",VLOOKUP($E60,武器奇术!$A:$R,17,FALSE)="裂石"),$E$3*(1+$E$15),0),BJ60)</f>
        <v>0</v>
      </c>
      <c r="BM60" s="104">
        <f>IF(($D$9+IF(VLOOKUP($E60,武器奇术!$A:$R,17,FALSE)="裂石",$D$15,0)-VLOOKUP($F$7,目标属性!$A:$R,6,FALSE))&gt;0,($D$9+IF(VLOOKUP($E60,武器奇术!$A:$R,17,FALSE)="裂石",$D$15,0)-VLOOKUP($F$7,目标属性!$A:$R,6,FALSE))/200,($D$9+IF(VLOOKUP($E60,武器奇术!$A:$R,17,FALSE)="裂石",$D$15,0)-VLOOKUP($F$7,目标属性!$A:$R,6,FALSE))/100)</f>
        <v>-0.24</v>
      </c>
      <c r="BN60" s="111">
        <f t="shared" si="13"/>
        <v>0</v>
      </c>
      <c r="BO60" s="102">
        <v>1</v>
      </c>
      <c r="BP60" s="103">
        <f>BJ60*IF(VLOOKUP($E60,武器奇术!$A:$R,17,FALSE)="裂石",VLOOKUP($E60,武器奇术!$A:$R,4,FALSE),VLOOKUP($E60,武器奇术!$A:$R,2,FALSE))*(1+BM60)*(1+BN60)*BO60</f>
        <v>0</v>
      </c>
      <c r="BQ60" s="104">
        <f>(1-IF(VLOOKUP($E60,武器奇术!$A:$R,18,FALSE)="叶龙",1,$N60))*(1-$M60)</f>
        <v>0</v>
      </c>
      <c r="BR60" s="103">
        <f>BK60*IF(VLOOKUP($E60,武器奇术!$A:$R,17,FALSE)="裂石",VLOOKUP($E60,武器奇术!$A:$R,4,FALSE),VLOOKUP($E60,武器奇术!$A:$R,2,FALSE))*(1+BM60)*(1+BN60)*BO60*(1+$E$16+VLOOKUP($E60,武器奇术!$A:$R,8,FALSE))</f>
        <v>0</v>
      </c>
      <c r="BS60" s="104">
        <f t="shared" si="14"/>
        <v>0.8703</v>
      </c>
      <c r="BT60" s="103">
        <f>BL60*IF(VLOOKUP($E60,武器奇术!$A:$R,17,FALSE)="裂石",VLOOKUP($E60,武器奇术!$A:$R,4,FALSE),VLOOKUP($E60,武器奇术!$A:$R,2,FALSE))*(1+BM60)*(1+BN60)*BO60*(1+$E$17+VLOOKUP($E60,武器奇术!$A:$R,10,FALSE))</f>
        <v>0</v>
      </c>
      <c r="BU60" s="104">
        <f t="shared" si="15"/>
        <v>0.0986</v>
      </c>
      <c r="BV60" s="103">
        <f>BK60*IF(VLOOKUP($E60,武器奇术!$A:$R,17,FALSE)="裂石",VLOOKUP($E60,武器奇术!$A:$R,4,FALSE),VLOOKUP($E60,武器奇术!$A:$R,2,FALSE))*(1+BM60)*(1+BN60)*BO60</f>
        <v>0</v>
      </c>
      <c r="BW60" s="104">
        <f t="shared" si="16"/>
        <v>0.0311</v>
      </c>
      <c r="BX60" s="112">
        <f t="shared" si="17"/>
        <v>0</v>
      </c>
      <c r="BY60" s="110">
        <f>$B$11*IF($G$5="撼天",1.05,1)+IF(AND(VLOOKUP($E60,武器奇术!$A:$R,15,FALSE)="武器",VLOOKUP($E60,武器奇术!$A:$R,17,FALSE)="牵丝"),$E$3*(1+$E$15),0)</f>
        <v>686.71</v>
      </c>
      <c r="BZ60" s="102">
        <f>IF(VLOOKUP($E60,武器奇术!$A:$Z,18,FALSE)="叶龙",(CA60-(BY60+CA60)*0.5)*($G$15-0.5)*2+(BY60+CA60)*0.5,(BY60+CA60)*0.5)</f>
        <v>1052.21</v>
      </c>
      <c r="CA60" s="102">
        <f>MAX($C$11*IF($G$5="撼天",1.05,1)+IF(AND(VLOOKUP($E60,武器奇术!$A:$R,15,FALSE)="武器",VLOOKUP($E60,武器奇术!$A:$R,17,FALSE)="牵丝"),$E$3*(1+$E$15),0),BY60)</f>
        <v>1417.71</v>
      </c>
      <c r="CB60" s="104">
        <f>IF(($D$11+IF(VLOOKUP($E60,武器奇术!$A:$R,17,FALSE)="牵丝",$D$15,0)-VLOOKUP($F$7,目标属性!$A:$R,6,FALSE))&gt;0,($D$11+IF(VLOOKUP($E60,武器奇术!$A:$R,17,FALSE)="牵丝",$D$15,0)-VLOOKUP($F$7,目标属性!$A:$R,6,FALSE))/200,($D$11+IF(VLOOKUP($E60,武器奇术!$A:$R,17,FALSE)="牵丝",$D$15,0)-VLOOKUP($F$7,目标属性!$A:$R,6,FALSE))/100)</f>
        <v>0.028</v>
      </c>
      <c r="CC60" s="111">
        <f>$E$11+IF($G$5="烟柳",IF(VLOOKUP($E60,武器奇术!$A:$T,20,FALSE)=1,0.1,0),0)</f>
        <v>0.248</v>
      </c>
      <c r="CD60" s="102">
        <v>1</v>
      </c>
      <c r="CE60" s="103">
        <f>BY60*IF(VLOOKUP($E60,武器奇术!$A:$R,17,FALSE)="牵丝",VLOOKUP($E60,武器奇术!$A:$R,4,FALSE),VLOOKUP($E60,武器奇术!$A:$R,2,FALSE))*(1+CB60)*(1+CC60)*CD60</f>
        <v>3091.90625934528</v>
      </c>
      <c r="CF60" s="104">
        <f>(1-IF(VLOOKUP($E60,武器奇术!$A:$R,18,FALSE)="叶龙",1,$N60))*(1-$M60)</f>
        <v>0</v>
      </c>
      <c r="CG60" s="124">
        <f>BZ60*IF(VLOOKUP($E60,武器奇术!$A:$R,17,FALSE)="牵丝",VLOOKUP($E60,武器奇术!$A:$R,4,FALSE),VLOOKUP($E60,武器奇术!$A:$R,2,FALSE))*(1+CB60)*(1+CC60)*CD60*(1+$E$16+VLOOKUP($E60,武器奇术!$A:$R,8,FALSE))</f>
        <v>10678.4761840055</v>
      </c>
      <c r="CH60" s="104">
        <f t="shared" si="18"/>
        <v>0.8703</v>
      </c>
      <c r="CI60" s="103">
        <f>CA60*IF(VLOOKUP($E60,武器奇术!$A:$R,17,FALSE)="牵丝",VLOOKUP($E60,武器奇术!$A:$R,4,FALSE),VLOOKUP($E60,武器奇术!$A:$R,2,FALSE))*(1+CB60)*(1+CC60)*CD60*(1+$E$17+VLOOKUP($E60,武器奇术!$A:$R,10,FALSE))</f>
        <v>8617.35764873693</v>
      </c>
      <c r="CJ60" s="104">
        <f t="shared" si="19"/>
        <v>0.0986</v>
      </c>
      <c r="CK60" s="124">
        <f>BZ60*IF(VLOOKUP($E60,武器奇术!$A:$R,17,FALSE)="牵丝",VLOOKUP($E60,武器奇术!$A:$R,4,FALSE),VLOOKUP($E60,武器奇术!$A:$R,2,FALSE))*(1+CB60)*(1+CC60)*CD60</f>
        <v>4737.56707364928</v>
      </c>
      <c r="CL60" s="104">
        <f t="shared" si="20"/>
        <v>0.0311</v>
      </c>
      <c r="CM60" s="112">
        <f t="shared" si="39"/>
        <v>10290.4876230959</v>
      </c>
      <c r="CN60" s="110">
        <f>$B$13*IF($G$5="撼天",1.05,1)+IF(AND(VLOOKUP($E60,武器奇术!$A:$R,15,FALSE)="武器",VLOOKUP($E60,武器奇术!$A:$R,17,FALSE)="破竹"),$E$3*(1+$E$15),0)</f>
        <v>0</v>
      </c>
      <c r="CO60" s="102">
        <f t="shared" si="21"/>
        <v>0</v>
      </c>
      <c r="CP60" s="102">
        <f>MAX($C$13*IF($G$5="撼天",1.05,1)+IF(AND(VLOOKUP($E60,武器奇术!$A:$R,15,FALSE)="武器",VLOOKUP($E60,武器奇术!$A:$R,17,FALSE)="破竹"),$E$3*(1+$E$15),0),CN60)</f>
        <v>0</v>
      </c>
      <c r="CQ60" s="104">
        <f>IF(($D$13+IF(VLOOKUP($E60,武器奇术!$A:$R,17,FALSE)="破竹",$D$15,0)-VLOOKUP($F$7,目标属性!$A:$R,6,FALSE))&gt;0,($D$13+IF(VLOOKUP($E60,武器奇术!$A:$R,17,FALSE)="破竹",$D$15,0)-VLOOKUP($F$7,目标属性!$A:$R,6,FALSE))/200,($D$13+IF(VLOOKUP($E60,武器奇术!$A:$R,17,FALSE)="破竹",$D$15,0)-VLOOKUP($F$7,目标属性!$A:$R,6,FALSE))/100)</f>
        <v>-0.24</v>
      </c>
      <c r="CR60" s="111">
        <f t="shared" si="22"/>
        <v>0</v>
      </c>
      <c r="CS60" s="102">
        <v>1</v>
      </c>
      <c r="CT60" s="103">
        <f>CN60*IF(VLOOKUP($E60,武器奇术!$A:$R,17,FALSE)="破竹",VLOOKUP($E60,武器奇术!$A:$R,4,FALSE),VLOOKUP($E60,武器奇术!$A:$R,2,FALSE))*(1+CQ60)*(1+CR60)*CS60</f>
        <v>0</v>
      </c>
      <c r="CU60" s="104">
        <f>(1-IF(VLOOKUP($E60,武器奇术!$A:$R,18,FALSE)="叶龙",1,$N60))*(1-$M60)</f>
        <v>0</v>
      </c>
      <c r="CV60" s="103">
        <f>CO60*IF(VLOOKUP($E60,武器奇术!$A:$R,17,FALSE)="破竹",VLOOKUP($E60,武器奇术!$A:$R,4,FALSE),VLOOKUP($E60,武器奇术!$A:$R,2,FALSE))*(1+CQ60)*(1+CR60)*CS60*(1+$E$16+VLOOKUP($E60,武器奇术!$A:$R,8,FALSE))</f>
        <v>0</v>
      </c>
      <c r="CW60" s="104">
        <f t="shared" si="23"/>
        <v>0.8703</v>
      </c>
      <c r="CX60" s="103">
        <f>CP60*IF(VLOOKUP($E60,武器奇术!$A:$R,17,FALSE)="破竹",VLOOKUP($E60,武器奇术!$A:$R,4,FALSE),VLOOKUP($E60,武器奇术!$A:$R,2,FALSE))*(1+CQ60)*(1+CR60)*CS60*(1+$E$17+VLOOKUP($E60,武器奇术!$A:$R,10,FALSE))</f>
        <v>0</v>
      </c>
      <c r="CY60" s="104">
        <f t="shared" si="24"/>
        <v>0.0986</v>
      </c>
      <c r="CZ60" s="103">
        <f>CO60*IF(VLOOKUP($E60,武器奇术!$A:$R,17,FALSE)="破竹",VLOOKUP($E60,武器奇术!$A:$R,4,FALSE),VLOOKUP($E60,武器奇术!$A:$R,2,FALSE))*(1+CQ60)*(1+CR60)*CS60</f>
        <v>0</v>
      </c>
      <c r="DA60" s="104">
        <f t="shared" si="25"/>
        <v>0.0311</v>
      </c>
      <c r="DB60" s="112">
        <f t="shared" si="26"/>
        <v>0</v>
      </c>
      <c r="DC60" s="110">
        <f t="shared" si="40"/>
        <v>66</v>
      </c>
      <c r="DD60" s="102">
        <f t="shared" si="27"/>
        <v>125.8</v>
      </c>
      <c r="DE60" s="102">
        <f t="shared" si="41"/>
        <v>185.6</v>
      </c>
      <c r="DF60" s="104">
        <f>IF((IF(VLOOKUP($E60,武器奇术!$A:$R,17,FALSE)="鸣金",$D$7,0)+IF(VLOOKUP($E60,武器奇术!$A:$R,17,FALSE)="裂石",$D$9,0)+IF(VLOOKUP($E60,武器奇术!$A:$R,17,FALSE)="牵丝",$D$11,0)+IF(VLOOKUP($E60,武器奇术!$A:$R,17,FALSE)="破竹",$D$13,0)+$D$15-VLOOKUP($F$7,目标属性!$A:$R,6,FALSE))&gt;0,(IF(VLOOKUP($E60,武器奇术!$A:$R,17,FALSE)="鸣金",$D$7,0)+IF(VLOOKUP($E60,武器奇术!$A:$R,17,FALSE)="裂石",$D$9,0)+IF(VLOOKUP($E60,武器奇术!$A:$R,17,FALSE)="牵丝",$D$11,0)+IF(VLOOKUP($E60,武器奇术!$A:$R,17,FALSE)="破竹",$D$13,0)+$D$15-VLOOKUP($F$7,目标属性!$A:$R,6,FALSE))/200,(IF(VLOOKUP($E60,武器奇术!$A:$R,17,FALSE)="鸣金",$D$7,0)+IF(VLOOKUP($E60,武器奇术!$A:$R,17,FALSE)="裂石",$D$9,0)+IF(VLOOKUP($E60,武器奇术!$A:$R,17,FALSE)="牵丝",$D$11,0)+IF(VLOOKUP($E60,武器奇术!$A:$R,17,FALSE)="破竹",$D$13,0)+$D$15-VLOOKUP($F$7,目标属性!$A:$R,6,FALSE))/100)</f>
        <v>0.028</v>
      </c>
      <c r="DG60" s="111">
        <f>$E$11+IF($G$5="烟柳",IF(VLOOKUP($E60,武器奇术!$A:$T,20,FALSE)=1,0.1,0),0)</f>
        <v>0.248</v>
      </c>
      <c r="DH60" s="102">
        <v>1</v>
      </c>
      <c r="DI60" s="103">
        <f>DC60*IF(VLOOKUP($E60,武器奇术!$A:$R,17,FALSE)="牵丝",VLOOKUP($E60,武器奇术!$A:$R,4,FALSE),VLOOKUP($E60,武器奇术!$A:$R,2,FALSE))*(1+DF60)*(1+DG60)*DH60</f>
        <v>297.164469888</v>
      </c>
      <c r="DJ60" s="104">
        <f>(1-IF(VLOOKUP($E60,武器奇术!$A:$R,18,FALSE)="叶龙",1,$N60))*(1-$M60)</f>
        <v>0</v>
      </c>
      <c r="DK60" s="124">
        <f>DD60*IF(VLOOKUP($E60,武器奇术!$A:$R,17,FALSE)="牵丝",VLOOKUP($E60,武器奇术!$A:$R,4,FALSE),VLOOKUP($E60,武器奇术!$A:$R,2,FALSE))*(1+DF60)*(1+DG60)*DH60*(1+$E$16+VLOOKUP($E60,武器奇术!$A:$R,8,FALSE))</f>
        <v>1276.6960055007</v>
      </c>
      <c r="DL60" s="104">
        <f t="shared" si="28"/>
        <v>0.8703</v>
      </c>
      <c r="DM60" s="103">
        <f>DE60*IF(VLOOKUP($E60,武器奇术!$A:$R,17,FALSE)="牵丝",VLOOKUP($E60,武器奇术!$A:$R,4,FALSE),VLOOKUP($E60,武器奇术!$A:$R,2,FALSE))*(1+DF60)*(1+DG60)*DH60*(1+$E$17+VLOOKUP($E60,武器奇术!$A:$R,10,FALSE))</f>
        <v>1128.14438750208</v>
      </c>
      <c r="DN60" s="104">
        <f t="shared" si="29"/>
        <v>0.0986</v>
      </c>
      <c r="DO60" s="124">
        <f>DD60*IF(VLOOKUP($E60,武器奇术!$A:$R,17,FALSE)="牵丝",VLOOKUP($E60,武器奇术!$A:$R,4,FALSE),VLOOKUP($E60,武器奇术!$A:$R,2,FALSE))*(1+DF60)*(1+DG60)*DH60</f>
        <v>566.4134895744</v>
      </c>
      <c r="DP60" s="104">
        <f t="shared" si="30"/>
        <v>0.0311</v>
      </c>
      <c r="DQ60" s="112">
        <f t="shared" si="31"/>
        <v>1239.95902972073</v>
      </c>
    </row>
    <row r="61" customFormat="1" customHeight="1" spans="1:121">
      <c r="A61" s="37"/>
      <c r="B61" t="s">
        <v>165</v>
      </c>
      <c r="C61" s="141">
        <v>1.3</v>
      </c>
      <c r="D61" s="139"/>
      <c r="E61" s="115" t="s">
        <v>166</v>
      </c>
      <c r="F61" s="116">
        <v>1</v>
      </c>
      <c r="G61" s="117"/>
      <c r="H61" s="103">
        <f>IF(VLOOKUP($E61,武器奇术!$A:$R,18,FALSE)="天工",AE61,(AE61+AT61+BI61+BX61+CM61+DB61+DQ61))*(1+J61)*F61*K61*(1+G61)</f>
        <v>40054.7654770893</v>
      </c>
      <c r="I61" s="104">
        <f t="shared" si="42"/>
        <v>0.00461631003374478</v>
      </c>
      <c r="J61" s="138">
        <f>$F$3+VLOOKUP($E61,武器奇术!$A:$R,12,FALSE)+VLOOKUP($E61,武器奇术!$A:$R,14,FALSE)*$G$3+$P61</f>
        <v>0.623</v>
      </c>
      <c r="K61" s="105">
        <f>VLOOKUP($E61,武器奇术!$A:$R,11,FALSE)</f>
        <v>1</v>
      </c>
      <c r="L61" s="119">
        <f>IF(VLOOKUP($E61,武器奇术!$A:$R,15,FALSE)="天工",0%,IF($C$17+VLOOKUP($E61,武器奇术!$A:$R,7,FALSE)&gt;80%,80%,$C$17+VLOOKUP($E61,武器奇术!$A:$R,7,FALSE))+IF($C$19&gt;20%,20%,$C$19))</f>
        <v>0.8703</v>
      </c>
      <c r="M61" s="120">
        <f>IF(VLOOKUP($E61,武器奇术!$A:$R,15,FALSE)="天工",0%,IF($C$18+VLOOKUP($E61,武器奇术!$A:$R,9,FALSE)&gt;40%,40%,$C$18+VLOOKUP($E61,武器奇术!$A:$R,9,FALSE))+IF($C$20&gt;10%,10%,$C$20))</f>
        <v>0.0986</v>
      </c>
      <c r="N61" s="121">
        <f>IF(VLOOKUP($E61,武器奇术!$A:$R,15,FALSE)="天工",100%,MIN($C$16,1))</f>
        <v>1</v>
      </c>
      <c r="O61" s="122" t="str">
        <f>VLOOKUP($E61,武器奇术!$A:$R,16,FALSE)</f>
        <v>伞</v>
      </c>
      <c r="P61" s="123">
        <f t="shared" si="32"/>
        <v>0.17</v>
      </c>
      <c r="Q61" s="110">
        <f>$B$5*(1+VLOOKUP($E61,武器奇术!$A:$R,5,FALSE))*(1+VLOOKUP($E61,武器奇术!$A:$S,19,FALSE)+IF($G$5="飞隼",0.1,0)+IF($G$5="撼天",0.05,0))-$F$9+IF($J$5="√",160,0)</f>
        <v>3324.7</v>
      </c>
      <c r="R61" s="102">
        <f>IF(VLOOKUP($E61,武器奇术!$A:$Z,18,FALSE)="叶龙",(S61-(Q61+S61)*0.5)*($G$15-0.5)*2+(Q61+S61)*0.5,(Q61+S61)*0.5)</f>
        <v>3404.7</v>
      </c>
      <c r="S61" s="102">
        <f>MAX($C$5,$B$5)*(1+VLOOKUP($E61,武器奇术!$A:$R,6,FALSE))*(1+VLOOKUP($E61,武器奇术!$A:$S,19,FALSE)+IF($G$5="飞隼",0.1,0)+IF($G$5="撼天",0.05,0))-$F$9+IF($J$5="√",320,0)</f>
        <v>3484.7</v>
      </c>
      <c r="T61" s="104">
        <f>IF(($D$5+VLOOKUP($E61,武器奇术!$A:$R,13,FALSE)+IF($I$3="√",10,0)-VLOOKUP($F$7,目标属性!$A:$R,5,FALSE))&gt;0,($D$5+VLOOKUP($E61,武器奇术!$A:$R,13,FALSE)+IF($I$3="√",10,0)-VLOOKUP($F$7,目标属性!$A:$R,5,FALSE))/200,($D$5+VLOOKUP($E61,武器奇术!$A:$R,13,FALSE)+IF($I$3="√",10,0)-VLOOKUP($F$7,目标属性!$A:$R,5,FALSE))/100)</f>
        <v>0.3925</v>
      </c>
      <c r="U61" s="111">
        <f>$E$5+IF($G$5="烟柳",IF(VLOOKUP($E61,武器奇术!$A:$T,20,FALSE)=1,0.1,0),0)</f>
        <v>0.1</v>
      </c>
      <c r="V61" s="102">
        <v>1</v>
      </c>
      <c r="W61" s="103">
        <f>Q61*VLOOKUP($E61,武器奇术!$A:$R,2,FALSE)*(1+T61)*(1+U61)*V61</f>
        <v>8654.8893778875</v>
      </c>
      <c r="X61" s="104">
        <f>(1-IF(VLOOKUP($E61,武器奇术!$A:$R,18,FALSE)="叶龙",1,$N61))*(1-$M61)</f>
        <v>0</v>
      </c>
      <c r="Y61" s="103">
        <f>R61*VLOOKUP($E61,武器奇术!$A:$R,2,FALSE)*(1+T61)*(1+U61)*V61*(1+$E$16+VLOOKUP($E61,武器奇术!$A:$R,8,FALSE))</f>
        <v>16786.7987283389</v>
      </c>
      <c r="Z61" s="104">
        <f t="shared" si="33"/>
        <v>0.8703</v>
      </c>
      <c r="AA61" s="103">
        <f>S61*VLOOKUP($E61,武器奇术!$A:$R,2,FALSE)*(1+T61)*(1+U61)*V61*(1+$E$17+VLOOKUP($E61,武器奇术!$A:$R,10,FALSE))</f>
        <v>12246.3938311481</v>
      </c>
      <c r="AB61" s="104">
        <f t="shared" si="34"/>
        <v>0.0986</v>
      </c>
      <c r="AC61" s="103">
        <f>R61*VLOOKUP($E61,武器奇术!$A:$R,2,FALSE)*(1+T61)*(1+U61)*V61</f>
        <v>8863.1461078875</v>
      </c>
      <c r="AD61" s="104">
        <f t="shared" si="35"/>
        <v>0.0311</v>
      </c>
      <c r="AE61" s="112">
        <f t="shared" si="36"/>
        <v>16092.6892089799</v>
      </c>
      <c r="AF61" s="113">
        <f>VLOOKUP($E61,武器奇术!$A:$R,3,FALSE)*(1+IF(VLOOKUP($E61,武器奇术!$A:$R,15,FALSE)="武器",$E$15,0))</f>
        <v>510.9</v>
      </c>
      <c r="AG61" s="103">
        <f t="shared" si="1"/>
        <v>510.9</v>
      </c>
      <c r="AH61" s="103">
        <f>VLOOKUP($E61,武器奇术!$A:$R,3,FALSE)*(1+IF(VLOOKUP($E61,武器奇术!$A:$R,15,FALSE)="武器",$E$15,0))</f>
        <v>510.9</v>
      </c>
      <c r="AI61" s="104">
        <f>IF(($D$5+VLOOKUP($E61,武器奇术!$A:$R,13,FALSE)+IF($I$3="√",10,0)-VLOOKUP($F$7,目标属性!$A:$R,5,FALSE))&gt;0,($D$5+VLOOKUP($E61,武器奇术!$A:$R,13,FALSE)+IF($I$3="√",10,0)-VLOOKUP($F$7,目标属性!$A:$R,5,FALSE))/200,($D$5+VLOOKUP($E61,武器奇术!$A:$R,13,FALSE)+IF($I$3="√",10,0)-VLOOKUP($F$7,目标属性!$A:$R,5,FALSE))/100)</f>
        <v>0.3925</v>
      </c>
      <c r="AJ61" s="111">
        <f>$E$5+IF($G$5="烟柳",IF(VLOOKUP($E61,武器奇术!$A:$T,20,FALSE)=1,0.1,0),0)</f>
        <v>0.1</v>
      </c>
      <c r="AK61" s="102">
        <v>1</v>
      </c>
      <c r="AL61" s="103">
        <f t="shared" si="37"/>
        <v>782.571075</v>
      </c>
      <c r="AM61" s="104">
        <f>(1-IF(VLOOKUP($E61,武器奇术!$A:$R,18,FALSE)="叶龙",1,$N61))*(1-$M61)</f>
        <v>0</v>
      </c>
      <c r="AN61" s="103">
        <f>AG61*(1+AI61)*(1+AJ61)*AK61*(1+$E$16+VLOOKUP($E61,武器奇术!$A:$R,8,FALSE))</f>
        <v>1482.18961605</v>
      </c>
      <c r="AO61" s="104">
        <f t="shared" si="2"/>
        <v>0.8703</v>
      </c>
      <c r="AP61" s="103">
        <f>AH61*(1+AI61)*(1+AJ61)*AK61*(1+$E$17+VLOOKUP($E61,武器奇术!$A:$R,10,FALSE))</f>
        <v>1056.47095125</v>
      </c>
      <c r="AQ61" s="104">
        <f t="shared" si="3"/>
        <v>0.0986</v>
      </c>
      <c r="AR61" s="103">
        <f t="shared" si="38"/>
        <v>782.571075</v>
      </c>
      <c r="AS61" s="104">
        <f t="shared" si="4"/>
        <v>0.0311</v>
      </c>
      <c r="AT61" s="112">
        <f t="shared" si="5"/>
        <v>1418.45561907407</v>
      </c>
      <c r="AU61" s="110">
        <f>$B$7*IF($G$5="撼天",1.05,1)+IF(AND(VLOOKUP($E61,武器奇术!$A:$R,15,FALSE)="武器",VLOOKUP($E61,武器奇术!$A:$R,17,FALSE)="鸣金"),$E$3*(1+$E$15),0)</f>
        <v>0</v>
      </c>
      <c r="AV61" s="102">
        <f t="shared" si="6"/>
        <v>0</v>
      </c>
      <c r="AW61" s="102">
        <f>MAX($C$7*IF($G$5="撼天",1.05,1)+IF(AND(VLOOKUP($E61,武器奇术!$A:$R,15,FALSE)="武器",VLOOKUP($E61,武器奇术!$A:$R,17,FALSE)="鸣金"),$E$3*(1+$E$15),0),AU61)</f>
        <v>0</v>
      </c>
      <c r="AX61" s="104">
        <f>IF(($D$7+IF(VLOOKUP($E61,武器奇术!$A:$R,17,FALSE)="鸣金",$D$15,0)-VLOOKUP($F$7,目标属性!$A:$R,6,FALSE))&gt;0,($D$7+IF(VLOOKUP($E61,武器奇术!$A:$R,17,FALSE)="鸣金",$D$15,0)-VLOOKUP($F$7,目标属性!$A:$R,6,FALSE))/200,($D$7+IF(VLOOKUP($E61,武器奇术!$A:$R,17,FALSE)="鸣金",$D$15,0)-VLOOKUP($F$7,目标属性!$A:$R,6,FALSE))/100)</f>
        <v>-0.24</v>
      </c>
      <c r="AY61" s="111">
        <f t="shared" si="7"/>
        <v>0</v>
      </c>
      <c r="AZ61" s="102">
        <v>1</v>
      </c>
      <c r="BA61" s="103">
        <f>AU61*IF(VLOOKUP($E61,武器奇术!$A:$R,17,FALSE)="鸣金",VLOOKUP($E61,武器奇术!$A:$R,4,FALSE),VLOOKUP($E61,武器奇术!$A:$R,2,FALSE))*(1+AX61)*(1+AY61)*AZ61</f>
        <v>0</v>
      </c>
      <c r="BB61" s="104">
        <f>(1-IF(VLOOKUP($E61,武器奇术!$A:$R,18,FALSE)="叶龙",1,$N61))*(1-$M61)</f>
        <v>0</v>
      </c>
      <c r="BC61" s="103">
        <f>AV61*IF(VLOOKUP($E61,武器奇术!$A:$R,17,FALSE)="鸣金",VLOOKUP($E61,武器奇术!$A:$R,4,FALSE),VLOOKUP($E61,武器奇术!$A:$R,2,FALSE))*(1+AX61)*(1+AY61)*AZ61*(1+$E$16+VLOOKUP($E61,武器奇术!$A:$R,8,FALSE))</f>
        <v>0</v>
      </c>
      <c r="BD61" s="104">
        <f t="shared" si="8"/>
        <v>0.8703</v>
      </c>
      <c r="BE61" s="103">
        <f>AW61*IF(VLOOKUP($E61,武器奇术!$A:$R,17,FALSE)="鸣金",VLOOKUP($E61,武器奇术!$A:$R,4,FALSE),VLOOKUP($E61,武器奇术!$A:$R,2,FALSE))*(1+AX61)*(1+AY61)*AZ61*(1+$E$17+VLOOKUP($E61,武器奇术!$A:$R,10,FALSE))</f>
        <v>0</v>
      </c>
      <c r="BF61" s="104">
        <f t="shared" si="9"/>
        <v>0.0986</v>
      </c>
      <c r="BG61" s="103">
        <f>AV61*IF(VLOOKUP($E61,武器奇术!$A:$R,17,FALSE)="鸣金",VLOOKUP($E61,武器奇术!$A:$R,4,FALSE),VLOOKUP($E61,武器奇术!$A:$R,2,FALSE))*(1+AX61)*(1+AY61)*AZ61</f>
        <v>0</v>
      </c>
      <c r="BH61" s="104">
        <f t="shared" si="10"/>
        <v>0.0311</v>
      </c>
      <c r="BI61" s="112">
        <f t="shared" si="11"/>
        <v>0</v>
      </c>
      <c r="BJ61" s="110">
        <f>$B$9*IF($G$5="撼天",1.05,1)+IF(AND(VLOOKUP($E61,武器奇术!$A:$R,15,FALSE)="武器",VLOOKUP($E61,武器奇术!$A:$R,17,FALSE)="裂石"),$E$3*(1+$E$15),0)</f>
        <v>0</v>
      </c>
      <c r="BK61" s="102">
        <f t="shared" si="12"/>
        <v>0</v>
      </c>
      <c r="BL61" s="102">
        <f>MAX($C$9*IF($G$5="撼天",1.05,1)+IF(AND(VLOOKUP($E61,武器奇术!$A:$R,15,FALSE)="武器",VLOOKUP($E61,武器奇术!$A:$R,17,FALSE)="裂石"),$E$3*(1+$E$15),0),BJ61)</f>
        <v>0</v>
      </c>
      <c r="BM61" s="104">
        <f>IF(($D$9+IF(VLOOKUP($E61,武器奇术!$A:$R,17,FALSE)="裂石",$D$15,0)-VLOOKUP($F$7,目标属性!$A:$R,6,FALSE))&gt;0,($D$9+IF(VLOOKUP($E61,武器奇术!$A:$R,17,FALSE)="裂石",$D$15,0)-VLOOKUP($F$7,目标属性!$A:$R,6,FALSE))/200,($D$9+IF(VLOOKUP($E61,武器奇术!$A:$R,17,FALSE)="裂石",$D$15,0)-VLOOKUP($F$7,目标属性!$A:$R,6,FALSE))/100)</f>
        <v>-0.24</v>
      </c>
      <c r="BN61" s="111">
        <f t="shared" si="13"/>
        <v>0</v>
      </c>
      <c r="BO61" s="102">
        <v>1</v>
      </c>
      <c r="BP61" s="103">
        <f>BJ61*IF(VLOOKUP($E61,武器奇术!$A:$R,17,FALSE)="裂石",VLOOKUP($E61,武器奇术!$A:$R,4,FALSE),VLOOKUP($E61,武器奇术!$A:$R,2,FALSE))*(1+BM61)*(1+BN61)*BO61</f>
        <v>0</v>
      </c>
      <c r="BQ61" s="104">
        <f>(1-IF(VLOOKUP($E61,武器奇术!$A:$R,18,FALSE)="叶龙",1,$N61))*(1-$M61)</f>
        <v>0</v>
      </c>
      <c r="BR61" s="103">
        <f>BK61*IF(VLOOKUP($E61,武器奇术!$A:$R,17,FALSE)="裂石",VLOOKUP($E61,武器奇术!$A:$R,4,FALSE),VLOOKUP($E61,武器奇术!$A:$R,2,FALSE))*(1+BM61)*(1+BN61)*BO61*(1+$E$16+VLOOKUP($E61,武器奇术!$A:$R,8,FALSE))</f>
        <v>0</v>
      </c>
      <c r="BS61" s="104">
        <f t="shared" si="14"/>
        <v>0.8703</v>
      </c>
      <c r="BT61" s="103">
        <f>BL61*IF(VLOOKUP($E61,武器奇术!$A:$R,17,FALSE)="裂石",VLOOKUP($E61,武器奇术!$A:$R,4,FALSE),VLOOKUP($E61,武器奇术!$A:$R,2,FALSE))*(1+BM61)*(1+BN61)*BO61*(1+$E$17+VLOOKUP($E61,武器奇术!$A:$R,10,FALSE))</f>
        <v>0</v>
      </c>
      <c r="BU61" s="104">
        <f t="shared" si="15"/>
        <v>0.0986</v>
      </c>
      <c r="BV61" s="103">
        <f>BK61*IF(VLOOKUP($E61,武器奇术!$A:$R,17,FALSE)="裂石",VLOOKUP($E61,武器奇术!$A:$R,4,FALSE),VLOOKUP($E61,武器奇术!$A:$R,2,FALSE))*(1+BM61)*(1+BN61)*BO61</f>
        <v>0</v>
      </c>
      <c r="BW61" s="104">
        <f t="shared" si="16"/>
        <v>0.0311</v>
      </c>
      <c r="BX61" s="112">
        <f t="shared" si="17"/>
        <v>0</v>
      </c>
      <c r="BY61" s="110">
        <f>$B$11*IF($G$5="撼天",1.05,1)+IF(AND(VLOOKUP($E61,武器奇术!$A:$R,15,FALSE)="武器",VLOOKUP($E61,武器奇术!$A:$R,17,FALSE)="牵丝"),$E$3*(1+$E$15),0)</f>
        <v>686.71</v>
      </c>
      <c r="BZ61" s="102">
        <f>IF(VLOOKUP($E61,武器奇术!$A:$Z,18,FALSE)="叶龙",(CA61-(BY61+CA61)*0.5)*($G$15-0.5)*2+(BY61+CA61)*0.5,(BY61+CA61)*0.5)</f>
        <v>1052.21</v>
      </c>
      <c r="CA61" s="102">
        <f>MAX($C$11*IF($G$5="撼天",1.05,1)+IF(AND(VLOOKUP($E61,武器奇术!$A:$R,15,FALSE)="武器",VLOOKUP($E61,武器奇术!$A:$R,17,FALSE)="牵丝"),$E$3*(1+$E$15),0),BY61)</f>
        <v>1417.71</v>
      </c>
      <c r="CB61" s="104">
        <f>IF(($D$11+IF(VLOOKUP($E61,武器奇术!$A:$R,17,FALSE)="牵丝",$D$15,0)-VLOOKUP($F$7,目标属性!$A:$R,6,FALSE))&gt;0,($D$11+IF(VLOOKUP($E61,武器奇术!$A:$R,17,FALSE)="牵丝",$D$15,0)-VLOOKUP($F$7,目标属性!$A:$R,6,FALSE))/200,($D$11+IF(VLOOKUP($E61,武器奇术!$A:$R,17,FALSE)="牵丝",$D$15,0)-VLOOKUP($F$7,目标属性!$A:$R,6,FALSE))/100)</f>
        <v>0.028</v>
      </c>
      <c r="CC61" s="111">
        <f>$E$11+IF($G$5="烟柳",IF(VLOOKUP($E61,武器奇术!$A:$T,20,FALSE)=1,0.1,0),0)</f>
        <v>0.248</v>
      </c>
      <c r="CD61" s="102">
        <v>1</v>
      </c>
      <c r="CE61" s="103">
        <f>BY61*IF(VLOOKUP($E61,武器奇术!$A:$R,17,FALSE)="牵丝",VLOOKUP($E61,武器奇术!$A:$R,4,FALSE),VLOOKUP($E61,武器奇术!$A:$R,2,FALSE))*(1+CB61)*(1+CC61)*CD61</f>
        <v>2245.87190093261</v>
      </c>
      <c r="CF61" s="104">
        <f>(1-IF(VLOOKUP($E61,武器奇术!$A:$R,18,FALSE)="叶龙",1,$N61))*(1-$M61)</f>
        <v>0</v>
      </c>
      <c r="CG61" s="124">
        <f>BZ61*IF(VLOOKUP($E61,武器奇术!$A:$R,17,FALSE)="牵丝",VLOOKUP($E61,武器奇术!$A:$R,4,FALSE),VLOOKUP($E61,武器奇术!$A:$R,2,FALSE))*(1+CB61)*(1+CC61)*CD61*(1+$E$16+VLOOKUP($E61,武器奇术!$A:$R,8,FALSE))</f>
        <v>6517.69463854507</v>
      </c>
      <c r="CH61" s="104">
        <f t="shared" si="18"/>
        <v>0.8703</v>
      </c>
      <c r="CI61" s="103">
        <f>CA61*IF(VLOOKUP($E61,武器奇术!$A:$R,17,FALSE)="牵丝",VLOOKUP($E61,武器奇术!$A:$R,4,FALSE),VLOOKUP($E61,武器奇术!$A:$R,2,FALSE))*(1+CB61)*(1+CC61)*CD61*(1+$E$17+VLOOKUP($E61,武器奇术!$A:$R,10,FALSE))</f>
        <v>6259.4010879499</v>
      </c>
      <c r="CJ61" s="104">
        <f t="shared" si="19"/>
        <v>0.0986</v>
      </c>
      <c r="CK61" s="124">
        <f>BZ61*IF(VLOOKUP($E61,武器奇术!$A:$R,17,FALSE)="牵丝",VLOOKUP($E61,武器奇术!$A:$R,4,FALSE),VLOOKUP($E61,武器奇术!$A:$R,2,FALSE))*(1+CB61)*(1+CC61)*CD61</f>
        <v>3441.23264970701</v>
      </c>
      <c r="CL61" s="104">
        <f t="shared" si="20"/>
        <v>0.0311</v>
      </c>
      <c r="CM61" s="112">
        <f t="shared" si="39"/>
        <v>6396.54892660353</v>
      </c>
      <c r="CN61" s="110">
        <f>$B$13*IF($G$5="撼天",1.05,1)+IF(AND(VLOOKUP($E61,武器奇术!$A:$R,15,FALSE)="武器",VLOOKUP($E61,武器奇术!$A:$R,17,FALSE)="破竹"),$E$3*(1+$E$15),0)</f>
        <v>0</v>
      </c>
      <c r="CO61" s="102">
        <f t="shared" si="21"/>
        <v>0</v>
      </c>
      <c r="CP61" s="102">
        <f>MAX($C$13*IF($G$5="撼天",1.05,1)+IF(AND(VLOOKUP($E61,武器奇术!$A:$R,15,FALSE)="武器",VLOOKUP($E61,武器奇术!$A:$R,17,FALSE)="破竹"),$E$3*(1+$E$15),0),CN61)</f>
        <v>0</v>
      </c>
      <c r="CQ61" s="104">
        <f>IF(($D$13+IF(VLOOKUP($E61,武器奇术!$A:$R,17,FALSE)="破竹",$D$15,0)-VLOOKUP($F$7,目标属性!$A:$R,6,FALSE))&gt;0,($D$13+IF(VLOOKUP($E61,武器奇术!$A:$R,17,FALSE)="破竹",$D$15,0)-VLOOKUP($F$7,目标属性!$A:$R,6,FALSE))/200,($D$13+IF(VLOOKUP($E61,武器奇术!$A:$R,17,FALSE)="破竹",$D$15,0)-VLOOKUP($F$7,目标属性!$A:$R,6,FALSE))/100)</f>
        <v>-0.24</v>
      </c>
      <c r="CR61" s="111">
        <f t="shared" si="22"/>
        <v>0</v>
      </c>
      <c r="CS61" s="102">
        <v>1</v>
      </c>
      <c r="CT61" s="103">
        <f>CN61*IF(VLOOKUP($E61,武器奇术!$A:$R,17,FALSE)="破竹",VLOOKUP($E61,武器奇术!$A:$R,4,FALSE),VLOOKUP($E61,武器奇术!$A:$R,2,FALSE))*(1+CQ61)*(1+CR61)*CS61</f>
        <v>0</v>
      </c>
      <c r="CU61" s="104">
        <f>(1-IF(VLOOKUP($E61,武器奇术!$A:$R,18,FALSE)="叶龙",1,$N61))*(1-$M61)</f>
        <v>0</v>
      </c>
      <c r="CV61" s="103">
        <f>CO61*IF(VLOOKUP($E61,武器奇术!$A:$R,17,FALSE)="破竹",VLOOKUP($E61,武器奇术!$A:$R,4,FALSE),VLOOKUP($E61,武器奇术!$A:$R,2,FALSE))*(1+CQ61)*(1+CR61)*CS61*(1+$E$16+VLOOKUP($E61,武器奇术!$A:$R,8,FALSE))</f>
        <v>0</v>
      </c>
      <c r="CW61" s="104">
        <f t="shared" si="23"/>
        <v>0.8703</v>
      </c>
      <c r="CX61" s="103">
        <f>CP61*IF(VLOOKUP($E61,武器奇术!$A:$R,17,FALSE)="破竹",VLOOKUP($E61,武器奇术!$A:$R,4,FALSE),VLOOKUP($E61,武器奇术!$A:$R,2,FALSE))*(1+CQ61)*(1+CR61)*CS61*(1+$E$17+VLOOKUP($E61,武器奇术!$A:$R,10,FALSE))</f>
        <v>0</v>
      </c>
      <c r="CY61" s="104">
        <f t="shared" si="24"/>
        <v>0.0986</v>
      </c>
      <c r="CZ61" s="103">
        <f>CO61*IF(VLOOKUP($E61,武器奇术!$A:$R,17,FALSE)="破竹",VLOOKUP($E61,武器奇术!$A:$R,4,FALSE),VLOOKUP($E61,武器奇术!$A:$R,2,FALSE))*(1+CQ61)*(1+CR61)*CS61</f>
        <v>0</v>
      </c>
      <c r="DA61" s="104">
        <f t="shared" si="25"/>
        <v>0.0311</v>
      </c>
      <c r="DB61" s="112">
        <f t="shared" si="26"/>
        <v>0</v>
      </c>
      <c r="DC61" s="110">
        <f t="shared" si="40"/>
        <v>66</v>
      </c>
      <c r="DD61" s="102">
        <f t="shared" si="27"/>
        <v>125.8</v>
      </c>
      <c r="DE61" s="102">
        <f t="shared" si="41"/>
        <v>185.6</v>
      </c>
      <c r="DF61" s="104">
        <f>IF((IF(VLOOKUP($E61,武器奇术!$A:$R,17,FALSE)="鸣金",$D$7,0)+IF(VLOOKUP($E61,武器奇术!$A:$R,17,FALSE)="裂石",$D$9,0)+IF(VLOOKUP($E61,武器奇术!$A:$R,17,FALSE)="牵丝",$D$11,0)+IF(VLOOKUP($E61,武器奇术!$A:$R,17,FALSE)="破竹",$D$13,0)+$D$15-VLOOKUP($F$7,目标属性!$A:$R,6,FALSE))&gt;0,(IF(VLOOKUP($E61,武器奇术!$A:$R,17,FALSE)="鸣金",$D$7,0)+IF(VLOOKUP($E61,武器奇术!$A:$R,17,FALSE)="裂石",$D$9,0)+IF(VLOOKUP($E61,武器奇术!$A:$R,17,FALSE)="牵丝",$D$11,0)+IF(VLOOKUP($E61,武器奇术!$A:$R,17,FALSE)="破竹",$D$13,0)+$D$15-VLOOKUP($F$7,目标属性!$A:$R,6,FALSE))/200,(IF(VLOOKUP($E61,武器奇术!$A:$R,17,FALSE)="鸣金",$D$7,0)+IF(VLOOKUP($E61,武器奇术!$A:$R,17,FALSE)="裂石",$D$9,0)+IF(VLOOKUP($E61,武器奇术!$A:$R,17,FALSE)="牵丝",$D$11,0)+IF(VLOOKUP($E61,武器奇术!$A:$R,17,FALSE)="破竹",$D$13,0)+$D$15-VLOOKUP($F$7,目标属性!$A:$R,6,FALSE))/100)</f>
        <v>0.028</v>
      </c>
      <c r="DG61" s="111">
        <f>$E$11+IF($G$5="烟柳",IF(VLOOKUP($E61,武器奇术!$A:$T,20,FALSE)=1,0.1,0),0)</f>
        <v>0.248</v>
      </c>
      <c r="DH61" s="102">
        <v>1</v>
      </c>
      <c r="DI61" s="103">
        <f>DC61*IF(VLOOKUP($E61,武器奇术!$A:$R,17,FALSE)="牵丝",VLOOKUP($E61,武器奇术!$A:$R,4,FALSE),VLOOKUP($E61,武器奇术!$A:$R,2,FALSE))*(1+DF61)*(1+DG61)*DH61</f>
        <v>215.8517357568</v>
      </c>
      <c r="DJ61" s="104">
        <f>(1-IF(VLOOKUP($E61,武器奇术!$A:$R,18,FALSE)="叶龙",1,$N61))*(1-$M61)</f>
        <v>0</v>
      </c>
      <c r="DK61" s="124">
        <f>DD61*IF(VLOOKUP($E61,武器奇术!$A:$R,17,FALSE)="牵丝",VLOOKUP($E61,武器奇术!$A:$R,4,FALSE),VLOOKUP($E61,武器奇术!$A:$R,2,FALSE))*(1+DF61)*(1+DG61)*DH61*(1+$E$16+VLOOKUP($E61,武器奇术!$A:$R,8,FALSE))</f>
        <v>779.241772582441</v>
      </c>
      <c r="DL61" s="104">
        <f t="shared" si="28"/>
        <v>0.8703</v>
      </c>
      <c r="DM61" s="103">
        <f>DE61*IF(VLOOKUP($E61,武器奇术!$A:$R,17,FALSE)="牵丝",VLOOKUP($E61,武器奇术!$A:$R,4,FALSE),VLOOKUP($E61,武器奇术!$A:$R,2,FALSE))*(1+DF61)*(1+DG61)*DH61*(1+$E$17+VLOOKUP($E61,武器奇术!$A:$R,10,FALSE))</f>
        <v>819.451680473088</v>
      </c>
      <c r="DN61" s="104">
        <f t="shared" si="29"/>
        <v>0.0986</v>
      </c>
      <c r="DO61" s="124">
        <f>DD61*IF(VLOOKUP($E61,武器奇术!$A:$R,17,FALSE)="牵丝",VLOOKUP($E61,武器奇术!$A:$R,4,FALSE),VLOOKUP($E61,武器奇术!$A:$R,2,FALSE))*(1+DF61)*(1+DG61)*DH61</f>
        <v>411.42649027584</v>
      </c>
      <c r="DP61" s="104">
        <f t="shared" si="30"/>
        <v>0.0311</v>
      </c>
      <c r="DQ61" s="112">
        <f t="shared" si="31"/>
        <v>771.767414220723</v>
      </c>
    </row>
    <row r="62" customFormat="1" customHeight="1" spans="1:121">
      <c r="A62" s="37"/>
      <c r="B62" t="s">
        <v>154</v>
      </c>
      <c r="C62" s="141">
        <v>1.16</v>
      </c>
      <c r="D62" s="139"/>
      <c r="E62" s="115" t="s">
        <v>146</v>
      </c>
      <c r="F62" s="116">
        <v>1</v>
      </c>
      <c r="G62" s="117"/>
      <c r="H62" s="103">
        <f>IF(VLOOKUP($E62,武器奇术!$A:$R,18,FALSE)="天工",AE62,(AE62+AT62+BI62+BX62+CM62+DB62+DQ62))*(1+J62)*F62*K62*(1+G62)</f>
        <v>10730.9735649313</v>
      </c>
      <c r="I62" s="104">
        <f t="shared" si="42"/>
        <v>0.00123674425126711</v>
      </c>
      <c r="J62" s="138">
        <f>$F$3+VLOOKUP($E62,武器奇术!$A:$R,12,FALSE)+VLOOKUP($E62,武器奇术!$A:$R,14,FALSE)*$G$3+$P62</f>
        <v>0.503</v>
      </c>
      <c r="K62" s="105">
        <f>VLOOKUP($E62,武器奇术!$A:$R,11,FALSE)</f>
        <v>1</v>
      </c>
      <c r="L62" s="119">
        <f>IF(VLOOKUP($E62,武器奇术!$A:$R,15,FALSE)="天工",0%,IF($C$17+VLOOKUP($E62,武器奇术!$A:$R,7,FALSE)&gt;80%,80%,$C$17+VLOOKUP($E62,武器奇术!$A:$R,7,FALSE))+IF($C$19&gt;20%,20%,$C$19))</f>
        <v>0.8703</v>
      </c>
      <c r="M62" s="120">
        <f>IF(VLOOKUP($E62,武器奇术!$A:$R,15,FALSE)="天工",0%,IF($C$18+VLOOKUP($E62,武器奇术!$A:$R,9,FALSE)&gt;40%,40%,$C$18+VLOOKUP($E62,武器奇术!$A:$R,9,FALSE))+IF($C$20&gt;10%,10%,$C$20))</f>
        <v>0.0986</v>
      </c>
      <c r="N62" s="121">
        <f>IF(VLOOKUP($E62,武器奇术!$A:$R,15,FALSE)="天工",100%,MIN($C$16,1))</f>
        <v>1</v>
      </c>
      <c r="O62" s="122" t="str">
        <f>VLOOKUP($E62,武器奇术!$A:$R,16,FALSE)</f>
        <v>伞</v>
      </c>
      <c r="P62" s="123">
        <f t="shared" si="32"/>
        <v>0.17</v>
      </c>
      <c r="Q62" s="110">
        <f>$B$5*(1+VLOOKUP($E62,武器奇术!$A:$R,5,FALSE))*(1+VLOOKUP($E62,武器奇术!$A:$S,19,FALSE)+IF($G$5="飞隼",0.1,0)+IF($G$5="撼天",0.05,0))-$F$9+IF($J$5="√",160,0)</f>
        <v>3324.7</v>
      </c>
      <c r="R62" s="102">
        <f>IF(VLOOKUP($E62,武器奇术!$A:$Z,18,FALSE)="叶龙",(S62-(Q62+S62)*0.5)*($G$15-0.5)*2+(Q62+S62)*0.5,(Q62+S62)*0.5)</f>
        <v>3404.7</v>
      </c>
      <c r="S62" s="102">
        <f>MAX($C$5,$B$5)*(1+VLOOKUP($E62,武器奇术!$A:$R,6,FALSE))*(1+VLOOKUP($E62,武器奇术!$A:$S,19,FALSE)+IF($G$5="飞隼",0.1,0)+IF($G$5="撼天",0.05,0))-$F$9+IF($J$5="√",320,0)</f>
        <v>3484.7</v>
      </c>
      <c r="T62" s="104">
        <f>IF(($D$5+VLOOKUP($E62,武器奇术!$A:$R,13,FALSE)+IF($I$3="√",10,0)-VLOOKUP($F$7,目标属性!$A:$R,5,FALSE))&gt;0,($D$5+VLOOKUP($E62,武器奇术!$A:$R,13,FALSE)+IF($I$3="√",10,0)-VLOOKUP($F$7,目标属性!$A:$R,5,FALSE))/200,($D$5+VLOOKUP($E62,武器奇术!$A:$R,13,FALSE)+IF($I$3="√",10,0)-VLOOKUP($F$7,目标属性!$A:$R,5,FALSE))/100)</f>
        <v>0.3925</v>
      </c>
      <c r="U62" s="111">
        <f>$E$5+IF($G$5="烟柳",IF(VLOOKUP($E62,武器奇术!$A:$T,20,FALSE)=1,0.1,0),0)</f>
        <v>0</v>
      </c>
      <c r="V62" s="102">
        <v>1</v>
      </c>
      <c r="W62" s="103">
        <f>Q62*VLOOKUP($E62,武器奇术!$A:$R,2,FALSE)*(1+T62)*(1+U62)*V62</f>
        <v>2495.37852025</v>
      </c>
      <c r="X62" s="104">
        <f>(1-IF(VLOOKUP($E62,武器奇术!$A:$R,18,FALSE)="叶龙",1,$N62))*(1-$M62)</f>
        <v>0</v>
      </c>
      <c r="Y62" s="103">
        <f>R62*VLOOKUP($E62,武器奇术!$A:$R,2,FALSE)*(1+T62)*(1+U62)*V62*(1+$E$16+VLOOKUP($E62,武器奇术!$A:$R,8,FALSE))</f>
        <v>4839.9713897535</v>
      </c>
      <c r="Z62" s="104">
        <f t="shared" si="33"/>
        <v>0.8703</v>
      </c>
      <c r="AA62" s="103">
        <f>S62*VLOOKUP($E62,武器奇术!$A:$R,2,FALSE)*(1+T62)*(1+U62)*V62*(1+$E$17+VLOOKUP($E62,武器奇术!$A:$R,10,FALSE))</f>
        <v>3530.8814223375</v>
      </c>
      <c r="AB62" s="104">
        <f t="shared" si="34"/>
        <v>0.0986</v>
      </c>
      <c r="AC62" s="103">
        <f>R62*VLOOKUP($E62,武器奇术!$A:$R,2,FALSE)*(1+T62)*(1+U62)*V62</f>
        <v>2555.42312025</v>
      </c>
      <c r="AD62" s="104">
        <f t="shared" si="35"/>
        <v>0.0311</v>
      </c>
      <c r="AE62" s="112">
        <f t="shared" si="36"/>
        <v>4639.84566778472</v>
      </c>
      <c r="AF62" s="113">
        <f>VLOOKUP($E62,武器奇术!$A:$R,3,FALSE)*(1+IF(VLOOKUP($E62,武器奇术!$A:$R,15,FALSE)="武器",$E$15,0))</f>
        <v>161.8617</v>
      </c>
      <c r="AG62" s="103">
        <f t="shared" si="1"/>
        <v>161.8617</v>
      </c>
      <c r="AH62" s="103">
        <f>VLOOKUP($E62,武器奇术!$A:$R,3,FALSE)*(1+IF(VLOOKUP($E62,武器奇术!$A:$R,15,FALSE)="武器",$E$15,0))</f>
        <v>161.8617</v>
      </c>
      <c r="AI62" s="104">
        <f>IF(($D$5+VLOOKUP($E62,武器奇术!$A:$R,13,FALSE)+IF($I$3="√",10,0)-VLOOKUP($F$7,目标属性!$A:$R,5,FALSE))&gt;0,($D$5+VLOOKUP($E62,武器奇术!$A:$R,13,FALSE)+IF($I$3="√",10,0)-VLOOKUP($F$7,目标属性!$A:$R,5,FALSE))/200,($D$5+VLOOKUP($E62,武器奇术!$A:$R,13,FALSE)+IF($I$3="√",10,0)-VLOOKUP($F$7,目标属性!$A:$R,5,FALSE))/100)</f>
        <v>0.3925</v>
      </c>
      <c r="AJ62" s="111">
        <f>$E$5+IF($G$5="烟柳",IF(VLOOKUP($E62,武器奇术!$A:$T,20,FALSE)=1,0.1,0),0)</f>
        <v>0</v>
      </c>
      <c r="AK62" s="102">
        <v>1</v>
      </c>
      <c r="AL62" s="103">
        <f t="shared" si="37"/>
        <v>225.39241725</v>
      </c>
      <c r="AM62" s="104">
        <f>(1-IF(VLOOKUP($E62,武器奇术!$A:$R,18,FALSE)="叶龙",1,$N62))*(1-$M62)</f>
        <v>0</v>
      </c>
      <c r="AN62" s="103">
        <f>AG62*(1+AI62)*(1+AJ62)*AK62*(1+$E$16+VLOOKUP($E62,武器奇术!$A:$R,8,FALSE))</f>
        <v>426.8932382715</v>
      </c>
      <c r="AO62" s="104">
        <f t="shared" si="2"/>
        <v>0.8703</v>
      </c>
      <c r="AP62" s="103">
        <f>AH62*(1+AI62)*(1+AJ62)*AK62*(1+$E$17+VLOOKUP($E62,武器奇术!$A:$R,10,FALSE))</f>
        <v>304.2797632875</v>
      </c>
      <c r="AQ62" s="104">
        <f t="shared" si="3"/>
        <v>0.0986</v>
      </c>
      <c r="AR62" s="103">
        <f t="shared" si="38"/>
        <v>225.39241725</v>
      </c>
      <c r="AS62" s="104">
        <f t="shared" si="4"/>
        <v>0.0311</v>
      </c>
      <c r="AT62" s="112">
        <f t="shared" si="5"/>
        <v>408.536874104309</v>
      </c>
      <c r="AU62" s="110">
        <f>$B$7*IF($G$5="撼天",1.05,1)+IF(AND(VLOOKUP($E62,武器奇术!$A:$R,15,FALSE)="武器",VLOOKUP($E62,武器奇术!$A:$R,17,FALSE)="鸣金"),$E$3*(1+$E$15),0)</f>
        <v>0</v>
      </c>
      <c r="AV62" s="102">
        <f t="shared" si="6"/>
        <v>0</v>
      </c>
      <c r="AW62" s="102">
        <f>MAX($C$7*IF($G$5="撼天",1.05,1)+IF(AND(VLOOKUP($E62,武器奇术!$A:$R,15,FALSE)="武器",VLOOKUP($E62,武器奇术!$A:$R,17,FALSE)="鸣金"),$E$3*(1+$E$15),0),AU62)</f>
        <v>0</v>
      </c>
      <c r="AX62" s="104">
        <f>IF(($D$7+IF(VLOOKUP($E62,武器奇术!$A:$R,17,FALSE)="鸣金",$D$15,0)-VLOOKUP($F$7,目标属性!$A:$R,6,FALSE))&gt;0,($D$7+IF(VLOOKUP($E62,武器奇术!$A:$R,17,FALSE)="鸣金",$D$15,0)-VLOOKUP($F$7,目标属性!$A:$R,6,FALSE))/200,($D$7+IF(VLOOKUP($E62,武器奇术!$A:$R,17,FALSE)="鸣金",$D$15,0)-VLOOKUP($F$7,目标属性!$A:$R,6,FALSE))/100)</f>
        <v>-0.24</v>
      </c>
      <c r="AY62" s="111">
        <f t="shared" si="7"/>
        <v>0</v>
      </c>
      <c r="AZ62" s="102">
        <v>1</v>
      </c>
      <c r="BA62" s="103">
        <f>AU62*IF(VLOOKUP($E62,武器奇术!$A:$R,17,FALSE)="鸣金",VLOOKUP($E62,武器奇术!$A:$R,4,FALSE),VLOOKUP($E62,武器奇术!$A:$R,2,FALSE))*(1+AX62)*(1+AY62)*AZ62</f>
        <v>0</v>
      </c>
      <c r="BB62" s="104">
        <f>(1-IF(VLOOKUP($E62,武器奇术!$A:$R,18,FALSE)="叶龙",1,$N62))*(1-$M62)</f>
        <v>0</v>
      </c>
      <c r="BC62" s="103">
        <f>AV62*IF(VLOOKUP($E62,武器奇术!$A:$R,17,FALSE)="鸣金",VLOOKUP($E62,武器奇术!$A:$R,4,FALSE),VLOOKUP($E62,武器奇术!$A:$R,2,FALSE))*(1+AX62)*(1+AY62)*AZ62*(1+$E$16+VLOOKUP($E62,武器奇术!$A:$R,8,FALSE))</f>
        <v>0</v>
      </c>
      <c r="BD62" s="104">
        <f t="shared" si="8"/>
        <v>0.8703</v>
      </c>
      <c r="BE62" s="103">
        <f>AW62*IF(VLOOKUP($E62,武器奇术!$A:$R,17,FALSE)="鸣金",VLOOKUP($E62,武器奇术!$A:$R,4,FALSE),VLOOKUP($E62,武器奇术!$A:$R,2,FALSE))*(1+AX62)*(1+AY62)*AZ62*(1+$E$17+VLOOKUP($E62,武器奇术!$A:$R,10,FALSE))</f>
        <v>0</v>
      </c>
      <c r="BF62" s="104">
        <f t="shared" si="9"/>
        <v>0.0986</v>
      </c>
      <c r="BG62" s="103">
        <f>AV62*IF(VLOOKUP($E62,武器奇术!$A:$R,17,FALSE)="鸣金",VLOOKUP($E62,武器奇术!$A:$R,4,FALSE),VLOOKUP($E62,武器奇术!$A:$R,2,FALSE))*(1+AX62)*(1+AY62)*AZ62</f>
        <v>0</v>
      </c>
      <c r="BH62" s="104">
        <f t="shared" si="10"/>
        <v>0.0311</v>
      </c>
      <c r="BI62" s="112">
        <f t="shared" si="11"/>
        <v>0</v>
      </c>
      <c r="BJ62" s="110">
        <f>$B$9*IF($G$5="撼天",1.05,1)+IF(AND(VLOOKUP($E62,武器奇术!$A:$R,15,FALSE)="武器",VLOOKUP($E62,武器奇术!$A:$R,17,FALSE)="裂石"),$E$3*(1+$E$15),0)</f>
        <v>0</v>
      </c>
      <c r="BK62" s="102">
        <f t="shared" si="12"/>
        <v>0</v>
      </c>
      <c r="BL62" s="102">
        <f>MAX($C$9*IF($G$5="撼天",1.05,1)+IF(AND(VLOOKUP($E62,武器奇术!$A:$R,15,FALSE)="武器",VLOOKUP($E62,武器奇术!$A:$R,17,FALSE)="裂石"),$E$3*(1+$E$15),0),BJ62)</f>
        <v>0</v>
      </c>
      <c r="BM62" s="104">
        <f>IF(($D$9+IF(VLOOKUP($E62,武器奇术!$A:$R,17,FALSE)="裂石",$D$15,0)-VLOOKUP($F$7,目标属性!$A:$R,6,FALSE))&gt;0,($D$9+IF(VLOOKUP($E62,武器奇术!$A:$R,17,FALSE)="裂石",$D$15,0)-VLOOKUP($F$7,目标属性!$A:$R,6,FALSE))/200,($D$9+IF(VLOOKUP($E62,武器奇术!$A:$R,17,FALSE)="裂石",$D$15,0)-VLOOKUP($F$7,目标属性!$A:$R,6,FALSE))/100)</f>
        <v>-0.24</v>
      </c>
      <c r="BN62" s="111">
        <f t="shared" si="13"/>
        <v>0</v>
      </c>
      <c r="BO62" s="102">
        <v>1</v>
      </c>
      <c r="BP62" s="103">
        <f>BJ62*IF(VLOOKUP($E62,武器奇术!$A:$R,17,FALSE)="裂石",VLOOKUP($E62,武器奇术!$A:$R,4,FALSE),VLOOKUP($E62,武器奇术!$A:$R,2,FALSE))*(1+BM62)*(1+BN62)*BO62</f>
        <v>0</v>
      </c>
      <c r="BQ62" s="104">
        <f>(1-IF(VLOOKUP($E62,武器奇术!$A:$R,18,FALSE)="叶龙",1,$N62))*(1-$M62)</f>
        <v>0</v>
      </c>
      <c r="BR62" s="103">
        <f>BK62*IF(VLOOKUP($E62,武器奇术!$A:$R,17,FALSE)="裂石",VLOOKUP($E62,武器奇术!$A:$R,4,FALSE),VLOOKUP($E62,武器奇术!$A:$R,2,FALSE))*(1+BM62)*(1+BN62)*BO62*(1+$E$16+VLOOKUP($E62,武器奇术!$A:$R,8,FALSE))</f>
        <v>0</v>
      </c>
      <c r="BS62" s="104">
        <f t="shared" si="14"/>
        <v>0.8703</v>
      </c>
      <c r="BT62" s="103">
        <f>BL62*IF(VLOOKUP($E62,武器奇术!$A:$R,17,FALSE)="裂石",VLOOKUP($E62,武器奇术!$A:$R,4,FALSE),VLOOKUP($E62,武器奇术!$A:$R,2,FALSE))*(1+BM62)*(1+BN62)*BO62*(1+$E$17+VLOOKUP($E62,武器奇术!$A:$R,10,FALSE))</f>
        <v>0</v>
      </c>
      <c r="BU62" s="104">
        <f t="shared" si="15"/>
        <v>0.0986</v>
      </c>
      <c r="BV62" s="103">
        <f>BK62*IF(VLOOKUP($E62,武器奇术!$A:$R,17,FALSE)="裂石",VLOOKUP($E62,武器奇术!$A:$R,4,FALSE),VLOOKUP($E62,武器奇术!$A:$R,2,FALSE))*(1+BM62)*(1+BN62)*BO62</f>
        <v>0</v>
      </c>
      <c r="BW62" s="104">
        <f t="shared" si="16"/>
        <v>0.0311</v>
      </c>
      <c r="BX62" s="112">
        <f t="shared" si="17"/>
        <v>0</v>
      </c>
      <c r="BY62" s="110">
        <f>$B$11*IF($G$5="撼天",1.05,1)+IF(AND(VLOOKUP($E62,武器奇术!$A:$R,15,FALSE)="武器",VLOOKUP($E62,武器奇术!$A:$R,17,FALSE)="牵丝"),$E$3*(1+$E$15),0)</f>
        <v>686.71</v>
      </c>
      <c r="BZ62" s="102">
        <f>IF(VLOOKUP($E62,武器奇术!$A:$Z,18,FALSE)="叶龙",(CA62-(BY62+CA62)*0.5)*($G$15-0.5)*2+(BY62+CA62)*0.5,(BY62+CA62)*0.5)</f>
        <v>1052.21</v>
      </c>
      <c r="CA62" s="102">
        <f>MAX($C$11*IF($G$5="撼天",1.05,1)+IF(AND(VLOOKUP($E62,武器奇术!$A:$R,15,FALSE)="武器",VLOOKUP($E62,武器奇术!$A:$R,17,FALSE)="牵丝"),$E$3*(1+$E$15),0),BY62)</f>
        <v>1417.71</v>
      </c>
      <c r="CB62" s="104">
        <f>IF(($D$11+IF(VLOOKUP($E62,武器奇术!$A:$R,17,FALSE)="牵丝",$D$15,0)-VLOOKUP($F$7,目标属性!$A:$R,6,FALSE))&gt;0,($D$11+IF(VLOOKUP($E62,武器奇术!$A:$R,17,FALSE)="牵丝",$D$15,0)-VLOOKUP($F$7,目标属性!$A:$R,6,FALSE))/200,($D$11+IF(VLOOKUP($E62,武器奇术!$A:$R,17,FALSE)="牵丝",$D$15,0)-VLOOKUP($F$7,目标属性!$A:$R,6,FALSE))/100)</f>
        <v>0.028</v>
      </c>
      <c r="CC62" s="111">
        <f>$E$11+IF($G$5="烟柳",IF(VLOOKUP($E62,武器奇术!$A:$T,20,FALSE)=1,0.1,0),0)</f>
        <v>0.148</v>
      </c>
      <c r="CD62" s="102">
        <v>1</v>
      </c>
      <c r="CE62" s="103">
        <f>BY62*IF(VLOOKUP($E62,武器奇术!$A:$R,17,FALSE)="牵丝",VLOOKUP($E62,武器奇术!$A:$R,4,FALSE),VLOOKUP($E62,武器奇术!$A:$R,2,FALSE))*(1+CB62)*(1+CC62)*CD62</f>
        <v>655.22189082504</v>
      </c>
      <c r="CF62" s="104">
        <f>(1-IF(VLOOKUP($E62,武器奇术!$A:$R,18,FALSE)="叶龙",1,$N62))*(1-$M62)</f>
        <v>0</v>
      </c>
      <c r="CG62" s="124">
        <f>BZ62*IF(VLOOKUP($E62,武器奇术!$A:$R,17,FALSE)="牵丝",VLOOKUP($E62,武器奇术!$A:$R,4,FALSE),VLOOKUP($E62,武器奇术!$A:$R,2,FALSE))*(1+CB62)*(1+CC62)*CD62*(1+$E$16+VLOOKUP($E62,武器奇术!$A:$R,8,FALSE))</f>
        <v>1901.50480226159</v>
      </c>
      <c r="CH62" s="104">
        <f t="shared" si="18"/>
        <v>0.8703</v>
      </c>
      <c r="CI62" s="103">
        <f>CA62*IF(VLOOKUP($E62,武器奇术!$A:$R,17,FALSE)="牵丝",VLOOKUP($E62,武器奇术!$A:$R,4,FALSE),VLOOKUP($E62,武器奇术!$A:$R,2,FALSE))*(1+CB62)*(1+CC62)*CD62*(1+$E$17+VLOOKUP($E62,武器奇术!$A:$R,10,FALSE))</f>
        <v>1826.1489511382</v>
      </c>
      <c r="CJ62" s="104">
        <f t="shared" si="19"/>
        <v>0.0986</v>
      </c>
      <c r="CK62" s="124">
        <f>BZ62*IF(VLOOKUP($E62,武器奇术!$A:$R,17,FALSE)="牵丝",VLOOKUP($E62,武器奇术!$A:$R,4,FALSE),VLOOKUP($E62,武器奇术!$A:$R,2,FALSE))*(1+CB62)*(1+CC62)*CD62</f>
        <v>1003.96240879704</v>
      </c>
      <c r="CL62" s="104">
        <f t="shared" si="20"/>
        <v>0.0311</v>
      </c>
      <c r="CM62" s="112">
        <f t="shared" si="39"/>
        <v>1866.16114690408</v>
      </c>
      <c r="CN62" s="110">
        <f>$B$13*IF($G$5="撼天",1.05,1)+IF(AND(VLOOKUP($E62,武器奇术!$A:$R,15,FALSE)="武器",VLOOKUP($E62,武器奇术!$A:$R,17,FALSE)="破竹"),$E$3*(1+$E$15),0)</f>
        <v>0</v>
      </c>
      <c r="CO62" s="102">
        <f t="shared" si="21"/>
        <v>0</v>
      </c>
      <c r="CP62" s="102">
        <f>MAX($C$13*IF($G$5="撼天",1.05,1)+IF(AND(VLOOKUP($E62,武器奇术!$A:$R,15,FALSE)="武器",VLOOKUP($E62,武器奇术!$A:$R,17,FALSE)="破竹"),$E$3*(1+$E$15),0),CN62)</f>
        <v>0</v>
      </c>
      <c r="CQ62" s="104">
        <f>IF(($D$13+IF(VLOOKUP($E62,武器奇术!$A:$R,17,FALSE)="破竹",$D$15,0)-VLOOKUP($F$7,目标属性!$A:$R,6,FALSE))&gt;0,($D$13+IF(VLOOKUP($E62,武器奇术!$A:$R,17,FALSE)="破竹",$D$15,0)-VLOOKUP($F$7,目标属性!$A:$R,6,FALSE))/200,($D$13+IF(VLOOKUP($E62,武器奇术!$A:$R,17,FALSE)="破竹",$D$15,0)-VLOOKUP($F$7,目标属性!$A:$R,6,FALSE))/100)</f>
        <v>-0.24</v>
      </c>
      <c r="CR62" s="111">
        <f t="shared" si="22"/>
        <v>0</v>
      </c>
      <c r="CS62" s="102">
        <v>1</v>
      </c>
      <c r="CT62" s="103">
        <f>CN62*IF(VLOOKUP($E62,武器奇术!$A:$R,17,FALSE)="破竹",VLOOKUP($E62,武器奇术!$A:$R,4,FALSE),VLOOKUP($E62,武器奇术!$A:$R,2,FALSE))*(1+CQ62)*(1+CR62)*CS62</f>
        <v>0</v>
      </c>
      <c r="CU62" s="104">
        <f>(1-IF(VLOOKUP($E62,武器奇术!$A:$R,18,FALSE)="叶龙",1,$N62))*(1-$M62)</f>
        <v>0</v>
      </c>
      <c r="CV62" s="103">
        <f>CO62*IF(VLOOKUP($E62,武器奇术!$A:$R,17,FALSE)="破竹",VLOOKUP($E62,武器奇术!$A:$R,4,FALSE),VLOOKUP($E62,武器奇术!$A:$R,2,FALSE))*(1+CQ62)*(1+CR62)*CS62*(1+$E$16+VLOOKUP($E62,武器奇术!$A:$R,8,FALSE))</f>
        <v>0</v>
      </c>
      <c r="CW62" s="104">
        <f t="shared" si="23"/>
        <v>0.8703</v>
      </c>
      <c r="CX62" s="103">
        <f>CP62*IF(VLOOKUP($E62,武器奇术!$A:$R,17,FALSE)="破竹",VLOOKUP($E62,武器奇术!$A:$R,4,FALSE),VLOOKUP($E62,武器奇术!$A:$R,2,FALSE))*(1+CQ62)*(1+CR62)*CS62*(1+$E$17+VLOOKUP($E62,武器奇术!$A:$R,10,FALSE))</f>
        <v>0</v>
      </c>
      <c r="CY62" s="104">
        <f t="shared" si="24"/>
        <v>0.0986</v>
      </c>
      <c r="CZ62" s="103">
        <f>CO62*IF(VLOOKUP($E62,武器奇术!$A:$R,17,FALSE)="破竹",VLOOKUP($E62,武器奇术!$A:$R,4,FALSE),VLOOKUP($E62,武器奇术!$A:$R,2,FALSE))*(1+CQ62)*(1+CR62)*CS62</f>
        <v>0</v>
      </c>
      <c r="DA62" s="104">
        <f t="shared" si="25"/>
        <v>0.0311</v>
      </c>
      <c r="DB62" s="112">
        <f t="shared" si="26"/>
        <v>0</v>
      </c>
      <c r="DC62" s="110">
        <f t="shared" si="40"/>
        <v>66</v>
      </c>
      <c r="DD62" s="102">
        <f t="shared" si="27"/>
        <v>125.8</v>
      </c>
      <c r="DE62" s="102">
        <f t="shared" si="41"/>
        <v>185.6</v>
      </c>
      <c r="DF62" s="104">
        <f>IF((IF(VLOOKUP($E62,武器奇术!$A:$R,17,FALSE)="鸣金",$D$7,0)+IF(VLOOKUP($E62,武器奇术!$A:$R,17,FALSE)="裂石",$D$9,0)+IF(VLOOKUP($E62,武器奇术!$A:$R,17,FALSE)="牵丝",$D$11,0)+IF(VLOOKUP($E62,武器奇术!$A:$R,17,FALSE)="破竹",$D$13,0)+$D$15-VLOOKUP($F$7,目标属性!$A:$R,6,FALSE))&gt;0,(IF(VLOOKUP($E62,武器奇术!$A:$R,17,FALSE)="鸣金",$D$7,0)+IF(VLOOKUP($E62,武器奇术!$A:$R,17,FALSE)="裂石",$D$9,0)+IF(VLOOKUP($E62,武器奇术!$A:$R,17,FALSE)="牵丝",$D$11,0)+IF(VLOOKUP($E62,武器奇术!$A:$R,17,FALSE)="破竹",$D$13,0)+$D$15-VLOOKUP($F$7,目标属性!$A:$R,6,FALSE))/200,(IF(VLOOKUP($E62,武器奇术!$A:$R,17,FALSE)="鸣金",$D$7,0)+IF(VLOOKUP($E62,武器奇术!$A:$R,17,FALSE)="裂石",$D$9,0)+IF(VLOOKUP($E62,武器奇术!$A:$R,17,FALSE)="牵丝",$D$11,0)+IF(VLOOKUP($E62,武器奇术!$A:$R,17,FALSE)="破竹",$D$13,0)+$D$15-VLOOKUP($F$7,目标属性!$A:$R,6,FALSE))/100)</f>
        <v>0.028</v>
      </c>
      <c r="DG62" s="111">
        <f>$E$11+IF($G$5="烟柳",IF(VLOOKUP($E62,武器奇术!$A:$T,20,FALSE)=1,0.1,0),0)</f>
        <v>0.148</v>
      </c>
      <c r="DH62" s="102">
        <v>1</v>
      </c>
      <c r="DI62" s="103">
        <f>DC62*IF(VLOOKUP($E62,武器奇术!$A:$R,17,FALSE)="牵丝",VLOOKUP($E62,武器奇术!$A:$R,4,FALSE),VLOOKUP($E62,武器奇术!$A:$R,2,FALSE))*(1+DF62)*(1+DG62)*DH62</f>
        <v>62.973663984</v>
      </c>
      <c r="DJ62" s="104">
        <f>(1-IF(VLOOKUP($E62,武器奇术!$A:$R,18,FALSE)="叶龙",1,$N62))*(1-$M62)</f>
        <v>0</v>
      </c>
      <c r="DK62" s="124">
        <f>DD62*IF(VLOOKUP($E62,武器奇术!$A:$R,17,FALSE)="牵丝",VLOOKUP($E62,武器奇术!$A:$R,4,FALSE),VLOOKUP($E62,武器奇术!$A:$R,2,FALSE))*(1+DF62)*(1+DG62)*DH62*(1+$E$16+VLOOKUP($E62,武器奇术!$A:$R,8,FALSE))</f>
        <v>227.339888543645</v>
      </c>
      <c r="DL62" s="104">
        <f t="shared" si="28"/>
        <v>0.8703</v>
      </c>
      <c r="DM62" s="103">
        <f>DE62*IF(VLOOKUP($E62,武器奇术!$A:$R,17,FALSE)="牵丝",VLOOKUP($E62,武器奇术!$A:$R,4,FALSE),VLOOKUP($E62,武器奇术!$A:$R,2,FALSE))*(1+DF62)*(1+DG62)*DH62*(1+$E$17+VLOOKUP($E62,武器奇术!$A:$R,10,FALSE))</f>
        <v>239.07092799744</v>
      </c>
      <c r="DN62" s="104">
        <f t="shared" si="29"/>
        <v>0.0986</v>
      </c>
      <c r="DO62" s="124">
        <f>DD62*IF(VLOOKUP($E62,武器奇术!$A:$R,17,FALSE)="牵丝",VLOOKUP($E62,武器奇术!$A:$R,4,FALSE),VLOOKUP($E62,武器奇术!$A:$R,2,FALSE))*(1+DF62)*(1+DG62)*DH62</f>
        <v>120.0316201392</v>
      </c>
      <c r="DP62" s="104">
        <f t="shared" si="30"/>
        <v>0.0311</v>
      </c>
      <c r="DQ62" s="112">
        <f t="shared" si="31"/>
        <v>225.159281886411</v>
      </c>
    </row>
    <row r="63" customFormat="1" customHeight="1" spans="1:121">
      <c r="A63" s="37"/>
      <c r="B63" t="s">
        <v>156</v>
      </c>
      <c r="C63">
        <v>0.1</v>
      </c>
      <c r="D63" s="139"/>
      <c r="E63" s="115" t="s">
        <v>147</v>
      </c>
      <c r="F63" s="116">
        <v>1</v>
      </c>
      <c r="G63" s="117"/>
      <c r="H63" s="103">
        <f>IF(VLOOKUP($E63,武器奇术!$A:$R,18,FALSE)="天工",AE63,(AE63+AT63+BI63+BX63+CM63+DB63+DQ63))*(1+J63)*F63*K63*(1+G63)</f>
        <v>17396.6022034931</v>
      </c>
      <c r="I63" s="104">
        <f t="shared" si="42"/>
        <v>0.00200495767104134</v>
      </c>
      <c r="J63" s="104">
        <f>$F$3+VLOOKUP($E63,武器奇术!$A:$R,12,FALSE)+VLOOKUP($E63,武器奇术!$A:$R,14,FALSE)*$G$3+$P63</f>
        <v>0.417</v>
      </c>
      <c r="K63" s="105">
        <f>VLOOKUP($E63,武器奇术!$A:$R,11,FALSE)</f>
        <v>1</v>
      </c>
      <c r="L63" s="119">
        <f>IF(VLOOKUP($E63,武器奇术!$A:$R,15,FALSE)="天工",0%,IF($C$17+VLOOKUP($E63,武器奇术!$A:$R,7,FALSE)&gt;80%,80%,$C$17+VLOOKUP($E63,武器奇术!$A:$R,7,FALSE))+IF($C$19&gt;20%,20%,$C$19))</f>
        <v>0.8703</v>
      </c>
      <c r="M63" s="120">
        <f>IF(VLOOKUP($E63,武器奇术!$A:$R,15,FALSE)="天工",0%,IF($C$18+VLOOKUP($E63,武器奇术!$A:$R,9,FALSE)&gt;40%,40%,$C$18+VLOOKUP($E63,武器奇术!$A:$R,9,FALSE))+IF($C$20&gt;10%,10%,$C$20))</f>
        <v>0.0986</v>
      </c>
      <c r="N63" s="121">
        <f>IF(VLOOKUP($E63,武器奇术!$A:$R,15,FALSE)="天工",100%,MIN($C$16,1))</f>
        <v>1</v>
      </c>
      <c r="O63" s="122" t="str">
        <f>VLOOKUP($E63,武器奇术!$A:$R,16,FALSE)</f>
        <v>扇</v>
      </c>
      <c r="P63" s="123">
        <f t="shared" ref="P63:P103" si="44">VLOOKUP($O63,$B$22:$C$27,2,FALSE)+IF(OR($O63="伞",$O63="扇"),$C$24,0)</f>
        <v>0.084</v>
      </c>
      <c r="Q63" s="110">
        <f>$B$5*(1+VLOOKUP($E63,武器奇术!$A:$R,5,FALSE))*(1+VLOOKUP($E63,武器奇术!$A:$S,19,FALSE)+IF($G$5="飞隼",0.1,0)+IF($G$5="撼天",0.05,0))-$F$9+IF($J$5="√",160,0)</f>
        <v>3324.7</v>
      </c>
      <c r="R63" s="102">
        <f>IF(VLOOKUP($E63,武器奇术!$A:$Z,18,FALSE)="叶龙",(S63-(Q63+S63)*0.5)*($G$15-0.5)*2+(Q63+S63)*0.5,(Q63+S63)*0.5)</f>
        <v>3404.7</v>
      </c>
      <c r="S63" s="102">
        <f>MAX($C$5,$B$5)*(1+VLOOKUP($E63,武器奇术!$A:$R,6,FALSE))*(1+VLOOKUP($E63,武器奇术!$A:$S,19,FALSE)+IF($G$5="飞隼",0.1,0)+IF($G$5="撼天",0.05,0))-$F$9+IF($J$5="√",320,0)</f>
        <v>3484.7</v>
      </c>
      <c r="T63" s="104">
        <f>IF(($D$5+VLOOKUP($E63,武器奇术!$A:$R,13,FALSE)+IF($I$3="√",10,0)-VLOOKUP($F$7,目标属性!$A:$R,5,FALSE))&gt;0,($D$5+VLOOKUP($E63,武器奇术!$A:$R,13,FALSE)+IF($I$3="√",10,0)-VLOOKUP($F$7,目标属性!$A:$R,5,FALSE))/200,($D$5+VLOOKUP($E63,武器奇术!$A:$R,13,FALSE)+IF($I$3="√",10,0)-VLOOKUP($F$7,目标属性!$A:$R,5,FALSE))/100)</f>
        <v>0.3925</v>
      </c>
      <c r="U63" s="111">
        <f>$E$5+IF($G$5="烟柳",IF(VLOOKUP($E63,武器奇术!$A:$T,20,FALSE)=1,0.1,0),0)</f>
        <v>0</v>
      </c>
      <c r="V63" s="102">
        <v>1</v>
      </c>
      <c r="W63" s="103">
        <f>Q63*VLOOKUP($E63,武器奇术!$A:$R,2,FALSE)*(1+T63)*(1+U63)*V63</f>
        <v>4289.82882535</v>
      </c>
      <c r="X63" s="104">
        <f>(1-IF(VLOOKUP($E63,武器奇术!$A:$R,18,FALSE)="叶龙",1,$N63))*(1-$M63)</f>
        <v>0</v>
      </c>
      <c r="Y63" s="103">
        <f>R63*VLOOKUP($E63,武器奇术!$A:$R,2,FALSE)*(1+T63)*(1+U63)*V63*(1+$E$16+VLOOKUP($E63,武器奇术!$A:$R,8,FALSE))</f>
        <v>8320.4406117729</v>
      </c>
      <c r="Z63" s="104">
        <f t="shared" si="33"/>
        <v>0.8703</v>
      </c>
      <c r="AA63" s="103">
        <f>S63*VLOOKUP($E63,武器奇术!$A:$R,2,FALSE)*(1+T63)*(1+U63)*V63*(1+$E$17+VLOOKUP($E63,武器奇术!$A:$R,10,FALSE))</f>
        <v>6069.9716622225</v>
      </c>
      <c r="AB63" s="104">
        <f t="shared" si="34"/>
        <v>0.0986</v>
      </c>
      <c r="AC63" s="103">
        <f>R63*VLOOKUP($E63,武器奇术!$A:$R,2,FALSE)*(1+T63)*(1+U63)*V63</f>
        <v>4393.05206535</v>
      </c>
      <c r="AD63" s="104">
        <f t="shared" si="35"/>
        <v>0.0311</v>
      </c>
      <c r="AE63" s="112">
        <f t="shared" si="36"/>
        <v>7976.40258955348</v>
      </c>
      <c r="AF63" s="113">
        <f>VLOOKUP($E63,武器奇术!$A:$R,3,FALSE)*(1+IF(VLOOKUP($E63,武器奇术!$A:$R,15,FALSE)="武器",$E$15,0))</f>
        <v>279.5</v>
      </c>
      <c r="AG63" s="103">
        <f t="shared" si="1"/>
        <v>279.5</v>
      </c>
      <c r="AH63" s="103">
        <f>VLOOKUP($E63,武器奇术!$A:$R,3,FALSE)*(1+IF(VLOOKUP($E63,武器奇术!$A:$R,15,FALSE)="武器",$E$15,0))</f>
        <v>279.5</v>
      </c>
      <c r="AI63" s="104">
        <f>IF(($D$5+VLOOKUP($E63,武器奇术!$A:$R,13,FALSE)+IF($I$3="√",10,0)-VLOOKUP($F$7,目标属性!$A:$R,5,FALSE))&gt;0,($D$5+VLOOKUP($E63,武器奇术!$A:$R,13,FALSE)+IF($I$3="√",10,0)-VLOOKUP($F$7,目标属性!$A:$R,5,FALSE))/200,($D$5+VLOOKUP($E63,武器奇术!$A:$R,13,FALSE)+IF($I$3="√",10,0)-VLOOKUP($F$7,目标属性!$A:$R,5,FALSE))/100)</f>
        <v>0.3925</v>
      </c>
      <c r="AJ63" s="111">
        <f>$E$5+IF($G$5="烟柳",IF(VLOOKUP($E63,武器奇术!$A:$T,20,FALSE)=1,0.1,0),0)</f>
        <v>0</v>
      </c>
      <c r="AK63" s="102">
        <v>1</v>
      </c>
      <c r="AL63" s="103">
        <f t="shared" ref="AL63:AL103" si="45">AF63*(1+AI63)*(1+AJ63)*AK63</f>
        <v>389.20375</v>
      </c>
      <c r="AM63" s="104">
        <f>(1-IF(VLOOKUP($E63,武器奇术!$A:$R,18,FALSE)="叶龙",1,$N63))*(1-$M63)</f>
        <v>0</v>
      </c>
      <c r="AN63" s="103">
        <f>AG63*(1+AI63)*(1+AJ63)*AK63*(1+$E$16+VLOOKUP($E63,武器奇术!$A:$R,8,FALSE))</f>
        <v>737.1519025</v>
      </c>
      <c r="AO63" s="104">
        <f t="shared" si="2"/>
        <v>0.8703</v>
      </c>
      <c r="AP63" s="103">
        <f>AH63*(1+AI63)*(1+AJ63)*AK63*(1+$E$17+VLOOKUP($E63,武器奇术!$A:$R,10,FALSE))</f>
        <v>525.4250625</v>
      </c>
      <c r="AQ63" s="104">
        <f t="shared" si="3"/>
        <v>0.0986</v>
      </c>
      <c r="AR63" s="103">
        <f t="shared" si="38"/>
        <v>389.20375</v>
      </c>
      <c r="AS63" s="104">
        <f t="shared" si="4"/>
        <v>0.0311</v>
      </c>
      <c r="AT63" s="112">
        <f t="shared" si="5"/>
        <v>705.45444853325</v>
      </c>
      <c r="AU63" s="110">
        <f>$B$7*IF($G$5="撼天",1.05,1)+IF(AND(VLOOKUP($E63,武器奇术!$A:$R,15,FALSE)="武器",VLOOKUP($E63,武器奇术!$A:$R,17,FALSE)="鸣金"),$E$3*(1+$E$15),0)</f>
        <v>0</v>
      </c>
      <c r="AV63" s="102">
        <f t="shared" si="6"/>
        <v>0</v>
      </c>
      <c r="AW63" s="102">
        <f>MAX($C$7*IF($G$5="撼天",1.05,1)+IF(AND(VLOOKUP($E63,武器奇术!$A:$R,15,FALSE)="武器",VLOOKUP($E63,武器奇术!$A:$R,17,FALSE)="鸣金"),$E$3*(1+$E$15),0),AU63)</f>
        <v>0</v>
      </c>
      <c r="AX63" s="104">
        <f>IF(($D$7+IF(VLOOKUP($E63,武器奇术!$A:$R,17,FALSE)="鸣金",$D$15,0)-VLOOKUP($F$7,目标属性!$A:$R,6,FALSE))&gt;0,($D$7+IF(VLOOKUP($E63,武器奇术!$A:$R,17,FALSE)="鸣金",$D$15,0)-VLOOKUP($F$7,目标属性!$A:$R,6,FALSE))/200,($D$7+IF(VLOOKUP($E63,武器奇术!$A:$R,17,FALSE)="鸣金",$D$15,0)-VLOOKUP($F$7,目标属性!$A:$R,6,FALSE))/100)</f>
        <v>-0.24</v>
      </c>
      <c r="AY63" s="111">
        <f t="shared" si="7"/>
        <v>0</v>
      </c>
      <c r="AZ63" s="102">
        <v>1</v>
      </c>
      <c r="BA63" s="103">
        <f>AU63*IF(VLOOKUP($E63,武器奇术!$A:$R,17,FALSE)="鸣金",VLOOKUP($E63,武器奇术!$A:$R,4,FALSE),VLOOKUP($E63,武器奇术!$A:$R,2,FALSE))*(1+AX63)*(1+AY63)*AZ63</f>
        <v>0</v>
      </c>
      <c r="BB63" s="104">
        <f>(1-IF(VLOOKUP($E63,武器奇术!$A:$R,18,FALSE)="叶龙",1,$N63))*(1-$M63)</f>
        <v>0</v>
      </c>
      <c r="BC63" s="103">
        <f>AV63*IF(VLOOKUP($E63,武器奇术!$A:$R,17,FALSE)="鸣金",VLOOKUP($E63,武器奇术!$A:$R,4,FALSE),VLOOKUP($E63,武器奇术!$A:$R,2,FALSE))*(1+AX63)*(1+AY63)*AZ63*(1+$E$16+VLOOKUP($E63,武器奇术!$A:$R,8,FALSE))</f>
        <v>0</v>
      </c>
      <c r="BD63" s="104">
        <f t="shared" si="8"/>
        <v>0.8703</v>
      </c>
      <c r="BE63" s="103">
        <f>AW63*IF(VLOOKUP($E63,武器奇术!$A:$R,17,FALSE)="鸣金",VLOOKUP($E63,武器奇术!$A:$R,4,FALSE),VLOOKUP($E63,武器奇术!$A:$R,2,FALSE))*(1+AX63)*(1+AY63)*AZ63*(1+$E$17+VLOOKUP($E63,武器奇术!$A:$R,10,FALSE))</f>
        <v>0</v>
      </c>
      <c r="BF63" s="104">
        <f t="shared" si="9"/>
        <v>0.0986</v>
      </c>
      <c r="BG63" s="103">
        <f>AV63*IF(VLOOKUP($E63,武器奇术!$A:$R,17,FALSE)="鸣金",VLOOKUP($E63,武器奇术!$A:$R,4,FALSE),VLOOKUP($E63,武器奇术!$A:$R,2,FALSE))*(1+AX63)*(1+AY63)*AZ63</f>
        <v>0</v>
      </c>
      <c r="BH63" s="104">
        <f t="shared" si="10"/>
        <v>0.0311</v>
      </c>
      <c r="BI63" s="112">
        <f t="shared" si="11"/>
        <v>0</v>
      </c>
      <c r="BJ63" s="110">
        <f>$B$9*IF($G$5="撼天",1.05,1)+IF(AND(VLOOKUP($E63,武器奇术!$A:$R,15,FALSE)="武器",VLOOKUP($E63,武器奇术!$A:$R,17,FALSE)="裂石"),$E$3*(1+$E$15),0)</f>
        <v>0</v>
      </c>
      <c r="BK63" s="102">
        <f t="shared" si="12"/>
        <v>0</v>
      </c>
      <c r="BL63" s="102">
        <f>MAX($C$9*IF($G$5="撼天",1.05,1)+IF(AND(VLOOKUP($E63,武器奇术!$A:$R,15,FALSE)="武器",VLOOKUP($E63,武器奇术!$A:$R,17,FALSE)="裂石"),$E$3*(1+$E$15),0),BJ63)</f>
        <v>0</v>
      </c>
      <c r="BM63" s="104">
        <f>IF(($D$9+IF(VLOOKUP($E63,武器奇术!$A:$R,17,FALSE)="裂石",$D$15,0)-VLOOKUP($F$7,目标属性!$A:$R,6,FALSE))&gt;0,($D$9+IF(VLOOKUP($E63,武器奇术!$A:$R,17,FALSE)="裂石",$D$15,0)-VLOOKUP($F$7,目标属性!$A:$R,6,FALSE))/200,($D$9+IF(VLOOKUP($E63,武器奇术!$A:$R,17,FALSE)="裂石",$D$15,0)-VLOOKUP($F$7,目标属性!$A:$R,6,FALSE))/100)</f>
        <v>-0.24</v>
      </c>
      <c r="BN63" s="111">
        <f t="shared" si="13"/>
        <v>0</v>
      </c>
      <c r="BO63" s="102">
        <v>1</v>
      </c>
      <c r="BP63" s="103">
        <f>BJ63*IF(VLOOKUP($E63,武器奇术!$A:$R,17,FALSE)="裂石",VLOOKUP($E63,武器奇术!$A:$R,4,FALSE),VLOOKUP($E63,武器奇术!$A:$R,2,FALSE))*(1+BM63)*(1+BN63)*BO63</f>
        <v>0</v>
      </c>
      <c r="BQ63" s="104">
        <f>(1-IF(VLOOKUP($E63,武器奇术!$A:$R,18,FALSE)="叶龙",1,$N63))*(1-$M63)</f>
        <v>0</v>
      </c>
      <c r="BR63" s="103">
        <f>BK63*IF(VLOOKUP($E63,武器奇术!$A:$R,17,FALSE)="裂石",VLOOKUP($E63,武器奇术!$A:$R,4,FALSE),VLOOKUP($E63,武器奇术!$A:$R,2,FALSE))*(1+BM63)*(1+BN63)*BO63*(1+$E$16+VLOOKUP($E63,武器奇术!$A:$R,8,FALSE))</f>
        <v>0</v>
      </c>
      <c r="BS63" s="104">
        <f t="shared" si="14"/>
        <v>0.8703</v>
      </c>
      <c r="BT63" s="103">
        <f>BL63*IF(VLOOKUP($E63,武器奇术!$A:$R,17,FALSE)="裂石",VLOOKUP($E63,武器奇术!$A:$R,4,FALSE),VLOOKUP($E63,武器奇术!$A:$R,2,FALSE))*(1+BM63)*(1+BN63)*BO63*(1+$E$17+VLOOKUP($E63,武器奇术!$A:$R,10,FALSE))</f>
        <v>0</v>
      </c>
      <c r="BU63" s="104">
        <f t="shared" si="15"/>
        <v>0.0986</v>
      </c>
      <c r="BV63" s="103">
        <f>BK63*IF(VLOOKUP($E63,武器奇术!$A:$R,17,FALSE)="裂石",VLOOKUP($E63,武器奇术!$A:$R,4,FALSE),VLOOKUP($E63,武器奇术!$A:$R,2,FALSE))*(1+BM63)*(1+BN63)*BO63</f>
        <v>0</v>
      </c>
      <c r="BW63" s="104">
        <f t="shared" si="16"/>
        <v>0.0311</v>
      </c>
      <c r="BX63" s="112">
        <f t="shared" si="17"/>
        <v>0</v>
      </c>
      <c r="BY63" s="110">
        <f>$B$11*IF($G$5="撼天",1.05,1)+IF(AND(VLOOKUP($E63,武器奇术!$A:$R,15,FALSE)="武器",VLOOKUP($E63,武器奇术!$A:$R,17,FALSE)="牵丝"),$E$3*(1+$E$15),0)</f>
        <v>686.71</v>
      </c>
      <c r="BZ63" s="102">
        <f>IF(VLOOKUP($E63,武器奇术!$A:$Z,18,FALSE)="叶龙",(CA63-(BY63+CA63)*0.5)*($G$15-0.5)*2+(BY63+CA63)*0.5,(BY63+CA63)*0.5)</f>
        <v>1052.21</v>
      </c>
      <c r="CA63" s="102">
        <f>MAX($C$11*IF($G$5="撼天",1.05,1)+IF(AND(VLOOKUP($E63,武器奇术!$A:$R,15,FALSE)="武器",VLOOKUP($E63,武器奇术!$A:$R,17,FALSE)="牵丝"),$E$3*(1+$E$15),0),BY63)</f>
        <v>1417.71</v>
      </c>
      <c r="CB63" s="104">
        <f>IF(($D$11+IF(VLOOKUP($E63,武器奇术!$A:$R,17,FALSE)="牵丝",$D$15,0)-VLOOKUP($F$7,目标属性!$A:$R,6,FALSE))&gt;0,($D$11+IF(VLOOKUP($E63,武器奇术!$A:$R,17,FALSE)="牵丝",$D$15,0)-VLOOKUP($F$7,目标属性!$A:$R,6,FALSE))/200,($D$11+IF(VLOOKUP($E63,武器奇术!$A:$R,17,FALSE)="牵丝",$D$15,0)-VLOOKUP($F$7,目标属性!$A:$R,6,FALSE))/100)</f>
        <v>0.028</v>
      </c>
      <c r="CC63" s="111">
        <f>$E$11+IF($G$5="烟柳",IF(VLOOKUP($E63,武器奇术!$A:$T,20,FALSE)=1,0.1,0),0)</f>
        <v>0.148</v>
      </c>
      <c r="CD63" s="102">
        <v>1</v>
      </c>
      <c r="CE63" s="103">
        <f>BY63*IF(VLOOKUP($E63,武器奇术!$A:$R,17,FALSE)="牵丝",VLOOKUP($E63,武器奇术!$A:$R,4,FALSE),VLOOKUP($E63,武器奇术!$A:$R,2,FALSE))*(1+CB63)*(1+CC63)*CD63</f>
        <v>1126.39815220498</v>
      </c>
      <c r="CF63" s="104">
        <f>(1-IF(VLOOKUP($E63,武器奇术!$A:$R,18,FALSE)="叶龙",1,$N63))*(1-$M63)</f>
        <v>0</v>
      </c>
      <c r="CG63" s="124">
        <f>BZ63*IF(VLOOKUP($E63,武器奇术!$A:$R,17,FALSE)="牵丝",VLOOKUP($E63,武器奇术!$A:$R,4,FALSE),VLOOKUP($E63,武器奇术!$A:$R,2,FALSE))*(1+CB63)*(1+CC63)*CD63*(1+$E$16+VLOOKUP($E63,武器奇术!$A:$R,8,FALSE))</f>
        <v>3268.89489754284</v>
      </c>
      <c r="CH63" s="104">
        <f t="shared" si="18"/>
        <v>0.8703</v>
      </c>
      <c r="CI63" s="103">
        <f>CA63*IF(VLOOKUP($E63,武器奇术!$A:$R,17,FALSE)="牵丝",VLOOKUP($E63,武器奇术!$A:$R,4,FALSE),VLOOKUP($E63,武器奇术!$A:$R,2,FALSE))*(1+CB63)*(1+CC63)*CD63*(1+$E$17+VLOOKUP($E63,武器奇术!$A:$R,10,FALSE))</f>
        <v>3139.34994086208</v>
      </c>
      <c r="CJ63" s="104">
        <f t="shared" si="19"/>
        <v>0.0986</v>
      </c>
      <c r="CK63" s="124">
        <f>BZ63*IF(VLOOKUP($E63,武器奇术!$A:$R,17,FALSE)="牵丝",VLOOKUP($E63,武器奇术!$A:$R,4,FALSE),VLOOKUP($E63,武器奇术!$A:$R,2,FALSE))*(1+CB63)*(1+CC63)*CD63</f>
        <v>1725.92127642178</v>
      </c>
      <c r="CL63" s="104">
        <f t="shared" si="20"/>
        <v>0.0311</v>
      </c>
      <c r="CM63" s="112">
        <f t="shared" si="39"/>
        <v>3208.13528519726</v>
      </c>
      <c r="CN63" s="110">
        <f>$B$13*IF($G$5="撼天",1.05,1)+IF(AND(VLOOKUP($E63,武器奇术!$A:$R,15,FALSE)="武器",VLOOKUP($E63,武器奇术!$A:$R,17,FALSE)="破竹"),$E$3*(1+$E$15),0)</f>
        <v>0</v>
      </c>
      <c r="CO63" s="102">
        <f t="shared" si="21"/>
        <v>0</v>
      </c>
      <c r="CP63" s="102">
        <f>MAX($C$13*IF($G$5="撼天",1.05,1)+IF(AND(VLOOKUP($E63,武器奇术!$A:$R,15,FALSE)="武器",VLOOKUP($E63,武器奇术!$A:$R,17,FALSE)="破竹"),$E$3*(1+$E$15),0),CN63)</f>
        <v>0</v>
      </c>
      <c r="CQ63" s="104">
        <f>IF(($D$13+IF(VLOOKUP($E63,武器奇术!$A:$R,17,FALSE)="破竹",$D$15,0)-VLOOKUP($F$7,目标属性!$A:$R,6,FALSE))&gt;0,($D$13+IF(VLOOKUP($E63,武器奇术!$A:$R,17,FALSE)="破竹",$D$15,0)-VLOOKUP($F$7,目标属性!$A:$R,6,FALSE))/200,($D$13+IF(VLOOKUP($E63,武器奇术!$A:$R,17,FALSE)="破竹",$D$15,0)-VLOOKUP($F$7,目标属性!$A:$R,6,FALSE))/100)</f>
        <v>-0.24</v>
      </c>
      <c r="CR63" s="111">
        <f t="shared" si="22"/>
        <v>0</v>
      </c>
      <c r="CS63" s="102">
        <v>1</v>
      </c>
      <c r="CT63" s="103">
        <f>CN63*IF(VLOOKUP($E63,武器奇术!$A:$R,17,FALSE)="破竹",VLOOKUP($E63,武器奇术!$A:$R,4,FALSE),VLOOKUP($E63,武器奇术!$A:$R,2,FALSE))*(1+CQ63)*(1+CR63)*CS63</f>
        <v>0</v>
      </c>
      <c r="CU63" s="104">
        <f>(1-IF(VLOOKUP($E63,武器奇术!$A:$R,18,FALSE)="叶龙",1,$N63))*(1-$M63)</f>
        <v>0</v>
      </c>
      <c r="CV63" s="103">
        <f>CO63*IF(VLOOKUP($E63,武器奇术!$A:$R,17,FALSE)="破竹",VLOOKUP($E63,武器奇术!$A:$R,4,FALSE),VLOOKUP($E63,武器奇术!$A:$R,2,FALSE))*(1+CQ63)*(1+CR63)*CS63*(1+$E$16+VLOOKUP($E63,武器奇术!$A:$R,8,FALSE))</f>
        <v>0</v>
      </c>
      <c r="CW63" s="104">
        <f t="shared" si="23"/>
        <v>0.8703</v>
      </c>
      <c r="CX63" s="103">
        <f>CP63*IF(VLOOKUP($E63,武器奇术!$A:$R,17,FALSE)="破竹",VLOOKUP($E63,武器奇术!$A:$R,4,FALSE),VLOOKUP($E63,武器奇术!$A:$R,2,FALSE))*(1+CQ63)*(1+CR63)*CS63*(1+$E$17+VLOOKUP($E63,武器奇术!$A:$R,10,FALSE))</f>
        <v>0</v>
      </c>
      <c r="CY63" s="104">
        <f t="shared" si="24"/>
        <v>0.0986</v>
      </c>
      <c r="CZ63" s="103">
        <f>CO63*IF(VLOOKUP($E63,武器奇术!$A:$R,17,FALSE)="破竹",VLOOKUP($E63,武器奇术!$A:$R,4,FALSE),VLOOKUP($E63,武器奇术!$A:$R,2,FALSE))*(1+CQ63)*(1+CR63)*CS63</f>
        <v>0</v>
      </c>
      <c r="DA63" s="104">
        <f t="shared" si="25"/>
        <v>0.0311</v>
      </c>
      <c r="DB63" s="112">
        <f t="shared" si="26"/>
        <v>0</v>
      </c>
      <c r="DC63" s="110">
        <f t="shared" si="40"/>
        <v>66</v>
      </c>
      <c r="DD63" s="102">
        <f t="shared" si="27"/>
        <v>125.8</v>
      </c>
      <c r="DE63" s="102">
        <f t="shared" si="41"/>
        <v>185.6</v>
      </c>
      <c r="DF63" s="104">
        <f>IF((IF(VLOOKUP($E63,武器奇术!$A:$R,17,FALSE)="鸣金",$D$7,0)+IF(VLOOKUP($E63,武器奇术!$A:$R,17,FALSE)="裂石",$D$9,0)+IF(VLOOKUP($E63,武器奇术!$A:$R,17,FALSE)="牵丝",$D$11,0)+IF(VLOOKUP($E63,武器奇术!$A:$R,17,FALSE)="破竹",$D$13,0)+$D$15-VLOOKUP($F$7,目标属性!$A:$R,6,FALSE))&gt;0,(IF(VLOOKUP($E63,武器奇术!$A:$R,17,FALSE)="鸣金",$D$7,0)+IF(VLOOKUP($E63,武器奇术!$A:$R,17,FALSE)="裂石",$D$9,0)+IF(VLOOKUP($E63,武器奇术!$A:$R,17,FALSE)="牵丝",$D$11,0)+IF(VLOOKUP($E63,武器奇术!$A:$R,17,FALSE)="破竹",$D$13,0)+$D$15-VLOOKUP($F$7,目标属性!$A:$R,6,FALSE))/200,(IF(VLOOKUP($E63,武器奇术!$A:$R,17,FALSE)="鸣金",$D$7,0)+IF(VLOOKUP($E63,武器奇术!$A:$R,17,FALSE)="裂石",$D$9,0)+IF(VLOOKUP($E63,武器奇术!$A:$R,17,FALSE)="牵丝",$D$11,0)+IF(VLOOKUP($E63,武器奇术!$A:$R,17,FALSE)="破竹",$D$13,0)+$D$15-VLOOKUP($F$7,目标属性!$A:$R,6,FALSE))/100)</f>
        <v>0.028</v>
      </c>
      <c r="DG63" s="111">
        <f>$E$11+IF($G$5="烟柳",IF(VLOOKUP($E63,武器奇术!$A:$T,20,FALSE)=1,0.1,0),0)</f>
        <v>0.148</v>
      </c>
      <c r="DH63" s="102">
        <v>1</v>
      </c>
      <c r="DI63" s="103">
        <f>DC63*IF(VLOOKUP($E63,武器奇术!$A:$R,17,FALSE)="牵丝",VLOOKUP($E63,武器奇术!$A:$R,4,FALSE),VLOOKUP($E63,武器奇术!$A:$R,2,FALSE))*(1+DF63)*(1+DG63)*DH63</f>
        <v>108.2586216096</v>
      </c>
      <c r="DJ63" s="104">
        <f>(1-IF(VLOOKUP($E63,武器奇术!$A:$R,18,FALSE)="叶龙",1,$N63))*(1-$M63)</f>
        <v>0</v>
      </c>
      <c r="DK63" s="124">
        <f>DD63*IF(VLOOKUP($E63,武器奇术!$A:$R,17,FALSE)="牵丝",VLOOKUP($E63,武器奇术!$A:$R,4,FALSE),VLOOKUP($E63,武器奇术!$A:$R,2,FALSE))*(1+DF63)*(1+DG63)*DH63*(1+$E$16+VLOOKUP($E63,武器奇术!$A:$R,8,FALSE))</f>
        <v>390.822153477813</v>
      </c>
      <c r="DL63" s="104">
        <f t="shared" si="28"/>
        <v>0.8703</v>
      </c>
      <c r="DM63" s="103">
        <f>DE63*IF(VLOOKUP($E63,武器奇术!$A:$R,17,FALSE)="牵丝",VLOOKUP($E63,武器奇术!$A:$R,4,FALSE),VLOOKUP($E63,武器奇术!$A:$R,2,FALSE))*(1+DF63)*(1+DG63)*DH63*(1+$E$17+VLOOKUP($E63,武器奇术!$A:$R,10,FALSE))</f>
        <v>410.989094401536</v>
      </c>
      <c r="DN63" s="104">
        <f t="shared" si="29"/>
        <v>0.0986</v>
      </c>
      <c r="DO63" s="124">
        <f>DD63*IF(VLOOKUP($E63,武器奇术!$A:$R,17,FALSE)="牵丝",VLOOKUP($E63,武器奇术!$A:$R,4,FALSE),VLOOKUP($E63,武器奇术!$A:$R,2,FALSE))*(1+DF63)*(1+DG63)*DH63</f>
        <v>206.34749391648</v>
      </c>
      <c r="DP63" s="104">
        <f t="shared" si="30"/>
        <v>0.0311</v>
      </c>
      <c r="DQ63" s="112">
        <f t="shared" si="31"/>
        <v>387.073451940535</v>
      </c>
    </row>
    <row r="64" customFormat="1" customHeight="1" spans="1:121">
      <c r="A64" s="37"/>
      <c r="B64" t="s">
        <v>167</v>
      </c>
      <c r="C64">
        <v>1.4</v>
      </c>
      <c r="D64" s="139"/>
      <c r="E64" s="115" t="s">
        <v>168</v>
      </c>
      <c r="F64" s="116">
        <v>3</v>
      </c>
      <c r="G64" s="117">
        <f t="shared" ref="G64:G66" si="46">$E$23</f>
        <v>0.32</v>
      </c>
      <c r="H64" s="103">
        <f>IF(VLOOKUP($E64,武器奇术!$A:$R,18,FALSE)="天工",AE64,(AE64+AT64+BI64+BX64+CM64+DB64+DQ64))*(1+J64)*F64*K64*(1+G64)</f>
        <v>138030.392829806</v>
      </c>
      <c r="I64" s="104">
        <f t="shared" si="42"/>
        <v>0.0159079969584751</v>
      </c>
      <c r="J64" s="104">
        <f>$F$3+VLOOKUP($E64,武器奇术!$A:$R,12,FALSE)+VLOOKUP($E64,武器奇术!$A:$R,14,FALSE)*$G$3+$P64</f>
        <v>0.703</v>
      </c>
      <c r="K64" s="105">
        <f>VLOOKUP($E64,武器奇术!$A:$R,11,FALSE)</f>
        <v>1</v>
      </c>
      <c r="L64" s="119">
        <f>IF(VLOOKUP($E64,武器奇术!$A:$R,15,FALSE)="天工",0%,IF($C$17+VLOOKUP($E64,武器奇术!$A:$R,7,FALSE)&gt;80%,80%,$C$17+VLOOKUP($E64,武器奇术!$A:$R,7,FALSE))+IF($C$19&gt;20%,20%,$C$19))</f>
        <v>0.8703</v>
      </c>
      <c r="M64" s="120">
        <f>IF(VLOOKUP($E64,武器奇术!$A:$R,15,FALSE)="天工",0%,IF($C$18+VLOOKUP($E64,武器奇术!$A:$R,9,FALSE)&gt;40%,40%,$C$18+VLOOKUP($E64,武器奇术!$A:$R,9,FALSE))+IF($C$20&gt;10%,10%,$C$20))</f>
        <v>0.0986</v>
      </c>
      <c r="N64" s="121">
        <f>IF(VLOOKUP($E64,武器奇术!$A:$R,15,FALSE)="天工",100%,MIN($C$16,1))</f>
        <v>1</v>
      </c>
      <c r="O64" s="122" t="str">
        <f>VLOOKUP($E64,武器奇术!$A:$R,16,FALSE)</f>
        <v>伞</v>
      </c>
      <c r="P64" s="123">
        <f t="shared" si="44"/>
        <v>0.17</v>
      </c>
      <c r="Q64" s="110">
        <f>$B$5*(1+VLOOKUP($E64,武器奇术!$A:$R,5,FALSE))*(1+VLOOKUP($E64,武器奇术!$A:$S,19,FALSE)+IF($G$5="飞隼",0.1,0)+IF($G$5="撼天",0.05,0))-$F$9+IF($J$5="√",160,0)</f>
        <v>3324.7</v>
      </c>
      <c r="R64" s="102">
        <f>IF(VLOOKUP($E64,武器奇术!$A:$Z,18,FALSE)="叶龙",(S64-(Q64+S64)*0.5)*($G$15-0.5)*2+(Q64+S64)*0.5,(Q64+S64)*0.5)</f>
        <v>3404.7</v>
      </c>
      <c r="S64" s="102">
        <f>MAX($C$5,$B$5)*(1+VLOOKUP($E64,武器奇术!$A:$R,6,FALSE))*(1+VLOOKUP($E64,武器奇术!$A:$S,19,FALSE)+IF($G$5="飞隼",0.1,0)+IF($G$5="撼天",0.05,0))-$F$9+IF($J$5="√",320,0)</f>
        <v>3484.7</v>
      </c>
      <c r="T64" s="104">
        <f>IF(($D$5+VLOOKUP($E64,武器奇术!$A:$R,13,FALSE)+IF($I$3="√",10,0)-VLOOKUP($F$7,目标属性!$A:$R,5,FALSE))&gt;0,($D$5+VLOOKUP($E64,武器奇术!$A:$R,13,FALSE)+IF($I$3="√",10,0)-VLOOKUP($F$7,目标属性!$A:$R,5,FALSE))/200,($D$5+VLOOKUP($E64,武器奇术!$A:$R,13,FALSE)+IF($I$3="√",10,0)-VLOOKUP($F$7,目标属性!$A:$R,5,FALSE))/100)</f>
        <v>0.4175</v>
      </c>
      <c r="U64" s="111">
        <f>$E$5+IF($G$5="烟柳",IF(VLOOKUP($E64,武器奇术!$A:$T,20,FALSE)=1,0.1,0),0)</f>
        <v>0.1</v>
      </c>
      <c r="V64" s="102">
        <v>1</v>
      </c>
      <c r="W64" s="103">
        <f>Q64*VLOOKUP($E64,武器奇术!$A:$R,2,FALSE)*(1+T64)*(1+U64)*V64</f>
        <v>6091.01192639362</v>
      </c>
      <c r="X64" s="104">
        <f>(1-IF(VLOOKUP($E64,武器奇术!$A:$R,18,FALSE)="叶龙",1,$N64))*(1-$M64)</f>
        <v>0</v>
      </c>
      <c r="Y64" s="103">
        <f>R64*VLOOKUP($E64,武器奇术!$A:$R,2,FALSE)*(1+T64)*(1+U64)*V64*(1+$E$16+VLOOKUP($E64,武器奇术!$A:$R,8,FALSE))</f>
        <v>14059.495882713</v>
      </c>
      <c r="Z64" s="104">
        <f t="shared" si="33"/>
        <v>0.8703</v>
      </c>
      <c r="AA64" s="103">
        <f>S64*VLOOKUP($E64,武器奇术!$A:$R,2,FALSE)*(1+T64)*(1+U64)*V64*(1+$E$17+VLOOKUP($E64,武器奇术!$A:$R,10,FALSE))</f>
        <v>8618.58859472139</v>
      </c>
      <c r="AB64" s="104">
        <f t="shared" si="34"/>
        <v>0.0986</v>
      </c>
      <c r="AC64" s="103">
        <f>R64*VLOOKUP($E64,武器奇术!$A:$R,2,FALSE)*(1+T64)*(1+U64)*V64</f>
        <v>6237.57581309363</v>
      </c>
      <c r="AD64" s="104">
        <f t="shared" si="35"/>
        <v>0.0311</v>
      </c>
      <c r="AE64" s="112">
        <f t="shared" si="36"/>
        <v>13279.7607099519</v>
      </c>
      <c r="AF64" s="113">
        <f>VLOOKUP($E64,武器奇术!$A:$R,3,FALSE)*(1+IF(VLOOKUP($E64,武器奇术!$A:$R,15,FALSE)="武器",$E$15,0))</f>
        <v>421.59</v>
      </c>
      <c r="AG64" s="103">
        <f t="shared" si="1"/>
        <v>421.59</v>
      </c>
      <c r="AH64" s="103">
        <f>VLOOKUP($E64,武器奇术!$A:$R,3,FALSE)*(1+IF(VLOOKUP($E64,武器奇术!$A:$R,15,FALSE)="武器",$E$15,0))</f>
        <v>421.59</v>
      </c>
      <c r="AI64" s="104">
        <f>IF(($D$5+VLOOKUP($E64,武器奇术!$A:$R,13,FALSE)+IF($I$3="√",10,0)-VLOOKUP($F$7,目标属性!$A:$R,5,FALSE))&gt;0,($D$5+VLOOKUP($E64,武器奇术!$A:$R,13,FALSE)+IF($I$3="√",10,0)-VLOOKUP($F$7,目标属性!$A:$R,5,FALSE))/200,($D$5+VLOOKUP($E64,武器奇术!$A:$R,13,FALSE)+IF($I$3="√",10,0)-VLOOKUP($F$7,目标属性!$A:$R,5,FALSE))/100)</f>
        <v>0.4175</v>
      </c>
      <c r="AJ64" s="111">
        <f>$E$5+IF($G$5="烟柳",IF(VLOOKUP($E64,武器奇术!$A:$T,20,FALSE)=1,0.1,0),0)</f>
        <v>0.1</v>
      </c>
      <c r="AK64" s="102">
        <v>1</v>
      </c>
      <c r="AL64" s="103">
        <f t="shared" si="45"/>
        <v>657.3642075</v>
      </c>
      <c r="AM64" s="104">
        <f>(1-IF(VLOOKUP($E64,武器奇术!$A:$R,18,FALSE)="叶龙",1,$N64))*(1-$M64)</f>
        <v>0</v>
      </c>
      <c r="AN64" s="103">
        <f>AG64*(1+AI64)*(1+AJ64)*AK64*(1+$E$16+VLOOKUP($E64,武器奇术!$A:$R,8,FALSE))</f>
        <v>1481.698923705</v>
      </c>
      <c r="AO64" s="104">
        <f t="shared" si="2"/>
        <v>0.8703</v>
      </c>
      <c r="AP64" s="103">
        <f>AH64*(1+AI64)*(1+AJ64)*AK64*(1+$E$17+VLOOKUP($E64,武器奇术!$A:$R,10,FALSE))</f>
        <v>887.441680125</v>
      </c>
      <c r="AQ64" s="104">
        <f t="shared" si="3"/>
        <v>0.0986</v>
      </c>
      <c r="AR64" s="103">
        <f t="shared" si="38"/>
        <v>657.3642075</v>
      </c>
      <c r="AS64" s="104">
        <f t="shared" si="4"/>
        <v>0.0311</v>
      </c>
      <c r="AT64" s="112">
        <f t="shared" si="5"/>
        <v>1397.46834981404</v>
      </c>
      <c r="AU64" s="110">
        <f>$B$7*IF($G$5="撼天",1.05,1)+IF(AND(VLOOKUP($E64,武器奇术!$A:$R,15,FALSE)="武器",VLOOKUP($E64,武器奇术!$A:$R,17,FALSE)="鸣金"),$E$3*(1+$E$15),0)</f>
        <v>0</v>
      </c>
      <c r="AV64" s="102">
        <f t="shared" si="6"/>
        <v>0</v>
      </c>
      <c r="AW64" s="102">
        <f>MAX($C$7*IF($G$5="撼天",1.05,1)+IF(AND(VLOOKUP($E64,武器奇术!$A:$R,15,FALSE)="武器",VLOOKUP($E64,武器奇术!$A:$R,17,FALSE)="鸣金"),$E$3*(1+$E$15),0),AU64)</f>
        <v>0</v>
      </c>
      <c r="AX64" s="104">
        <f>IF(($D$7+IF(VLOOKUP($E64,武器奇术!$A:$R,17,FALSE)="鸣金",$D$15,0)-VLOOKUP($F$7,目标属性!$A:$R,6,FALSE))&gt;0,($D$7+IF(VLOOKUP($E64,武器奇术!$A:$R,17,FALSE)="鸣金",$D$15,0)-VLOOKUP($F$7,目标属性!$A:$R,6,FALSE))/200,($D$7+IF(VLOOKUP($E64,武器奇术!$A:$R,17,FALSE)="鸣金",$D$15,0)-VLOOKUP($F$7,目标属性!$A:$R,6,FALSE))/100)</f>
        <v>-0.24</v>
      </c>
      <c r="AY64" s="111">
        <f t="shared" si="7"/>
        <v>0</v>
      </c>
      <c r="AZ64" s="102">
        <v>1</v>
      </c>
      <c r="BA64" s="103">
        <f>AU64*IF(VLOOKUP($E64,武器奇术!$A:$R,17,FALSE)="鸣金",VLOOKUP($E64,武器奇术!$A:$R,4,FALSE),VLOOKUP($E64,武器奇术!$A:$R,2,FALSE))*(1+AX64)*(1+AY64)*AZ64</f>
        <v>0</v>
      </c>
      <c r="BB64" s="104">
        <f>(1-IF(VLOOKUP($E64,武器奇术!$A:$R,18,FALSE)="叶龙",1,$N64))*(1-$M64)</f>
        <v>0</v>
      </c>
      <c r="BC64" s="103">
        <f>AV64*IF(VLOOKUP($E64,武器奇术!$A:$R,17,FALSE)="鸣金",VLOOKUP($E64,武器奇术!$A:$R,4,FALSE),VLOOKUP($E64,武器奇术!$A:$R,2,FALSE))*(1+AX64)*(1+AY64)*AZ64*(1+$E$16+VLOOKUP($E64,武器奇术!$A:$R,8,FALSE))</f>
        <v>0</v>
      </c>
      <c r="BD64" s="104">
        <f t="shared" si="8"/>
        <v>0.8703</v>
      </c>
      <c r="BE64" s="103">
        <f>AW64*IF(VLOOKUP($E64,武器奇术!$A:$R,17,FALSE)="鸣金",VLOOKUP($E64,武器奇术!$A:$R,4,FALSE),VLOOKUP($E64,武器奇术!$A:$R,2,FALSE))*(1+AX64)*(1+AY64)*AZ64*(1+$E$17+VLOOKUP($E64,武器奇术!$A:$R,10,FALSE))</f>
        <v>0</v>
      </c>
      <c r="BF64" s="104">
        <f t="shared" si="9"/>
        <v>0.0986</v>
      </c>
      <c r="BG64" s="103">
        <f>AV64*IF(VLOOKUP($E64,武器奇术!$A:$R,17,FALSE)="鸣金",VLOOKUP($E64,武器奇术!$A:$R,4,FALSE),VLOOKUP($E64,武器奇术!$A:$R,2,FALSE))*(1+AX64)*(1+AY64)*AZ64</f>
        <v>0</v>
      </c>
      <c r="BH64" s="104">
        <f t="shared" si="10"/>
        <v>0.0311</v>
      </c>
      <c r="BI64" s="112">
        <f t="shared" si="11"/>
        <v>0</v>
      </c>
      <c r="BJ64" s="110">
        <f>$B$9*IF($G$5="撼天",1.05,1)+IF(AND(VLOOKUP($E64,武器奇术!$A:$R,15,FALSE)="武器",VLOOKUP($E64,武器奇术!$A:$R,17,FALSE)="裂石"),$E$3*(1+$E$15),0)</f>
        <v>0</v>
      </c>
      <c r="BK64" s="102">
        <f t="shared" si="12"/>
        <v>0</v>
      </c>
      <c r="BL64" s="102">
        <f>MAX($C$9*IF($G$5="撼天",1.05,1)+IF(AND(VLOOKUP($E64,武器奇术!$A:$R,15,FALSE)="武器",VLOOKUP($E64,武器奇术!$A:$R,17,FALSE)="裂石"),$E$3*(1+$E$15),0),BJ64)</f>
        <v>0</v>
      </c>
      <c r="BM64" s="104">
        <f>IF(($D$9+IF(VLOOKUP($E64,武器奇术!$A:$R,17,FALSE)="裂石",$D$15,0)-VLOOKUP($F$7,目标属性!$A:$R,6,FALSE))&gt;0,($D$9+IF(VLOOKUP($E64,武器奇术!$A:$R,17,FALSE)="裂石",$D$15,0)-VLOOKUP($F$7,目标属性!$A:$R,6,FALSE))/200,($D$9+IF(VLOOKUP($E64,武器奇术!$A:$R,17,FALSE)="裂石",$D$15,0)-VLOOKUP($F$7,目标属性!$A:$R,6,FALSE))/100)</f>
        <v>-0.24</v>
      </c>
      <c r="BN64" s="111">
        <f t="shared" si="13"/>
        <v>0</v>
      </c>
      <c r="BO64" s="102">
        <v>1</v>
      </c>
      <c r="BP64" s="103">
        <f>BJ64*IF(VLOOKUP($E64,武器奇术!$A:$R,17,FALSE)="裂石",VLOOKUP($E64,武器奇术!$A:$R,4,FALSE),VLOOKUP($E64,武器奇术!$A:$R,2,FALSE))*(1+BM64)*(1+BN64)*BO64</f>
        <v>0</v>
      </c>
      <c r="BQ64" s="104">
        <f>(1-IF(VLOOKUP($E64,武器奇术!$A:$R,18,FALSE)="叶龙",1,$N64))*(1-$M64)</f>
        <v>0</v>
      </c>
      <c r="BR64" s="103">
        <f>BK64*IF(VLOOKUP($E64,武器奇术!$A:$R,17,FALSE)="裂石",VLOOKUP($E64,武器奇术!$A:$R,4,FALSE),VLOOKUP($E64,武器奇术!$A:$R,2,FALSE))*(1+BM64)*(1+BN64)*BO64*(1+$E$16+VLOOKUP($E64,武器奇术!$A:$R,8,FALSE))</f>
        <v>0</v>
      </c>
      <c r="BS64" s="104">
        <f t="shared" si="14"/>
        <v>0.8703</v>
      </c>
      <c r="BT64" s="103">
        <f>BL64*IF(VLOOKUP($E64,武器奇术!$A:$R,17,FALSE)="裂石",VLOOKUP($E64,武器奇术!$A:$R,4,FALSE),VLOOKUP($E64,武器奇术!$A:$R,2,FALSE))*(1+BM64)*(1+BN64)*BO64*(1+$E$17+VLOOKUP($E64,武器奇术!$A:$R,10,FALSE))</f>
        <v>0</v>
      </c>
      <c r="BU64" s="104">
        <f t="shared" si="15"/>
        <v>0.0986</v>
      </c>
      <c r="BV64" s="103">
        <f>BK64*IF(VLOOKUP($E64,武器奇术!$A:$R,17,FALSE)="裂石",VLOOKUP($E64,武器奇术!$A:$R,4,FALSE),VLOOKUP($E64,武器奇术!$A:$R,2,FALSE))*(1+BM64)*(1+BN64)*BO64</f>
        <v>0</v>
      </c>
      <c r="BW64" s="104">
        <f t="shared" si="16"/>
        <v>0.0311</v>
      </c>
      <c r="BX64" s="112">
        <f t="shared" si="17"/>
        <v>0</v>
      </c>
      <c r="BY64" s="110">
        <f>$B$11*IF($G$5="撼天",1.05,1)+IF(AND(VLOOKUP($E64,武器奇术!$A:$R,15,FALSE)="武器",VLOOKUP($E64,武器奇术!$A:$R,17,FALSE)="牵丝"),$E$3*(1+$E$15),0)</f>
        <v>686.71</v>
      </c>
      <c r="BZ64" s="102">
        <f>IF(VLOOKUP($E64,武器奇术!$A:$Z,18,FALSE)="叶龙",(CA64-(BY64+CA64)*0.5)*($G$15-0.5)*2+(BY64+CA64)*0.5,(BY64+CA64)*0.5)</f>
        <v>1052.21</v>
      </c>
      <c r="CA64" s="102">
        <f>MAX($C$11*IF($G$5="撼天",1.05,1)+IF(AND(VLOOKUP($E64,武器奇术!$A:$R,15,FALSE)="武器",VLOOKUP($E64,武器奇术!$A:$R,17,FALSE)="牵丝"),$E$3*(1+$E$15),0),BY64)</f>
        <v>1417.71</v>
      </c>
      <c r="CB64" s="104">
        <f>IF(($D$11+IF(VLOOKUP($E64,武器奇术!$A:$R,17,FALSE)="牵丝",$D$15,0)-VLOOKUP($F$7,目标属性!$A:$R,6,FALSE))&gt;0,($D$11+IF(VLOOKUP($E64,武器奇术!$A:$R,17,FALSE)="牵丝",$D$15,0)-VLOOKUP($F$7,目标属性!$A:$R,6,FALSE))/200,($D$11+IF(VLOOKUP($E64,武器奇术!$A:$R,17,FALSE)="牵丝",$D$15,0)-VLOOKUP($F$7,目标属性!$A:$R,6,FALSE))/100)</f>
        <v>0.028</v>
      </c>
      <c r="CC64" s="111">
        <f>$E$11+IF($G$5="烟柳",IF(VLOOKUP($E64,武器奇术!$A:$T,20,FALSE)=1,0.1,0),0)</f>
        <v>0.248</v>
      </c>
      <c r="CD64" s="102">
        <v>1</v>
      </c>
      <c r="CE64" s="103">
        <f>BY64*IF(VLOOKUP($E64,武器奇术!$A:$R,17,FALSE)="牵丝",VLOOKUP($E64,武器奇术!$A:$R,4,FALSE),VLOOKUP($E64,武器奇术!$A:$R,2,FALSE))*(1+CB64)*(1+CC64)*CD64</f>
        <v>1552.67083453872</v>
      </c>
      <c r="CF64" s="104">
        <f>(1-IF(VLOOKUP($E64,武器奇术!$A:$R,18,FALSE)="叶龙",1,$N64))*(1-$M64)</f>
        <v>0</v>
      </c>
      <c r="CG64" s="124">
        <f>BZ64*IF(VLOOKUP($E64,武器奇术!$A:$R,17,FALSE)="牵丝",VLOOKUP($E64,武器奇术!$A:$R,4,FALSE),VLOOKUP($E64,武器奇术!$A:$R,2,FALSE))*(1+CB64)*(1+CC64)*CD64*(1+$E$16+VLOOKUP($E64,武器奇术!$A:$R,8,FALSE))</f>
        <v>5362.43894138386</v>
      </c>
      <c r="CH64" s="104">
        <f t="shared" si="18"/>
        <v>0.8703</v>
      </c>
      <c r="CI64" s="103">
        <f>CA64*IF(VLOOKUP($E64,武器奇术!$A:$R,17,FALSE)="牵丝",VLOOKUP($E64,武器奇术!$A:$R,4,FALSE),VLOOKUP($E64,武器奇术!$A:$R,2,FALSE))*(1+CB64)*(1+CC64)*CD64*(1+$E$17+VLOOKUP($E64,武器奇术!$A:$R,10,FALSE))</f>
        <v>4327.40153474647</v>
      </c>
      <c r="CJ64" s="104">
        <f t="shared" si="19"/>
        <v>0.0986</v>
      </c>
      <c r="CK64" s="124">
        <f>BZ64*IF(VLOOKUP($E64,武器奇术!$A:$R,17,FALSE)="牵丝",VLOOKUP($E64,武器奇术!$A:$R,4,FALSE),VLOOKUP($E64,武器奇术!$A:$R,2,FALSE))*(1+CB64)*(1+CC64)*CD64</f>
        <v>2379.07672643472</v>
      </c>
      <c r="CL64" s="104">
        <f t="shared" si="20"/>
        <v>0.0311</v>
      </c>
      <c r="CM64" s="112">
        <f t="shared" si="39"/>
        <v>5167.60168820449</v>
      </c>
      <c r="CN64" s="110">
        <f>$B$13*IF($G$5="撼天",1.05,1)+IF(AND(VLOOKUP($E64,武器奇术!$A:$R,15,FALSE)="武器",VLOOKUP($E64,武器奇术!$A:$R,17,FALSE)="破竹"),$E$3*(1+$E$15),0)</f>
        <v>0</v>
      </c>
      <c r="CO64" s="102">
        <f t="shared" si="21"/>
        <v>0</v>
      </c>
      <c r="CP64" s="102">
        <f>MAX($C$13*IF($G$5="撼天",1.05,1)+IF(AND(VLOOKUP($E64,武器奇术!$A:$R,15,FALSE)="武器",VLOOKUP($E64,武器奇术!$A:$R,17,FALSE)="破竹"),$E$3*(1+$E$15),0),CN64)</f>
        <v>0</v>
      </c>
      <c r="CQ64" s="104">
        <f>IF(($D$13+IF(VLOOKUP($E64,武器奇术!$A:$R,17,FALSE)="破竹",$D$15,0)-VLOOKUP($F$7,目标属性!$A:$R,6,FALSE))&gt;0,($D$13+IF(VLOOKUP($E64,武器奇术!$A:$R,17,FALSE)="破竹",$D$15,0)-VLOOKUP($F$7,目标属性!$A:$R,6,FALSE))/200,($D$13+IF(VLOOKUP($E64,武器奇术!$A:$R,17,FALSE)="破竹",$D$15,0)-VLOOKUP($F$7,目标属性!$A:$R,6,FALSE))/100)</f>
        <v>-0.24</v>
      </c>
      <c r="CR64" s="111">
        <f t="shared" si="22"/>
        <v>0</v>
      </c>
      <c r="CS64" s="102">
        <v>1</v>
      </c>
      <c r="CT64" s="103">
        <f>CN64*IF(VLOOKUP($E64,武器奇术!$A:$R,17,FALSE)="破竹",VLOOKUP($E64,武器奇术!$A:$R,4,FALSE),VLOOKUP($E64,武器奇术!$A:$R,2,FALSE))*(1+CQ64)*(1+CR64)*CS64</f>
        <v>0</v>
      </c>
      <c r="CU64" s="104">
        <f>(1-IF(VLOOKUP($E64,武器奇术!$A:$R,18,FALSE)="叶龙",1,$N64))*(1-$M64)</f>
        <v>0</v>
      </c>
      <c r="CV64" s="103">
        <f>CO64*IF(VLOOKUP($E64,武器奇术!$A:$R,17,FALSE)="破竹",VLOOKUP($E64,武器奇术!$A:$R,4,FALSE),VLOOKUP($E64,武器奇术!$A:$R,2,FALSE))*(1+CQ64)*(1+CR64)*CS64*(1+$E$16+VLOOKUP($E64,武器奇术!$A:$R,8,FALSE))</f>
        <v>0</v>
      </c>
      <c r="CW64" s="104">
        <f t="shared" si="23"/>
        <v>0.8703</v>
      </c>
      <c r="CX64" s="103">
        <f>CP64*IF(VLOOKUP($E64,武器奇术!$A:$R,17,FALSE)="破竹",VLOOKUP($E64,武器奇术!$A:$R,4,FALSE),VLOOKUP($E64,武器奇术!$A:$R,2,FALSE))*(1+CQ64)*(1+CR64)*CS64*(1+$E$17+VLOOKUP($E64,武器奇术!$A:$R,10,FALSE))</f>
        <v>0</v>
      </c>
      <c r="CY64" s="104">
        <f t="shared" si="24"/>
        <v>0.0986</v>
      </c>
      <c r="CZ64" s="103">
        <f>CO64*IF(VLOOKUP($E64,武器奇术!$A:$R,17,FALSE)="破竹",VLOOKUP($E64,武器奇术!$A:$R,4,FALSE),VLOOKUP($E64,武器奇术!$A:$R,2,FALSE))*(1+CQ64)*(1+CR64)*CS64</f>
        <v>0</v>
      </c>
      <c r="DA64" s="104">
        <f t="shared" si="25"/>
        <v>0.0311</v>
      </c>
      <c r="DB64" s="112">
        <f t="shared" si="26"/>
        <v>0</v>
      </c>
      <c r="DC64" s="110">
        <f t="shared" si="40"/>
        <v>66</v>
      </c>
      <c r="DD64" s="102">
        <f t="shared" si="27"/>
        <v>125.8</v>
      </c>
      <c r="DE64" s="102">
        <f t="shared" si="41"/>
        <v>185.6</v>
      </c>
      <c r="DF64" s="104">
        <f>IF((IF(VLOOKUP($E64,武器奇术!$A:$R,17,FALSE)="鸣金",$D$7,0)+IF(VLOOKUP($E64,武器奇术!$A:$R,17,FALSE)="裂石",$D$9,0)+IF(VLOOKUP($E64,武器奇术!$A:$R,17,FALSE)="牵丝",$D$11,0)+IF(VLOOKUP($E64,武器奇术!$A:$R,17,FALSE)="破竹",$D$13,0)+$D$15-VLOOKUP($F$7,目标属性!$A:$R,6,FALSE))&gt;0,(IF(VLOOKUP($E64,武器奇术!$A:$R,17,FALSE)="鸣金",$D$7,0)+IF(VLOOKUP($E64,武器奇术!$A:$R,17,FALSE)="裂石",$D$9,0)+IF(VLOOKUP($E64,武器奇术!$A:$R,17,FALSE)="牵丝",$D$11,0)+IF(VLOOKUP($E64,武器奇术!$A:$R,17,FALSE)="破竹",$D$13,0)+$D$15-VLOOKUP($F$7,目标属性!$A:$R,6,FALSE))/200,(IF(VLOOKUP($E64,武器奇术!$A:$R,17,FALSE)="鸣金",$D$7,0)+IF(VLOOKUP($E64,武器奇术!$A:$R,17,FALSE)="裂石",$D$9,0)+IF(VLOOKUP($E64,武器奇术!$A:$R,17,FALSE)="牵丝",$D$11,0)+IF(VLOOKUP($E64,武器奇术!$A:$R,17,FALSE)="破竹",$D$13,0)+$D$15-VLOOKUP($F$7,目标属性!$A:$R,6,FALSE))/100)</f>
        <v>0.028</v>
      </c>
      <c r="DG64" s="111">
        <f>$E$11+IF($G$5="烟柳",IF(VLOOKUP($E64,武器奇术!$A:$T,20,FALSE)=1,0.1,0),0)</f>
        <v>0.248</v>
      </c>
      <c r="DH64" s="102">
        <v>1</v>
      </c>
      <c r="DI64" s="103">
        <f>DC64*IF(VLOOKUP($E64,武器奇术!$A:$R,17,FALSE)="牵丝",VLOOKUP($E64,武器奇术!$A:$R,4,FALSE),VLOOKUP($E64,武器奇术!$A:$R,2,FALSE))*(1+DF64)*(1+DG64)*DH64</f>
        <v>149.227876512</v>
      </c>
      <c r="DJ64" s="104">
        <f>(1-IF(VLOOKUP($E64,武器奇术!$A:$R,18,FALSE)="叶龙",1,$N64))*(1-$M64)</f>
        <v>0</v>
      </c>
      <c r="DK64" s="124">
        <f>DD64*IF(VLOOKUP($E64,武器奇术!$A:$R,17,FALSE)="牵丝",VLOOKUP($E64,武器奇术!$A:$R,4,FALSE),VLOOKUP($E64,武器奇术!$A:$R,2,FALSE))*(1+DF64)*(1+DG64)*DH64*(1+$E$16+VLOOKUP($E64,武器奇术!$A:$R,8,FALSE))</f>
        <v>641.121847184582</v>
      </c>
      <c r="DL64" s="104">
        <f t="shared" si="28"/>
        <v>0.8703</v>
      </c>
      <c r="DM64" s="103">
        <f>DE64*IF(VLOOKUP($E64,武器奇术!$A:$R,17,FALSE)="牵丝",VLOOKUP($E64,武器奇术!$A:$R,4,FALSE),VLOOKUP($E64,武器奇术!$A:$R,2,FALSE))*(1+DF64)*(1+DG64)*DH64*(1+$E$17+VLOOKUP($E64,武器奇术!$A:$R,10,FALSE))</f>
        <v>566.52328392192</v>
      </c>
      <c r="DN64" s="104">
        <f t="shared" si="29"/>
        <v>0.0986</v>
      </c>
      <c r="DO64" s="124">
        <f>DD64*IF(VLOOKUP($E64,武器奇术!$A:$R,17,FALSE)="牵丝",VLOOKUP($E64,武器奇术!$A:$R,4,FALSE),VLOOKUP($E64,武器奇术!$A:$R,2,FALSE))*(1+DF64)*(1+DG64)*DH64</f>
        <v>284.4373767456</v>
      </c>
      <c r="DP64" s="104">
        <f t="shared" si="30"/>
        <v>0.0311</v>
      </c>
      <c r="DQ64" s="112">
        <f t="shared" si="31"/>
        <v>622.673541816231</v>
      </c>
    </row>
    <row r="65" customFormat="1" customHeight="1" spans="1:121">
      <c r="A65" s="37"/>
      <c r="B65" t="s">
        <v>169</v>
      </c>
      <c r="C65">
        <v>1.93</v>
      </c>
      <c r="D65" s="139"/>
      <c r="E65" s="115" t="s">
        <v>153</v>
      </c>
      <c r="F65" s="116">
        <v>2</v>
      </c>
      <c r="G65" s="117">
        <f t="shared" si="46"/>
        <v>0.32</v>
      </c>
      <c r="H65" s="103">
        <f>IF(VLOOKUP($E65,武器奇术!$A:$R,18,FALSE)="天工",AE65,(AE65+AT65+BI65+BX65+CM65+DB65+DQ65))*(1+J65)*F65*K65*(1+G65)</f>
        <v>113633.946416552</v>
      </c>
      <c r="I65" s="104">
        <f t="shared" si="42"/>
        <v>0.0130963075371592</v>
      </c>
      <c r="J65" s="104">
        <f>$F$3+VLOOKUP($E65,武器奇术!$A:$R,12,FALSE)+VLOOKUP($E65,武器奇术!$A:$R,14,FALSE)*$G$3+$P65</f>
        <v>1.103</v>
      </c>
      <c r="K65" s="105">
        <f>VLOOKUP($E65,武器奇术!$A:$R,11,FALSE)</f>
        <v>1</v>
      </c>
      <c r="L65" s="119">
        <f>IF(VLOOKUP($E65,武器奇术!$A:$R,15,FALSE)="天工",0%,IF($C$17+VLOOKUP($E65,武器奇术!$A:$R,7,FALSE)&gt;80%,80%,$C$17+VLOOKUP($E65,武器奇术!$A:$R,7,FALSE))+IF($C$19&gt;20%,20%,$C$19))</f>
        <v>0.8703</v>
      </c>
      <c r="M65" s="120">
        <f>IF(VLOOKUP($E65,武器奇术!$A:$R,15,FALSE)="天工",0%,IF($C$18+VLOOKUP($E65,武器奇术!$A:$R,9,FALSE)&gt;40%,40%,$C$18+VLOOKUP($E65,武器奇术!$A:$R,9,FALSE))+IF($C$20&gt;10%,10%,$C$20))</f>
        <v>0.0986</v>
      </c>
      <c r="N65" s="121">
        <f>IF(VLOOKUP($E65,武器奇术!$A:$R,15,FALSE)="天工",100%,MIN($C$16,1))</f>
        <v>1</v>
      </c>
      <c r="O65" s="122" t="str">
        <f>VLOOKUP($E65,武器奇术!$A:$R,16,FALSE)</f>
        <v>伞</v>
      </c>
      <c r="P65" s="123">
        <f t="shared" si="44"/>
        <v>0.17</v>
      </c>
      <c r="Q65" s="110">
        <f>$B$5*(1+VLOOKUP($E65,武器奇术!$A:$R,5,FALSE))*(1+VLOOKUP($E65,武器奇术!$A:$S,19,FALSE)+IF($G$5="飞隼",0.1,0)+IF($G$5="撼天",0.05,0))-$F$9+IF($J$5="√",160,0)</f>
        <v>3324.7</v>
      </c>
      <c r="R65" s="102">
        <f>IF(VLOOKUP($E65,武器奇术!$A:$Z,18,FALSE)="叶龙",(S65-(Q65+S65)*0.5)*($G$15-0.5)*2+(Q65+S65)*0.5,(Q65+S65)*0.5)</f>
        <v>3404.7</v>
      </c>
      <c r="S65" s="102">
        <f>MAX($C$5,$B$5)*(1+VLOOKUP($E65,武器奇术!$A:$R,6,FALSE))*(1+VLOOKUP($E65,武器奇术!$A:$S,19,FALSE)+IF($G$5="飞隼",0.1,0)+IF($G$5="撼天",0.05,0))-$F$9+IF($J$5="√",320,0)</f>
        <v>3484.7</v>
      </c>
      <c r="T65" s="104">
        <f>IF(($D$5+VLOOKUP($E65,武器奇术!$A:$R,13,FALSE)+IF($I$3="√",10,0)-VLOOKUP($F$7,目标属性!$A:$R,5,FALSE))&gt;0,($D$5+VLOOKUP($E65,武器奇术!$A:$R,13,FALSE)+IF($I$3="√",10,0)-VLOOKUP($F$7,目标属性!$A:$R,5,FALSE))/200,($D$5+VLOOKUP($E65,武器奇术!$A:$R,13,FALSE)+IF($I$3="√",10,0)-VLOOKUP($F$7,目标属性!$A:$R,5,FALSE))/100)</f>
        <v>0.4175</v>
      </c>
      <c r="U65" s="111">
        <f>$E$5+IF($G$5="烟柳",IF(VLOOKUP($E65,武器奇术!$A:$T,20,FALSE)=1,0.1,0),0)</f>
        <v>0.1</v>
      </c>
      <c r="V65" s="102">
        <v>1</v>
      </c>
      <c r="W65" s="103">
        <f>Q65*VLOOKUP($E65,武器奇术!$A:$R,2,FALSE)*(1+T65)*(1+U65)*V65</f>
        <v>6091.01192639362</v>
      </c>
      <c r="X65" s="104">
        <f>(1-IF(VLOOKUP($E65,武器奇术!$A:$R,18,FALSE)="叶龙",1,$N65))*(1-$M65)</f>
        <v>0</v>
      </c>
      <c r="Y65" s="103">
        <f>R65*VLOOKUP($E65,武器奇术!$A:$R,2,FALSE)*(1+T65)*(1+U65)*V65*(1+$E$16+VLOOKUP($E65,武器奇术!$A:$R,8,FALSE))</f>
        <v>14059.495882713</v>
      </c>
      <c r="Z65" s="104">
        <f t="shared" si="33"/>
        <v>0.8703</v>
      </c>
      <c r="AA65" s="103">
        <f>S65*VLOOKUP($E65,武器奇术!$A:$R,2,FALSE)*(1+T65)*(1+U65)*V65*(1+$E$17+VLOOKUP($E65,武器奇术!$A:$R,10,FALSE))</f>
        <v>8618.58859472139</v>
      </c>
      <c r="AB65" s="104">
        <f t="shared" si="34"/>
        <v>0.0986</v>
      </c>
      <c r="AC65" s="103">
        <f>R65*VLOOKUP($E65,武器奇术!$A:$R,2,FALSE)*(1+T65)*(1+U65)*V65</f>
        <v>6237.57581309363</v>
      </c>
      <c r="AD65" s="104">
        <f t="shared" si="35"/>
        <v>0.0311</v>
      </c>
      <c r="AE65" s="112">
        <f t="shared" si="36"/>
        <v>13279.7607099519</v>
      </c>
      <c r="AF65" s="113">
        <f>VLOOKUP($E65,武器奇术!$A:$R,3,FALSE)*(1+IF(VLOOKUP($E65,武器奇术!$A:$R,15,FALSE)="武器",$E$15,0))</f>
        <v>421.59</v>
      </c>
      <c r="AG65" s="103">
        <f t="shared" si="1"/>
        <v>421.59</v>
      </c>
      <c r="AH65" s="103">
        <f>VLOOKUP($E65,武器奇术!$A:$R,3,FALSE)*(1+IF(VLOOKUP($E65,武器奇术!$A:$R,15,FALSE)="武器",$E$15,0))</f>
        <v>421.59</v>
      </c>
      <c r="AI65" s="104">
        <f>IF(($D$5+VLOOKUP($E65,武器奇术!$A:$R,13,FALSE)+IF($I$3="√",10,0)-VLOOKUP($F$7,目标属性!$A:$R,5,FALSE))&gt;0,($D$5+VLOOKUP($E65,武器奇术!$A:$R,13,FALSE)+IF($I$3="√",10,0)-VLOOKUP($F$7,目标属性!$A:$R,5,FALSE))/200,($D$5+VLOOKUP($E65,武器奇术!$A:$R,13,FALSE)+IF($I$3="√",10,0)-VLOOKUP($F$7,目标属性!$A:$R,5,FALSE))/100)</f>
        <v>0.4175</v>
      </c>
      <c r="AJ65" s="111">
        <f>$E$5+IF($G$5="烟柳",IF(VLOOKUP($E65,武器奇术!$A:$T,20,FALSE)=1,0.1,0),0)</f>
        <v>0.1</v>
      </c>
      <c r="AK65" s="102">
        <v>1</v>
      </c>
      <c r="AL65" s="103">
        <f t="shared" si="45"/>
        <v>657.3642075</v>
      </c>
      <c r="AM65" s="104">
        <f>(1-IF(VLOOKUP($E65,武器奇术!$A:$R,18,FALSE)="叶龙",1,$N65))*(1-$M65)</f>
        <v>0</v>
      </c>
      <c r="AN65" s="103">
        <f>AG65*(1+AI65)*(1+AJ65)*AK65*(1+$E$16+VLOOKUP($E65,武器奇术!$A:$R,8,FALSE))</f>
        <v>1481.698923705</v>
      </c>
      <c r="AO65" s="104">
        <f t="shared" si="2"/>
        <v>0.8703</v>
      </c>
      <c r="AP65" s="103">
        <f>AH65*(1+AI65)*(1+AJ65)*AK65*(1+$E$17+VLOOKUP($E65,武器奇术!$A:$R,10,FALSE))</f>
        <v>887.441680125</v>
      </c>
      <c r="AQ65" s="104">
        <f t="shared" si="3"/>
        <v>0.0986</v>
      </c>
      <c r="AR65" s="103">
        <f t="shared" si="38"/>
        <v>657.3642075</v>
      </c>
      <c r="AS65" s="104">
        <f t="shared" si="4"/>
        <v>0.0311</v>
      </c>
      <c r="AT65" s="112">
        <f t="shared" si="5"/>
        <v>1397.46834981404</v>
      </c>
      <c r="AU65" s="110">
        <f>$B$7*IF($G$5="撼天",1.05,1)+IF(AND(VLOOKUP($E65,武器奇术!$A:$R,15,FALSE)="武器",VLOOKUP($E65,武器奇术!$A:$R,17,FALSE)="鸣金"),$E$3*(1+$E$15),0)</f>
        <v>0</v>
      </c>
      <c r="AV65" s="102">
        <f t="shared" si="6"/>
        <v>0</v>
      </c>
      <c r="AW65" s="102">
        <f>MAX($C$7*IF($G$5="撼天",1.05,1)+IF(AND(VLOOKUP($E65,武器奇术!$A:$R,15,FALSE)="武器",VLOOKUP($E65,武器奇术!$A:$R,17,FALSE)="鸣金"),$E$3*(1+$E$15),0),AU65)</f>
        <v>0</v>
      </c>
      <c r="AX65" s="104">
        <f>IF(($D$7+IF(VLOOKUP($E65,武器奇术!$A:$R,17,FALSE)="鸣金",$D$15,0)-VLOOKUP($F$7,目标属性!$A:$R,6,FALSE))&gt;0,($D$7+IF(VLOOKUP($E65,武器奇术!$A:$R,17,FALSE)="鸣金",$D$15,0)-VLOOKUP($F$7,目标属性!$A:$R,6,FALSE))/200,($D$7+IF(VLOOKUP($E65,武器奇术!$A:$R,17,FALSE)="鸣金",$D$15,0)-VLOOKUP($F$7,目标属性!$A:$R,6,FALSE))/100)</f>
        <v>-0.24</v>
      </c>
      <c r="AY65" s="111">
        <f t="shared" si="7"/>
        <v>0</v>
      </c>
      <c r="AZ65" s="102">
        <v>1</v>
      </c>
      <c r="BA65" s="103">
        <f>AU65*IF(VLOOKUP($E65,武器奇术!$A:$R,17,FALSE)="鸣金",VLOOKUP($E65,武器奇术!$A:$R,4,FALSE),VLOOKUP($E65,武器奇术!$A:$R,2,FALSE))*(1+AX65)*(1+AY65)*AZ65</f>
        <v>0</v>
      </c>
      <c r="BB65" s="104">
        <f>(1-IF(VLOOKUP($E65,武器奇术!$A:$R,18,FALSE)="叶龙",1,$N65))*(1-$M65)</f>
        <v>0</v>
      </c>
      <c r="BC65" s="103">
        <f>AV65*IF(VLOOKUP($E65,武器奇术!$A:$R,17,FALSE)="鸣金",VLOOKUP($E65,武器奇术!$A:$R,4,FALSE),VLOOKUP($E65,武器奇术!$A:$R,2,FALSE))*(1+AX65)*(1+AY65)*AZ65*(1+$E$16+VLOOKUP($E65,武器奇术!$A:$R,8,FALSE))</f>
        <v>0</v>
      </c>
      <c r="BD65" s="104">
        <f t="shared" si="8"/>
        <v>0.8703</v>
      </c>
      <c r="BE65" s="103">
        <f>AW65*IF(VLOOKUP($E65,武器奇术!$A:$R,17,FALSE)="鸣金",VLOOKUP($E65,武器奇术!$A:$R,4,FALSE),VLOOKUP($E65,武器奇术!$A:$R,2,FALSE))*(1+AX65)*(1+AY65)*AZ65*(1+$E$17+VLOOKUP($E65,武器奇术!$A:$R,10,FALSE))</f>
        <v>0</v>
      </c>
      <c r="BF65" s="104">
        <f t="shared" si="9"/>
        <v>0.0986</v>
      </c>
      <c r="BG65" s="103">
        <f>AV65*IF(VLOOKUP($E65,武器奇术!$A:$R,17,FALSE)="鸣金",VLOOKUP($E65,武器奇术!$A:$R,4,FALSE),VLOOKUP($E65,武器奇术!$A:$R,2,FALSE))*(1+AX65)*(1+AY65)*AZ65</f>
        <v>0</v>
      </c>
      <c r="BH65" s="104">
        <f t="shared" si="10"/>
        <v>0.0311</v>
      </c>
      <c r="BI65" s="112">
        <f t="shared" si="11"/>
        <v>0</v>
      </c>
      <c r="BJ65" s="110">
        <f>$B$9*IF($G$5="撼天",1.05,1)+IF(AND(VLOOKUP($E65,武器奇术!$A:$R,15,FALSE)="武器",VLOOKUP($E65,武器奇术!$A:$R,17,FALSE)="裂石"),$E$3*(1+$E$15),0)</f>
        <v>0</v>
      </c>
      <c r="BK65" s="102">
        <f t="shared" si="12"/>
        <v>0</v>
      </c>
      <c r="BL65" s="102">
        <f>MAX($C$9*IF($G$5="撼天",1.05,1)+IF(AND(VLOOKUP($E65,武器奇术!$A:$R,15,FALSE)="武器",VLOOKUP($E65,武器奇术!$A:$R,17,FALSE)="裂石"),$E$3*(1+$E$15),0),BJ65)</f>
        <v>0</v>
      </c>
      <c r="BM65" s="104">
        <f>IF(($D$9+IF(VLOOKUP($E65,武器奇术!$A:$R,17,FALSE)="裂石",$D$15,0)-VLOOKUP($F$7,目标属性!$A:$R,6,FALSE))&gt;0,($D$9+IF(VLOOKUP($E65,武器奇术!$A:$R,17,FALSE)="裂石",$D$15,0)-VLOOKUP($F$7,目标属性!$A:$R,6,FALSE))/200,($D$9+IF(VLOOKUP($E65,武器奇术!$A:$R,17,FALSE)="裂石",$D$15,0)-VLOOKUP($F$7,目标属性!$A:$R,6,FALSE))/100)</f>
        <v>-0.24</v>
      </c>
      <c r="BN65" s="111">
        <f t="shared" si="13"/>
        <v>0</v>
      </c>
      <c r="BO65" s="102">
        <v>1</v>
      </c>
      <c r="BP65" s="103">
        <f>BJ65*IF(VLOOKUP($E65,武器奇术!$A:$R,17,FALSE)="裂石",VLOOKUP($E65,武器奇术!$A:$R,4,FALSE),VLOOKUP($E65,武器奇术!$A:$R,2,FALSE))*(1+BM65)*(1+BN65)*BO65</f>
        <v>0</v>
      </c>
      <c r="BQ65" s="104">
        <f>(1-IF(VLOOKUP($E65,武器奇术!$A:$R,18,FALSE)="叶龙",1,$N65))*(1-$M65)</f>
        <v>0</v>
      </c>
      <c r="BR65" s="103">
        <f>BK65*IF(VLOOKUP($E65,武器奇术!$A:$R,17,FALSE)="裂石",VLOOKUP($E65,武器奇术!$A:$R,4,FALSE),VLOOKUP($E65,武器奇术!$A:$R,2,FALSE))*(1+BM65)*(1+BN65)*BO65*(1+$E$16+VLOOKUP($E65,武器奇术!$A:$R,8,FALSE))</f>
        <v>0</v>
      </c>
      <c r="BS65" s="104">
        <f t="shared" si="14"/>
        <v>0.8703</v>
      </c>
      <c r="BT65" s="103">
        <f>BL65*IF(VLOOKUP($E65,武器奇术!$A:$R,17,FALSE)="裂石",VLOOKUP($E65,武器奇术!$A:$R,4,FALSE),VLOOKUP($E65,武器奇术!$A:$R,2,FALSE))*(1+BM65)*(1+BN65)*BO65*(1+$E$17+VLOOKUP($E65,武器奇术!$A:$R,10,FALSE))</f>
        <v>0</v>
      </c>
      <c r="BU65" s="104">
        <f t="shared" si="15"/>
        <v>0.0986</v>
      </c>
      <c r="BV65" s="103">
        <f>BK65*IF(VLOOKUP($E65,武器奇术!$A:$R,17,FALSE)="裂石",VLOOKUP($E65,武器奇术!$A:$R,4,FALSE),VLOOKUP($E65,武器奇术!$A:$R,2,FALSE))*(1+BM65)*(1+BN65)*BO65</f>
        <v>0</v>
      </c>
      <c r="BW65" s="104">
        <f t="shared" si="16"/>
        <v>0.0311</v>
      </c>
      <c r="BX65" s="112">
        <f t="shared" si="17"/>
        <v>0</v>
      </c>
      <c r="BY65" s="110">
        <f>$B$11*IF($G$5="撼天",1.05,1)+IF(AND(VLOOKUP($E65,武器奇术!$A:$R,15,FALSE)="武器",VLOOKUP($E65,武器奇术!$A:$R,17,FALSE)="牵丝"),$E$3*(1+$E$15),0)</f>
        <v>686.71</v>
      </c>
      <c r="BZ65" s="102">
        <f>IF(VLOOKUP($E65,武器奇术!$A:$Z,18,FALSE)="叶龙",(CA65-(BY65+CA65)*0.5)*($G$15-0.5)*2+(BY65+CA65)*0.5,(BY65+CA65)*0.5)</f>
        <v>1052.21</v>
      </c>
      <c r="CA65" s="102">
        <f>MAX($C$11*IF($G$5="撼天",1.05,1)+IF(AND(VLOOKUP($E65,武器奇术!$A:$R,15,FALSE)="武器",VLOOKUP($E65,武器奇术!$A:$R,17,FALSE)="牵丝"),$E$3*(1+$E$15),0),BY65)</f>
        <v>1417.71</v>
      </c>
      <c r="CB65" s="104">
        <f>IF(($D$11+IF(VLOOKUP($E65,武器奇术!$A:$R,17,FALSE)="牵丝",$D$15,0)-VLOOKUP($F$7,目标属性!$A:$R,6,FALSE))&gt;0,($D$11+IF(VLOOKUP($E65,武器奇术!$A:$R,17,FALSE)="牵丝",$D$15,0)-VLOOKUP($F$7,目标属性!$A:$R,6,FALSE))/200,($D$11+IF(VLOOKUP($E65,武器奇术!$A:$R,17,FALSE)="牵丝",$D$15,0)-VLOOKUP($F$7,目标属性!$A:$R,6,FALSE))/100)</f>
        <v>0.028</v>
      </c>
      <c r="CC65" s="111">
        <f>$E$11+IF($G$5="烟柳",IF(VLOOKUP($E65,武器奇术!$A:$T,20,FALSE)=1,0.1,0),0)</f>
        <v>0.248</v>
      </c>
      <c r="CD65" s="102">
        <v>1</v>
      </c>
      <c r="CE65" s="103">
        <f>BY65*IF(VLOOKUP($E65,武器奇术!$A:$R,17,FALSE)="牵丝",VLOOKUP($E65,武器奇术!$A:$R,4,FALSE),VLOOKUP($E65,武器奇术!$A:$R,2,FALSE))*(1+CB65)*(1+CC65)*CD65</f>
        <v>1552.67083453872</v>
      </c>
      <c r="CF65" s="104">
        <f>(1-IF(VLOOKUP($E65,武器奇术!$A:$R,18,FALSE)="叶龙",1,$N65))*(1-$M65)</f>
        <v>0</v>
      </c>
      <c r="CG65" s="124">
        <f>BZ65*IF(VLOOKUP($E65,武器奇术!$A:$R,17,FALSE)="牵丝",VLOOKUP($E65,武器奇术!$A:$R,4,FALSE),VLOOKUP($E65,武器奇术!$A:$R,2,FALSE))*(1+CB65)*(1+CC65)*CD65*(1+$E$16+VLOOKUP($E65,武器奇术!$A:$R,8,FALSE))</f>
        <v>5362.43894138386</v>
      </c>
      <c r="CH65" s="104">
        <f t="shared" si="18"/>
        <v>0.8703</v>
      </c>
      <c r="CI65" s="103">
        <f>CA65*IF(VLOOKUP($E65,武器奇术!$A:$R,17,FALSE)="牵丝",VLOOKUP($E65,武器奇术!$A:$R,4,FALSE),VLOOKUP($E65,武器奇术!$A:$R,2,FALSE))*(1+CB65)*(1+CC65)*CD65*(1+$E$17+VLOOKUP($E65,武器奇术!$A:$R,10,FALSE))</f>
        <v>4327.40153474647</v>
      </c>
      <c r="CJ65" s="104">
        <f t="shared" si="19"/>
        <v>0.0986</v>
      </c>
      <c r="CK65" s="124">
        <f>BZ65*IF(VLOOKUP($E65,武器奇术!$A:$R,17,FALSE)="牵丝",VLOOKUP($E65,武器奇术!$A:$R,4,FALSE),VLOOKUP($E65,武器奇术!$A:$R,2,FALSE))*(1+CB65)*(1+CC65)*CD65</f>
        <v>2379.07672643472</v>
      </c>
      <c r="CL65" s="104">
        <f t="shared" si="20"/>
        <v>0.0311</v>
      </c>
      <c r="CM65" s="112">
        <f t="shared" si="39"/>
        <v>5167.60168820449</v>
      </c>
      <c r="CN65" s="110">
        <f>$B$13*IF($G$5="撼天",1.05,1)+IF(AND(VLOOKUP($E65,武器奇术!$A:$R,15,FALSE)="武器",VLOOKUP($E65,武器奇术!$A:$R,17,FALSE)="破竹"),$E$3*(1+$E$15),0)</f>
        <v>0</v>
      </c>
      <c r="CO65" s="102">
        <f t="shared" si="21"/>
        <v>0</v>
      </c>
      <c r="CP65" s="102">
        <f>MAX($C$13*IF($G$5="撼天",1.05,1)+IF(AND(VLOOKUP($E65,武器奇术!$A:$R,15,FALSE)="武器",VLOOKUP($E65,武器奇术!$A:$R,17,FALSE)="破竹"),$E$3*(1+$E$15),0),CN65)</f>
        <v>0</v>
      </c>
      <c r="CQ65" s="104">
        <f>IF(($D$13+IF(VLOOKUP($E65,武器奇术!$A:$R,17,FALSE)="破竹",$D$15,0)-VLOOKUP($F$7,目标属性!$A:$R,6,FALSE))&gt;0,($D$13+IF(VLOOKUP($E65,武器奇术!$A:$R,17,FALSE)="破竹",$D$15,0)-VLOOKUP($F$7,目标属性!$A:$R,6,FALSE))/200,($D$13+IF(VLOOKUP($E65,武器奇术!$A:$R,17,FALSE)="破竹",$D$15,0)-VLOOKUP($F$7,目标属性!$A:$R,6,FALSE))/100)</f>
        <v>-0.24</v>
      </c>
      <c r="CR65" s="111">
        <f t="shared" si="22"/>
        <v>0</v>
      </c>
      <c r="CS65" s="102">
        <v>1</v>
      </c>
      <c r="CT65" s="103">
        <f>CN65*IF(VLOOKUP($E65,武器奇术!$A:$R,17,FALSE)="破竹",VLOOKUP($E65,武器奇术!$A:$R,4,FALSE),VLOOKUP($E65,武器奇术!$A:$R,2,FALSE))*(1+CQ65)*(1+CR65)*CS65</f>
        <v>0</v>
      </c>
      <c r="CU65" s="104">
        <f>(1-IF(VLOOKUP($E65,武器奇术!$A:$R,18,FALSE)="叶龙",1,$N65))*(1-$M65)</f>
        <v>0</v>
      </c>
      <c r="CV65" s="103">
        <f>CO65*IF(VLOOKUP($E65,武器奇术!$A:$R,17,FALSE)="破竹",VLOOKUP($E65,武器奇术!$A:$R,4,FALSE),VLOOKUP($E65,武器奇术!$A:$R,2,FALSE))*(1+CQ65)*(1+CR65)*CS65*(1+$E$16+VLOOKUP($E65,武器奇术!$A:$R,8,FALSE))</f>
        <v>0</v>
      </c>
      <c r="CW65" s="104">
        <f t="shared" si="23"/>
        <v>0.8703</v>
      </c>
      <c r="CX65" s="103">
        <f>CP65*IF(VLOOKUP($E65,武器奇术!$A:$R,17,FALSE)="破竹",VLOOKUP($E65,武器奇术!$A:$R,4,FALSE),VLOOKUP($E65,武器奇术!$A:$R,2,FALSE))*(1+CQ65)*(1+CR65)*CS65*(1+$E$17+VLOOKUP($E65,武器奇术!$A:$R,10,FALSE))</f>
        <v>0</v>
      </c>
      <c r="CY65" s="104">
        <f t="shared" si="24"/>
        <v>0.0986</v>
      </c>
      <c r="CZ65" s="103">
        <f>CO65*IF(VLOOKUP($E65,武器奇术!$A:$R,17,FALSE)="破竹",VLOOKUP($E65,武器奇术!$A:$R,4,FALSE),VLOOKUP($E65,武器奇术!$A:$R,2,FALSE))*(1+CQ65)*(1+CR65)*CS65</f>
        <v>0</v>
      </c>
      <c r="DA65" s="104">
        <f t="shared" si="25"/>
        <v>0.0311</v>
      </c>
      <c r="DB65" s="112">
        <f t="shared" si="26"/>
        <v>0</v>
      </c>
      <c r="DC65" s="110">
        <f t="shared" si="40"/>
        <v>66</v>
      </c>
      <c r="DD65" s="102">
        <f t="shared" si="27"/>
        <v>125.8</v>
      </c>
      <c r="DE65" s="102">
        <f t="shared" si="41"/>
        <v>185.6</v>
      </c>
      <c r="DF65" s="104">
        <f>IF((IF(VLOOKUP($E65,武器奇术!$A:$R,17,FALSE)="鸣金",$D$7,0)+IF(VLOOKUP($E65,武器奇术!$A:$R,17,FALSE)="裂石",$D$9,0)+IF(VLOOKUP($E65,武器奇术!$A:$R,17,FALSE)="牵丝",$D$11,0)+IF(VLOOKUP($E65,武器奇术!$A:$R,17,FALSE)="破竹",$D$13,0)+$D$15-VLOOKUP($F$7,目标属性!$A:$R,6,FALSE))&gt;0,(IF(VLOOKUP($E65,武器奇术!$A:$R,17,FALSE)="鸣金",$D$7,0)+IF(VLOOKUP($E65,武器奇术!$A:$R,17,FALSE)="裂石",$D$9,0)+IF(VLOOKUP($E65,武器奇术!$A:$R,17,FALSE)="牵丝",$D$11,0)+IF(VLOOKUP($E65,武器奇术!$A:$R,17,FALSE)="破竹",$D$13,0)+$D$15-VLOOKUP($F$7,目标属性!$A:$R,6,FALSE))/200,(IF(VLOOKUP($E65,武器奇术!$A:$R,17,FALSE)="鸣金",$D$7,0)+IF(VLOOKUP($E65,武器奇术!$A:$R,17,FALSE)="裂石",$D$9,0)+IF(VLOOKUP($E65,武器奇术!$A:$R,17,FALSE)="牵丝",$D$11,0)+IF(VLOOKUP($E65,武器奇术!$A:$R,17,FALSE)="破竹",$D$13,0)+$D$15-VLOOKUP($F$7,目标属性!$A:$R,6,FALSE))/100)</f>
        <v>0.028</v>
      </c>
      <c r="DG65" s="111">
        <f>$E$11+IF($G$5="烟柳",IF(VLOOKUP($E65,武器奇术!$A:$T,20,FALSE)=1,0.1,0),0)</f>
        <v>0.248</v>
      </c>
      <c r="DH65" s="102">
        <v>1</v>
      </c>
      <c r="DI65" s="103">
        <f>DC65*IF(VLOOKUP($E65,武器奇术!$A:$R,17,FALSE)="牵丝",VLOOKUP($E65,武器奇术!$A:$R,4,FALSE),VLOOKUP($E65,武器奇术!$A:$R,2,FALSE))*(1+DF65)*(1+DG65)*DH65</f>
        <v>149.227876512</v>
      </c>
      <c r="DJ65" s="104">
        <f>(1-IF(VLOOKUP($E65,武器奇术!$A:$R,18,FALSE)="叶龙",1,$N65))*(1-$M65)</f>
        <v>0</v>
      </c>
      <c r="DK65" s="124">
        <f>DD65*IF(VLOOKUP($E65,武器奇术!$A:$R,17,FALSE)="牵丝",VLOOKUP($E65,武器奇术!$A:$R,4,FALSE),VLOOKUP($E65,武器奇术!$A:$R,2,FALSE))*(1+DF65)*(1+DG65)*DH65*(1+$E$16+VLOOKUP($E65,武器奇术!$A:$R,8,FALSE))</f>
        <v>641.121847184582</v>
      </c>
      <c r="DL65" s="104">
        <f t="shared" si="28"/>
        <v>0.8703</v>
      </c>
      <c r="DM65" s="103">
        <f>DE65*IF(VLOOKUP($E65,武器奇术!$A:$R,17,FALSE)="牵丝",VLOOKUP($E65,武器奇术!$A:$R,4,FALSE),VLOOKUP($E65,武器奇术!$A:$R,2,FALSE))*(1+DF65)*(1+DG65)*DH65*(1+$E$17+VLOOKUP($E65,武器奇术!$A:$R,10,FALSE))</f>
        <v>566.52328392192</v>
      </c>
      <c r="DN65" s="104">
        <f t="shared" si="29"/>
        <v>0.0986</v>
      </c>
      <c r="DO65" s="124">
        <f>DD65*IF(VLOOKUP($E65,武器奇术!$A:$R,17,FALSE)="牵丝",VLOOKUP($E65,武器奇术!$A:$R,4,FALSE),VLOOKUP($E65,武器奇术!$A:$R,2,FALSE))*(1+DF65)*(1+DG65)*DH65</f>
        <v>284.4373767456</v>
      </c>
      <c r="DP65" s="104">
        <f t="shared" si="30"/>
        <v>0.0311</v>
      </c>
      <c r="DQ65" s="112">
        <f t="shared" si="31"/>
        <v>622.673541816231</v>
      </c>
    </row>
    <row r="66" customFormat="1" customHeight="1" spans="1:121">
      <c r="A66" s="37"/>
      <c r="B66" t="s">
        <v>162</v>
      </c>
      <c r="C66">
        <v>1.5</v>
      </c>
      <c r="D66" s="139"/>
      <c r="E66" s="115" t="s">
        <v>170</v>
      </c>
      <c r="F66" s="116">
        <v>5</v>
      </c>
      <c r="G66" s="117">
        <f t="shared" si="46"/>
        <v>0.32</v>
      </c>
      <c r="H66" s="103">
        <f>IF(VLOOKUP($E66,武器奇术!$A:$R,18,FALSE)="天工",AE66,(AE66+AT66+BI66+BX66+CM66+DB66+DQ66))*(1+J66)*F66*K66*(1+G66)</f>
        <v>239091.008310575</v>
      </c>
      <c r="I66" s="104">
        <f t="shared" si="42"/>
        <v>0.0275552286349941</v>
      </c>
      <c r="J66" s="104">
        <f>$F$3+VLOOKUP($E66,武器奇术!$A:$R,12,FALSE)+VLOOKUP($E66,武器奇术!$A:$R,14,FALSE)*$G$3+$P66</f>
        <v>1.103</v>
      </c>
      <c r="K66" s="105">
        <f>VLOOKUP($E66,武器奇术!$A:$R,11,FALSE)</f>
        <v>1</v>
      </c>
      <c r="L66" s="119">
        <f>IF(VLOOKUP($E66,武器奇术!$A:$R,15,FALSE)="天工",0%,IF($C$17+VLOOKUP($E66,武器奇术!$A:$R,7,FALSE)&gt;80%,80%,$C$17+VLOOKUP($E66,武器奇术!$A:$R,7,FALSE))+IF($C$19&gt;20%,20%,$C$19))</f>
        <v>0.8703</v>
      </c>
      <c r="M66" s="120">
        <f>IF(VLOOKUP($E66,武器奇术!$A:$R,15,FALSE)="天工",0%,IF($C$18+VLOOKUP($E66,武器奇术!$A:$R,9,FALSE)&gt;40%,40%,$C$18+VLOOKUP($E66,武器奇术!$A:$R,9,FALSE))+IF($C$20&gt;10%,10%,$C$20))</f>
        <v>0.0986</v>
      </c>
      <c r="N66" s="121">
        <f>IF(VLOOKUP($E66,武器奇术!$A:$R,15,FALSE)="天工",100%,MIN($C$16,1))</f>
        <v>1</v>
      </c>
      <c r="O66" s="122" t="str">
        <f>VLOOKUP($E66,武器奇术!$A:$R,16,FALSE)</f>
        <v>伞</v>
      </c>
      <c r="P66" s="123">
        <f t="shared" si="44"/>
        <v>0.17</v>
      </c>
      <c r="Q66" s="110">
        <f>$B$5*(1+VLOOKUP($E66,武器奇术!$A:$R,5,FALSE))*(1+VLOOKUP($E66,武器奇术!$A:$S,19,FALSE)+IF($G$5="飞隼",0.1,0)+IF($G$5="撼天",0.05,0))-$F$9+IF($J$5="√",160,0)</f>
        <v>3324.7</v>
      </c>
      <c r="R66" s="102">
        <f>IF(VLOOKUP($E66,武器奇术!$A:$Z,18,FALSE)="叶龙",(S66-(Q66+S66)*0.5)*($G$15-0.5)*2+(Q66+S66)*0.5,(Q66+S66)*0.5)</f>
        <v>3404.7</v>
      </c>
      <c r="S66" s="102">
        <f>MAX($C$5,$B$5)*(1+VLOOKUP($E66,武器奇术!$A:$R,6,FALSE))*(1+VLOOKUP($E66,武器奇术!$A:$S,19,FALSE)+IF($G$5="飞隼",0.1,0)+IF($G$5="撼天",0.05,0))-$F$9+IF($J$5="√",320,0)</f>
        <v>3484.7</v>
      </c>
      <c r="T66" s="104">
        <f>IF(($D$5+VLOOKUP($E66,武器奇术!$A:$R,13,FALSE)+IF($I$3="√",10,0)-VLOOKUP($F$7,目标属性!$A:$R,5,FALSE))&gt;0,($D$5+VLOOKUP($E66,武器奇术!$A:$R,13,FALSE)+IF($I$3="√",10,0)-VLOOKUP($F$7,目标属性!$A:$R,5,FALSE))/200,($D$5+VLOOKUP($E66,武器奇术!$A:$R,13,FALSE)+IF($I$3="√",10,0)-VLOOKUP($F$7,目标属性!$A:$R,5,FALSE))/100)</f>
        <v>0.2925</v>
      </c>
      <c r="U66" s="111">
        <f>$E$5+IF($G$5="烟柳",IF(VLOOKUP($E66,武器奇术!$A:$T,20,FALSE)=1,0.1,0),0)</f>
        <v>0.1</v>
      </c>
      <c r="V66" s="102">
        <v>1</v>
      </c>
      <c r="W66" s="103">
        <f>Q66*VLOOKUP($E66,武器奇术!$A:$R,2,FALSE)*(1+T66)*(1+U66)*V66</f>
        <v>5553.88565422487</v>
      </c>
      <c r="X66" s="104">
        <f>(1-IF(VLOOKUP($E66,武器奇术!$A:$R,18,FALSE)="叶龙",1,$N66))*(1-$M66)</f>
        <v>0</v>
      </c>
      <c r="Y66" s="103">
        <f>R66*VLOOKUP($E66,武器奇术!$A:$R,2,FALSE)*(1+T66)*(1+U66)*V66*(1+$E$16+VLOOKUP($E66,武器奇术!$A:$R,8,FALSE))</f>
        <v>11397.8001719934</v>
      </c>
      <c r="Z66" s="104">
        <f t="shared" si="33"/>
        <v>0.8703</v>
      </c>
      <c r="AA66" s="103">
        <f>S66*VLOOKUP($E66,武器奇术!$A:$R,2,FALSE)*(1+T66)*(1+U66)*V66*(1+$E$17+VLOOKUP($E66,武器奇术!$A:$R,10,FALSE))</f>
        <v>7858.57196379358</v>
      </c>
      <c r="AB66" s="104">
        <f t="shared" si="34"/>
        <v>0.0986</v>
      </c>
      <c r="AC66" s="103">
        <f>R66*VLOOKUP($E66,武器奇术!$A:$R,2,FALSE)*(1+T66)*(1+U66)*V66</f>
        <v>5687.52503592487</v>
      </c>
      <c r="AD66" s="104">
        <f t="shared" si="35"/>
        <v>0.0311</v>
      </c>
      <c r="AE66" s="112">
        <f t="shared" si="36"/>
        <v>10871.2427139332</v>
      </c>
      <c r="AF66" s="113">
        <f>VLOOKUP($E66,武器奇术!$A:$R,3,FALSE)*(1+IF(VLOOKUP($E66,武器奇术!$A:$R,15,FALSE)="武器",$E$15,0))</f>
        <v>421.59</v>
      </c>
      <c r="AG66" s="103">
        <f t="shared" si="1"/>
        <v>421.59</v>
      </c>
      <c r="AH66" s="103">
        <f>VLOOKUP($E66,武器奇术!$A:$R,3,FALSE)*(1+IF(VLOOKUP($E66,武器奇术!$A:$R,15,FALSE)="武器",$E$15,0))</f>
        <v>421.59</v>
      </c>
      <c r="AI66" s="104">
        <f>IF(($D$5+VLOOKUP($E66,武器奇术!$A:$R,13,FALSE)+IF($I$3="√",10,0)-VLOOKUP($F$7,目标属性!$A:$R,5,FALSE))&gt;0,($D$5+VLOOKUP($E66,武器奇术!$A:$R,13,FALSE)+IF($I$3="√",10,0)-VLOOKUP($F$7,目标属性!$A:$R,5,FALSE))/200,($D$5+VLOOKUP($E66,武器奇术!$A:$R,13,FALSE)+IF($I$3="√",10,0)-VLOOKUP($F$7,目标属性!$A:$R,5,FALSE))/100)</f>
        <v>0.2925</v>
      </c>
      <c r="AJ66" s="111">
        <f>$E$5+IF($G$5="烟柳",IF(VLOOKUP($E66,武器奇术!$A:$T,20,FALSE)=1,0.1,0),0)</f>
        <v>0.1</v>
      </c>
      <c r="AK66" s="102">
        <v>1</v>
      </c>
      <c r="AL66" s="103">
        <f t="shared" si="45"/>
        <v>599.3955825</v>
      </c>
      <c r="AM66" s="104">
        <f>(1-IF(VLOOKUP($E66,武器奇术!$A:$R,18,FALSE)="叶龙",1,$N66))*(1-$M66)</f>
        <v>0</v>
      </c>
      <c r="AN66" s="103">
        <f>AG66*(1+AI66)*(1+AJ66)*AK66*(1+$E$16+VLOOKUP($E66,武器奇术!$A:$R,8,FALSE))</f>
        <v>1201.18874733</v>
      </c>
      <c r="AO66" s="104">
        <f t="shared" si="2"/>
        <v>0.8703</v>
      </c>
      <c r="AP66" s="103">
        <f>AH66*(1+AI66)*(1+AJ66)*AK66*(1+$E$17+VLOOKUP($E66,武器奇术!$A:$R,10,FALSE))</f>
        <v>809.184036375</v>
      </c>
      <c r="AQ66" s="104">
        <f t="shared" si="3"/>
        <v>0.0986</v>
      </c>
      <c r="AR66" s="103">
        <f t="shared" si="38"/>
        <v>599.3955825</v>
      </c>
      <c r="AS66" s="104">
        <f t="shared" si="4"/>
        <v>0.0311</v>
      </c>
      <c r="AT66" s="112">
        <f t="shared" si="5"/>
        <v>1143.82131540362</v>
      </c>
      <c r="AU66" s="110">
        <f>$B$7*IF($G$5="撼天",1.05,1)+IF(AND(VLOOKUP($E66,武器奇术!$A:$R,15,FALSE)="武器",VLOOKUP($E66,武器奇术!$A:$R,17,FALSE)="鸣金"),$E$3*(1+$E$15),0)</f>
        <v>0</v>
      </c>
      <c r="AV66" s="102">
        <f t="shared" si="6"/>
        <v>0</v>
      </c>
      <c r="AW66" s="102">
        <f>MAX($C$7*IF($G$5="撼天",1.05,1)+IF(AND(VLOOKUP($E66,武器奇术!$A:$R,15,FALSE)="武器",VLOOKUP($E66,武器奇术!$A:$R,17,FALSE)="鸣金"),$E$3*(1+$E$15),0),AU66)</f>
        <v>0</v>
      </c>
      <c r="AX66" s="104">
        <f>IF(($D$7+IF(VLOOKUP($E66,武器奇术!$A:$R,17,FALSE)="鸣金",$D$15,0)-VLOOKUP($F$7,目标属性!$A:$R,6,FALSE))&gt;0,($D$7+IF(VLOOKUP($E66,武器奇术!$A:$R,17,FALSE)="鸣金",$D$15,0)-VLOOKUP($F$7,目标属性!$A:$R,6,FALSE))/200,($D$7+IF(VLOOKUP($E66,武器奇术!$A:$R,17,FALSE)="鸣金",$D$15,0)-VLOOKUP($F$7,目标属性!$A:$R,6,FALSE))/100)</f>
        <v>-0.24</v>
      </c>
      <c r="AY66" s="111">
        <f t="shared" si="7"/>
        <v>0</v>
      </c>
      <c r="AZ66" s="102">
        <v>1</v>
      </c>
      <c r="BA66" s="103">
        <f>AU66*IF(VLOOKUP($E66,武器奇术!$A:$R,17,FALSE)="鸣金",VLOOKUP($E66,武器奇术!$A:$R,4,FALSE),VLOOKUP($E66,武器奇术!$A:$R,2,FALSE))*(1+AX66)*(1+AY66)*AZ66</f>
        <v>0</v>
      </c>
      <c r="BB66" s="104">
        <f>(1-IF(VLOOKUP($E66,武器奇术!$A:$R,18,FALSE)="叶龙",1,$N66))*(1-$M66)</f>
        <v>0</v>
      </c>
      <c r="BC66" s="103">
        <f>AV66*IF(VLOOKUP($E66,武器奇术!$A:$R,17,FALSE)="鸣金",VLOOKUP($E66,武器奇术!$A:$R,4,FALSE),VLOOKUP($E66,武器奇术!$A:$R,2,FALSE))*(1+AX66)*(1+AY66)*AZ66*(1+$E$16+VLOOKUP($E66,武器奇术!$A:$R,8,FALSE))</f>
        <v>0</v>
      </c>
      <c r="BD66" s="104">
        <f t="shared" si="8"/>
        <v>0.8703</v>
      </c>
      <c r="BE66" s="103">
        <f>AW66*IF(VLOOKUP($E66,武器奇术!$A:$R,17,FALSE)="鸣金",VLOOKUP($E66,武器奇术!$A:$R,4,FALSE),VLOOKUP($E66,武器奇术!$A:$R,2,FALSE))*(1+AX66)*(1+AY66)*AZ66*(1+$E$17+VLOOKUP($E66,武器奇术!$A:$R,10,FALSE))</f>
        <v>0</v>
      </c>
      <c r="BF66" s="104">
        <f t="shared" si="9"/>
        <v>0.0986</v>
      </c>
      <c r="BG66" s="103">
        <f>AV66*IF(VLOOKUP($E66,武器奇术!$A:$R,17,FALSE)="鸣金",VLOOKUP($E66,武器奇术!$A:$R,4,FALSE),VLOOKUP($E66,武器奇术!$A:$R,2,FALSE))*(1+AX66)*(1+AY66)*AZ66</f>
        <v>0</v>
      </c>
      <c r="BH66" s="104">
        <f t="shared" si="10"/>
        <v>0.0311</v>
      </c>
      <c r="BI66" s="112">
        <f t="shared" si="11"/>
        <v>0</v>
      </c>
      <c r="BJ66" s="110">
        <f>$B$9*IF($G$5="撼天",1.05,1)+IF(AND(VLOOKUP($E66,武器奇术!$A:$R,15,FALSE)="武器",VLOOKUP($E66,武器奇术!$A:$R,17,FALSE)="裂石"),$E$3*(1+$E$15),0)</f>
        <v>0</v>
      </c>
      <c r="BK66" s="102">
        <f t="shared" si="12"/>
        <v>0</v>
      </c>
      <c r="BL66" s="102">
        <f>MAX($C$9*IF($G$5="撼天",1.05,1)+IF(AND(VLOOKUP($E66,武器奇术!$A:$R,15,FALSE)="武器",VLOOKUP($E66,武器奇术!$A:$R,17,FALSE)="裂石"),$E$3*(1+$E$15),0),BJ66)</f>
        <v>0</v>
      </c>
      <c r="BM66" s="104">
        <f>IF(($D$9+IF(VLOOKUP($E66,武器奇术!$A:$R,17,FALSE)="裂石",$D$15,0)-VLOOKUP($F$7,目标属性!$A:$R,6,FALSE))&gt;0,($D$9+IF(VLOOKUP($E66,武器奇术!$A:$R,17,FALSE)="裂石",$D$15,0)-VLOOKUP($F$7,目标属性!$A:$R,6,FALSE))/200,($D$9+IF(VLOOKUP($E66,武器奇术!$A:$R,17,FALSE)="裂石",$D$15,0)-VLOOKUP($F$7,目标属性!$A:$R,6,FALSE))/100)</f>
        <v>-0.24</v>
      </c>
      <c r="BN66" s="111">
        <f t="shared" si="13"/>
        <v>0</v>
      </c>
      <c r="BO66" s="102">
        <v>1</v>
      </c>
      <c r="BP66" s="103">
        <f>BJ66*IF(VLOOKUP($E66,武器奇术!$A:$R,17,FALSE)="裂石",VLOOKUP($E66,武器奇术!$A:$R,4,FALSE),VLOOKUP($E66,武器奇术!$A:$R,2,FALSE))*(1+BM66)*(1+BN66)*BO66</f>
        <v>0</v>
      </c>
      <c r="BQ66" s="104">
        <f>(1-IF(VLOOKUP($E66,武器奇术!$A:$R,18,FALSE)="叶龙",1,$N66))*(1-$M66)</f>
        <v>0</v>
      </c>
      <c r="BR66" s="103">
        <f>BK66*IF(VLOOKUP($E66,武器奇术!$A:$R,17,FALSE)="裂石",VLOOKUP($E66,武器奇术!$A:$R,4,FALSE),VLOOKUP($E66,武器奇术!$A:$R,2,FALSE))*(1+BM66)*(1+BN66)*BO66*(1+$E$16+VLOOKUP($E66,武器奇术!$A:$R,8,FALSE))</f>
        <v>0</v>
      </c>
      <c r="BS66" s="104">
        <f t="shared" si="14"/>
        <v>0.8703</v>
      </c>
      <c r="BT66" s="103">
        <f>BL66*IF(VLOOKUP($E66,武器奇术!$A:$R,17,FALSE)="裂石",VLOOKUP($E66,武器奇术!$A:$R,4,FALSE),VLOOKUP($E66,武器奇术!$A:$R,2,FALSE))*(1+BM66)*(1+BN66)*BO66*(1+$E$17+VLOOKUP($E66,武器奇术!$A:$R,10,FALSE))</f>
        <v>0</v>
      </c>
      <c r="BU66" s="104">
        <f t="shared" si="15"/>
        <v>0.0986</v>
      </c>
      <c r="BV66" s="103">
        <f>BK66*IF(VLOOKUP($E66,武器奇术!$A:$R,17,FALSE)="裂石",VLOOKUP($E66,武器奇术!$A:$R,4,FALSE),VLOOKUP($E66,武器奇术!$A:$R,2,FALSE))*(1+BM66)*(1+BN66)*BO66</f>
        <v>0</v>
      </c>
      <c r="BW66" s="104">
        <f t="shared" si="16"/>
        <v>0.0311</v>
      </c>
      <c r="BX66" s="112">
        <f t="shared" si="17"/>
        <v>0</v>
      </c>
      <c r="BY66" s="110">
        <f>$B$11*IF($G$5="撼天",1.05,1)+IF(AND(VLOOKUP($E66,武器奇术!$A:$R,15,FALSE)="武器",VLOOKUP($E66,武器奇术!$A:$R,17,FALSE)="牵丝"),$E$3*(1+$E$15),0)</f>
        <v>686.71</v>
      </c>
      <c r="BZ66" s="102">
        <f>IF(VLOOKUP($E66,武器奇术!$A:$Z,18,FALSE)="叶龙",(CA66-(BY66+CA66)*0.5)*($G$15-0.5)*2+(BY66+CA66)*0.5,(BY66+CA66)*0.5)</f>
        <v>1052.21</v>
      </c>
      <c r="CA66" s="102">
        <f>MAX($C$11*IF($G$5="撼天",1.05,1)+IF(AND(VLOOKUP($E66,武器奇术!$A:$R,15,FALSE)="武器",VLOOKUP($E66,武器奇术!$A:$R,17,FALSE)="牵丝"),$E$3*(1+$E$15),0),BY66)</f>
        <v>1417.71</v>
      </c>
      <c r="CB66" s="104">
        <f>IF(($D$11+IF(VLOOKUP($E66,武器奇术!$A:$R,17,FALSE)="牵丝",$D$15,0)-VLOOKUP($F$7,目标属性!$A:$R,6,FALSE))&gt;0,($D$11+IF(VLOOKUP($E66,武器奇术!$A:$R,17,FALSE)="牵丝",$D$15,0)-VLOOKUP($F$7,目标属性!$A:$R,6,FALSE))/200,($D$11+IF(VLOOKUP($E66,武器奇术!$A:$R,17,FALSE)="牵丝",$D$15,0)-VLOOKUP($F$7,目标属性!$A:$R,6,FALSE))/100)</f>
        <v>0.028</v>
      </c>
      <c r="CC66" s="111">
        <f>$E$11+IF($G$5="烟柳",IF(VLOOKUP($E66,武器奇术!$A:$T,20,FALSE)=1,0.1,0),0)</f>
        <v>0.248</v>
      </c>
      <c r="CD66" s="102">
        <v>1</v>
      </c>
      <c r="CE66" s="103">
        <f>BY66*IF(VLOOKUP($E66,武器奇术!$A:$R,17,FALSE)="牵丝",VLOOKUP($E66,武器奇术!$A:$R,4,FALSE),VLOOKUP($E66,武器奇术!$A:$R,2,FALSE))*(1+CB66)*(1+CC66)*CD66</f>
        <v>1552.67083453872</v>
      </c>
      <c r="CF66" s="104">
        <f>(1-IF(VLOOKUP($E66,武器奇术!$A:$R,18,FALSE)="叶龙",1,$N66))*(1-$M66)</f>
        <v>0</v>
      </c>
      <c r="CG66" s="124">
        <f>BZ66*IF(VLOOKUP($E66,武器奇术!$A:$R,17,FALSE)="牵丝",VLOOKUP($E66,武器奇术!$A:$R,4,FALSE),VLOOKUP($E66,武器奇术!$A:$R,2,FALSE))*(1+CB66)*(1+CC66)*CD66*(1+$E$16+VLOOKUP($E66,武器奇术!$A:$R,8,FALSE))</f>
        <v>4767.66975977518</v>
      </c>
      <c r="CH66" s="104">
        <f t="shared" si="18"/>
        <v>0.8703</v>
      </c>
      <c r="CI66" s="103">
        <f>CA66*IF(VLOOKUP($E66,武器奇术!$A:$R,17,FALSE)="牵丝",VLOOKUP($E66,武器奇术!$A:$R,4,FALSE),VLOOKUP($E66,武器奇术!$A:$R,2,FALSE))*(1+CB66)*(1+CC66)*CD66*(1+$E$17+VLOOKUP($E66,武器奇术!$A:$R,10,FALSE))</f>
        <v>4327.40153474647</v>
      </c>
      <c r="CJ66" s="104">
        <f t="shared" si="19"/>
        <v>0.0986</v>
      </c>
      <c r="CK66" s="124">
        <f>BZ66*IF(VLOOKUP($E66,武器奇术!$A:$R,17,FALSE)="牵丝",VLOOKUP($E66,武器奇术!$A:$R,4,FALSE),VLOOKUP($E66,武器奇术!$A:$R,2,FALSE))*(1+CB66)*(1+CC66)*CD66</f>
        <v>2379.07672643472</v>
      </c>
      <c r="CL66" s="104">
        <f t="shared" si="20"/>
        <v>0.0311</v>
      </c>
      <c r="CM66" s="112">
        <f t="shared" si="39"/>
        <v>4649.97406945046</v>
      </c>
      <c r="CN66" s="110">
        <f>$B$13*IF($G$5="撼天",1.05,1)+IF(AND(VLOOKUP($E66,武器奇术!$A:$R,15,FALSE)="武器",VLOOKUP($E66,武器奇术!$A:$R,17,FALSE)="破竹"),$E$3*(1+$E$15),0)</f>
        <v>0</v>
      </c>
      <c r="CO66" s="102">
        <f t="shared" si="21"/>
        <v>0</v>
      </c>
      <c r="CP66" s="102">
        <f>MAX($C$13*IF($G$5="撼天",1.05,1)+IF(AND(VLOOKUP($E66,武器奇术!$A:$R,15,FALSE)="武器",VLOOKUP($E66,武器奇术!$A:$R,17,FALSE)="破竹"),$E$3*(1+$E$15),0),CN66)</f>
        <v>0</v>
      </c>
      <c r="CQ66" s="104">
        <f>IF(($D$13+IF(VLOOKUP($E66,武器奇术!$A:$R,17,FALSE)="破竹",$D$15,0)-VLOOKUP($F$7,目标属性!$A:$R,6,FALSE))&gt;0,($D$13+IF(VLOOKUP($E66,武器奇术!$A:$R,17,FALSE)="破竹",$D$15,0)-VLOOKUP($F$7,目标属性!$A:$R,6,FALSE))/200,($D$13+IF(VLOOKUP($E66,武器奇术!$A:$R,17,FALSE)="破竹",$D$15,0)-VLOOKUP($F$7,目标属性!$A:$R,6,FALSE))/100)</f>
        <v>-0.24</v>
      </c>
      <c r="CR66" s="111">
        <f t="shared" si="22"/>
        <v>0</v>
      </c>
      <c r="CS66" s="102">
        <v>1</v>
      </c>
      <c r="CT66" s="103">
        <f>CN66*IF(VLOOKUP($E66,武器奇术!$A:$R,17,FALSE)="破竹",VLOOKUP($E66,武器奇术!$A:$R,4,FALSE),VLOOKUP($E66,武器奇术!$A:$R,2,FALSE))*(1+CQ66)*(1+CR66)*CS66</f>
        <v>0</v>
      </c>
      <c r="CU66" s="104">
        <f>(1-IF(VLOOKUP($E66,武器奇术!$A:$R,18,FALSE)="叶龙",1,$N66))*(1-$M66)</f>
        <v>0</v>
      </c>
      <c r="CV66" s="103">
        <f>CO66*IF(VLOOKUP($E66,武器奇术!$A:$R,17,FALSE)="破竹",VLOOKUP($E66,武器奇术!$A:$R,4,FALSE),VLOOKUP($E66,武器奇术!$A:$R,2,FALSE))*(1+CQ66)*(1+CR66)*CS66*(1+$E$16+VLOOKUP($E66,武器奇术!$A:$R,8,FALSE))</f>
        <v>0</v>
      </c>
      <c r="CW66" s="104">
        <f t="shared" si="23"/>
        <v>0.8703</v>
      </c>
      <c r="CX66" s="103">
        <f>CP66*IF(VLOOKUP($E66,武器奇术!$A:$R,17,FALSE)="破竹",VLOOKUP($E66,武器奇术!$A:$R,4,FALSE),VLOOKUP($E66,武器奇术!$A:$R,2,FALSE))*(1+CQ66)*(1+CR66)*CS66*(1+$E$17+VLOOKUP($E66,武器奇术!$A:$R,10,FALSE))</f>
        <v>0</v>
      </c>
      <c r="CY66" s="104">
        <f t="shared" si="24"/>
        <v>0.0986</v>
      </c>
      <c r="CZ66" s="103">
        <f>CO66*IF(VLOOKUP($E66,武器奇术!$A:$R,17,FALSE)="破竹",VLOOKUP($E66,武器奇术!$A:$R,4,FALSE),VLOOKUP($E66,武器奇术!$A:$R,2,FALSE))*(1+CQ66)*(1+CR66)*CS66</f>
        <v>0</v>
      </c>
      <c r="DA66" s="104">
        <f t="shared" si="25"/>
        <v>0.0311</v>
      </c>
      <c r="DB66" s="112">
        <f t="shared" si="26"/>
        <v>0</v>
      </c>
      <c r="DC66" s="110">
        <f t="shared" si="40"/>
        <v>66</v>
      </c>
      <c r="DD66" s="102">
        <f t="shared" si="27"/>
        <v>125.8</v>
      </c>
      <c r="DE66" s="102">
        <f t="shared" si="41"/>
        <v>185.6</v>
      </c>
      <c r="DF66" s="104">
        <f>IF((IF(VLOOKUP($E66,武器奇术!$A:$R,17,FALSE)="鸣金",$D$7,0)+IF(VLOOKUP($E66,武器奇术!$A:$R,17,FALSE)="裂石",$D$9,0)+IF(VLOOKUP($E66,武器奇术!$A:$R,17,FALSE)="牵丝",$D$11,0)+IF(VLOOKUP($E66,武器奇术!$A:$R,17,FALSE)="破竹",$D$13,0)+$D$15-VLOOKUP($F$7,目标属性!$A:$R,6,FALSE))&gt;0,(IF(VLOOKUP($E66,武器奇术!$A:$R,17,FALSE)="鸣金",$D$7,0)+IF(VLOOKUP($E66,武器奇术!$A:$R,17,FALSE)="裂石",$D$9,0)+IF(VLOOKUP($E66,武器奇术!$A:$R,17,FALSE)="牵丝",$D$11,0)+IF(VLOOKUP($E66,武器奇术!$A:$R,17,FALSE)="破竹",$D$13,0)+$D$15-VLOOKUP($F$7,目标属性!$A:$R,6,FALSE))/200,(IF(VLOOKUP($E66,武器奇术!$A:$R,17,FALSE)="鸣金",$D$7,0)+IF(VLOOKUP($E66,武器奇术!$A:$R,17,FALSE)="裂石",$D$9,0)+IF(VLOOKUP($E66,武器奇术!$A:$R,17,FALSE)="牵丝",$D$11,0)+IF(VLOOKUP($E66,武器奇术!$A:$R,17,FALSE)="破竹",$D$13,0)+$D$15-VLOOKUP($F$7,目标属性!$A:$R,6,FALSE))/100)</f>
        <v>0.028</v>
      </c>
      <c r="DG66" s="111">
        <f>$E$11+IF($G$5="烟柳",IF(VLOOKUP($E66,武器奇术!$A:$T,20,FALSE)=1,0.1,0),0)</f>
        <v>0.248</v>
      </c>
      <c r="DH66" s="102">
        <v>1</v>
      </c>
      <c r="DI66" s="103">
        <f>DC66*IF(VLOOKUP($E66,武器奇术!$A:$R,17,FALSE)="牵丝",VLOOKUP($E66,武器奇术!$A:$R,4,FALSE),VLOOKUP($E66,武器奇术!$A:$R,2,FALSE))*(1+DF66)*(1+DG66)*DH66</f>
        <v>149.227876512</v>
      </c>
      <c r="DJ66" s="104">
        <f>(1-IF(VLOOKUP($E66,武器奇术!$A:$R,18,FALSE)="叶龙",1,$N66))*(1-$M66)</f>
        <v>0</v>
      </c>
      <c r="DK66" s="124">
        <f>DD66*IF(VLOOKUP($E66,武器奇术!$A:$R,17,FALSE)="牵丝",VLOOKUP($E66,武器奇术!$A:$R,4,FALSE),VLOOKUP($E66,武器奇术!$A:$R,2,FALSE))*(1+DF66)*(1+DG66)*DH66*(1+$E$16+VLOOKUP($E66,武器奇术!$A:$R,8,FALSE))</f>
        <v>570.012502998182</v>
      </c>
      <c r="DL66" s="104">
        <f t="shared" si="28"/>
        <v>0.8703</v>
      </c>
      <c r="DM66" s="103">
        <f>DE66*IF(VLOOKUP($E66,武器奇术!$A:$R,17,FALSE)="牵丝",VLOOKUP($E66,武器奇术!$A:$R,4,FALSE),VLOOKUP($E66,武器奇术!$A:$R,2,FALSE))*(1+DF66)*(1+DG66)*DH66*(1+$E$17+VLOOKUP($E66,武器奇术!$A:$R,10,FALSE))</f>
        <v>566.52328392192</v>
      </c>
      <c r="DN66" s="104">
        <f t="shared" si="29"/>
        <v>0.0986</v>
      </c>
      <c r="DO66" s="124">
        <f>DD66*IF(VLOOKUP($E66,武器奇术!$A:$R,17,FALSE)="牵丝",VLOOKUP($E66,武器奇术!$A:$R,4,FALSE),VLOOKUP($E66,武器奇术!$A:$R,2,FALSE))*(1+DF66)*(1+DG66)*DH66</f>
        <v>284.4373767456</v>
      </c>
      <c r="DP66" s="104">
        <f t="shared" si="30"/>
        <v>0.0311</v>
      </c>
      <c r="DQ66" s="112">
        <f t="shared" si="31"/>
        <v>560.787079570808</v>
      </c>
    </row>
    <row r="67" customFormat="1" customHeight="1" spans="1:121">
      <c r="A67" s="37"/>
      <c r="B67" t="s">
        <v>156</v>
      </c>
      <c r="C67">
        <v>0.1</v>
      </c>
      <c r="D67" s="139"/>
      <c r="E67" s="115" t="s">
        <v>171</v>
      </c>
      <c r="F67" s="116">
        <v>1</v>
      </c>
      <c r="G67" s="117"/>
      <c r="H67" s="103">
        <f>IF(VLOOKUP($E67,武器奇术!$A:$R,18,FALSE)="天工",AE67,(AE67+AT67+BI67+BX67+CM67+DB67+DQ67))*(1+J67)*F67*K67*(1+G67)</f>
        <v>72358.3611144218</v>
      </c>
      <c r="I67" s="104">
        <f t="shared" si="42"/>
        <v>0.00833929807001099</v>
      </c>
      <c r="J67" s="104">
        <f>$F$3+VLOOKUP($E67,武器奇术!$A:$R,12,FALSE)+VLOOKUP($E67,武器奇术!$A:$R,14,FALSE)*$G$3+$P67</f>
        <v>0.787</v>
      </c>
      <c r="K67" s="105">
        <f>VLOOKUP($E67,武器奇术!$A:$R,11,FALSE)</f>
        <v>1</v>
      </c>
      <c r="L67" s="119">
        <f>IF(VLOOKUP($E67,武器奇术!$A:$R,15,FALSE)="天工",0%,IF($C$17+VLOOKUP($E67,武器奇术!$A:$R,7,FALSE)&gt;80%,80%,$C$17+VLOOKUP($E67,武器奇术!$A:$R,7,FALSE))+IF($C$19&gt;20%,20%,$C$19))</f>
        <v>0.8703</v>
      </c>
      <c r="M67" s="120">
        <f>IF(VLOOKUP($E67,武器奇术!$A:$R,15,FALSE)="天工",0%,IF($C$18+VLOOKUP($E67,武器奇术!$A:$R,9,FALSE)&gt;40%,40%,$C$18+VLOOKUP($E67,武器奇术!$A:$R,9,FALSE))+IF($C$20&gt;10%,10%,$C$20))</f>
        <v>0.0986</v>
      </c>
      <c r="N67" s="121">
        <f>IF(VLOOKUP($E67,武器奇术!$A:$R,15,FALSE)="天工",100%,MIN($C$16,1))</f>
        <v>1</v>
      </c>
      <c r="O67" s="122" t="str">
        <f>VLOOKUP($E67,武器奇术!$A:$R,16,FALSE)</f>
        <v>扇</v>
      </c>
      <c r="P67" s="123">
        <f t="shared" si="44"/>
        <v>0.084</v>
      </c>
      <c r="Q67" s="110">
        <f>$B$5*(1+VLOOKUP($E67,武器奇术!$A:$R,5,FALSE))*(1+VLOOKUP($E67,武器奇术!$A:$S,19,FALSE)+IF($G$5="飞隼",0.1,0)+IF($G$5="撼天",0.05,0))-$F$9+IF($J$5="√",160,0)</f>
        <v>3324.7</v>
      </c>
      <c r="R67" s="102">
        <f>IF(VLOOKUP($E67,武器奇术!$A:$Z,18,FALSE)="叶龙",(S67-(Q67+S67)*0.5)*($G$15-0.5)*2+(Q67+S67)*0.5,(Q67+S67)*0.5)</f>
        <v>3404.7</v>
      </c>
      <c r="S67" s="102">
        <f>MAX($C$5,$B$5)*(1+VLOOKUP($E67,武器奇术!$A:$R,6,FALSE))*(1+VLOOKUP($E67,武器奇术!$A:$S,19,FALSE)+IF($G$5="飞隼",0.1,0)+IF($G$5="撼天",0.05,0))-$F$9+IF($J$5="√",320,0)</f>
        <v>3484.7</v>
      </c>
      <c r="T67" s="104">
        <f>IF(($D$5+VLOOKUP($E67,武器奇术!$A:$R,13,FALSE)+IF($I$3="√",10,0)-VLOOKUP($F$7,目标属性!$A:$R,5,FALSE))&gt;0,($D$5+VLOOKUP($E67,武器奇术!$A:$R,13,FALSE)+IF($I$3="√",10,0)-VLOOKUP($F$7,目标属性!$A:$R,5,FALSE))/200,($D$5+VLOOKUP($E67,武器奇术!$A:$R,13,FALSE)+IF($I$3="√",10,0)-VLOOKUP($F$7,目标属性!$A:$R,5,FALSE))/100)</f>
        <v>0.2925</v>
      </c>
      <c r="U67" s="111">
        <f>$E$5+IF($G$5="烟柳",IF(VLOOKUP($E67,武器奇术!$A:$T,20,FALSE)=1,0.1,0),0)</f>
        <v>0.1</v>
      </c>
      <c r="V67" s="102">
        <v>1</v>
      </c>
      <c r="W67" s="103">
        <f>Q67*VLOOKUP($E67,武器奇术!$A:$R,2,FALSE)*(1+T67)*(1+U67)*V67</f>
        <v>13052.7456522705</v>
      </c>
      <c r="X67" s="104">
        <f>(1-IF(VLOOKUP($E67,武器奇术!$A:$R,18,FALSE)="叶龙",1,$N67))*(1-$M67)</f>
        <v>0</v>
      </c>
      <c r="Y67" s="103">
        <f>R67*VLOOKUP($E67,武器奇术!$A:$R,2,FALSE)*(1+T67)*(1+U67)*V67*(1+$E$16+VLOOKUP($E67,武器奇术!$A:$R,8,FALSE))</f>
        <v>26787.1173269949</v>
      </c>
      <c r="Z67" s="104">
        <f t="shared" si="33"/>
        <v>0.8703</v>
      </c>
      <c r="AA67" s="103">
        <f>S67*VLOOKUP($E67,武器奇术!$A:$R,2,FALSE)*(1+T67)*(1+U67)*V67*(1+$E$17+VLOOKUP($E67,武器奇术!$A:$R,10,FALSE))</f>
        <v>18469.2209058052</v>
      </c>
      <c r="AB67" s="104">
        <f t="shared" si="34"/>
        <v>0.0986</v>
      </c>
      <c r="AC67" s="103">
        <f>R67*VLOOKUP($E67,武器奇术!$A:$R,2,FALSE)*(1+T67)*(1+U67)*V67</f>
        <v>13366.8250134705</v>
      </c>
      <c r="AD67" s="104">
        <f t="shared" si="35"/>
        <v>0.0311</v>
      </c>
      <c r="AE67" s="112">
        <f t="shared" si="36"/>
        <v>25549.601648915</v>
      </c>
      <c r="AF67" s="113">
        <f>VLOOKUP($E67,武器奇术!$A:$R,3,FALSE)*(1+IF(VLOOKUP($E67,武器奇术!$A:$R,15,FALSE)="武器",$E$15,0))</f>
        <v>993.395</v>
      </c>
      <c r="AG67" s="103">
        <f t="shared" si="1"/>
        <v>993.395</v>
      </c>
      <c r="AH67" s="103">
        <f>VLOOKUP($E67,武器奇术!$A:$R,3,FALSE)*(1+IF(VLOOKUP($E67,武器奇术!$A:$R,15,FALSE)="武器",$E$15,0))</f>
        <v>993.395</v>
      </c>
      <c r="AI67" s="104">
        <f>IF(($D$5+VLOOKUP($E67,武器奇术!$A:$R,13,FALSE)+IF($I$3="√",10,0)-VLOOKUP($F$7,目标属性!$A:$R,5,FALSE))&gt;0,($D$5+VLOOKUP($E67,武器奇术!$A:$R,13,FALSE)+IF($I$3="√",10,0)-VLOOKUP($F$7,目标属性!$A:$R,5,FALSE))/200,($D$5+VLOOKUP($E67,武器奇术!$A:$R,13,FALSE)+IF($I$3="√",10,0)-VLOOKUP($F$7,目标属性!$A:$R,5,FALSE))/100)</f>
        <v>0.2925</v>
      </c>
      <c r="AJ67" s="111">
        <f>$E$5+IF($G$5="烟柳",IF(VLOOKUP($E67,武器奇术!$A:$T,20,FALSE)=1,0.1,0),0)</f>
        <v>0.1</v>
      </c>
      <c r="AK67" s="102">
        <v>1</v>
      </c>
      <c r="AL67" s="103">
        <f t="shared" si="45"/>
        <v>1412.35934125</v>
      </c>
      <c r="AM67" s="104">
        <f>(1-IF(VLOOKUP($E67,武器奇术!$A:$R,18,FALSE)="叶龙",1,$N67))*(1-$M67)</f>
        <v>0</v>
      </c>
      <c r="AN67" s="103">
        <f>AG67*(1+AI67)*(1+AJ67)*AK67*(1+$E$16+VLOOKUP($E67,武器奇术!$A:$R,8,FALSE))</f>
        <v>2830.368119865</v>
      </c>
      <c r="AO67" s="104">
        <f t="shared" si="2"/>
        <v>0.8703</v>
      </c>
      <c r="AP67" s="103">
        <f>AH67*(1+AI67)*(1+AJ67)*AK67*(1+$E$17+VLOOKUP($E67,武器奇术!$A:$R,10,FALSE))</f>
        <v>1906.6851106875</v>
      </c>
      <c r="AQ67" s="104">
        <f t="shared" si="3"/>
        <v>0.0986</v>
      </c>
      <c r="AR67" s="103">
        <f t="shared" si="38"/>
        <v>1412.35934125</v>
      </c>
      <c r="AS67" s="104">
        <f t="shared" si="4"/>
        <v>0.0311</v>
      </c>
      <c r="AT67" s="112">
        <f t="shared" si="5"/>
        <v>2695.19290214517</v>
      </c>
      <c r="AU67" s="110">
        <f>$B$7*IF($G$5="撼天",1.05,1)+IF(AND(VLOOKUP($E67,武器奇术!$A:$R,15,FALSE)="武器",VLOOKUP($E67,武器奇术!$A:$R,17,FALSE)="鸣金"),$E$3*(1+$E$15),0)</f>
        <v>0</v>
      </c>
      <c r="AV67" s="102">
        <f t="shared" si="6"/>
        <v>0</v>
      </c>
      <c r="AW67" s="102">
        <f>MAX($C$7*IF($G$5="撼天",1.05,1)+IF(AND(VLOOKUP($E67,武器奇术!$A:$R,15,FALSE)="武器",VLOOKUP($E67,武器奇术!$A:$R,17,FALSE)="鸣金"),$E$3*(1+$E$15),0),AU67)</f>
        <v>0</v>
      </c>
      <c r="AX67" s="104">
        <f>IF(($D$7+IF(VLOOKUP($E67,武器奇术!$A:$R,17,FALSE)="鸣金",$D$15,0)-VLOOKUP($F$7,目标属性!$A:$R,6,FALSE))&gt;0,($D$7+IF(VLOOKUP($E67,武器奇术!$A:$R,17,FALSE)="鸣金",$D$15,0)-VLOOKUP($F$7,目标属性!$A:$R,6,FALSE))/200,($D$7+IF(VLOOKUP($E67,武器奇术!$A:$R,17,FALSE)="鸣金",$D$15,0)-VLOOKUP($F$7,目标属性!$A:$R,6,FALSE))/100)</f>
        <v>-0.24</v>
      </c>
      <c r="AY67" s="111">
        <f t="shared" si="7"/>
        <v>0</v>
      </c>
      <c r="AZ67" s="102">
        <v>1</v>
      </c>
      <c r="BA67" s="103">
        <f>AU67*IF(VLOOKUP($E67,武器奇术!$A:$R,17,FALSE)="鸣金",VLOOKUP($E67,武器奇术!$A:$R,4,FALSE),VLOOKUP($E67,武器奇术!$A:$R,2,FALSE))*(1+AX67)*(1+AY67)*AZ67</f>
        <v>0</v>
      </c>
      <c r="BB67" s="104">
        <f>(1-IF(VLOOKUP($E67,武器奇术!$A:$R,18,FALSE)="叶龙",1,$N67))*(1-$M67)</f>
        <v>0</v>
      </c>
      <c r="BC67" s="103">
        <f>AV67*IF(VLOOKUP($E67,武器奇术!$A:$R,17,FALSE)="鸣金",VLOOKUP($E67,武器奇术!$A:$R,4,FALSE),VLOOKUP($E67,武器奇术!$A:$R,2,FALSE))*(1+AX67)*(1+AY67)*AZ67*(1+$E$16+VLOOKUP($E67,武器奇术!$A:$R,8,FALSE))</f>
        <v>0</v>
      </c>
      <c r="BD67" s="104">
        <f t="shared" si="8"/>
        <v>0.8703</v>
      </c>
      <c r="BE67" s="103">
        <f>AW67*IF(VLOOKUP($E67,武器奇术!$A:$R,17,FALSE)="鸣金",VLOOKUP($E67,武器奇术!$A:$R,4,FALSE),VLOOKUP($E67,武器奇术!$A:$R,2,FALSE))*(1+AX67)*(1+AY67)*AZ67*(1+$E$17+VLOOKUP($E67,武器奇术!$A:$R,10,FALSE))</f>
        <v>0</v>
      </c>
      <c r="BF67" s="104">
        <f t="shared" si="9"/>
        <v>0.0986</v>
      </c>
      <c r="BG67" s="103">
        <f>AV67*IF(VLOOKUP($E67,武器奇术!$A:$R,17,FALSE)="鸣金",VLOOKUP($E67,武器奇术!$A:$R,4,FALSE),VLOOKUP($E67,武器奇术!$A:$R,2,FALSE))*(1+AX67)*(1+AY67)*AZ67</f>
        <v>0</v>
      </c>
      <c r="BH67" s="104">
        <f t="shared" si="10"/>
        <v>0.0311</v>
      </c>
      <c r="BI67" s="112">
        <f t="shared" si="11"/>
        <v>0</v>
      </c>
      <c r="BJ67" s="110">
        <f>$B$9*IF($G$5="撼天",1.05,1)+IF(AND(VLOOKUP($E67,武器奇术!$A:$R,15,FALSE)="武器",VLOOKUP($E67,武器奇术!$A:$R,17,FALSE)="裂石"),$E$3*(1+$E$15),0)</f>
        <v>0</v>
      </c>
      <c r="BK67" s="102">
        <f t="shared" si="12"/>
        <v>0</v>
      </c>
      <c r="BL67" s="102">
        <f>MAX($C$9*IF($G$5="撼天",1.05,1)+IF(AND(VLOOKUP($E67,武器奇术!$A:$R,15,FALSE)="武器",VLOOKUP($E67,武器奇术!$A:$R,17,FALSE)="裂石"),$E$3*(1+$E$15),0),BJ67)</f>
        <v>0</v>
      </c>
      <c r="BM67" s="104">
        <f>IF(($D$9+IF(VLOOKUP($E67,武器奇术!$A:$R,17,FALSE)="裂石",$D$15,0)-VLOOKUP($F$7,目标属性!$A:$R,6,FALSE))&gt;0,($D$9+IF(VLOOKUP($E67,武器奇术!$A:$R,17,FALSE)="裂石",$D$15,0)-VLOOKUP($F$7,目标属性!$A:$R,6,FALSE))/200,($D$9+IF(VLOOKUP($E67,武器奇术!$A:$R,17,FALSE)="裂石",$D$15,0)-VLOOKUP($F$7,目标属性!$A:$R,6,FALSE))/100)</f>
        <v>-0.24</v>
      </c>
      <c r="BN67" s="111">
        <f t="shared" si="13"/>
        <v>0</v>
      </c>
      <c r="BO67" s="102">
        <v>1</v>
      </c>
      <c r="BP67" s="103">
        <f>BJ67*IF(VLOOKUP($E67,武器奇术!$A:$R,17,FALSE)="裂石",VLOOKUP($E67,武器奇术!$A:$R,4,FALSE),VLOOKUP($E67,武器奇术!$A:$R,2,FALSE))*(1+BM67)*(1+BN67)*BO67</f>
        <v>0</v>
      </c>
      <c r="BQ67" s="104">
        <f>(1-IF(VLOOKUP($E67,武器奇术!$A:$R,18,FALSE)="叶龙",1,$N67))*(1-$M67)</f>
        <v>0</v>
      </c>
      <c r="BR67" s="103">
        <f>BK67*IF(VLOOKUP($E67,武器奇术!$A:$R,17,FALSE)="裂石",VLOOKUP($E67,武器奇术!$A:$R,4,FALSE),VLOOKUP($E67,武器奇术!$A:$R,2,FALSE))*(1+BM67)*(1+BN67)*BO67*(1+$E$16+VLOOKUP($E67,武器奇术!$A:$R,8,FALSE))</f>
        <v>0</v>
      </c>
      <c r="BS67" s="104">
        <f t="shared" si="14"/>
        <v>0.8703</v>
      </c>
      <c r="BT67" s="103">
        <f>BL67*IF(VLOOKUP($E67,武器奇术!$A:$R,17,FALSE)="裂石",VLOOKUP($E67,武器奇术!$A:$R,4,FALSE),VLOOKUP($E67,武器奇术!$A:$R,2,FALSE))*(1+BM67)*(1+BN67)*BO67*(1+$E$17+VLOOKUP($E67,武器奇术!$A:$R,10,FALSE))</f>
        <v>0</v>
      </c>
      <c r="BU67" s="104">
        <f t="shared" si="15"/>
        <v>0.0986</v>
      </c>
      <c r="BV67" s="103">
        <f>BK67*IF(VLOOKUP($E67,武器奇术!$A:$R,17,FALSE)="裂石",VLOOKUP($E67,武器奇术!$A:$R,4,FALSE),VLOOKUP($E67,武器奇术!$A:$R,2,FALSE))*(1+BM67)*(1+BN67)*BO67</f>
        <v>0</v>
      </c>
      <c r="BW67" s="104">
        <f t="shared" si="16"/>
        <v>0.0311</v>
      </c>
      <c r="BX67" s="112">
        <f t="shared" si="17"/>
        <v>0</v>
      </c>
      <c r="BY67" s="110">
        <f>$B$11*IF($G$5="撼天",1.05,1)+IF(AND(VLOOKUP($E67,武器奇术!$A:$R,15,FALSE)="武器",VLOOKUP($E67,武器奇术!$A:$R,17,FALSE)="牵丝"),$E$3*(1+$E$15),0)</f>
        <v>686.71</v>
      </c>
      <c r="BZ67" s="102">
        <f>IF(VLOOKUP($E67,武器奇术!$A:$Z,18,FALSE)="叶龙",(CA67-(BY67+CA67)*0.5)*($G$15-0.5)*2+(BY67+CA67)*0.5,(BY67+CA67)*0.5)</f>
        <v>1052.21</v>
      </c>
      <c r="CA67" s="102">
        <f>MAX($C$11*IF($G$5="撼天",1.05,1)+IF(AND(VLOOKUP($E67,武器奇术!$A:$R,15,FALSE)="武器",VLOOKUP($E67,武器奇术!$A:$R,17,FALSE)="牵丝"),$E$3*(1+$E$15),0),BY67)</f>
        <v>1417.71</v>
      </c>
      <c r="CB67" s="104">
        <f>IF(($D$11+IF(VLOOKUP($E67,武器奇术!$A:$R,17,FALSE)="牵丝",$D$15,0)-VLOOKUP($F$7,目标属性!$A:$R,6,FALSE))&gt;0,($D$11+IF(VLOOKUP($E67,武器奇术!$A:$R,17,FALSE)="牵丝",$D$15,0)-VLOOKUP($F$7,目标属性!$A:$R,6,FALSE))/200,($D$11+IF(VLOOKUP($E67,武器奇术!$A:$R,17,FALSE)="牵丝",$D$15,0)-VLOOKUP($F$7,目标属性!$A:$R,6,FALSE))/100)</f>
        <v>0.028</v>
      </c>
      <c r="CC67" s="111">
        <f>$E$11+IF($G$5="烟柳",IF(VLOOKUP($E67,武器奇术!$A:$T,20,FALSE)=1,0.1,0),0)</f>
        <v>0.248</v>
      </c>
      <c r="CD67" s="102">
        <v>1</v>
      </c>
      <c r="CE67" s="103">
        <f>BY67*IF(VLOOKUP($E67,武器奇术!$A:$R,17,FALSE)="牵丝",VLOOKUP($E67,武器奇术!$A:$R,4,FALSE),VLOOKUP($E67,武器奇术!$A:$R,2,FALSE))*(1+CB67)*(1+CC67)*CD67</f>
        <v>3649.20705503528</v>
      </c>
      <c r="CF67" s="104">
        <f>(1-IF(VLOOKUP($E67,武器奇术!$A:$R,18,FALSE)="叶龙",1,$N67))*(1-$M67)</f>
        <v>0</v>
      </c>
      <c r="CG67" s="124">
        <f>BZ67*IF(VLOOKUP($E67,武器奇术!$A:$R,17,FALSE)="牵丝",VLOOKUP($E67,武器奇术!$A:$R,4,FALSE),VLOOKUP($E67,武器奇术!$A:$R,2,FALSE))*(1+CB67)*(1+CC67)*CD67*(1+$E$16+VLOOKUP($E67,武器奇术!$A:$R,8,FALSE))</f>
        <v>11205.3461277378</v>
      </c>
      <c r="CH67" s="104">
        <f t="shared" si="18"/>
        <v>0.8703</v>
      </c>
      <c r="CI67" s="103">
        <f>CA67*IF(VLOOKUP($E67,武器奇术!$A:$R,17,FALSE)="牵丝",VLOOKUP($E67,武器奇术!$A:$R,4,FALSE),VLOOKUP($E67,武器奇术!$A:$R,2,FALSE))*(1+CB67)*(1+CC67)*CD67*(1+$E$17+VLOOKUP($E67,武器奇术!$A:$R,10,FALSE))</f>
        <v>10170.5937016965</v>
      </c>
      <c r="CJ67" s="104">
        <f t="shared" si="19"/>
        <v>0.0986</v>
      </c>
      <c r="CK67" s="124">
        <f>BZ67*IF(VLOOKUP($E67,武器奇术!$A:$R,17,FALSE)="牵丝",VLOOKUP($E67,武器奇术!$A:$R,4,FALSE),VLOOKUP($E67,武器奇术!$A:$R,2,FALSE))*(1+CB67)*(1+CC67)*CD67</f>
        <v>5591.49008370152</v>
      </c>
      <c r="CL67" s="104">
        <f t="shared" si="20"/>
        <v>0.0311</v>
      </c>
      <c r="CM67" s="112">
        <f t="shared" si="39"/>
        <v>10928.7286155606</v>
      </c>
      <c r="CN67" s="110">
        <f>$B$13*IF($G$5="撼天",1.05,1)+IF(AND(VLOOKUP($E67,武器奇术!$A:$R,15,FALSE)="武器",VLOOKUP($E67,武器奇术!$A:$R,17,FALSE)="破竹"),$E$3*(1+$E$15),0)</f>
        <v>0</v>
      </c>
      <c r="CO67" s="102">
        <f t="shared" si="21"/>
        <v>0</v>
      </c>
      <c r="CP67" s="102">
        <f>MAX($C$13*IF($G$5="撼天",1.05,1)+IF(AND(VLOOKUP($E67,武器奇术!$A:$R,15,FALSE)="武器",VLOOKUP($E67,武器奇术!$A:$R,17,FALSE)="破竹"),$E$3*(1+$E$15),0),CN67)</f>
        <v>0</v>
      </c>
      <c r="CQ67" s="104">
        <f>IF(($D$13+IF(VLOOKUP($E67,武器奇术!$A:$R,17,FALSE)="破竹",$D$15,0)-VLOOKUP($F$7,目标属性!$A:$R,6,FALSE))&gt;0,($D$13+IF(VLOOKUP($E67,武器奇术!$A:$R,17,FALSE)="破竹",$D$15,0)-VLOOKUP($F$7,目标属性!$A:$R,6,FALSE))/200,($D$13+IF(VLOOKUP($E67,武器奇术!$A:$R,17,FALSE)="破竹",$D$15,0)-VLOOKUP($F$7,目标属性!$A:$R,6,FALSE))/100)</f>
        <v>-0.24</v>
      </c>
      <c r="CR67" s="111">
        <f t="shared" si="22"/>
        <v>0</v>
      </c>
      <c r="CS67" s="102">
        <v>1</v>
      </c>
      <c r="CT67" s="103">
        <f>CN67*IF(VLOOKUP($E67,武器奇术!$A:$R,17,FALSE)="破竹",VLOOKUP($E67,武器奇术!$A:$R,4,FALSE),VLOOKUP($E67,武器奇术!$A:$R,2,FALSE))*(1+CQ67)*(1+CR67)*CS67</f>
        <v>0</v>
      </c>
      <c r="CU67" s="104">
        <f>(1-IF(VLOOKUP($E67,武器奇术!$A:$R,18,FALSE)="叶龙",1,$N67))*(1-$M67)</f>
        <v>0</v>
      </c>
      <c r="CV67" s="103">
        <f>CO67*IF(VLOOKUP($E67,武器奇术!$A:$R,17,FALSE)="破竹",VLOOKUP($E67,武器奇术!$A:$R,4,FALSE),VLOOKUP($E67,武器奇术!$A:$R,2,FALSE))*(1+CQ67)*(1+CR67)*CS67*(1+$E$16+VLOOKUP($E67,武器奇术!$A:$R,8,FALSE))</f>
        <v>0</v>
      </c>
      <c r="CW67" s="104">
        <f t="shared" si="23"/>
        <v>0.8703</v>
      </c>
      <c r="CX67" s="103">
        <f>CP67*IF(VLOOKUP($E67,武器奇术!$A:$R,17,FALSE)="破竹",VLOOKUP($E67,武器奇术!$A:$R,4,FALSE),VLOOKUP($E67,武器奇术!$A:$R,2,FALSE))*(1+CQ67)*(1+CR67)*CS67*(1+$E$17+VLOOKUP($E67,武器奇术!$A:$R,10,FALSE))</f>
        <v>0</v>
      </c>
      <c r="CY67" s="104">
        <f t="shared" si="24"/>
        <v>0.0986</v>
      </c>
      <c r="CZ67" s="103">
        <f>CO67*IF(VLOOKUP($E67,武器奇术!$A:$R,17,FALSE)="破竹",VLOOKUP($E67,武器奇术!$A:$R,4,FALSE),VLOOKUP($E67,武器奇术!$A:$R,2,FALSE))*(1+CQ67)*(1+CR67)*CS67</f>
        <v>0</v>
      </c>
      <c r="DA67" s="104">
        <f t="shared" si="25"/>
        <v>0.0311</v>
      </c>
      <c r="DB67" s="112">
        <f t="shared" si="26"/>
        <v>0</v>
      </c>
      <c r="DC67" s="110">
        <f t="shared" si="40"/>
        <v>66</v>
      </c>
      <c r="DD67" s="102">
        <f t="shared" si="27"/>
        <v>125.8</v>
      </c>
      <c r="DE67" s="102">
        <f t="shared" si="41"/>
        <v>185.6</v>
      </c>
      <c r="DF67" s="104">
        <f>IF((IF(VLOOKUP($E67,武器奇术!$A:$R,17,FALSE)="鸣金",$D$7,0)+IF(VLOOKUP($E67,武器奇术!$A:$R,17,FALSE)="裂石",$D$9,0)+IF(VLOOKUP($E67,武器奇术!$A:$R,17,FALSE)="牵丝",$D$11,0)+IF(VLOOKUP($E67,武器奇术!$A:$R,17,FALSE)="破竹",$D$13,0)+$D$15-VLOOKUP($F$7,目标属性!$A:$R,6,FALSE))&gt;0,(IF(VLOOKUP($E67,武器奇术!$A:$R,17,FALSE)="鸣金",$D$7,0)+IF(VLOOKUP($E67,武器奇术!$A:$R,17,FALSE)="裂石",$D$9,0)+IF(VLOOKUP($E67,武器奇术!$A:$R,17,FALSE)="牵丝",$D$11,0)+IF(VLOOKUP($E67,武器奇术!$A:$R,17,FALSE)="破竹",$D$13,0)+$D$15-VLOOKUP($F$7,目标属性!$A:$R,6,FALSE))/200,(IF(VLOOKUP($E67,武器奇术!$A:$R,17,FALSE)="鸣金",$D$7,0)+IF(VLOOKUP($E67,武器奇术!$A:$R,17,FALSE)="裂石",$D$9,0)+IF(VLOOKUP($E67,武器奇术!$A:$R,17,FALSE)="牵丝",$D$11,0)+IF(VLOOKUP($E67,武器奇术!$A:$R,17,FALSE)="破竹",$D$13,0)+$D$15-VLOOKUP($F$7,目标属性!$A:$R,6,FALSE))/100)</f>
        <v>0.028</v>
      </c>
      <c r="DG67" s="111">
        <f>$E$11+IF($G$5="烟柳",IF(VLOOKUP($E67,武器奇术!$A:$T,20,FALSE)=1,0.1,0),0)</f>
        <v>0.248</v>
      </c>
      <c r="DH67" s="102">
        <v>1</v>
      </c>
      <c r="DI67" s="103">
        <f>DC67*IF(VLOOKUP($E67,武器奇术!$A:$R,17,FALSE)="牵丝",VLOOKUP($E67,武器奇术!$A:$R,4,FALSE),VLOOKUP($E67,武器奇术!$A:$R,2,FALSE))*(1+DF67)*(1+DG67)*DH67</f>
        <v>350.72689436928</v>
      </c>
      <c r="DJ67" s="104">
        <f>(1-IF(VLOOKUP($E67,武器奇术!$A:$R,18,FALSE)="叶龙",1,$N67))*(1-$M67)</f>
        <v>0</v>
      </c>
      <c r="DK67" s="124">
        <f>DD67*IF(VLOOKUP($E67,武器奇术!$A:$R,17,FALSE)="牵丝",VLOOKUP($E67,武器奇术!$A:$R,4,FALSE),VLOOKUP($E67,武器奇术!$A:$R,2,FALSE))*(1+DF67)*(1+DG67)*DH67*(1+$E$16+VLOOKUP($E67,武器奇术!$A:$R,8,FALSE))</f>
        <v>1339.6874605539</v>
      </c>
      <c r="DL67" s="104">
        <f t="shared" si="28"/>
        <v>0.8703</v>
      </c>
      <c r="DM67" s="103">
        <f>DE67*IF(VLOOKUP($E67,武器奇术!$A:$R,17,FALSE)="牵丝",VLOOKUP($E67,武器奇术!$A:$R,4,FALSE),VLOOKUP($E67,武器奇术!$A:$R,2,FALSE))*(1+DF67)*(1+DG67)*DH67*(1+$E$17+VLOOKUP($E67,武器奇术!$A:$R,10,FALSE))</f>
        <v>1331.48682807829</v>
      </c>
      <c r="DN67" s="104">
        <f t="shared" si="29"/>
        <v>0.0986</v>
      </c>
      <c r="DO67" s="124">
        <f>DD67*IF(VLOOKUP($E67,武器奇术!$A:$R,17,FALSE)="牵丝",VLOOKUP($E67,武器奇术!$A:$R,4,FALSE),VLOOKUP($E67,武器奇术!$A:$R,2,FALSE))*(1+DF67)*(1+DG67)*DH67</f>
        <v>668.506716843264</v>
      </c>
      <c r="DP67" s="104">
        <f t="shared" si="30"/>
        <v>0.0311</v>
      </c>
      <c r="DQ67" s="112">
        <f t="shared" si="31"/>
        <v>1318.0051570624</v>
      </c>
    </row>
    <row r="68" customFormat="1" customHeight="1" spans="1:121">
      <c r="A68" s="37"/>
      <c r="B68" t="s">
        <v>152</v>
      </c>
      <c r="C68">
        <v>1.25</v>
      </c>
      <c r="D68" s="183"/>
      <c r="E68" s="115" t="s">
        <v>172</v>
      </c>
      <c r="F68" s="116">
        <v>1</v>
      </c>
      <c r="G68" s="117"/>
      <c r="H68" s="103">
        <f>IF(VLOOKUP($E68,武器奇术!$A:$R,18,FALSE)="天工",AE68,(AE68+AT68+BI68+BX68+CM68+DB68+DQ68))*(1+J68)*F68*K68*(1+G68)</f>
        <v>100074.759931838</v>
      </c>
      <c r="I68" s="104">
        <f t="shared" si="42"/>
        <v>0.0115336118660385</v>
      </c>
      <c r="J68" s="104">
        <f>$F$3+VLOOKUP($E68,武器奇术!$A:$R,12,FALSE)+VLOOKUP($E68,武器奇术!$A:$R,14,FALSE)*$G$3+$P68</f>
        <v>0.567</v>
      </c>
      <c r="K68" s="105">
        <f>VLOOKUP($E68,武器奇术!$A:$R,11,FALSE)</f>
        <v>1</v>
      </c>
      <c r="L68" s="119">
        <f>IF(VLOOKUP($E68,武器奇术!$A:$R,15,FALSE)="天工",0%,IF($C$17+VLOOKUP($E68,武器奇术!$A:$R,7,FALSE)&gt;80%,80%,$C$17+VLOOKUP($E68,武器奇术!$A:$R,7,FALSE))+IF($C$19&gt;20%,20%,$C$19))</f>
        <v>0.887</v>
      </c>
      <c r="M68" s="120">
        <f>IF(VLOOKUP($E68,武器奇术!$A:$R,15,FALSE)="天工",0%,IF($C$18+VLOOKUP($E68,武器奇术!$A:$R,9,FALSE)&gt;40%,40%,$C$18+VLOOKUP($E68,武器奇术!$A:$R,9,FALSE))+IF($C$20&gt;10%,10%,$C$20))</f>
        <v>0.0986</v>
      </c>
      <c r="N68" s="121">
        <f>IF(VLOOKUP($E68,武器奇术!$A:$R,15,FALSE)="天工",100%,MIN($C$16,1))</f>
        <v>1</v>
      </c>
      <c r="O68" s="122" t="str">
        <f>VLOOKUP($E68,武器奇术!$A:$R,16,FALSE)</f>
        <v>扇</v>
      </c>
      <c r="P68" s="123">
        <f t="shared" si="44"/>
        <v>0.084</v>
      </c>
      <c r="Q68" s="110">
        <f>$B$5*(1+VLOOKUP($E68,武器奇术!$A:$R,5,FALSE))*(1+VLOOKUP($E68,武器奇术!$A:$S,19,FALSE)+IF($G$5="飞隼",0.1,0)+IF($G$5="撼天",0.05,0))-$F$9+IF($J$5="√",160,0)</f>
        <v>3324.7</v>
      </c>
      <c r="R68" s="102">
        <f>IF(VLOOKUP($E68,武器奇术!$A:$Z,18,FALSE)="叶龙",(S68-(Q68+S68)*0.5)*($G$15-0.5)*2+(Q68+S68)*0.5,(Q68+S68)*0.5)</f>
        <v>3404.7</v>
      </c>
      <c r="S68" s="102">
        <f>MAX($C$5,$B$5)*(1+VLOOKUP($E68,武器奇术!$A:$R,6,FALSE))*(1+VLOOKUP($E68,武器奇术!$A:$S,19,FALSE)+IF($G$5="飞隼",0.1,0)+IF($G$5="撼天",0.05,0))-$F$9+IF($J$5="√",320,0)</f>
        <v>3484.7</v>
      </c>
      <c r="T68" s="104">
        <f>IF(($D$5+VLOOKUP($E68,武器奇术!$A:$R,13,FALSE)+IF($I$3="√",10,0)-VLOOKUP($F$7,目标属性!$A:$R,5,FALSE))&gt;0,($D$5+VLOOKUP($E68,武器奇术!$A:$R,13,FALSE)+IF($I$3="√",10,0)-VLOOKUP($F$7,目标属性!$A:$R,5,FALSE))/200,($D$5+VLOOKUP($E68,武器奇术!$A:$R,13,FALSE)+IF($I$3="√",10,0)-VLOOKUP($F$7,目标属性!$A:$R,5,FALSE))/100)</f>
        <v>0.2675</v>
      </c>
      <c r="U68" s="111">
        <f>$E$5+IF($G$5="烟柳",IF(VLOOKUP($E68,武器奇术!$A:$T,20,FALSE)=1,0.1,0),0)</f>
        <v>0.1</v>
      </c>
      <c r="V68" s="102">
        <v>1</v>
      </c>
      <c r="W68" s="103">
        <f>Q68*VLOOKUP($E68,武器奇术!$A:$R,2,FALSE)*(1+T68)*(1+U68)*V68</f>
        <v>20288.6102355544</v>
      </c>
      <c r="X68" s="104">
        <f>(1-IF(VLOOKUP($E68,武器奇术!$A:$R,18,FALSE)="叶龙",1,$N68))*(1-$M68)</f>
        <v>0</v>
      </c>
      <c r="Y68" s="103">
        <f>R68*VLOOKUP($E68,武器奇术!$A:$R,2,FALSE)*(1+T68)*(1+U68)*V68*(1+$E$16+VLOOKUP($E68,武器奇术!$A:$R,8,FALSE))</f>
        <v>41636.709797293</v>
      </c>
      <c r="Z68" s="104">
        <f t="shared" si="33"/>
        <v>0.887</v>
      </c>
      <c r="AA68" s="103">
        <f>S68*VLOOKUP($E68,武器奇术!$A:$R,2,FALSE)*(1+T68)*(1+U68)*V68*(1+$E$17+VLOOKUP($E68,武器奇术!$A:$R,10,FALSE))</f>
        <v>28707.7396813484</v>
      </c>
      <c r="AB68" s="104">
        <f t="shared" si="34"/>
        <v>0.0986</v>
      </c>
      <c r="AC68" s="103">
        <f>R68*VLOOKUP($E68,武器奇术!$A:$R,2,FALSE)*(1+T68)*(1+U68)*V68</f>
        <v>20776.8012960544</v>
      </c>
      <c r="AD68" s="104">
        <f t="shared" si="35"/>
        <v>0.0144</v>
      </c>
      <c r="AE68" s="112">
        <f t="shared" si="36"/>
        <v>40061.530661443</v>
      </c>
      <c r="AF68" s="113">
        <f>VLOOKUP($E68,武器奇术!$A:$R,3,FALSE)*(1+IF(VLOOKUP($E68,武器奇术!$A:$R,15,FALSE)="武器",$E$15,0))</f>
        <v>1573.975</v>
      </c>
      <c r="AG68" s="103">
        <f t="shared" si="1"/>
        <v>1573.975</v>
      </c>
      <c r="AH68" s="103">
        <f>VLOOKUP($E68,武器奇术!$A:$R,3,FALSE)*(1+IF(VLOOKUP($E68,武器奇术!$A:$R,15,FALSE)="武器",$E$15,0))</f>
        <v>1573.975</v>
      </c>
      <c r="AI68" s="104">
        <f>IF(($D$5+VLOOKUP($E68,武器奇术!$A:$R,13,FALSE)+IF($I$3="√",10,0)-VLOOKUP($F$7,目标属性!$A:$R,5,FALSE))&gt;0,($D$5+VLOOKUP($E68,武器奇术!$A:$R,13,FALSE)+IF($I$3="√",10,0)-VLOOKUP($F$7,目标属性!$A:$R,5,FALSE))/200,($D$5+VLOOKUP($E68,武器奇术!$A:$R,13,FALSE)+IF($I$3="√",10,0)-VLOOKUP($F$7,目标属性!$A:$R,5,FALSE))/100)</f>
        <v>0.2675</v>
      </c>
      <c r="AJ68" s="111">
        <f>$E$5+IF($G$5="烟柳",IF(VLOOKUP($E68,武器奇术!$A:$T,20,FALSE)=1,0.1,0),0)</f>
        <v>0.1</v>
      </c>
      <c r="AK68" s="102">
        <v>1</v>
      </c>
      <c r="AL68" s="103">
        <f t="shared" si="45"/>
        <v>2194.51464375</v>
      </c>
      <c r="AM68" s="104">
        <f>(1-IF(VLOOKUP($E68,武器奇术!$A:$R,18,FALSE)="叶龙",1,$N68))*(1-$M68)</f>
        <v>0</v>
      </c>
      <c r="AN68" s="103">
        <f>AG68*(1+AI68)*(1+AJ68)*AK68*(1+$E$16+VLOOKUP($E68,武器奇术!$A:$R,8,FALSE))</f>
        <v>4397.807346075</v>
      </c>
      <c r="AO68" s="104">
        <f t="shared" si="2"/>
        <v>0.887</v>
      </c>
      <c r="AP68" s="103">
        <f>AH68*(1+AI68)*(1+AJ68)*AK68*(1+$E$17+VLOOKUP($E68,武器奇术!$A:$R,10,FALSE))</f>
        <v>2962.5947690625</v>
      </c>
      <c r="AQ68" s="104">
        <f t="shared" si="3"/>
        <v>0.0986</v>
      </c>
      <c r="AR68" s="103">
        <f t="shared" si="38"/>
        <v>2194.51464375</v>
      </c>
      <c r="AS68" s="104">
        <f t="shared" si="4"/>
        <v>0.0144</v>
      </c>
      <c r="AT68" s="112">
        <f t="shared" si="5"/>
        <v>4224.56797106809</v>
      </c>
      <c r="AU68" s="110">
        <f>$B$7*IF($G$5="撼天",1.05,1)+IF(AND(VLOOKUP($E68,武器奇术!$A:$R,15,FALSE)="武器",VLOOKUP($E68,武器奇术!$A:$R,17,FALSE)="鸣金"),$E$3*(1+$E$15),0)</f>
        <v>0</v>
      </c>
      <c r="AV68" s="102">
        <f t="shared" si="6"/>
        <v>0</v>
      </c>
      <c r="AW68" s="102">
        <f>MAX($C$7*IF($G$5="撼天",1.05,1)+IF(AND(VLOOKUP($E68,武器奇术!$A:$R,15,FALSE)="武器",VLOOKUP($E68,武器奇术!$A:$R,17,FALSE)="鸣金"),$E$3*(1+$E$15),0),AU68)</f>
        <v>0</v>
      </c>
      <c r="AX68" s="104">
        <f>IF(($D$7+IF(VLOOKUP($E68,武器奇术!$A:$R,17,FALSE)="鸣金",$D$15,0)-VLOOKUP($F$7,目标属性!$A:$R,6,FALSE))&gt;0,($D$7+IF(VLOOKUP($E68,武器奇术!$A:$R,17,FALSE)="鸣金",$D$15,0)-VLOOKUP($F$7,目标属性!$A:$R,6,FALSE))/200,($D$7+IF(VLOOKUP($E68,武器奇术!$A:$R,17,FALSE)="鸣金",$D$15,0)-VLOOKUP($F$7,目标属性!$A:$R,6,FALSE))/100)</f>
        <v>-0.24</v>
      </c>
      <c r="AY68" s="111">
        <f t="shared" si="7"/>
        <v>0</v>
      </c>
      <c r="AZ68" s="102">
        <v>1</v>
      </c>
      <c r="BA68" s="103">
        <f>AU68*IF(VLOOKUP($E68,武器奇术!$A:$R,17,FALSE)="鸣金",VLOOKUP($E68,武器奇术!$A:$R,4,FALSE),VLOOKUP($E68,武器奇术!$A:$R,2,FALSE))*(1+AX68)*(1+AY68)*AZ68</f>
        <v>0</v>
      </c>
      <c r="BB68" s="104">
        <f>(1-IF(VLOOKUP($E68,武器奇术!$A:$R,18,FALSE)="叶龙",1,$N68))*(1-$M68)</f>
        <v>0</v>
      </c>
      <c r="BC68" s="103">
        <f>AV68*IF(VLOOKUP($E68,武器奇术!$A:$R,17,FALSE)="鸣金",VLOOKUP($E68,武器奇术!$A:$R,4,FALSE),VLOOKUP($E68,武器奇术!$A:$R,2,FALSE))*(1+AX68)*(1+AY68)*AZ68*(1+$E$16+VLOOKUP($E68,武器奇术!$A:$R,8,FALSE))</f>
        <v>0</v>
      </c>
      <c r="BD68" s="104">
        <f t="shared" si="8"/>
        <v>0.887</v>
      </c>
      <c r="BE68" s="103">
        <f>AW68*IF(VLOOKUP($E68,武器奇术!$A:$R,17,FALSE)="鸣金",VLOOKUP($E68,武器奇术!$A:$R,4,FALSE),VLOOKUP($E68,武器奇术!$A:$R,2,FALSE))*(1+AX68)*(1+AY68)*AZ68*(1+$E$17+VLOOKUP($E68,武器奇术!$A:$R,10,FALSE))</f>
        <v>0</v>
      </c>
      <c r="BF68" s="104">
        <f t="shared" si="9"/>
        <v>0.0986</v>
      </c>
      <c r="BG68" s="103">
        <f>AV68*IF(VLOOKUP($E68,武器奇术!$A:$R,17,FALSE)="鸣金",VLOOKUP($E68,武器奇术!$A:$R,4,FALSE),VLOOKUP($E68,武器奇术!$A:$R,2,FALSE))*(1+AX68)*(1+AY68)*AZ68</f>
        <v>0</v>
      </c>
      <c r="BH68" s="104">
        <f t="shared" si="10"/>
        <v>0.0144</v>
      </c>
      <c r="BI68" s="112">
        <f t="shared" si="11"/>
        <v>0</v>
      </c>
      <c r="BJ68" s="110">
        <f>$B$9*IF($G$5="撼天",1.05,1)+IF(AND(VLOOKUP($E68,武器奇术!$A:$R,15,FALSE)="武器",VLOOKUP($E68,武器奇术!$A:$R,17,FALSE)="裂石"),$E$3*(1+$E$15),0)</f>
        <v>0</v>
      </c>
      <c r="BK68" s="102">
        <f t="shared" si="12"/>
        <v>0</v>
      </c>
      <c r="BL68" s="102">
        <f>MAX($C$9*IF($G$5="撼天",1.05,1)+IF(AND(VLOOKUP($E68,武器奇术!$A:$R,15,FALSE)="武器",VLOOKUP($E68,武器奇术!$A:$R,17,FALSE)="裂石"),$E$3*(1+$E$15),0),BJ68)</f>
        <v>0</v>
      </c>
      <c r="BM68" s="104">
        <f>IF(($D$9+IF(VLOOKUP($E68,武器奇术!$A:$R,17,FALSE)="裂石",$D$15,0)-VLOOKUP($F$7,目标属性!$A:$R,6,FALSE))&gt;0,($D$9+IF(VLOOKUP($E68,武器奇术!$A:$R,17,FALSE)="裂石",$D$15,0)-VLOOKUP($F$7,目标属性!$A:$R,6,FALSE))/200,($D$9+IF(VLOOKUP($E68,武器奇术!$A:$R,17,FALSE)="裂石",$D$15,0)-VLOOKUP($F$7,目标属性!$A:$R,6,FALSE))/100)</f>
        <v>-0.24</v>
      </c>
      <c r="BN68" s="111">
        <f t="shared" si="13"/>
        <v>0</v>
      </c>
      <c r="BO68" s="102">
        <v>1</v>
      </c>
      <c r="BP68" s="103">
        <f>BJ68*IF(VLOOKUP($E68,武器奇术!$A:$R,17,FALSE)="裂石",VLOOKUP($E68,武器奇术!$A:$R,4,FALSE),VLOOKUP($E68,武器奇术!$A:$R,2,FALSE))*(1+BM68)*(1+BN68)*BO68</f>
        <v>0</v>
      </c>
      <c r="BQ68" s="104">
        <f>(1-IF(VLOOKUP($E68,武器奇术!$A:$R,18,FALSE)="叶龙",1,$N68))*(1-$M68)</f>
        <v>0</v>
      </c>
      <c r="BR68" s="103">
        <f>BK68*IF(VLOOKUP($E68,武器奇术!$A:$R,17,FALSE)="裂石",VLOOKUP($E68,武器奇术!$A:$R,4,FALSE),VLOOKUP($E68,武器奇术!$A:$R,2,FALSE))*(1+BM68)*(1+BN68)*BO68*(1+$E$16+VLOOKUP($E68,武器奇术!$A:$R,8,FALSE))</f>
        <v>0</v>
      </c>
      <c r="BS68" s="104">
        <f t="shared" si="14"/>
        <v>0.887</v>
      </c>
      <c r="BT68" s="103">
        <f>BL68*IF(VLOOKUP($E68,武器奇术!$A:$R,17,FALSE)="裂石",VLOOKUP($E68,武器奇术!$A:$R,4,FALSE),VLOOKUP($E68,武器奇术!$A:$R,2,FALSE))*(1+BM68)*(1+BN68)*BO68*(1+$E$17+VLOOKUP($E68,武器奇术!$A:$R,10,FALSE))</f>
        <v>0</v>
      </c>
      <c r="BU68" s="104">
        <f t="shared" si="15"/>
        <v>0.0986</v>
      </c>
      <c r="BV68" s="103">
        <f>BK68*IF(VLOOKUP($E68,武器奇术!$A:$R,17,FALSE)="裂石",VLOOKUP($E68,武器奇术!$A:$R,4,FALSE),VLOOKUP($E68,武器奇术!$A:$R,2,FALSE))*(1+BM68)*(1+BN68)*BO68</f>
        <v>0</v>
      </c>
      <c r="BW68" s="104">
        <f t="shared" si="16"/>
        <v>0.0144</v>
      </c>
      <c r="BX68" s="112">
        <f t="shared" si="17"/>
        <v>0</v>
      </c>
      <c r="BY68" s="110">
        <f>$B$11*IF($G$5="撼天",1.05,1)+IF(AND(VLOOKUP($E68,武器奇术!$A:$R,15,FALSE)="武器",VLOOKUP($E68,武器奇术!$A:$R,17,FALSE)="牵丝"),$E$3*(1+$E$15),0)</f>
        <v>686.71</v>
      </c>
      <c r="BZ68" s="102">
        <f>IF(VLOOKUP($E68,武器奇术!$A:$Z,18,FALSE)="叶龙",(CA68-(BY68+CA68)*0.5)*($G$15-0.5)*2+(BY68+CA68)*0.5,(BY68+CA68)*0.5)</f>
        <v>1052.21</v>
      </c>
      <c r="CA68" s="102">
        <f>MAX($C$11*IF($G$5="撼天",1.05,1)+IF(AND(VLOOKUP($E68,武器奇术!$A:$R,15,FALSE)="武器",VLOOKUP($E68,武器奇术!$A:$R,17,FALSE)="牵丝"),$E$3*(1+$E$15),0),BY68)</f>
        <v>1417.71</v>
      </c>
      <c r="CB68" s="104">
        <f>IF(($D$11+IF(VLOOKUP($E68,武器奇术!$A:$R,17,FALSE)="牵丝",$D$15,0)-VLOOKUP($F$7,目标属性!$A:$R,6,FALSE))&gt;0,($D$11+IF(VLOOKUP($E68,武器奇术!$A:$R,17,FALSE)="牵丝",$D$15,0)-VLOOKUP($F$7,目标属性!$A:$R,6,FALSE))/200,($D$11+IF(VLOOKUP($E68,武器奇术!$A:$R,17,FALSE)="牵丝",$D$15,0)-VLOOKUP($F$7,目标属性!$A:$R,6,FALSE))/100)</f>
        <v>0.028</v>
      </c>
      <c r="CC68" s="111">
        <f>$E$11+IF($G$5="烟柳",IF(VLOOKUP($E68,武器奇术!$A:$T,20,FALSE)=1,0.1,0),0)</f>
        <v>0.248</v>
      </c>
      <c r="CD68" s="102">
        <v>1</v>
      </c>
      <c r="CE68" s="103">
        <f>BY68*IF(VLOOKUP($E68,武器奇术!$A:$R,17,FALSE)="牵丝",VLOOKUP($E68,武器奇术!$A:$R,4,FALSE),VLOOKUP($E68,武器奇术!$A:$R,2,FALSE))*(1+CB68)*(1+CC68)*CD68</f>
        <v>5784.10687663261</v>
      </c>
      <c r="CF68" s="104">
        <f>(1-IF(VLOOKUP($E68,武器奇术!$A:$R,18,FALSE)="叶龙",1,$N68))*(1-$M68)</f>
        <v>0</v>
      </c>
      <c r="CG68" s="124">
        <f>BZ68*IF(VLOOKUP($E68,武器奇术!$A:$R,17,FALSE)="牵丝",VLOOKUP($E68,武器奇术!$A:$R,4,FALSE),VLOOKUP($E68,武器奇术!$A:$R,2,FALSE))*(1+CB68)*(1+CC68)*CD68*(1+$E$16+VLOOKUP($E68,武器奇术!$A:$R,8,FALSE))</f>
        <v>17760.8227253278</v>
      </c>
      <c r="CH68" s="104">
        <f t="shared" si="18"/>
        <v>0.887</v>
      </c>
      <c r="CI68" s="103">
        <f>CA68*IF(VLOOKUP($E68,武器奇术!$A:$R,17,FALSE)="牵丝",VLOOKUP($E68,武器奇术!$A:$R,4,FALSE),VLOOKUP($E68,武器奇术!$A:$R,2,FALSE))*(1+CB68)*(1+CC68)*CD68*(1+$E$17+VLOOKUP($E68,武器奇术!$A:$R,10,FALSE))</f>
        <v>16120.7078913888</v>
      </c>
      <c r="CJ68" s="104">
        <f t="shared" si="19"/>
        <v>0.0986</v>
      </c>
      <c r="CK68" s="124">
        <f>BZ68*IF(VLOOKUP($E68,武器奇术!$A:$R,17,FALSE)="牵丝",VLOOKUP($E68,武器奇术!$A:$R,4,FALSE),VLOOKUP($E68,武器奇术!$A:$R,2,FALSE))*(1+CB68)*(1+CC68)*CD68</f>
        <v>8862.68599068254</v>
      </c>
      <c r="CL68" s="104">
        <f t="shared" si="20"/>
        <v>0.0144</v>
      </c>
      <c r="CM68" s="112">
        <f t="shared" si="39"/>
        <v>17470.9742337225</v>
      </c>
      <c r="CN68" s="110">
        <f>$B$13*IF($G$5="撼天",1.05,1)+IF(AND(VLOOKUP($E68,武器奇术!$A:$R,15,FALSE)="武器",VLOOKUP($E68,武器奇术!$A:$R,17,FALSE)="破竹"),$E$3*(1+$E$15),0)</f>
        <v>0</v>
      </c>
      <c r="CO68" s="102">
        <f t="shared" si="21"/>
        <v>0</v>
      </c>
      <c r="CP68" s="102">
        <f>MAX($C$13*IF($G$5="撼天",1.05,1)+IF(AND(VLOOKUP($E68,武器奇术!$A:$R,15,FALSE)="武器",VLOOKUP($E68,武器奇术!$A:$R,17,FALSE)="破竹"),$E$3*(1+$E$15),0),CN68)</f>
        <v>0</v>
      </c>
      <c r="CQ68" s="104">
        <f>IF(($D$13+IF(VLOOKUP($E68,武器奇术!$A:$R,17,FALSE)="破竹",$D$15,0)-VLOOKUP($F$7,目标属性!$A:$R,6,FALSE))&gt;0,($D$13+IF(VLOOKUP($E68,武器奇术!$A:$R,17,FALSE)="破竹",$D$15,0)-VLOOKUP($F$7,目标属性!$A:$R,6,FALSE))/200,($D$13+IF(VLOOKUP($E68,武器奇术!$A:$R,17,FALSE)="破竹",$D$15,0)-VLOOKUP($F$7,目标属性!$A:$R,6,FALSE))/100)</f>
        <v>-0.24</v>
      </c>
      <c r="CR68" s="111">
        <f t="shared" si="22"/>
        <v>0</v>
      </c>
      <c r="CS68" s="102">
        <v>1</v>
      </c>
      <c r="CT68" s="103">
        <f>CN68*IF(VLOOKUP($E68,武器奇术!$A:$R,17,FALSE)="破竹",VLOOKUP($E68,武器奇术!$A:$R,4,FALSE),VLOOKUP($E68,武器奇术!$A:$R,2,FALSE))*(1+CQ68)*(1+CR68)*CS68</f>
        <v>0</v>
      </c>
      <c r="CU68" s="104">
        <f>(1-IF(VLOOKUP($E68,武器奇术!$A:$R,18,FALSE)="叶龙",1,$N68))*(1-$M68)</f>
        <v>0</v>
      </c>
      <c r="CV68" s="103">
        <f>CO68*IF(VLOOKUP($E68,武器奇术!$A:$R,17,FALSE)="破竹",VLOOKUP($E68,武器奇术!$A:$R,4,FALSE),VLOOKUP($E68,武器奇术!$A:$R,2,FALSE))*(1+CQ68)*(1+CR68)*CS68*(1+$E$16+VLOOKUP($E68,武器奇术!$A:$R,8,FALSE))</f>
        <v>0</v>
      </c>
      <c r="CW68" s="104">
        <f t="shared" si="23"/>
        <v>0.887</v>
      </c>
      <c r="CX68" s="103">
        <f>CP68*IF(VLOOKUP($E68,武器奇术!$A:$R,17,FALSE)="破竹",VLOOKUP($E68,武器奇术!$A:$R,4,FALSE),VLOOKUP($E68,武器奇术!$A:$R,2,FALSE))*(1+CQ68)*(1+CR68)*CS68*(1+$E$17+VLOOKUP($E68,武器奇术!$A:$R,10,FALSE))</f>
        <v>0</v>
      </c>
      <c r="CY68" s="104">
        <f t="shared" si="24"/>
        <v>0.0986</v>
      </c>
      <c r="CZ68" s="103">
        <f>CO68*IF(VLOOKUP($E68,武器奇术!$A:$R,17,FALSE)="破竹",VLOOKUP($E68,武器奇术!$A:$R,4,FALSE),VLOOKUP($E68,武器奇术!$A:$R,2,FALSE))*(1+CQ68)*(1+CR68)*CS68</f>
        <v>0</v>
      </c>
      <c r="DA68" s="104">
        <f t="shared" si="25"/>
        <v>0.0144</v>
      </c>
      <c r="DB68" s="112">
        <f t="shared" si="26"/>
        <v>0</v>
      </c>
      <c r="DC68" s="110">
        <f t="shared" si="40"/>
        <v>66</v>
      </c>
      <c r="DD68" s="102">
        <f t="shared" si="27"/>
        <v>125.8</v>
      </c>
      <c r="DE68" s="102">
        <f t="shared" si="41"/>
        <v>185.6</v>
      </c>
      <c r="DF68" s="104">
        <f>IF((IF(VLOOKUP($E68,武器奇术!$A:$R,17,FALSE)="鸣金",$D$7,0)+IF(VLOOKUP($E68,武器奇术!$A:$R,17,FALSE)="裂石",$D$9,0)+IF(VLOOKUP($E68,武器奇术!$A:$R,17,FALSE)="牵丝",$D$11,0)+IF(VLOOKUP($E68,武器奇术!$A:$R,17,FALSE)="破竹",$D$13,0)+$D$15-VLOOKUP($F$7,目标属性!$A:$R,6,FALSE))&gt;0,(IF(VLOOKUP($E68,武器奇术!$A:$R,17,FALSE)="鸣金",$D$7,0)+IF(VLOOKUP($E68,武器奇术!$A:$R,17,FALSE)="裂石",$D$9,0)+IF(VLOOKUP($E68,武器奇术!$A:$R,17,FALSE)="牵丝",$D$11,0)+IF(VLOOKUP($E68,武器奇术!$A:$R,17,FALSE)="破竹",$D$13,0)+$D$15-VLOOKUP($F$7,目标属性!$A:$R,6,FALSE))/200,(IF(VLOOKUP($E68,武器奇术!$A:$R,17,FALSE)="鸣金",$D$7,0)+IF(VLOOKUP($E68,武器奇术!$A:$R,17,FALSE)="裂石",$D$9,0)+IF(VLOOKUP($E68,武器奇术!$A:$R,17,FALSE)="牵丝",$D$11,0)+IF(VLOOKUP($E68,武器奇术!$A:$R,17,FALSE)="破竹",$D$13,0)+$D$15-VLOOKUP($F$7,目标属性!$A:$R,6,FALSE))/100)</f>
        <v>0.028</v>
      </c>
      <c r="DG68" s="111">
        <f>$E$11+IF($G$5="烟柳",IF(VLOOKUP($E68,武器奇术!$A:$T,20,FALSE)=1,0.1,0),0)</f>
        <v>0.248</v>
      </c>
      <c r="DH68" s="102">
        <v>1</v>
      </c>
      <c r="DI68" s="103">
        <f>DC68*IF(VLOOKUP($E68,武器奇术!$A:$R,17,FALSE)="牵丝",VLOOKUP($E68,武器奇术!$A:$R,4,FALSE),VLOOKUP($E68,武器奇术!$A:$R,2,FALSE))*(1+DF68)*(1+DG68)*DH68</f>
        <v>555.91305479424</v>
      </c>
      <c r="DJ68" s="104">
        <f>(1-IF(VLOOKUP($E68,武器奇术!$A:$R,18,FALSE)="叶龙",1,$N68))*(1-$M68)</f>
        <v>0</v>
      </c>
      <c r="DK68" s="124">
        <f>DD68*IF(VLOOKUP($E68,武器奇术!$A:$R,17,FALSE)="牵丝",VLOOKUP($E68,武器奇术!$A:$R,4,FALSE),VLOOKUP($E68,武器奇术!$A:$R,2,FALSE))*(1+DF68)*(1+DG68)*DH68*(1+$E$16+VLOOKUP($E68,武器奇术!$A:$R,8,FALSE))</f>
        <v>2123.44636417278</v>
      </c>
      <c r="DL68" s="104">
        <f t="shared" si="28"/>
        <v>0.887</v>
      </c>
      <c r="DM68" s="103">
        <f>DE68*IF(VLOOKUP($E68,武器奇术!$A:$R,17,FALSE)="牵丝",VLOOKUP($E68,武器奇术!$A:$R,4,FALSE),VLOOKUP($E68,武器奇术!$A:$R,2,FALSE))*(1+DF68)*(1+DG68)*DH68*(1+$E$17+VLOOKUP($E68,武器奇术!$A:$R,10,FALSE))</f>
        <v>2110.44810620068</v>
      </c>
      <c r="DN68" s="104">
        <f t="shared" si="29"/>
        <v>0.0986</v>
      </c>
      <c r="DO68" s="124">
        <f>DD68*IF(VLOOKUP($E68,武器奇术!$A:$R,17,FALSE)="牵丝",VLOOKUP($E68,武器奇术!$A:$R,4,FALSE),VLOOKUP($E68,武器奇术!$A:$R,2,FALSE))*(1+DF68)*(1+DG68)*DH68</f>
        <v>1059.60397413811</v>
      </c>
      <c r="DP68" s="104">
        <f t="shared" si="30"/>
        <v>0.0144</v>
      </c>
      <c r="DQ68" s="112">
        <f t="shared" si="31"/>
        <v>2106.84540552023</v>
      </c>
    </row>
    <row r="69" customFormat="1" customHeight="1" spans="1:121">
      <c r="A69" s="139"/>
      <c r="B69" t="s">
        <v>165</v>
      </c>
      <c r="C69" s="141">
        <v>1.3</v>
      </c>
      <c r="D69" s="139"/>
      <c r="E69" s="115" t="s">
        <v>144</v>
      </c>
      <c r="F69" s="116">
        <v>1</v>
      </c>
      <c r="G69" s="117"/>
      <c r="H69" s="103">
        <f>IF(VLOOKUP($E69,武器奇术!$A:$R,18,FALSE)="天工",AE69,(AE69+AT69+BI69+BX69+CM69+DB69+DQ69))*(1+J69)*F69*K69*(1+G69)</f>
        <v>72153.8819134086</v>
      </c>
      <c r="I69" s="104">
        <f t="shared" si="42"/>
        <v>0.00831573185070883</v>
      </c>
      <c r="J69" s="104">
        <f>$F$3+VLOOKUP($E69,武器奇术!$A:$R,12,FALSE)+VLOOKUP($E69,武器奇术!$A:$R,14,FALSE)*$G$3+$P69</f>
        <v>1.103</v>
      </c>
      <c r="K69" s="105">
        <f>VLOOKUP($E69,武器奇术!$A:$R,11,FALSE)</f>
        <v>1</v>
      </c>
      <c r="L69" s="119">
        <f>IF(VLOOKUP($E69,武器奇术!$A:$R,15,FALSE)="天工",0%,IF($C$17+VLOOKUP($E69,武器奇术!$A:$R,7,FALSE)&gt;80%,80%,$C$17+VLOOKUP($E69,武器奇术!$A:$R,7,FALSE))+IF($C$19&gt;20%,20%,$C$19))</f>
        <v>0.8703</v>
      </c>
      <c r="M69" s="120">
        <f>IF(VLOOKUP($E69,武器奇术!$A:$R,15,FALSE)="天工",0%,IF($C$18+VLOOKUP($E69,武器奇术!$A:$R,9,FALSE)&gt;40%,40%,$C$18+VLOOKUP($E69,武器奇术!$A:$R,9,FALSE))+IF($C$20&gt;10%,10%,$C$20))</f>
        <v>0.0986</v>
      </c>
      <c r="N69" s="121">
        <f>IF(VLOOKUP($E69,武器奇术!$A:$R,15,FALSE)="天工",100%,MIN($C$16,1))</f>
        <v>1</v>
      </c>
      <c r="O69" s="122" t="str">
        <f>VLOOKUP($E69,武器奇术!$A:$R,16,FALSE)</f>
        <v>伞</v>
      </c>
      <c r="P69" s="123">
        <f t="shared" si="44"/>
        <v>0.17</v>
      </c>
      <c r="Q69" s="110">
        <f>$B$5*(1+VLOOKUP($E69,武器奇术!$A:$R,5,FALSE))*(1+VLOOKUP($E69,武器奇术!$A:$S,19,FALSE)+IF($G$5="飞隼",0.1,0)+IF($G$5="撼天",0.05,0))-$F$9+IF($J$5="√",160,0)</f>
        <v>3324.7</v>
      </c>
      <c r="R69" s="102">
        <f>IF(VLOOKUP($E69,武器奇术!$A:$Z,18,FALSE)="叶龙",(S69-(Q69+S69)*0.5)*($G$15-0.5)*2+(Q69+S69)*0.5,(Q69+S69)*0.5)</f>
        <v>3404.7</v>
      </c>
      <c r="S69" s="102">
        <f>MAX($C$5,$B$5)*(1+VLOOKUP($E69,武器奇术!$A:$R,6,FALSE))*(1+VLOOKUP($E69,武器奇术!$A:$S,19,FALSE)+IF($G$5="飞隼",0.1,0)+IF($G$5="撼天",0.05,0))-$F$9+IF($J$5="√",320,0)</f>
        <v>3484.7</v>
      </c>
      <c r="T69" s="104">
        <f>IF(($D$5+VLOOKUP($E69,武器奇术!$A:$R,13,FALSE)+IF($I$3="√",10,0)-VLOOKUP($F$7,目标属性!$A:$R,5,FALSE))&gt;0,($D$5+VLOOKUP($E69,武器奇术!$A:$R,13,FALSE)+IF($I$3="√",10,0)-VLOOKUP($F$7,目标属性!$A:$R,5,FALSE))/200,($D$5+VLOOKUP($E69,武器奇术!$A:$R,13,FALSE)+IF($I$3="√",10,0)-VLOOKUP($F$7,目标属性!$A:$R,5,FALSE))/100)</f>
        <v>0.2925</v>
      </c>
      <c r="U69" s="111">
        <f>$E$5+IF($G$5="烟柳",IF(VLOOKUP($E69,武器奇术!$A:$T,20,FALSE)=1,0.1,0),0)</f>
        <v>0.1</v>
      </c>
      <c r="V69" s="102">
        <v>1</v>
      </c>
      <c r="W69" s="103">
        <f>Q69*VLOOKUP($E69,武器奇术!$A:$R,2,FALSE)*(1+T69)*(1+U69)*V69</f>
        <v>11059.5097388325</v>
      </c>
      <c r="X69" s="104">
        <f>(1-IF(VLOOKUP($E69,武器奇术!$A:$R,18,FALSE)="叶龙",1,$N69))*(1-$M69)</f>
        <v>0</v>
      </c>
      <c r="Y69" s="103">
        <f>R69*VLOOKUP($E69,武器奇术!$A:$R,2,FALSE)*(1+T69)*(1+U69)*V69*(1+$E$16+VLOOKUP($E69,武器奇术!$A:$R,8,FALSE))</f>
        <v>22696.5569425323</v>
      </c>
      <c r="Z69" s="104">
        <f t="shared" si="33"/>
        <v>0.8703</v>
      </c>
      <c r="AA69" s="103">
        <f>S69*VLOOKUP($E69,武器奇术!$A:$R,2,FALSE)*(1+T69)*(1+U69)*V69*(1+$E$17+VLOOKUP($E69,武器奇术!$A:$R,10,FALSE))</f>
        <v>15648.8553380239</v>
      </c>
      <c r="AB69" s="104">
        <f t="shared" si="34"/>
        <v>0.0986</v>
      </c>
      <c r="AC69" s="103">
        <f>R69*VLOOKUP($E69,武器奇术!$A:$R,2,FALSE)*(1+T69)*(1+U69)*V69</f>
        <v>11325.6272168325</v>
      </c>
      <c r="AD69" s="104">
        <f t="shared" si="35"/>
        <v>0.0311</v>
      </c>
      <c r="AE69" s="112">
        <f t="shared" si="36"/>
        <v>21648.0176498585</v>
      </c>
      <c r="AF69" s="113">
        <f>VLOOKUP($E69,武器奇术!$A:$R,3,FALSE)*(1+IF(VLOOKUP($E69,武器奇术!$A:$R,15,FALSE)="武器",$E$15,0))</f>
        <v>842.4</v>
      </c>
      <c r="AG69" s="103">
        <f t="shared" si="1"/>
        <v>842.4</v>
      </c>
      <c r="AH69" s="103">
        <f>VLOOKUP($E69,武器奇术!$A:$R,3,FALSE)*(1+IF(VLOOKUP($E69,武器奇术!$A:$R,15,FALSE)="武器",$E$15,0))</f>
        <v>842.4</v>
      </c>
      <c r="AI69" s="104">
        <f>IF(($D$5+VLOOKUP($E69,武器奇术!$A:$R,13,FALSE)+IF($I$3="√",10,0)-VLOOKUP($F$7,目标属性!$A:$R,5,FALSE))&gt;0,($D$5+VLOOKUP($E69,武器奇术!$A:$R,13,FALSE)+IF($I$3="√",10,0)-VLOOKUP($F$7,目标属性!$A:$R,5,FALSE))/200,($D$5+VLOOKUP($E69,武器奇术!$A:$R,13,FALSE)+IF($I$3="√",10,0)-VLOOKUP($F$7,目标属性!$A:$R,5,FALSE))/100)</f>
        <v>0.2925</v>
      </c>
      <c r="AJ69" s="111">
        <f>$E$5+IF($G$5="烟柳",IF(VLOOKUP($E69,武器奇术!$A:$T,20,FALSE)=1,0.1,0),0)</f>
        <v>0.1</v>
      </c>
      <c r="AK69" s="102">
        <v>1</v>
      </c>
      <c r="AL69" s="103">
        <f t="shared" si="45"/>
        <v>1197.6822</v>
      </c>
      <c r="AM69" s="104">
        <f>(1-IF(VLOOKUP($E69,武器奇术!$A:$R,18,FALSE)="叶龙",1,$N69))*(1-$M69)</f>
        <v>0</v>
      </c>
      <c r="AN69" s="103">
        <f>AG69*(1+AI69)*(1+AJ69)*AK69*(1+$E$16+VLOOKUP($E69,武器奇术!$A:$R,8,FALSE))</f>
        <v>2400.1551288</v>
      </c>
      <c r="AO69" s="104">
        <f t="shared" si="2"/>
        <v>0.8703</v>
      </c>
      <c r="AP69" s="103">
        <f>AH69*(1+AI69)*(1+AJ69)*AK69*(1+$E$17+VLOOKUP($E69,武器奇术!$A:$R,10,FALSE))</f>
        <v>1616.87097</v>
      </c>
      <c r="AQ69" s="104">
        <f t="shared" si="3"/>
        <v>0.0986</v>
      </c>
      <c r="AR69" s="103">
        <f t="shared" si="38"/>
        <v>1197.6822</v>
      </c>
      <c r="AS69" s="104">
        <f t="shared" si="4"/>
        <v>0.0311</v>
      </c>
      <c r="AT69" s="112">
        <f t="shared" si="5"/>
        <v>2285.52640265664</v>
      </c>
      <c r="AU69" s="110">
        <f>$B$7*IF($G$5="撼天",1.05,1)+IF(AND(VLOOKUP($E69,武器奇术!$A:$R,15,FALSE)="武器",VLOOKUP($E69,武器奇术!$A:$R,17,FALSE)="鸣金"),$E$3*(1+$E$15),0)</f>
        <v>0</v>
      </c>
      <c r="AV69" s="102">
        <f t="shared" si="6"/>
        <v>0</v>
      </c>
      <c r="AW69" s="102">
        <f>MAX($C$7*IF($G$5="撼天",1.05,1)+IF(AND(VLOOKUP($E69,武器奇术!$A:$R,15,FALSE)="武器",VLOOKUP($E69,武器奇术!$A:$R,17,FALSE)="鸣金"),$E$3*(1+$E$15),0),AU69)</f>
        <v>0</v>
      </c>
      <c r="AX69" s="104">
        <f>IF(($D$7+IF(VLOOKUP($E69,武器奇术!$A:$R,17,FALSE)="鸣金",$D$15,0)-VLOOKUP($F$7,目标属性!$A:$R,6,FALSE))&gt;0,($D$7+IF(VLOOKUP($E69,武器奇术!$A:$R,17,FALSE)="鸣金",$D$15,0)-VLOOKUP($F$7,目标属性!$A:$R,6,FALSE))/200,($D$7+IF(VLOOKUP($E69,武器奇术!$A:$R,17,FALSE)="鸣金",$D$15,0)-VLOOKUP($F$7,目标属性!$A:$R,6,FALSE))/100)</f>
        <v>-0.24</v>
      </c>
      <c r="AY69" s="111">
        <f t="shared" si="7"/>
        <v>0</v>
      </c>
      <c r="AZ69" s="102">
        <v>1</v>
      </c>
      <c r="BA69" s="103">
        <f>AU69*IF(VLOOKUP($E69,武器奇术!$A:$R,17,FALSE)="鸣金",VLOOKUP($E69,武器奇术!$A:$R,4,FALSE),VLOOKUP($E69,武器奇术!$A:$R,2,FALSE))*(1+AX69)*(1+AY69)*AZ69</f>
        <v>0</v>
      </c>
      <c r="BB69" s="104">
        <f>(1-IF(VLOOKUP($E69,武器奇术!$A:$R,18,FALSE)="叶龙",1,$N69))*(1-$M69)</f>
        <v>0</v>
      </c>
      <c r="BC69" s="103">
        <f>AV69*IF(VLOOKUP($E69,武器奇术!$A:$R,17,FALSE)="鸣金",VLOOKUP($E69,武器奇术!$A:$R,4,FALSE),VLOOKUP($E69,武器奇术!$A:$R,2,FALSE))*(1+AX69)*(1+AY69)*AZ69*(1+$E$16+VLOOKUP($E69,武器奇术!$A:$R,8,FALSE))</f>
        <v>0</v>
      </c>
      <c r="BD69" s="104">
        <f t="shared" si="8"/>
        <v>0.8703</v>
      </c>
      <c r="BE69" s="103">
        <f>AW69*IF(VLOOKUP($E69,武器奇术!$A:$R,17,FALSE)="鸣金",VLOOKUP($E69,武器奇术!$A:$R,4,FALSE),VLOOKUP($E69,武器奇术!$A:$R,2,FALSE))*(1+AX69)*(1+AY69)*AZ69*(1+$E$17+VLOOKUP($E69,武器奇术!$A:$R,10,FALSE))</f>
        <v>0</v>
      </c>
      <c r="BF69" s="104">
        <f t="shared" si="9"/>
        <v>0.0986</v>
      </c>
      <c r="BG69" s="103">
        <f>AV69*IF(VLOOKUP($E69,武器奇术!$A:$R,17,FALSE)="鸣金",VLOOKUP($E69,武器奇术!$A:$R,4,FALSE),VLOOKUP($E69,武器奇术!$A:$R,2,FALSE))*(1+AX69)*(1+AY69)*AZ69</f>
        <v>0</v>
      </c>
      <c r="BH69" s="104">
        <f t="shared" si="10"/>
        <v>0.0311</v>
      </c>
      <c r="BI69" s="112">
        <f t="shared" si="11"/>
        <v>0</v>
      </c>
      <c r="BJ69" s="110">
        <f>$B$9*IF($G$5="撼天",1.05,1)+IF(AND(VLOOKUP($E69,武器奇术!$A:$R,15,FALSE)="武器",VLOOKUP($E69,武器奇术!$A:$R,17,FALSE)="裂石"),$E$3*(1+$E$15),0)</f>
        <v>0</v>
      </c>
      <c r="BK69" s="102">
        <f t="shared" si="12"/>
        <v>0</v>
      </c>
      <c r="BL69" s="102">
        <f>MAX($C$9*IF($G$5="撼天",1.05,1)+IF(AND(VLOOKUP($E69,武器奇术!$A:$R,15,FALSE)="武器",VLOOKUP($E69,武器奇术!$A:$R,17,FALSE)="裂石"),$E$3*(1+$E$15),0),BJ69)</f>
        <v>0</v>
      </c>
      <c r="BM69" s="104">
        <f>IF(($D$9+IF(VLOOKUP($E69,武器奇术!$A:$R,17,FALSE)="裂石",$D$15,0)-VLOOKUP($F$7,目标属性!$A:$R,6,FALSE))&gt;0,($D$9+IF(VLOOKUP($E69,武器奇术!$A:$R,17,FALSE)="裂石",$D$15,0)-VLOOKUP($F$7,目标属性!$A:$R,6,FALSE))/200,($D$9+IF(VLOOKUP($E69,武器奇术!$A:$R,17,FALSE)="裂石",$D$15,0)-VLOOKUP($F$7,目标属性!$A:$R,6,FALSE))/100)</f>
        <v>-0.24</v>
      </c>
      <c r="BN69" s="111">
        <f t="shared" si="13"/>
        <v>0</v>
      </c>
      <c r="BO69" s="102">
        <v>1</v>
      </c>
      <c r="BP69" s="103">
        <f>BJ69*IF(VLOOKUP($E69,武器奇术!$A:$R,17,FALSE)="裂石",VLOOKUP($E69,武器奇术!$A:$R,4,FALSE),VLOOKUP($E69,武器奇术!$A:$R,2,FALSE))*(1+BM69)*(1+BN69)*BO69</f>
        <v>0</v>
      </c>
      <c r="BQ69" s="104">
        <f>(1-IF(VLOOKUP($E69,武器奇术!$A:$R,18,FALSE)="叶龙",1,$N69))*(1-$M69)</f>
        <v>0</v>
      </c>
      <c r="BR69" s="103">
        <f>BK69*IF(VLOOKUP($E69,武器奇术!$A:$R,17,FALSE)="裂石",VLOOKUP($E69,武器奇术!$A:$R,4,FALSE),VLOOKUP($E69,武器奇术!$A:$R,2,FALSE))*(1+BM69)*(1+BN69)*BO69*(1+$E$16+VLOOKUP($E69,武器奇术!$A:$R,8,FALSE))</f>
        <v>0</v>
      </c>
      <c r="BS69" s="104">
        <f t="shared" si="14"/>
        <v>0.8703</v>
      </c>
      <c r="BT69" s="103">
        <f>BL69*IF(VLOOKUP($E69,武器奇术!$A:$R,17,FALSE)="裂石",VLOOKUP($E69,武器奇术!$A:$R,4,FALSE),VLOOKUP($E69,武器奇术!$A:$R,2,FALSE))*(1+BM69)*(1+BN69)*BO69*(1+$E$17+VLOOKUP($E69,武器奇术!$A:$R,10,FALSE))</f>
        <v>0</v>
      </c>
      <c r="BU69" s="104">
        <f t="shared" si="15"/>
        <v>0.0986</v>
      </c>
      <c r="BV69" s="103">
        <f>BK69*IF(VLOOKUP($E69,武器奇术!$A:$R,17,FALSE)="裂石",VLOOKUP($E69,武器奇术!$A:$R,4,FALSE),VLOOKUP($E69,武器奇术!$A:$R,2,FALSE))*(1+BM69)*(1+BN69)*BO69</f>
        <v>0</v>
      </c>
      <c r="BW69" s="104">
        <f t="shared" si="16"/>
        <v>0.0311</v>
      </c>
      <c r="BX69" s="112">
        <f t="shared" si="17"/>
        <v>0</v>
      </c>
      <c r="BY69" s="110">
        <f>$B$11*IF($G$5="撼天",1.05,1)+IF(AND(VLOOKUP($E69,武器奇术!$A:$R,15,FALSE)="武器",VLOOKUP($E69,武器奇术!$A:$R,17,FALSE)="牵丝"),$E$3*(1+$E$15),0)</f>
        <v>686.71</v>
      </c>
      <c r="BZ69" s="102">
        <f>IF(VLOOKUP($E69,武器奇术!$A:$Z,18,FALSE)="叶龙",(CA69-(BY69+CA69)*0.5)*($G$15-0.5)*2+(BY69+CA69)*0.5,(BY69+CA69)*0.5)</f>
        <v>1052.21</v>
      </c>
      <c r="CA69" s="102">
        <f>MAX($C$11*IF($G$5="撼天",1.05,1)+IF(AND(VLOOKUP($E69,武器奇术!$A:$R,15,FALSE)="武器",VLOOKUP($E69,武器奇术!$A:$R,17,FALSE)="牵丝"),$E$3*(1+$E$15),0),BY69)</f>
        <v>1417.71</v>
      </c>
      <c r="CB69" s="104">
        <f>IF(($D$11+IF(VLOOKUP($E69,武器奇术!$A:$R,17,FALSE)="牵丝",$D$15,0)-VLOOKUP($F$7,目标属性!$A:$R,6,FALSE))&gt;0,($D$11+IF(VLOOKUP($E69,武器奇术!$A:$R,17,FALSE)="牵丝",$D$15,0)-VLOOKUP($F$7,目标属性!$A:$R,6,FALSE))/200,($D$11+IF(VLOOKUP($E69,武器奇术!$A:$R,17,FALSE)="牵丝",$D$15,0)-VLOOKUP($F$7,目标属性!$A:$R,6,FALSE))/100)</f>
        <v>0.028</v>
      </c>
      <c r="CC69" s="111">
        <f>$E$11+IF($G$5="烟柳",IF(VLOOKUP($E69,武器奇术!$A:$T,20,FALSE)=1,0.1,0),0)</f>
        <v>0.248</v>
      </c>
      <c r="CD69" s="102">
        <v>1</v>
      </c>
      <c r="CE69" s="103">
        <f>BY69*IF(VLOOKUP($E69,武器奇术!$A:$R,17,FALSE)="牵丝",VLOOKUP($E69,武器奇术!$A:$R,4,FALSE),VLOOKUP($E69,武器奇术!$A:$R,2,FALSE))*(1+CB69)*(1+CC69)*CD69</f>
        <v>3091.90625934528</v>
      </c>
      <c r="CF69" s="104">
        <f>(1-IF(VLOOKUP($E69,武器奇术!$A:$R,18,FALSE)="叶龙",1,$N69))*(1-$M69)</f>
        <v>0</v>
      </c>
      <c r="CG69" s="124">
        <f>BZ69*IF(VLOOKUP($E69,武器奇术!$A:$R,17,FALSE)="牵丝",VLOOKUP($E69,武器奇术!$A:$R,4,FALSE),VLOOKUP($E69,武器奇术!$A:$R,2,FALSE))*(1+CB69)*(1+CC69)*CD69*(1+$E$16+VLOOKUP($E69,武器奇术!$A:$R,8,FALSE))</f>
        <v>9494.08441559316</v>
      </c>
      <c r="CH69" s="104">
        <f t="shared" si="18"/>
        <v>0.8703</v>
      </c>
      <c r="CI69" s="103">
        <f>CA69*IF(VLOOKUP($E69,武器奇术!$A:$R,17,FALSE)="牵丝",VLOOKUP($E69,武器奇术!$A:$R,4,FALSE),VLOOKUP($E69,武器奇术!$A:$R,2,FALSE))*(1+CB69)*(1+CC69)*CD69*(1+$E$17+VLOOKUP($E69,武器奇术!$A:$R,10,FALSE))</f>
        <v>8617.35764873693</v>
      </c>
      <c r="CJ69" s="104">
        <f t="shared" si="19"/>
        <v>0.0986</v>
      </c>
      <c r="CK69" s="124">
        <f>BZ69*IF(VLOOKUP($E69,武器奇术!$A:$R,17,FALSE)="牵丝",VLOOKUP($E69,武器奇术!$A:$R,4,FALSE),VLOOKUP($E69,武器奇术!$A:$R,2,FALSE))*(1+CB69)*(1+CC69)*CD69</f>
        <v>4737.56707364928</v>
      </c>
      <c r="CL69" s="104">
        <f t="shared" si="20"/>
        <v>0.0311</v>
      </c>
      <c r="CM69" s="112">
        <f t="shared" si="39"/>
        <v>9259.71146704668</v>
      </c>
      <c r="CN69" s="110">
        <f>$B$13*IF($G$5="撼天",1.05,1)+IF(AND(VLOOKUP($E69,武器奇术!$A:$R,15,FALSE)="武器",VLOOKUP($E69,武器奇术!$A:$R,17,FALSE)="破竹"),$E$3*(1+$E$15),0)</f>
        <v>0</v>
      </c>
      <c r="CO69" s="102">
        <f t="shared" si="21"/>
        <v>0</v>
      </c>
      <c r="CP69" s="102">
        <f>MAX($C$13*IF($G$5="撼天",1.05,1)+IF(AND(VLOOKUP($E69,武器奇术!$A:$R,15,FALSE)="武器",VLOOKUP($E69,武器奇术!$A:$R,17,FALSE)="破竹"),$E$3*(1+$E$15),0),CN69)</f>
        <v>0</v>
      </c>
      <c r="CQ69" s="104">
        <f>IF(($D$13+IF(VLOOKUP($E69,武器奇术!$A:$R,17,FALSE)="破竹",$D$15,0)-VLOOKUP($F$7,目标属性!$A:$R,6,FALSE))&gt;0,($D$13+IF(VLOOKUP($E69,武器奇术!$A:$R,17,FALSE)="破竹",$D$15,0)-VLOOKUP($F$7,目标属性!$A:$R,6,FALSE))/200,($D$13+IF(VLOOKUP($E69,武器奇术!$A:$R,17,FALSE)="破竹",$D$15,0)-VLOOKUP($F$7,目标属性!$A:$R,6,FALSE))/100)</f>
        <v>-0.24</v>
      </c>
      <c r="CR69" s="111">
        <f t="shared" si="22"/>
        <v>0</v>
      </c>
      <c r="CS69" s="102">
        <v>1</v>
      </c>
      <c r="CT69" s="103">
        <f>CN69*IF(VLOOKUP($E69,武器奇术!$A:$R,17,FALSE)="破竹",VLOOKUP($E69,武器奇术!$A:$R,4,FALSE),VLOOKUP($E69,武器奇术!$A:$R,2,FALSE))*(1+CQ69)*(1+CR69)*CS69</f>
        <v>0</v>
      </c>
      <c r="CU69" s="104">
        <f>(1-IF(VLOOKUP($E69,武器奇术!$A:$R,18,FALSE)="叶龙",1,$N69))*(1-$M69)</f>
        <v>0</v>
      </c>
      <c r="CV69" s="103">
        <f>CO69*IF(VLOOKUP($E69,武器奇术!$A:$R,17,FALSE)="破竹",VLOOKUP($E69,武器奇术!$A:$R,4,FALSE),VLOOKUP($E69,武器奇术!$A:$R,2,FALSE))*(1+CQ69)*(1+CR69)*CS69*(1+$E$16+VLOOKUP($E69,武器奇术!$A:$R,8,FALSE))</f>
        <v>0</v>
      </c>
      <c r="CW69" s="104">
        <f t="shared" si="23"/>
        <v>0.8703</v>
      </c>
      <c r="CX69" s="103">
        <f>CP69*IF(VLOOKUP($E69,武器奇术!$A:$R,17,FALSE)="破竹",VLOOKUP($E69,武器奇术!$A:$R,4,FALSE),VLOOKUP($E69,武器奇术!$A:$R,2,FALSE))*(1+CQ69)*(1+CR69)*CS69*(1+$E$17+VLOOKUP($E69,武器奇术!$A:$R,10,FALSE))</f>
        <v>0</v>
      </c>
      <c r="CY69" s="104">
        <f t="shared" si="24"/>
        <v>0.0986</v>
      </c>
      <c r="CZ69" s="103">
        <f>CO69*IF(VLOOKUP($E69,武器奇术!$A:$R,17,FALSE)="破竹",VLOOKUP($E69,武器奇术!$A:$R,4,FALSE),VLOOKUP($E69,武器奇术!$A:$R,2,FALSE))*(1+CQ69)*(1+CR69)*CS69</f>
        <v>0</v>
      </c>
      <c r="DA69" s="104">
        <f t="shared" si="25"/>
        <v>0.0311</v>
      </c>
      <c r="DB69" s="112">
        <f t="shared" si="26"/>
        <v>0</v>
      </c>
      <c r="DC69" s="110">
        <f t="shared" si="40"/>
        <v>66</v>
      </c>
      <c r="DD69" s="102">
        <f t="shared" si="27"/>
        <v>125.8</v>
      </c>
      <c r="DE69" s="102">
        <f t="shared" si="41"/>
        <v>185.6</v>
      </c>
      <c r="DF69" s="104">
        <f>IF((IF(VLOOKUP($E69,武器奇术!$A:$R,17,FALSE)="鸣金",$D$7,0)+IF(VLOOKUP($E69,武器奇术!$A:$R,17,FALSE)="裂石",$D$9,0)+IF(VLOOKUP($E69,武器奇术!$A:$R,17,FALSE)="牵丝",$D$11,0)+IF(VLOOKUP($E69,武器奇术!$A:$R,17,FALSE)="破竹",$D$13,0)+$D$15-VLOOKUP($F$7,目标属性!$A:$R,6,FALSE))&gt;0,(IF(VLOOKUP($E69,武器奇术!$A:$R,17,FALSE)="鸣金",$D$7,0)+IF(VLOOKUP($E69,武器奇术!$A:$R,17,FALSE)="裂石",$D$9,0)+IF(VLOOKUP($E69,武器奇术!$A:$R,17,FALSE)="牵丝",$D$11,0)+IF(VLOOKUP($E69,武器奇术!$A:$R,17,FALSE)="破竹",$D$13,0)+$D$15-VLOOKUP($F$7,目标属性!$A:$R,6,FALSE))/200,(IF(VLOOKUP($E69,武器奇术!$A:$R,17,FALSE)="鸣金",$D$7,0)+IF(VLOOKUP($E69,武器奇术!$A:$R,17,FALSE)="裂石",$D$9,0)+IF(VLOOKUP($E69,武器奇术!$A:$R,17,FALSE)="牵丝",$D$11,0)+IF(VLOOKUP($E69,武器奇术!$A:$R,17,FALSE)="破竹",$D$13,0)+$D$15-VLOOKUP($F$7,目标属性!$A:$R,6,FALSE))/100)</f>
        <v>0.028</v>
      </c>
      <c r="DG69" s="111">
        <f>$E$11+IF($G$5="烟柳",IF(VLOOKUP($E69,武器奇术!$A:$T,20,FALSE)=1,0.1,0),0)</f>
        <v>0.248</v>
      </c>
      <c r="DH69" s="102">
        <v>1</v>
      </c>
      <c r="DI69" s="103">
        <f>DC69*IF(VLOOKUP($E69,武器奇术!$A:$R,17,FALSE)="牵丝",VLOOKUP($E69,武器奇术!$A:$R,4,FALSE),VLOOKUP($E69,武器奇术!$A:$R,2,FALSE))*(1+DF69)*(1+DG69)*DH69</f>
        <v>297.164469888</v>
      </c>
      <c r="DJ69" s="104">
        <f>(1-IF(VLOOKUP($E69,武器奇术!$A:$R,18,FALSE)="叶龙",1,$N69))*(1-$M69)</f>
        <v>0</v>
      </c>
      <c r="DK69" s="124">
        <f>DD69*IF(VLOOKUP($E69,武器奇术!$A:$R,17,FALSE)="牵丝",VLOOKUP($E69,武器奇术!$A:$R,4,FALSE),VLOOKUP($E69,武器奇术!$A:$R,2,FALSE))*(1+DF69)*(1+DG69)*DH69*(1+$E$16+VLOOKUP($E69,武器奇术!$A:$R,8,FALSE))</f>
        <v>1135.0926331071</v>
      </c>
      <c r="DL69" s="104">
        <f t="shared" si="28"/>
        <v>0.8703</v>
      </c>
      <c r="DM69" s="103">
        <f>DE69*IF(VLOOKUP($E69,武器奇术!$A:$R,17,FALSE)="牵丝",VLOOKUP($E69,武器奇术!$A:$R,4,FALSE),VLOOKUP($E69,武器奇术!$A:$R,2,FALSE))*(1+DF69)*(1+DG69)*DH69*(1+$E$17+VLOOKUP($E69,武器奇术!$A:$R,10,FALSE))</f>
        <v>1128.14438750208</v>
      </c>
      <c r="DN69" s="104">
        <f t="shared" si="29"/>
        <v>0.0986</v>
      </c>
      <c r="DO69" s="124">
        <f>DD69*IF(VLOOKUP($E69,武器奇术!$A:$R,17,FALSE)="牵丝",VLOOKUP($E69,武器奇术!$A:$R,4,FALSE),VLOOKUP($E69,武器奇术!$A:$R,2,FALSE))*(1+DF69)*(1+DG69)*DH69</f>
        <v>566.4134895744</v>
      </c>
      <c r="DP69" s="104">
        <f t="shared" si="30"/>
        <v>0.0311</v>
      </c>
      <c r="DQ69" s="112">
        <f t="shared" si="31"/>
        <v>1116.72161472658</v>
      </c>
    </row>
    <row r="70" customFormat="1" customHeight="1" spans="1:121">
      <c r="A70" s="139"/>
      <c r="B70" t="s">
        <v>154</v>
      </c>
      <c r="C70" s="141">
        <v>1.16</v>
      </c>
      <c r="D70" s="37" t="s">
        <v>173</v>
      </c>
      <c r="E70" s="115" t="s">
        <v>145</v>
      </c>
      <c r="F70" s="116">
        <v>1</v>
      </c>
      <c r="G70" s="117"/>
      <c r="H70" s="103">
        <f>IF(VLOOKUP($E70,武器奇术!$A:$R,18,FALSE)="天工",AE70,(AE70+AT70+BI70+BX70+CM70+DB70+DQ70))*(1+J70)*F70*K70*(1+G70)</f>
        <v>33042.6993530736</v>
      </c>
      <c r="I70" s="104">
        <f t="shared" si="42"/>
        <v>0.00380816970836725</v>
      </c>
      <c r="J70" s="104">
        <f>$F$3+VLOOKUP($E70,武器奇术!$A:$R,12,FALSE)+VLOOKUP($E70,武器奇术!$A:$R,14,FALSE)*$G$3+$P70</f>
        <v>0.623</v>
      </c>
      <c r="K70" s="105">
        <f>VLOOKUP($E70,武器奇术!$A:$R,11,FALSE)</f>
        <v>1</v>
      </c>
      <c r="L70" s="119">
        <f>IF(VLOOKUP($E70,武器奇术!$A:$R,15,FALSE)="天工",0%,IF($C$17+VLOOKUP($E70,武器奇术!$A:$R,7,FALSE)&gt;80%,80%,$C$17+VLOOKUP($E70,武器奇术!$A:$R,7,FALSE))+IF($C$19&gt;20%,20%,$C$19))</f>
        <v>0.8703</v>
      </c>
      <c r="M70" s="120">
        <f>IF(VLOOKUP($E70,武器奇术!$A:$R,15,FALSE)="天工",0%,IF($C$18+VLOOKUP($E70,武器奇术!$A:$R,9,FALSE)&gt;40%,40%,$C$18+VLOOKUP($E70,武器奇术!$A:$R,9,FALSE))+IF($C$20&gt;10%,10%,$C$20))</f>
        <v>0.0986</v>
      </c>
      <c r="N70" s="121">
        <f>IF(VLOOKUP($E70,武器奇术!$A:$R,15,FALSE)="天工",100%,MIN($C$16,1))</f>
        <v>1</v>
      </c>
      <c r="O70" s="122" t="str">
        <f>VLOOKUP($E70,武器奇术!$A:$R,16,FALSE)</f>
        <v>伞</v>
      </c>
      <c r="P70" s="123">
        <f t="shared" si="44"/>
        <v>0.17</v>
      </c>
      <c r="Q70" s="110">
        <f>$B$5*(1+VLOOKUP($E70,武器奇术!$A:$R,5,FALSE))*(1+VLOOKUP($E70,武器奇术!$A:$S,19,FALSE)+IF($G$5="飞隼",0.1,0)+IF($G$5="撼天",0.05,0))-$F$9+IF($J$5="√",160,0)</f>
        <v>3324.7</v>
      </c>
      <c r="R70" s="102">
        <f>IF(VLOOKUP($E70,武器奇术!$A:$Z,18,FALSE)="叶龙",(S70-(Q70+S70)*0.5)*($G$15-0.5)*2+(Q70+S70)*0.5,(Q70+S70)*0.5)</f>
        <v>3404.7</v>
      </c>
      <c r="S70" s="102">
        <f>MAX($C$5,$B$5)*(1+VLOOKUP($E70,武器奇术!$A:$R,6,FALSE))*(1+VLOOKUP($E70,武器奇术!$A:$S,19,FALSE)+IF($G$5="飞隼",0.1,0)+IF($G$5="撼天",0.05,0))-$F$9+IF($J$5="√",320,0)</f>
        <v>3484.7</v>
      </c>
      <c r="T70" s="104">
        <f>IF(($D$5+VLOOKUP($E70,武器奇术!$A:$R,13,FALSE)+IF($I$3="√",10,0)-VLOOKUP($F$7,目标属性!$A:$R,5,FALSE))&gt;0,($D$5+VLOOKUP($E70,武器奇术!$A:$R,13,FALSE)+IF($I$3="√",10,0)-VLOOKUP($F$7,目标属性!$A:$R,5,FALSE))/200,($D$5+VLOOKUP($E70,武器奇术!$A:$R,13,FALSE)+IF($I$3="√",10,0)-VLOOKUP($F$7,目标属性!$A:$R,5,FALSE))/100)</f>
        <v>0.2675</v>
      </c>
      <c r="U70" s="111">
        <f>$E$5+IF($G$5="烟柳",IF(VLOOKUP($E70,武器奇术!$A:$T,20,FALSE)=1,0.1,0),0)</f>
        <v>0.1</v>
      </c>
      <c r="V70" s="102">
        <v>1</v>
      </c>
      <c r="W70" s="103">
        <f>Q70*VLOOKUP($E70,武器奇术!$A:$R,2,FALSE)*(1+T70)*(1+U70)*V70</f>
        <v>7877.9693260125</v>
      </c>
      <c r="X70" s="104">
        <f>(1-IF(VLOOKUP($E70,武器奇术!$A:$R,18,FALSE)="叶龙",1,$N70))*(1-$M70)</f>
        <v>0</v>
      </c>
      <c r="Y70" s="103">
        <f>R70*VLOOKUP($E70,武器奇术!$A:$R,2,FALSE)*(1+T70)*(1+U70)*V70*(1+$E$16+VLOOKUP($E70,武器奇术!$A:$R,8,FALSE))</f>
        <v>13263.0218780846</v>
      </c>
      <c r="Z70" s="104">
        <f t="shared" si="33"/>
        <v>0.8703</v>
      </c>
      <c r="AA70" s="103">
        <f>S70*VLOOKUP($E70,武器奇术!$A:$R,2,FALSE)*(1+T70)*(1+U70)*V70*(1+$E$17+VLOOKUP($E70,武器奇术!$A:$R,10,FALSE))</f>
        <v>11147.0766111169</v>
      </c>
      <c r="AB70" s="104">
        <f t="shared" si="34"/>
        <v>0.0986</v>
      </c>
      <c r="AC70" s="103">
        <f>R70*VLOOKUP($E70,武器奇术!$A:$R,2,FALSE)*(1+T70)*(1+U70)*V70</f>
        <v>8067.5315560125</v>
      </c>
      <c r="AD70" s="104">
        <f t="shared" si="35"/>
        <v>0.0311</v>
      </c>
      <c r="AE70" s="112">
        <f t="shared" si="36"/>
        <v>12892.8099257451</v>
      </c>
      <c r="AF70" s="113">
        <f>VLOOKUP($E70,武器奇术!$A:$R,3,FALSE)*(1+IF(VLOOKUP($E70,武器奇术!$A:$R,15,FALSE)="武器",$E$15,0))</f>
        <v>510.9</v>
      </c>
      <c r="AG70" s="103">
        <f t="shared" si="1"/>
        <v>510.9</v>
      </c>
      <c r="AH70" s="103">
        <f>VLOOKUP($E70,武器奇术!$A:$R,3,FALSE)*(1+IF(VLOOKUP($E70,武器奇术!$A:$R,15,FALSE)="武器",$E$15,0))</f>
        <v>510.9</v>
      </c>
      <c r="AI70" s="104">
        <f>IF(($D$5+VLOOKUP($E70,武器奇术!$A:$R,13,FALSE)+IF($I$3="√",10,0)-VLOOKUP($F$7,目标属性!$A:$R,5,FALSE))&gt;0,($D$5+VLOOKUP($E70,武器奇术!$A:$R,13,FALSE)+IF($I$3="√",10,0)-VLOOKUP($F$7,目标属性!$A:$R,5,FALSE))/200,($D$5+VLOOKUP($E70,武器奇术!$A:$R,13,FALSE)+IF($I$3="√",10,0)-VLOOKUP($F$7,目标属性!$A:$R,5,FALSE))/100)</f>
        <v>0.2675</v>
      </c>
      <c r="AJ70" s="111">
        <f>$E$5+IF($G$5="烟柳",IF(VLOOKUP($E70,武器奇术!$A:$T,20,FALSE)=1,0.1,0),0)</f>
        <v>0.1</v>
      </c>
      <c r="AK70" s="102">
        <v>1</v>
      </c>
      <c r="AL70" s="103">
        <f t="shared" si="45"/>
        <v>712.322325</v>
      </c>
      <c r="AM70" s="104">
        <f>(1-IF(VLOOKUP($E70,武器奇术!$A:$R,18,FALSE)="叶龙",1,$N70))*(1-$M70)</f>
        <v>0</v>
      </c>
      <c r="AN70" s="103">
        <f>AG70*(1+AI70)*(1+AJ70)*AK70*(1+$E$16+VLOOKUP($E70,武器奇术!$A:$R,8,FALSE))</f>
        <v>1171.0579023</v>
      </c>
      <c r="AO70" s="104">
        <f t="shared" si="2"/>
        <v>0.8703</v>
      </c>
      <c r="AP70" s="103">
        <f>AH70*(1+AI70)*(1+AJ70)*AK70*(1+$E$17+VLOOKUP($E70,武器奇术!$A:$R,10,FALSE))</f>
        <v>961.63513875</v>
      </c>
      <c r="AQ70" s="104">
        <f t="shared" si="3"/>
        <v>0.0986</v>
      </c>
      <c r="AR70" s="103">
        <f t="shared" si="38"/>
        <v>712.322325</v>
      </c>
      <c r="AS70" s="104">
        <f t="shared" si="4"/>
        <v>0.0311</v>
      </c>
      <c r="AT70" s="112">
        <f t="shared" si="5"/>
        <v>1136.14214135994</v>
      </c>
      <c r="AU70" s="110">
        <f>$B$7*IF($G$5="撼天",1.05,1)+IF(AND(VLOOKUP($E70,武器奇术!$A:$R,15,FALSE)="武器",VLOOKUP($E70,武器奇术!$A:$R,17,FALSE)="鸣金"),$E$3*(1+$E$15),0)</f>
        <v>0</v>
      </c>
      <c r="AV70" s="102">
        <f t="shared" si="6"/>
        <v>0</v>
      </c>
      <c r="AW70" s="102">
        <f>MAX($C$7*IF($G$5="撼天",1.05,1)+IF(AND(VLOOKUP($E70,武器奇术!$A:$R,15,FALSE)="武器",VLOOKUP($E70,武器奇术!$A:$R,17,FALSE)="鸣金"),$E$3*(1+$E$15),0),AU70)</f>
        <v>0</v>
      </c>
      <c r="AX70" s="104">
        <f>IF(($D$7+IF(VLOOKUP($E70,武器奇术!$A:$R,17,FALSE)="鸣金",$D$15,0)-VLOOKUP($F$7,目标属性!$A:$R,6,FALSE))&gt;0,($D$7+IF(VLOOKUP($E70,武器奇术!$A:$R,17,FALSE)="鸣金",$D$15,0)-VLOOKUP($F$7,目标属性!$A:$R,6,FALSE))/200,($D$7+IF(VLOOKUP($E70,武器奇术!$A:$R,17,FALSE)="鸣金",$D$15,0)-VLOOKUP($F$7,目标属性!$A:$R,6,FALSE))/100)</f>
        <v>-0.24</v>
      </c>
      <c r="AY70" s="111">
        <f t="shared" si="7"/>
        <v>0</v>
      </c>
      <c r="AZ70" s="102">
        <v>1</v>
      </c>
      <c r="BA70" s="103">
        <f>AU70*IF(VLOOKUP($E70,武器奇术!$A:$R,17,FALSE)="鸣金",VLOOKUP($E70,武器奇术!$A:$R,4,FALSE),VLOOKUP($E70,武器奇术!$A:$R,2,FALSE))*(1+AX70)*(1+AY70)*AZ70</f>
        <v>0</v>
      </c>
      <c r="BB70" s="104">
        <f>(1-IF(VLOOKUP($E70,武器奇术!$A:$R,18,FALSE)="叶龙",1,$N70))*(1-$M70)</f>
        <v>0</v>
      </c>
      <c r="BC70" s="103">
        <f>AV70*IF(VLOOKUP($E70,武器奇术!$A:$R,17,FALSE)="鸣金",VLOOKUP($E70,武器奇术!$A:$R,4,FALSE),VLOOKUP($E70,武器奇术!$A:$R,2,FALSE))*(1+AX70)*(1+AY70)*AZ70*(1+$E$16+VLOOKUP($E70,武器奇术!$A:$R,8,FALSE))</f>
        <v>0</v>
      </c>
      <c r="BD70" s="104">
        <f t="shared" si="8"/>
        <v>0.8703</v>
      </c>
      <c r="BE70" s="103">
        <f>AW70*IF(VLOOKUP($E70,武器奇术!$A:$R,17,FALSE)="鸣金",VLOOKUP($E70,武器奇术!$A:$R,4,FALSE),VLOOKUP($E70,武器奇术!$A:$R,2,FALSE))*(1+AX70)*(1+AY70)*AZ70*(1+$E$17+VLOOKUP($E70,武器奇术!$A:$R,10,FALSE))</f>
        <v>0</v>
      </c>
      <c r="BF70" s="104">
        <f t="shared" si="9"/>
        <v>0.0986</v>
      </c>
      <c r="BG70" s="103">
        <f>AV70*IF(VLOOKUP($E70,武器奇术!$A:$R,17,FALSE)="鸣金",VLOOKUP($E70,武器奇术!$A:$R,4,FALSE),VLOOKUP($E70,武器奇术!$A:$R,2,FALSE))*(1+AX70)*(1+AY70)*AZ70</f>
        <v>0</v>
      </c>
      <c r="BH70" s="104">
        <f t="shared" si="10"/>
        <v>0.0311</v>
      </c>
      <c r="BI70" s="112">
        <f t="shared" si="11"/>
        <v>0</v>
      </c>
      <c r="BJ70" s="110">
        <f>$B$9*IF($G$5="撼天",1.05,1)+IF(AND(VLOOKUP($E70,武器奇术!$A:$R,15,FALSE)="武器",VLOOKUP($E70,武器奇术!$A:$R,17,FALSE)="裂石"),$E$3*(1+$E$15),0)</f>
        <v>0</v>
      </c>
      <c r="BK70" s="102">
        <f t="shared" si="12"/>
        <v>0</v>
      </c>
      <c r="BL70" s="102">
        <f>MAX($C$9*IF($G$5="撼天",1.05,1)+IF(AND(VLOOKUP($E70,武器奇术!$A:$R,15,FALSE)="武器",VLOOKUP($E70,武器奇术!$A:$R,17,FALSE)="裂石"),$E$3*(1+$E$15),0),BJ70)</f>
        <v>0</v>
      </c>
      <c r="BM70" s="104">
        <f>IF(($D$9+IF(VLOOKUP($E70,武器奇术!$A:$R,17,FALSE)="裂石",$D$15,0)-VLOOKUP($F$7,目标属性!$A:$R,6,FALSE))&gt;0,($D$9+IF(VLOOKUP($E70,武器奇术!$A:$R,17,FALSE)="裂石",$D$15,0)-VLOOKUP($F$7,目标属性!$A:$R,6,FALSE))/200,($D$9+IF(VLOOKUP($E70,武器奇术!$A:$R,17,FALSE)="裂石",$D$15,0)-VLOOKUP($F$7,目标属性!$A:$R,6,FALSE))/100)</f>
        <v>-0.24</v>
      </c>
      <c r="BN70" s="111">
        <f t="shared" si="13"/>
        <v>0</v>
      </c>
      <c r="BO70" s="102">
        <v>1</v>
      </c>
      <c r="BP70" s="103">
        <f>BJ70*IF(VLOOKUP($E70,武器奇术!$A:$R,17,FALSE)="裂石",VLOOKUP($E70,武器奇术!$A:$R,4,FALSE),VLOOKUP($E70,武器奇术!$A:$R,2,FALSE))*(1+BM70)*(1+BN70)*BO70</f>
        <v>0</v>
      </c>
      <c r="BQ70" s="104">
        <f>(1-IF(VLOOKUP($E70,武器奇术!$A:$R,18,FALSE)="叶龙",1,$N70))*(1-$M70)</f>
        <v>0</v>
      </c>
      <c r="BR70" s="103">
        <f>BK70*IF(VLOOKUP($E70,武器奇术!$A:$R,17,FALSE)="裂石",VLOOKUP($E70,武器奇术!$A:$R,4,FALSE),VLOOKUP($E70,武器奇术!$A:$R,2,FALSE))*(1+BM70)*(1+BN70)*BO70*(1+$E$16+VLOOKUP($E70,武器奇术!$A:$R,8,FALSE))</f>
        <v>0</v>
      </c>
      <c r="BS70" s="104">
        <f t="shared" si="14"/>
        <v>0.8703</v>
      </c>
      <c r="BT70" s="103">
        <f>BL70*IF(VLOOKUP($E70,武器奇术!$A:$R,17,FALSE)="裂石",VLOOKUP($E70,武器奇术!$A:$R,4,FALSE),VLOOKUP($E70,武器奇术!$A:$R,2,FALSE))*(1+BM70)*(1+BN70)*BO70*(1+$E$17+VLOOKUP($E70,武器奇术!$A:$R,10,FALSE))</f>
        <v>0</v>
      </c>
      <c r="BU70" s="104">
        <f t="shared" si="15"/>
        <v>0.0986</v>
      </c>
      <c r="BV70" s="103">
        <f>BK70*IF(VLOOKUP($E70,武器奇术!$A:$R,17,FALSE)="裂石",VLOOKUP($E70,武器奇术!$A:$R,4,FALSE),VLOOKUP($E70,武器奇术!$A:$R,2,FALSE))*(1+BM70)*(1+BN70)*BO70</f>
        <v>0</v>
      </c>
      <c r="BW70" s="104">
        <f t="shared" si="16"/>
        <v>0.0311</v>
      </c>
      <c r="BX70" s="112">
        <f t="shared" si="17"/>
        <v>0</v>
      </c>
      <c r="BY70" s="110">
        <f>$B$11*IF($G$5="撼天",1.05,1)+IF(AND(VLOOKUP($E70,武器奇术!$A:$R,15,FALSE)="武器",VLOOKUP($E70,武器奇术!$A:$R,17,FALSE)="牵丝"),$E$3*(1+$E$15),0)</f>
        <v>686.71</v>
      </c>
      <c r="BZ70" s="102">
        <f>IF(VLOOKUP($E70,武器奇术!$A:$Z,18,FALSE)="叶龙",(CA70-(BY70+CA70)*0.5)*($G$15-0.5)*2+(BY70+CA70)*0.5,(BY70+CA70)*0.5)</f>
        <v>1052.21</v>
      </c>
      <c r="CA70" s="102">
        <f>MAX($C$11*IF($G$5="撼天",1.05,1)+IF(AND(VLOOKUP($E70,武器奇术!$A:$R,15,FALSE)="武器",VLOOKUP($E70,武器奇术!$A:$R,17,FALSE)="牵丝"),$E$3*(1+$E$15),0),BY70)</f>
        <v>1417.71</v>
      </c>
      <c r="CB70" s="104">
        <f>IF(($D$11+IF(VLOOKUP($E70,武器奇术!$A:$R,17,FALSE)="牵丝",$D$15,0)-VLOOKUP($F$7,目标属性!$A:$R,6,FALSE))&gt;0,($D$11+IF(VLOOKUP($E70,武器奇术!$A:$R,17,FALSE)="牵丝",$D$15,0)-VLOOKUP($F$7,目标属性!$A:$R,6,FALSE))/200,($D$11+IF(VLOOKUP($E70,武器奇术!$A:$R,17,FALSE)="牵丝",$D$15,0)-VLOOKUP($F$7,目标属性!$A:$R,6,FALSE))/100)</f>
        <v>0.028</v>
      </c>
      <c r="CC70" s="111">
        <f>$E$11+IF($G$5="烟柳",IF(VLOOKUP($E70,武器奇术!$A:$T,20,FALSE)=1,0.1,0),0)</f>
        <v>0.248</v>
      </c>
      <c r="CD70" s="102">
        <v>1</v>
      </c>
      <c r="CE70" s="103">
        <f>BY70*IF(VLOOKUP($E70,武器奇术!$A:$R,17,FALSE)="牵丝",VLOOKUP($E70,武器奇术!$A:$R,4,FALSE),VLOOKUP($E70,武器奇术!$A:$R,2,FALSE))*(1+CB70)*(1+CC70)*CD70</f>
        <v>2245.87190093261</v>
      </c>
      <c r="CF70" s="104">
        <f>(1-IF(VLOOKUP($E70,武器奇术!$A:$R,18,FALSE)="叶龙",1,$N70))*(1-$M70)</f>
        <v>0</v>
      </c>
      <c r="CG70" s="124">
        <f>BZ70*IF(VLOOKUP($E70,武器奇术!$A:$R,17,FALSE)="牵丝",VLOOKUP($E70,武器奇术!$A:$R,4,FALSE),VLOOKUP($E70,武器奇术!$A:$R,2,FALSE))*(1+CB70)*(1+CC70)*CD70*(1+$E$16+VLOOKUP($E70,武器奇术!$A:$R,8,FALSE))</f>
        <v>5657.38647611832</v>
      </c>
      <c r="CH70" s="104">
        <f t="shared" si="18"/>
        <v>0.8703</v>
      </c>
      <c r="CI70" s="103">
        <f>CA70*IF(VLOOKUP($E70,武器奇术!$A:$R,17,FALSE)="牵丝",VLOOKUP($E70,武器奇术!$A:$R,4,FALSE),VLOOKUP($E70,武器奇术!$A:$R,2,FALSE))*(1+CB70)*(1+CC70)*CD70*(1+$E$17+VLOOKUP($E70,武器奇术!$A:$R,10,FALSE))</f>
        <v>6259.4010879499</v>
      </c>
      <c r="CJ70" s="104">
        <f t="shared" si="19"/>
        <v>0.0986</v>
      </c>
      <c r="CK70" s="124">
        <f>BZ70*IF(VLOOKUP($E70,武器奇术!$A:$R,17,FALSE)="牵丝",VLOOKUP($E70,武器奇术!$A:$R,4,FALSE),VLOOKUP($E70,武器奇术!$A:$R,2,FALSE))*(1+CB70)*(1+CC70)*CD70</f>
        <v>3441.23264970701</v>
      </c>
      <c r="CL70" s="104">
        <f t="shared" si="20"/>
        <v>0.0311</v>
      </c>
      <c r="CM70" s="112">
        <f t="shared" si="39"/>
        <v>5647.82273284352</v>
      </c>
      <c r="CN70" s="110">
        <f>$B$13*IF($G$5="撼天",1.05,1)+IF(AND(VLOOKUP($E70,武器奇术!$A:$R,15,FALSE)="武器",VLOOKUP($E70,武器奇术!$A:$R,17,FALSE)="破竹"),$E$3*(1+$E$15),0)</f>
        <v>0</v>
      </c>
      <c r="CO70" s="102">
        <f t="shared" si="21"/>
        <v>0</v>
      </c>
      <c r="CP70" s="102">
        <f>MAX($C$13*IF($G$5="撼天",1.05,1)+IF(AND(VLOOKUP($E70,武器奇术!$A:$R,15,FALSE)="武器",VLOOKUP($E70,武器奇术!$A:$R,17,FALSE)="破竹"),$E$3*(1+$E$15),0),CN70)</f>
        <v>0</v>
      </c>
      <c r="CQ70" s="104">
        <f>IF(($D$13+IF(VLOOKUP($E70,武器奇术!$A:$R,17,FALSE)="破竹",$D$15,0)-VLOOKUP($F$7,目标属性!$A:$R,6,FALSE))&gt;0,($D$13+IF(VLOOKUP($E70,武器奇术!$A:$R,17,FALSE)="破竹",$D$15,0)-VLOOKUP($F$7,目标属性!$A:$R,6,FALSE))/200,($D$13+IF(VLOOKUP($E70,武器奇术!$A:$R,17,FALSE)="破竹",$D$15,0)-VLOOKUP($F$7,目标属性!$A:$R,6,FALSE))/100)</f>
        <v>-0.24</v>
      </c>
      <c r="CR70" s="111">
        <f t="shared" si="22"/>
        <v>0</v>
      </c>
      <c r="CS70" s="102">
        <v>1</v>
      </c>
      <c r="CT70" s="103">
        <f>CN70*IF(VLOOKUP($E70,武器奇术!$A:$R,17,FALSE)="破竹",VLOOKUP($E70,武器奇术!$A:$R,4,FALSE),VLOOKUP($E70,武器奇术!$A:$R,2,FALSE))*(1+CQ70)*(1+CR70)*CS70</f>
        <v>0</v>
      </c>
      <c r="CU70" s="104">
        <f>(1-IF(VLOOKUP($E70,武器奇术!$A:$R,18,FALSE)="叶龙",1,$N70))*(1-$M70)</f>
        <v>0</v>
      </c>
      <c r="CV70" s="103">
        <f>CO70*IF(VLOOKUP($E70,武器奇术!$A:$R,17,FALSE)="破竹",VLOOKUP($E70,武器奇术!$A:$R,4,FALSE),VLOOKUP($E70,武器奇术!$A:$R,2,FALSE))*(1+CQ70)*(1+CR70)*CS70*(1+$E$16+VLOOKUP($E70,武器奇术!$A:$R,8,FALSE))</f>
        <v>0</v>
      </c>
      <c r="CW70" s="104">
        <f t="shared" si="23"/>
        <v>0.8703</v>
      </c>
      <c r="CX70" s="103">
        <f>CP70*IF(VLOOKUP($E70,武器奇术!$A:$R,17,FALSE)="破竹",VLOOKUP($E70,武器奇术!$A:$R,4,FALSE),VLOOKUP($E70,武器奇术!$A:$R,2,FALSE))*(1+CQ70)*(1+CR70)*CS70*(1+$E$17+VLOOKUP($E70,武器奇术!$A:$R,10,FALSE))</f>
        <v>0</v>
      </c>
      <c r="CY70" s="104">
        <f t="shared" si="24"/>
        <v>0.0986</v>
      </c>
      <c r="CZ70" s="103">
        <f>CO70*IF(VLOOKUP($E70,武器奇术!$A:$R,17,FALSE)="破竹",VLOOKUP($E70,武器奇术!$A:$R,4,FALSE),VLOOKUP($E70,武器奇术!$A:$R,2,FALSE))*(1+CQ70)*(1+CR70)*CS70</f>
        <v>0</v>
      </c>
      <c r="DA70" s="104">
        <f t="shared" si="25"/>
        <v>0.0311</v>
      </c>
      <c r="DB70" s="112">
        <f t="shared" si="26"/>
        <v>0</v>
      </c>
      <c r="DC70" s="110">
        <f t="shared" si="40"/>
        <v>66</v>
      </c>
      <c r="DD70" s="102">
        <f t="shared" si="27"/>
        <v>125.8</v>
      </c>
      <c r="DE70" s="102">
        <f t="shared" si="41"/>
        <v>185.6</v>
      </c>
      <c r="DF70" s="104">
        <f>IF((IF(VLOOKUP($E70,武器奇术!$A:$R,17,FALSE)="鸣金",$D$7,0)+IF(VLOOKUP($E70,武器奇术!$A:$R,17,FALSE)="裂石",$D$9,0)+IF(VLOOKUP($E70,武器奇术!$A:$R,17,FALSE)="牵丝",$D$11,0)+IF(VLOOKUP($E70,武器奇术!$A:$R,17,FALSE)="破竹",$D$13,0)+$D$15-VLOOKUP($F$7,目标属性!$A:$R,6,FALSE))&gt;0,(IF(VLOOKUP($E70,武器奇术!$A:$R,17,FALSE)="鸣金",$D$7,0)+IF(VLOOKUP($E70,武器奇术!$A:$R,17,FALSE)="裂石",$D$9,0)+IF(VLOOKUP($E70,武器奇术!$A:$R,17,FALSE)="牵丝",$D$11,0)+IF(VLOOKUP($E70,武器奇术!$A:$R,17,FALSE)="破竹",$D$13,0)+$D$15-VLOOKUP($F$7,目标属性!$A:$R,6,FALSE))/200,(IF(VLOOKUP($E70,武器奇术!$A:$R,17,FALSE)="鸣金",$D$7,0)+IF(VLOOKUP($E70,武器奇术!$A:$R,17,FALSE)="裂石",$D$9,0)+IF(VLOOKUP($E70,武器奇术!$A:$R,17,FALSE)="牵丝",$D$11,0)+IF(VLOOKUP($E70,武器奇术!$A:$R,17,FALSE)="破竹",$D$13,0)+$D$15-VLOOKUP($F$7,目标属性!$A:$R,6,FALSE))/100)</f>
        <v>0.028</v>
      </c>
      <c r="DG70" s="111">
        <f>$E$11+IF($G$5="烟柳",IF(VLOOKUP($E70,武器奇术!$A:$T,20,FALSE)=1,0.1,0),0)</f>
        <v>0.248</v>
      </c>
      <c r="DH70" s="102">
        <v>1</v>
      </c>
      <c r="DI70" s="103">
        <f>DC70*IF(VLOOKUP($E70,武器奇术!$A:$R,17,FALSE)="牵丝",VLOOKUP($E70,武器奇术!$A:$R,4,FALSE),VLOOKUP($E70,武器奇术!$A:$R,2,FALSE))*(1+DF70)*(1+DG70)*DH70</f>
        <v>215.8517357568</v>
      </c>
      <c r="DJ70" s="104">
        <f>(1-IF(VLOOKUP($E70,武器奇术!$A:$R,18,FALSE)="叶龙",1,$N70))*(1-$M70)</f>
        <v>0</v>
      </c>
      <c r="DK70" s="124">
        <f>DD70*IF(VLOOKUP($E70,武器奇术!$A:$R,17,FALSE)="牵丝",VLOOKUP($E70,武器奇术!$A:$R,4,FALSE),VLOOKUP($E70,武器奇术!$A:$R,2,FALSE))*(1+DF70)*(1+DG70)*DH70*(1+$E$16+VLOOKUP($E70,武器奇术!$A:$R,8,FALSE))</f>
        <v>676.385150013481</v>
      </c>
      <c r="DL70" s="104">
        <f t="shared" si="28"/>
        <v>0.8703</v>
      </c>
      <c r="DM70" s="103">
        <f>DE70*IF(VLOOKUP($E70,武器奇术!$A:$R,17,FALSE)="牵丝",VLOOKUP($E70,武器奇术!$A:$R,4,FALSE),VLOOKUP($E70,武器奇术!$A:$R,2,FALSE))*(1+DF70)*(1+DG70)*DH70*(1+$E$17+VLOOKUP($E70,武器奇术!$A:$R,10,FALSE))</f>
        <v>819.451680473088</v>
      </c>
      <c r="DN70" s="104">
        <f t="shared" si="29"/>
        <v>0.0986</v>
      </c>
      <c r="DO70" s="124">
        <f>DD70*IF(VLOOKUP($E70,武器奇术!$A:$R,17,FALSE)="牵丝",VLOOKUP($E70,武器奇术!$A:$R,4,FALSE),VLOOKUP($E70,武器奇术!$A:$R,2,FALSE))*(1+DF70)*(1+DG70)*DH70</f>
        <v>411.42649027584</v>
      </c>
      <c r="DP70" s="104">
        <f t="shared" si="30"/>
        <v>0.0311</v>
      </c>
      <c r="DQ70" s="112">
        <f t="shared" si="31"/>
        <v>682.251295598958</v>
      </c>
    </row>
    <row r="71" customFormat="1" customHeight="1" spans="1:121">
      <c r="A71" s="139"/>
      <c r="B71" t="s">
        <v>156</v>
      </c>
      <c r="C71">
        <v>0.1</v>
      </c>
      <c r="D71" s="37"/>
      <c r="E71" s="115" t="s">
        <v>174</v>
      </c>
      <c r="F71" s="116">
        <v>1</v>
      </c>
      <c r="G71" s="117"/>
      <c r="H71" s="103">
        <f>IF(VLOOKUP($E71,武器奇术!$A:$R,18,FALSE)="天工",AE71,(AE71+AT71+BI71+BX71+CM71+DB71+DQ71))*(1+J71)*F71*K71*(1+G71)</f>
        <v>8854.54857253577</v>
      </c>
      <c r="I71" s="104">
        <f t="shared" si="42"/>
        <v>0.00102048634994649</v>
      </c>
      <c r="J71" s="104">
        <f>$F$3+VLOOKUP($E71,武器奇术!$A:$R,12,FALSE)+VLOOKUP($E71,武器奇术!$A:$R,14,FALSE)*$G$3+$P71</f>
        <v>0.503</v>
      </c>
      <c r="K71" s="105">
        <f>VLOOKUP($E71,武器奇术!$A:$R,11,FALSE)</f>
        <v>1</v>
      </c>
      <c r="L71" s="119">
        <f>IF(VLOOKUP($E71,武器奇术!$A:$R,15,FALSE)="天工",0%,IF($C$17+VLOOKUP($E71,武器奇术!$A:$R,7,FALSE)&gt;80%,80%,$C$17+VLOOKUP($E71,武器奇术!$A:$R,7,FALSE))+IF($C$19&gt;20%,20%,$C$19))</f>
        <v>0.8703</v>
      </c>
      <c r="M71" s="120">
        <f>IF(VLOOKUP($E71,武器奇术!$A:$R,15,FALSE)="天工",0%,IF($C$18+VLOOKUP($E71,武器奇术!$A:$R,9,FALSE)&gt;40%,40%,$C$18+VLOOKUP($E71,武器奇术!$A:$R,9,FALSE))+IF($C$20&gt;10%,10%,$C$20))</f>
        <v>0.0986</v>
      </c>
      <c r="N71" s="121">
        <f>IF(VLOOKUP($E71,武器奇术!$A:$R,15,FALSE)="天工",100%,MIN($C$16,1))</f>
        <v>1</v>
      </c>
      <c r="O71" s="122" t="str">
        <f>VLOOKUP($E71,武器奇术!$A:$R,16,FALSE)</f>
        <v>伞</v>
      </c>
      <c r="P71" s="123">
        <f t="shared" si="44"/>
        <v>0.17</v>
      </c>
      <c r="Q71" s="110">
        <f>$B$5*(1+VLOOKUP($E71,武器奇术!$A:$R,5,FALSE))*(1+VLOOKUP($E71,武器奇术!$A:$S,19,FALSE)+IF($G$5="飞隼",0.1,0)+IF($G$5="撼天",0.05,0))-$F$9+IF($J$5="√",160,0)</f>
        <v>3324.7</v>
      </c>
      <c r="R71" s="102">
        <f>IF(VLOOKUP($E71,武器奇术!$A:$Z,18,FALSE)="叶龙",(S71-(Q71+S71)*0.5)*($G$15-0.5)*2+(Q71+S71)*0.5,(Q71+S71)*0.5)</f>
        <v>3404.7</v>
      </c>
      <c r="S71" s="102">
        <f>MAX($C$5,$B$5)*(1+VLOOKUP($E71,武器奇术!$A:$R,6,FALSE))*(1+VLOOKUP($E71,武器奇术!$A:$S,19,FALSE)+IF($G$5="飞隼",0.1,0)+IF($G$5="撼天",0.05,0))-$F$9+IF($J$5="√",320,0)</f>
        <v>3484.7</v>
      </c>
      <c r="T71" s="104">
        <f>IF(($D$5+VLOOKUP($E71,武器奇术!$A:$R,13,FALSE)+IF($I$3="√",10,0)-VLOOKUP($F$7,目标属性!$A:$R,5,FALSE))&gt;0,($D$5+VLOOKUP($E71,武器奇术!$A:$R,13,FALSE)+IF($I$3="√",10,0)-VLOOKUP($F$7,目标属性!$A:$R,5,FALSE))/200,($D$5+VLOOKUP($E71,武器奇术!$A:$R,13,FALSE)+IF($I$3="√",10,0)-VLOOKUP($F$7,目标属性!$A:$R,5,FALSE))/100)</f>
        <v>0.2675</v>
      </c>
      <c r="U71" s="111">
        <f>$E$5+IF($G$5="烟柳",IF(VLOOKUP($E71,武器奇术!$A:$T,20,FALSE)=1,0.1,0),0)</f>
        <v>0</v>
      </c>
      <c r="V71" s="102">
        <v>1</v>
      </c>
      <c r="W71" s="103">
        <f>Q71*VLOOKUP($E71,武器奇术!$A:$R,2,FALSE)*(1+T71)*(1+U71)*V71</f>
        <v>2271.37685775</v>
      </c>
      <c r="X71" s="104">
        <f>(1-IF(VLOOKUP($E71,武器奇术!$A:$R,18,FALSE)="叶龙",1,$N71))*(1-$M71)</f>
        <v>0</v>
      </c>
      <c r="Y71" s="103">
        <f>R71*VLOOKUP($E71,武器奇术!$A:$R,2,FALSE)*(1+T71)*(1+U71)*V71*(1+$E$16+VLOOKUP($E71,武器奇术!$A:$R,8,FALSE))</f>
        <v>3823.995716541</v>
      </c>
      <c r="Z71" s="104">
        <f t="shared" si="33"/>
        <v>0.8703</v>
      </c>
      <c r="AA71" s="103">
        <f>S71*VLOOKUP($E71,武器奇术!$A:$R,2,FALSE)*(1+T71)*(1+U71)*V71*(1+$E$17+VLOOKUP($E71,武器奇术!$A:$R,10,FALSE))</f>
        <v>3213.9261779625</v>
      </c>
      <c r="AB71" s="104">
        <f t="shared" si="34"/>
        <v>0.0986</v>
      </c>
      <c r="AC71" s="103">
        <f>R71*VLOOKUP($E71,武器奇术!$A:$R,2,FALSE)*(1+T71)*(1+U71)*V71</f>
        <v>2326.03145775</v>
      </c>
      <c r="AD71" s="104">
        <f t="shared" si="35"/>
        <v>0.0311</v>
      </c>
      <c r="AE71" s="112">
        <f t="shared" si="36"/>
        <v>3717.25617158876</v>
      </c>
      <c r="AF71" s="113">
        <f>VLOOKUP($E71,武器奇术!$A:$R,3,FALSE)*(1+IF(VLOOKUP($E71,武器奇术!$A:$R,15,FALSE)="武器",$E$15,0))</f>
        <v>161.8617</v>
      </c>
      <c r="AG71" s="103">
        <f t="shared" si="1"/>
        <v>161.8617</v>
      </c>
      <c r="AH71" s="103">
        <f>VLOOKUP($E71,武器奇术!$A:$R,3,FALSE)*(1+IF(VLOOKUP($E71,武器奇术!$A:$R,15,FALSE)="武器",$E$15,0))</f>
        <v>161.8617</v>
      </c>
      <c r="AI71" s="104">
        <f>IF(($D$5+VLOOKUP($E71,武器奇术!$A:$R,13,FALSE)+IF($I$3="√",10,0)-VLOOKUP($F$7,目标属性!$A:$R,5,FALSE))&gt;0,($D$5+VLOOKUP($E71,武器奇术!$A:$R,13,FALSE)+IF($I$3="√",10,0)-VLOOKUP($F$7,目标属性!$A:$R,5,FALSE))/200,($D$5+VLOOKUP($E71,武器奇术!$A:$R,13,FALSE)+IF($I$3="√",10,0)-VLOOKUP($F$7,目标属性!$A:$R,5,FALSE))/100)</f>
        <v>0.2675</v>
      </c>
      <c r="AJ71" s="111">
        <f>$E$5+IF($G$5="烟柳",IF(VLOOKUP($E71,武器奇术!$A:$T,20,FALSE)=1,0.1,0),0)</f>
        <v>0</v>
      </c>
      <c r="AK71" s="102">
        <v>1</v>
      </c>
      <c r="AL71" s="103">
        <f t="shared" si="45"/>
        <v>205.15970475</v>
      </c>
      <c r="AM71" s="104">
        <f>(1-IF(VLOOKUP($E71,武器奇术!$A:$R,18,FALSE)="叶龙",1,$N71))*(1-$M71)</f>
        <v>0</v>
      </c>
      <c r="AN71" s="103">
        <f>AG71*(1+AI71)*(1+AJ71)*AK71*(1+$E$16+VLOOKUP($E71,武器奇术!$A:$R,8,FALSE))</f>
        <v>337.282554609</v>
      </c>
      <c r="AO71" s="104">
        <f t="shared" si="2"/>
        <v>0.8703</v>
      </c>
      <c r="AP71" s="103">
        <f>AH71*(1+AI71)*(1+AJ71)*AK71*(1+$E$17+VLOOKUP($E71,武器奇术!$A:$R,10,FALSE))</f>
        <v>276.9656014125</v>
      </c>
      <c r="AQ71" s="104">
        <f t="shared" si="3"/>
        <v>0.0986</v>
      </c>
      <c r="AR71" s="103">
        <f t="shared" si="38"/>
        <v>205.15970475</v>
      </c>
      <c r="AS71" s="104">
        <f t="shared" si="4"/>
        <v>0.0311</v>
      </c>
      <c r="AT71" s="112">
        <f t="shared" si="5"/>
        <v>327.22628239321</v>
      </c>
      <c r="AU71" s="110">
        <f>$B$7*IF($G$5="撼天",1.05,1)+IF(AND(VLOOKUP($E71,武器奇术!$A:$R,15,FALSE)="武器",VLOOKUP($E71,武器奇术!$A:$R,17,FALSE)="鸣金"),$E$3*(1+$E$15),0)</f>
        <v>0</v>
      </c>
      <c r="AV71" s="102">
        <f t="shared" si="6"/>
        <v>0</v>
      </c>
      <c r="AW71" s="102">
        <f>MAX($C$7*IF($G$5="撼天",1.05,1)+IF(AND(VLOOKUP($E71,武器奇术!$A:$R,15,FALSE)="武器",VLOOKUP($E71,武器奇术!$A:$R,17,FALSE)="鸣金"),$E$3*(1+$E$15),0),AU71)</f>
        <v>0</v>
      </c>
      <c r="AX71" s="104">
        <f>IF(($D$7+IF(VLOOKUP($E71,武器奇术!$A:$R,17,FALSE)="鸣金",$D$15,0)-VLOOKUP($F$7,目标属性!$A:$R,6,FALSE))&gt;0,($D$7+IF(VLOOKUP($E71,武器奇术!$A:$R,17,FALSE)="鸣金",$D$15,0)-VLOOKUP($F$7,目标属性!$A:$R,6,FALSE))/200,($D$7+IF(VLOOKUP($E71,武器奇术!$A:$R,17,FALSE)="鸣金",$D$15,0)-VLOOKUP($F$7,目标属性!$A:$R,6,FALSE))/100)</f>
        <v>-0.24</v>
      </c>
      <c r="AY71" s="111">
        <f t="shared" si="7"/>
        <v>0</v>
      </c>
      <c r="AZ71" s="102">
        <v>1</v>
      </c>
      <c r="BA71" s="103">
        <f>AU71*IF(VLOOKUP($E71,武器奇术!$A:$R,17,FALSE)="鸣金",VLOOKUP($E71,武器奇术!$A:$R,4,FALSE),VLOOKUP($E71,武器奇术!$A:$R,2,FALSE))*(1+AX71)*(1+AY71)*AZ71</f>
        <v>0</v>
      </c>
      <c r="BB71" s="104">
        <f>(1-IF(VLOOKUP($E71,武器奇术!$A:$R,18,FALSE)="叶龙",1,$N71))*(1-$M71)</f>
        <v>0</v>
      </c>
      <c r="BC71" s="103">
        <f>AV71*IF(VLOOKUP($E71,武器奇术!$A:$R,17,FALSE)="鸣金",VLOOKUP($E71,武器奇术!$A:$R,4,FALSE),VLOOKUP($E71,武器奇术!$A:$R,2,FALSE))*(1+AX71)*(1+AY71)*AZ71*(1+$E$16+VLOOKUP($E71,武器奇术!$A:$R,8,FALSE))</f>
        <v>0</v>
      </c>
      <c r="BD71" s="104">
        <f t="shared" si="8"/>
        <v>0.8703</v>
      </c>
      <c r="BE71" s="103">
        <f>AW71*IF(VLOOKUP($E71,武器奇术!$A:$R,17,FALSE)="鸣金",VLOOKUP($E71,武器奇术!$A:$R,4,FALSE),VLOOKUP($E71,武器奇术!$A:$R,2,FALSE))*(1+AX71)*(1+AY71)*AZ71*(1+$E$17+VLOOKUP($E71,武器奇术!$A:$R,10,FALSE))</f>
        <v>0</v>
      </c>
      <c r="BF71" s="104">
        <f t="shared" si="9"/>
        <v>0.0986</v>
      </c>
      <c r="BG71" s="103">
        <f>AV71*IF(VLOOKUP($E71,武器奇术!$A:$R,17,FALSE)="鸣金",VLOOKUP($E71,武器奇术!$A:$R,4,FALSE),VLOOKUP($E71,武器奇术!$A:$R,2,FALSE))*(1+AX71)*(1+AY71)*AZ71</f>
        <v>0</v>
      </c>
      <c r="BH71" s="104">
        <f t="shared" si="10"/>
        <v>0.0311</v>
      </c>
      <c r="BI71" s="112">
        <f t="shared" si="11"/>
        <v>0</v>
      </c>
      <c r="BJ71" s="110">
        <f>$B$9*IF($G$5="撼天",1.05,1)+IF(AND(VLOOKUP($E71,武器奇术!$A:$R,15,FALSE)="武器",VLOOKUP($E71,武器奇术!$A:$R,17,FALSE)="裂石"),$E$3*(1+$E$15),0)</f>
        <v>0</v>
      </c>
      <c r="BK71" s="102">
        <f t="shared" si="12"/>
        <v>0</v>
      </c>
      <c r="BL71" s="102">
        <f>MAX($C$9*IF($G$5="撼天",1.05,1)+IF(AND(VLOOKUP($E71,武器奇术!$A:$R,15,FALSE)="武器",VLOOKUP($E71,武器奇术!$A:$R,17,FALSE)="裂石"),$E$3*(1+$E$15),0),BJ71)</f>
        <v>0</v>
      </c>
      <c r="BM71" s="104">
        <f>IF(($D$9+IF(VLOOKUP($E71,武器奇术!$A:$R,17,FALSE)="裂石",$D$15,0)-VLOOKUP($F$7,目标属性!$A:$R,6,FALSE))&gt;0,($D$9+IF(VLOOKUP($E71,武器奇术!$A:$R,17,FALSE)="裂石",$D$15,0)-VLOOKUP($F$7,目标属性!$A:$R,6,FALSE))/200,($D$9+IF(VLOOKUP($E71,武器奇术!$A:$R,17,FALSE)="裂石",$D$15,0)-VLOOKUP($F$7,目标属性!$A:$R,6,FALSE))/100)</f>
        <v>-0.24</v>
      </c>
      <c r="BN71" s="111">
        <f t="shared" si="13"/>
        <v>0</v>
      </c>
      <c r="BO71" s="102">
        <v>1</v>
      </c>
      <c r="BP71" s="103">
        <f>BJ71*IF(VLOOKUP($E71,武器奇术!$A:$R,17,FALSE)="裂石",VLOOKUP($E71,武器奇术!$A:$R,4,FALSE),VLOOKUP($E71,武器奇术!$A:$R,2,FALSE))*(1+BM71)*(1+BN71)*BO71</f>
        <v>0</v>
      </c>
      <c r="BQ71" s="104">
        <f>(1-IF(VLOOKUP($E71,武器奇术!$A:$R,18,FALSE)="叶龙",1,$N71))*(1-$M71)</f>
        <v>0</v>
      </c>
      <c r="BR71" s="103">
        <f>BK71*IF(VLOOKUP($E71,武器奇术!$A:$R,17,FALSE)="裂石",VLOOKUP($E71,武器奇术!$A:$R,4,FALSE),VLOOKUP($E71,武器奇术!$A:$R,2,FALSE))*(1+BM71)*(1+BN71)*BO71*(1+$E$16+VLOOKUP($E71,武器奇术!$A:$R,8,FALSE))</f>
        <v>0</v>
      </c>
      <c r="BS71" s="104">
        <f t="shared" si="14"/>
        <v>0.8703</v>
      </c>
      <c r="BT71" s="103">
        <f>BL71*IF(VLOOKUP($E71,武器奇术!$A:$R,17,FALSE)="裂石",VLOOKUP($E71,武器奇术!$A:$R,4,FALSE),VLOOKUP($E71,武器奇术!$A:$R,2,FALSE))*(1+BM71)*(1+BN71)*BO71*(1+$E$17+VLOOKUP($E71,武器奇术!$A:$R,10,FALSE))</f>
        <v>0</v>
      </c>
      <c r="BU71" s="104">
        <f t="shared" si="15"/>
        <v>0.0986</v>
      </c>
      <c r="BV71" s="103">
        <f>BK71*IF(VLOOKUP($E71,武器奇术!$A:$R,17,FALSE)="裂石",VLOOKUP($E71,武器奇术!$A:$R,4,FALSE),VLOOKUP($E71,武器奇术!$A:$R,2,FALSE))*(1+BM71)*(1+BN71)*BO71</f>
        <v>0</v>
      </c>
      <c r="BW71" s="104">
        <f t="shared" si="16"/>
        <v>0.0311</v>
      </c>
      <c r="BX71" s="112">
        <f t="shared" si="17"/>
        <v>0</v>
      </c>
      <c r="BY71" s="110">
        <f>$B$11*IF($G$5="撼天",1.05,1)+IF(AND(VLOOKUP($E71,武器奇术!$A:$R,15,FALSE)="武器",VLOOKUP($E71,武器奇术!$A:$R,17,FALSE)="牵丝"),$E$3*(1+$E$15),0)</f>
        <v>686.71</v>
      </c>
      <c r="BZ71" s="102">
        <f>IF(VLOOKUP($E71,武器奇术!$A:$Z,18,FALSE)="叶龙",(CA71-(BY71+CA71)*0.5)*($G$15-0.5)*2+(BY71+CA71)*0.5,(BY71+CA71)*0.5)</f>
        <v>1052.21</v>
      </c>
      <c r="CA71" s="102">
        <f>MAX($C$11*IF($G$5="撼天",1.05,1)+IF(AND(VLOOKUP($E71,武器奇术!$A:$R,15,FALSE)="武器",VLOOKUP($E71,武器奇术!$A:$R,17,FALSE)="牵丝"),$E$3*(1+$E$15),0),BY71)</f>
        <v>1417.71</v>
      </c>
      <c r="CB71" s="104">
        <f>IF(($D$11+IF(VLOOKUP($E71,武器奇术!$A:$R,17,FALSE)="牵丝",$D$15,0)-VLOOKUP($F$7,目标属性!$A:$R,6,FALSE))&gt;0,($D$11+IF(VLOOKUP($E71,武器奇术!$A:$R,17,FALSE)="牵丝",$D$15,0)-VLOOKUP($F$7,目标属性!$A:$R,6,FALSE))/200,($D$11+IF(VLOOKUP($E71,武器奇术!$A:$R,17,FALSE)="牵丝",$D$15,0)-VLOOKUP($F$7,目标属性!$A:$R,6,FALSE))/100)</f>
        <v>0.028</v>
      </c>
      <c r="CC71" s="111">
        <f>$E$11+IF($G$5="烟柳",IF(VLOOKUP($E71,武器奇术!$A:$T,20,FALSE)=1,0.1,0),0)</f>
        <v>0.148</v>
      </c>
      <c r="CD71" s="102">
        <v>1</v>
      </c>
      <c r="CE71" s="103">
        <f>BY71*IF(VLOOKUP($E71,武器奇术!$A:$R,17,FALSE)="牵丝",VLOOKUP($E71,武器奇术!$A:$R,4,FALSE),VLOOKUP($E71,武器奇术!$A:$R,2,FALSE))*(1+CB71)*(1+CC71)*CD71</f>
        <v>655.22189082504</v>
      </c>
      <c r="CF71" s="104">
        <f>(1-IF(VLOOKUP($E71,武器奇术!$A:$R,18,FALSE)="叶龙",1,$N71))*(1-$M71)</f>
        <v>0</v>
      </c>
      <c r="CG71" s="124">
        <f>BZ71*IF(VLOOKUP($E71,武器奇术!$A:$R,17,FALSE)="牵丝",VLOOKUP($E71,武器奇术!$A:$R,4,FALSE),VLOOKUP($E71,武器奇术!$A:$R,2,FALSE))*(1+CB71)*(1+CC71)*CD71*(1+$E$16+VLOOKUP($E71,武器奇术!$A:$R,8,FALSE))</f>
        <v>1650.51420006233</v>
      </c>
      <c r="CH71" s="104">
        <f t="shared" si="18"/>
        <v>0.8703</v>
      </c>
      <c r="CI71" s="103">
        <f>CA71*IF(VLOOKUP($E71,武器奇术!$A:$R,17,FALSE)="牵丝",VLOOKUP($E71,武器奇术!$A:$R,4,FALSE),VLOOKUP($E71,武器奇术!$A:$R,2,FALSE))*(1+CB71)*(1+CC71)*CD71*(1+$E$17+VLOOKUP($E71,武器奇术!$A:$R,10,FALSE))</f>
        <v>1826.1489511382</v>
      </c>
      <c r="CJ71" s="104">
        <f t="shared" si="19"/>
        <v>0.0986</v>
      </c>
      <c r="CK71" s="124">
        <f>BZ71*IF(VLOOKUP($E71,武器奇术!$A:$R,17,FALSE)="牵丝",VLOOKUP($E71,武器奇术!$A:$R,4,FALSE),VLOOKUP($E71,武器奇术!$A:$R,2,FALSE))*(1+CB71)*(1+CC71)*CD71</f>
        <v>1003.96240879704</v>
      </c>
      <c r="CL71" s="104">
        <f t="shared" si="20"/>
        <v>0.0311</v>
      </c>
      <c r="CM71" s="112">
        <f t="shared" si="39"/>
        <v>1647.72402581006</v>
      </c>
      <c r="CN71" s="110">
        <f>$B$13*IF($G$5="撼天",1.05,1)+IF(AND(VLOOKUP($E71,武器奇术!$A:$R,15,FALSE)="武器",VLOOKUP($E71,武器奇术!$A:$R,17,FALSE)="破竹"),$E$3*(1+$E$15),0)</f>
        <v>0</v>
      </c>
      <c r="CO71" s="102">
        <f t="shared" si="21"/>
        <v>0</v>
      </c>
      <c r="CP71" s="102">
        <f>MAX($C$13*IF($G$5="撼天",1.05,1)+IF(AND(VLOOKUP($E71,武器奇术!$A:$R,15,FALSE)="武器",VLOOKUP($E71,武器奇术!$A:$R,17,FALSE)="破竹"),$E$3*(1+$E$15),0),CN71)</f>
        <v>0</v>
      </c>
      <c r="CQ71" s="104">
        <f>IF(($D$13+IF(VLOOKUP($E71,武器奇术!$A:$R,17,FALSE)="破竹",$D$15,0)-VLOOKUP($F$7,目标属性!$A:$R,6,FALSE))&gt;0,($D$13+IF(VLOOKUP($E71,武器奇术!$A:$R,17,FALSE)="破竹",$D$15,0)-VLOOKUP($F$7,目标属性!$A:$R,6,FALSE))/200,($D$13+IF(VLOOKUP($E71,武器奇术!$A:$R,17,FALSE)="破竹",$D$15,0)-VLOOKUP($F$7,目标属性!$A:$R,6,FALSE))/100)</f>
        <v>-0.24</v>
      </c>
      <c r="CR71" s="111">
        <f t="shared" si="22"/>
        <v>0</v>
      </c>
      <c r="CS71" s="102">
        <v>1</v>
      </c>
      <c r="CT71" s="103">
        <f>CN71*IF(VLOOKUP($E71,武器奇术!$A:$R,17,FALSE)="破竹",VLOOKUP($E71,武器奇术!$A:$R,4,FALSE),VLOOKUP($E71,武器奇术!$A:$R,2,FALSE))*(1+CQ71)*(1+CR71)*CS71</f>
        <v>0</v>
      </c>
      <c r="CU71" s="104">
        <f>(1-IF(VLOOKUP($E71,武器奇术!$A:$R,18,FALSE)="叶龙",1,$N71))*(1-$M71)</f>
        <v>0</v>
      </c>
      <c r="CV71" s="103">
        <f>CO71*IF(VLOOKUP($E71,武器奇术!$A:$R,17,FALSE)="破竹",VLOOKUP($E71,武器奇术!$A:$R,4,FALSE),VLOOKUP($E71,武器奇术!$A:$R,2,FALSE))*(1+CQ71)*(1+CR71)*CS71*(1+$E$16+VLOOKUP($E71,武器奇术!$A:$R,8,FALSE))</f>
        <v>0</v>
      </c>
      <c r="CW71" s="104">
        <f t="shared" si="23"/>
        <v>0.8703</v>
      </c>
      <c r="CX71" s="103">
        <f>CP71*IF(VLOOKUP($E71,武器奇术!$A:$R,17,FALSE)="破竹",VLOOKUP($E71,武器奇术!$A:$R,4,FALSE),VLOOKUP($E71,武器奇术!$A:$R,2,FALSE))*(1+CQ71)*(1+CR71)*CS71*(1+$E$17+VLOOKUP($E71,武器奇术!$A:$R,10,FALSE))</f>
        <v>0</v>
      </c>
      <c r="CY71" s="104">
        <f t="shared" si="24"/>
        <v>0.0986</v>
      </c>
      <c r="CZ71" s="103">
        <f>CO71*IF(VLOOKUP($E71,武器奇术!$A:$R,17,FALSE)="破竹",VLOOKUP($E71,武器奇术!$A:$R,4,FALSE),VLOOKUP($E71,武器奇术!$A:$R,2,FALSE))*(1+CQ71)*(1+CR71)*CS71</f>
        <v>0</v>
      </c>
      <c r="DA71" s="104">
        <f t="shared" si="25"/>
        <v>0.0311</v>
      </c>
      <c r="DB71" s="112">
        <f t="shared" si="26"/>
        <v>0</v>
      </c>
      <c r="DC71" s="110">
        <f t="shared" si="40"/>
        <v>66</v>
      </c>
      <c r="DD71" s="102">
        <f t="shared" si="27"/>
        <v>125.8</v>
      </c>
      <c r="DE71" s="102">
        <f t="shared" si="41"/>
        <v>185.6</v>
      </c>
      <c r="DF71" s="104">
        <f>IF((IF(VLOOKUP($E71,武器奇术!$A:$R,17,FALSE)="鸣金",$D$7,0)+IF(VLOOKUP($E71,武器奇术!$A:$R,17,FALSE)="裂石",$D$9,0)+IF(VLOOKUP($E71,武器奇术!$A:$R,17,FALSE)="牵丝",$D$11,0)+IF(VLOOKUP($E71,武器奇术!$A:$R,17,FALSE)="破竹",$D$13,0)+$D$15-VLOOKUP($F$7,目标属性!$A:$R,6,FALSE))&gt;0,(IF(VLOOKUP($E71,武器奇术!$A:$R,17,FALSE)="鸣金",$D$7,0)+IF(VLOOKUP($E71,武器奇术!$A:$R,17,FALSE)="裂石",$D$9,0)+IF(VLOOKUP($E71,武器奇术!$A:$R,17,FALSE)="牵丝",$D$11,0)+IF(VLOOKUP($E71,武器奇术!$A:$R,17,FALSE)="破竹",$D$13,0)+$D$15-VLOOKUP($F$7,目标属性!$A:$R,6,FALSE))/200,(IF(VLOOKUP($E71,武器奇术!$A:$R,17,FALSE)="鸣金",$D$7,0)+IF(VLOOKUP($E71,武器奇术!$A:$R,17,FALSE)="裂石",$D$9,0)+IF(VLOOKUP($E71,武器奇术!$A:$R,17,FALSE)="牵丝",$D$11,0)+IF(VLOOKUP($E71,武器奇术!$A:$R,17,FALSE)="破竹",$D$13,0)+$D$15-VLOOKUP($F$7,目标属性!$A:$R,6,FALSE))/100)</f>
        <v>0.028</v>
      </c>
      <c r="DG71" s="111">
        <f>$E$11+IF($G$5="烟柳",IF(VLOOKUP($E71,武器奇术!$A:$T,20,FALSE)=1,0.1,0),0)</f>
        <v>0.148</v>
      </c>
      <c r="DH71" s="102">
        <v>1</v>
      </c>
      <c r="DI71" s="103">
        <f>DC71*IF(VLOOKUP($E71,武器奇术!$A:$R,17,FALSE)="牵丝",VLOOKUP($E71,武器奇术!$A:$R,4,FALSE),VLOOKUP($E71,武器奇术!$A:$R,2,FALSE))*(1+DF71)*(1+DG71)*DH71</f>
        <v>62.973663984</v>
      </c>
      <c r="DJ71" s="104">
        <f>(1-IF(VLOOKUP($E71,武器奇术!$A:$R,18,FALSE)="叶龙",1,$N71))*(1-$M71)</f>
        <v>0</v>
      </c>
      <c r="DK71" s="124">
        <f>DD71*IF(VLOOKUP($E71,武器奇术!$A:$R,17,FALSE)="牵丝",VLOOKUP($E71,武器奇术!$A:$R,4,FALSE),VLOOKUP($E71,武器奇术!$A:$R,2,FALSE))*(1+DF71)*(1+DG71)*DH71*(1+$E$16+VLOOKUP($E71,武器奇术!$A:$R,8,FALSE))</f>
        <v>197.331983508845</v>
      </c>
      <c r="DL71" s="104">
        <f t="shared" si="28"/>
        <v>0.8703</v>
      </c>
      <c r="DM71" s="103">
        <f>DE71*IF(VLOOKUP($E71,武器奇术!$A:$R,17,FALSE)="牵丝",VLOOKUP($E71,武器奇术!$A:$R,4,FALSE),VLOOKUP($E71,武器奇术!$A:$R,2,FALSE))*(1+DF71)*(1+DG71)*DH71*(1+$E$17+VLOOKUP($E71,武器奇术!$A:$R,10,FALSE))</f>
        <v>239.07092799744</v>
      </c>
      <c r="DN71" s="104">
        <f t="shared" si="29"/>
        <v>0.0986</v>
      </c>
      <c r="DO71" s="124">
        <f>DD71*IF(VLOOKUP($E71,武器奇术!$A:$R,17,FALSE)="牵丝",VLOOKUP($E71,武器奇术!$A:$R,4,FALSE),VLOOKUP($E71,武器奇术!$A:$R,2,FALSE))*(1+DF71)*(1+DG71)*DH71</f>
        <v>120.0316201392</v>
      </c>
      <c r="DP71" s="104">
        <f t="shared" si="30"/>
        <v>0.0311</v>
      </c>
      <c r="DQ71" s="112">
        <f t="shared" si="31"/>
        <v>199.043402134624</v>
      </c>
    </row>
    <row r="72" customFormat="1" customHeight="1" spans="1:121">
      <c r="A72" s="139"/>
      <c r="B72" s="139" t="s">
        <v>175</v>
      </c>
      <c r="C72" s="139">
        <v>1</v>
      </c>
      <c r="D72" s="37"/>
      <c r="E72" s="115" t="s">
        <v>142</v>
      </c>
      <c r="F72" s="116">
        <v>1</v>
      </c>
      <c r="G72" s="117"/>
      <c r="H72" s="103">
        <f>IF(VLOOKUP($E72,武器奇术!$A:$R,18,FALSE)="天工",AE72,(AE72+AT72+BI72+BX72+CM72+DB72+DQ72))*(1+J72)*F72*K72*(1+G72)</f>
        <v>76841.4858739955</v>
      </c>
      <c r="I72" s="104">
        <f t="shared" si="42"/>
        <v>0.00885597800967976</v>
      </c>
      <c r="J72" s="104">
        <f>$F$3+VLOOKUP($E72,武器奇术!$A:$R,12,FALSE)+VLOOKUP($E72,武器奇术!$A:$R,14,FALSE)*$G$3+$P72</f>
        <v>0.987</v>
      </c>
      <c r="K72" s="105">
        <f>VLOOKUP($E72,武器奇术!$A:$R,11,FALSE)</f>
        <v>1</v>
      </c>
      <c r="L72" s="119">
        <f>IF(VLOOKUP($E72,武器奇术!$A:$R,15,FALSE)="天工",0%,IF($C$17+VLOOKUP($E72,武器奇术!$A:$R,7,FALSE)&gt;80%,80%,$C$17+VLOOKUP($E72,武器奇术!$A:$R,7,FALSE))+IF($C$19&gt;20%,20%,$C$19))</f>
        <v>0.8703</v>
      </c>
      <c r="M72" s="120">
        <f>IF(VLOOKUP($E72,武器奇术!$A:$R,15,FALSE)="天工",0%,IF($C$18+VLOOKUP($E72,武器奇术!$A:$R,9,FALSE)&gt;40%,40%,$C$18+VLOOKUP($E72,武器奇术!$A:$R,9,FALSE))+IF($C$20&gt;10%,10%,$C$20))</f>
        <v>0.0986</v>
      </c>
      <c r="N72" s="121">
        <f>IF(VLOOKUP($E72,武器奇术!$A:$R,15,FALSE)="天工",100%,MIN($C$16,1))</f>
        <v>1</v>
      </c>
      <c r="O72" s="122" t="str">
        <f>VLOOKUP($E72,武器奇术!$A:$R,16,FALSE)</f>
        <v>扇</v>
      </c>
      <c r="P72" s="123">
        <f t="shared" si="44"/>
        <v>0.084</v>
      </c>
      <c r="Q72" s="110">
        <f>$B$5*(1+VLOOKUP($E72,武器奇术!$A:$R,5,FALSE))*(1+VLOOKUP($E72,武器奇术!$A:$S,19,FALSE)+IF($G$5="飞隼",0.1,0)+IF($G$5="撼天",0.05,0))-$F$9+IF($J$5="√",160,0)</f>
        <v>3081.85</v>
      </c>
      <c r="R72" s="102">
        <f>IF(VLOOKUP($E72,武器奇术!$A:$Z,18,FALSE)="叶龙",(S72-(Q72+S72)*0.5)*($G$15-0.5)*2+(Q72+S72)*0.5,(Q72+S72)*0.5)</f>
        <v>3161.85</v>
      </c>
      <c r="S72" s="102">
        <f>MAX($C$5,$B$5)*(1+VLOOKUP($E72,武器奇术!$A:$R,6,FALSE))*(1+VLOOKUP($E72,武器奇术!$A:$S,19,FALSE)+IF($G$5="飞隼",0.1,0)+IF($G$5="撼天",0.05,0))-$F$9+IF($J$5="√",320,0)</f>
        <v>3241.85</v>
      </c>
      <c r="T72" s="104">
        <f>IF(($D$5+VLOOKUP($E72,武器奇术!$A:$R,13,FALSE)+IF($I$3="√",10,0)-VLOOKUP($F$7,目标属性!$A:$R,5,FALSE))&gt;0,($D$5+VLOOKUP($E72,武器奇术!$A:$R,13,FALSE)+IF($I$3="√",10,0)-VLOOKUP($F$7,目标属性!$A:$R,5,FALSE))/200,($D$5+VLOOKUP($E72,武器奇术!$A:$R,13,FALSE)+IF($I$3="√",10,0)-VLOOKUP($F$7,目标属性!$A:$R,5,FALSE))/100)</f>
        <v>0.2925</v>
      </c>
      <c r="U72" s="111">
        <f>$E$5+IF($G$5="烟柳",IF(VLOOKUP($E72,武器奇术!$A:$T,20,FALSE)=1,0.1,0),0)</f>
        <v>0.1</v>
      </c>
      <c r="V72" s="102">
        <v>1</v>
      </c>
      <c r="W72" s="103">
        <f>Q72*VLOOKUP($E72,武器奇术!$A:$R,2,FALSE)*(1+T72)*(1+U72)*V72</f>
        <v>12099.3184914278</v>
      </c>
      <c r="X72" s="104">
        <f>(1-IF(VLOOKUP($E72,武器奇术!$A:$R,18,FALSE)="叶龙",1,$N72))*(1-$M72)</f>
        <v>0</v>
      </c>
      <c r="Y72" s="103">
        <f>R72*VLOOKUP($E72,武器奇术!$A:$R,2,FALSE)*(1+T72)*(1+U72)*V72*(1+$E$16+VLOOKUP($E72,武器奇术!$A:$R,8,FALSE))</f>
        <v>24876.449296666</v>
      </c>
      <c r="Z72" s="104">
        <f t="shared" si="33"/>
        <v>0.8703</v>
      </c>
      <c r="AA72" s="103">
        <f>S72*VLOOKUP($E72,武器奇术!$A:$R,2,FALSE)*(1+T72)*(1+U72)*V72*(1+$E$17+VLOOKUP($E72,武器奇术!$A:$R,10,FALSE))</f>
        <v>17182.0942386675</v>
      </c>
      <c r="AB72" s="104">
        <f t="shared" si="34"/>
        <v>0.0986</v>
      </c>
      <c r="AC72" s="103">
        <f>R72*VLOOKUP($E72,武器奇术!$A:$R,2,FALSE)*(1+T72)*(1+U72)*V72</f>
        <v>12413.3978526277</v>
      </c>
      <c r="AD72" s="104">
        <f t="shared" si="35"/>
        <v>0.0311</v>
      </c>
      <c r="AE72" s="112">
        <f t="shared" si="36"/>
        <v>23730.1849880378</v>
      </c>
      <c r="AF72" s="113">
        <f>VLOOKUP($E72,武器奇术!$A:$R,3,FALSE)*(1+IF(VLOOKUP($E72,武器奇术!$A:$R,15,FALSE)="武器",$E$15,0))</f>
        <v>993.395</v>
      </c>
      <c r="AG72" s="103">
        <f t="shared" si="1"/>
        <v>993.395</v>
      </c>
      <c r="AH72" s="103">
        <f>VLOOKUP($E72,武器奇术!$A:$R,3,FALSE)*(1+IF(VLOOKUP($E72,武器奇术!$A:$R,15,FALSE)="武器",$E$15,0))</f>
        <v>993.395</v>
      </c>
      <c r="AI72" s="104">
        <f>IF(($D$5+VLOOKUP($E72,武器奇术!$A:$R,13,FALSE)+IF($I$3="√",10,0)-VLOOKUP($F$7,目标属性!$A:$R,5,FALSE))&gt;0,($D$5+VLOOKUP($E72,武器奇术!$A:$R,13,FALSE)+IF($I$3="√",10,0)-VLOOKUP($F$7,目标属性!$A:$R,5,FALSE))/200,($D$5+VLOOKUP($E72,武器奇术!$A:$R,13,FALSE)+IF($I$3="√",10,0)-VLOOKUP($F$7,目标属性!$A:$R,5,FALSE))/100)</f>
        <v>0.2925</v>
      </c>
      <c r="AJ72" s="111">
        <f>$E$5+IF($G$5="烟柳",IF(VLOOKUP($E72,武器奇术!$A:$T,20,FALSE)=1,0.1,0),0)</f>
        <v>0.1</v>
      </c>
      <c r="AK72" s="102">
        <v>1</v>
      </c>
      <c r="AL72" s="103">
        <f t="shared" si="45"/>
        <v>1412.35934125</v>
      </c>
      <c r="AM72" s="104">
        <f>(1-IF(VLOOKUP($E72,武器奇术!$A:$R,18,FALSE)="叶龙",1,$N72))*(1-$M72)</f>
        <v>0</v>
      </c>
      <c r="AN72" s="103">
        <f>AG72*(1+AI72)*(1+AJ72)*AK72*(1+$E$16+VLOOKUP($E72,武器奇术!$A:$R,8,FALSE))</f>
        <v>2830.368119865</v>
      </c>
      <c r="AO72" s="104">
        <f t="shared" si="2"/>
        <v>0.8703</v>
      </c>
      <c r="AP72" s="103">
        <f>AH72*(1+AI72)*(1+AJ72)*AK72*(1+$E$17+VLOOKUP($E72,武器奇术!$A:$R,10,FALSE))</f>
        <v>1906.6851106875</v>
      </c>
      <c r="AQ72" s="104">
        <f t="shared" si="3"/>
        <v>0.0986</v>
      </c>
      <c r="AR72" s="103">
        <f t="shared" si="38"/>
        <v>1412.35934125</v>
      </c>
      <c r="AS72" s="104">
        <f t="shared" si="4"/>
        <v>0.0311</v>
      </c>
      <c r="AT72" s="112">
        <f t="shared" si="5"/>
        <v>2695.19290214517</v>
      </c>
      <c r="AU72" s="110">
        <f>$B$7*IF($G$5="撼天",1.05,1)+IF(AND(VLOOKUP($E72,武器奇术!$A:$R,15,FALSE)="武器",VLOOKUP($E72,武器奇术!$A:$R,17,FALSE)="鸣金"),$E$3*(1+$E$15),0)</f>
        <v>0</v>
      </c>
      <c r="AV72" s="102">
        <f t="shared" si="6"/>
        <v>0</v>
      </c>
      <c r="AW72" s="102">
        <f>MAX($C$7*IF($G$5="撼天",1.05,1)+IF(AND(VLOOKUP($E72,武器奇术!$A:$R,15,FALSE)="武器",VLOOKUP($E72,武器奇术!$A:$R,17,FALSE)="鸣金"),$E$3*(1+$E$15),0),AU72)</f>
        <v>0</v>
      </c>
      <c r="AX72" s="104">
        <f>IF(($D$7+IF(VLOOKUP($E72,武器奇术!$A:$R,17,FALSE)="鸣金",$D$15,0)-VLOOKUP($F$7,目标属性!$A:$R,6,FALSE))&gt;0,($D$7+IF(VLOOKUP($E72,武器奇术!$A:$R,17,FALSE)="鸣金",$D$15,0)-VLOOKUP($F$7,目标属性!$A:$R,6,FALSE))/200,($D$7+IF(VLOOKUP($E72,武器奇术!$A:$R,17,FALSE)="鸣金",$D$15,0)-VLOOKUP($F$7,目标属性!$A:$R,6,FALSE))/100)</f>
        <v>-0.24</v>
      </c>
      <c r="AY72" s="111">
        <f t="shared" si="7"/>
        <v>0</v>
      </c>
      <c r="AZ72" s="102">
        <v>1</v>
      </c>
      <c r="BA72" s="103">
        <f>AU72*IF(VLOOKUP($E72,武器奇术!$A:$R,17,FALSE)="鸣金",VLOOKUP($E72,武器奇术!$A:$R,4,FALSE),VLOOKUP($E72,武器奇术!$A:$R,2,FALSE))*(1+AX72)*(1+AY72)*AZ72</f>
        <v>0</v>
      </c>
      <c r="BB72" s="104">
        <f>(1-IF(VLOOKUP($E72,武器奇术!$A:$R,18,FALSE)="叶龙",1,$N72))*(1-$M72)</f>
        <v>0</v>
      </c>
      <c r="BC72" s="103">
        <f>AV72*IF(VLOOKUP($E72,武器奇术!$A:$R,17,FALSE)="鸣金",VLOOKUP($E72,武器奇术!$A:$R,4,FALSE),VLOOKUP($E72,武器奇术!$A:$R,2,FALSE))*(1+AX72)*(1+AY72)*AZ72*(1+$E$16+VLOOKUP($E72,武器奇术!$A:$R,8,FALSE))</f>
        <v>0</v>
      </c>
      <c r="BD72" s="104">
        <f t="shared" si="8"/>
        <v>0.8703</v>
      </c>
      <c r="BE72" s="103">
        <f>AW72*IF(VLOOKUP($E72,武器奇术!$A:$R,17,FALSE)="鸣金",VLOOKUP($E72,武器奇术!$A:$R,4,FALSE),VLOOKUP($E72,武器奇术!$A:$R,2,FALSE))*(1+AX72)*(1+AY72)*AZ72*(1+$E$17+VLOOKUP($E72,武器奇术!$A:$R,10,FALSE))</f>
        <v>0</v>
      </c>
      <c r="BF72" s="104">
        <f t="shared" si="9"/>
        <v>0.0986</v>
      </c>
      <c r="BG72" s="103">
        <f>AV72*IF(VLOOKUP($E72,武器奇术!$A:$R,17,FALSE)="鸣金",VLOOKUP($E72,武器奇术!$A:$R,4,FALSE),VLOOKUP($E72,武器奇术!$A:$R,2,FALSE))*(1+AX72)*(1+AY72)*AZ72</f>
        <v>0</v>
      </c>
      <c r="BH72" s="104">
        <f t="shared" si="10"/>
        <v>0.0311</v>
      </c>
      <c r="BI72" s="112">
        <f t="shared" si="11"/>
        <v>0</v>
      </c>
      <c r="BJ72" s="110">
        <f>$B$9*IF($G$5="撼天",1.05,1)+IF(AND(VLOOKUP($E72,武器奇术!$A:$R,15,FALSE)="武器",VLOOKUP($E72,武器奇术!$A:$R,17,FALSE)="裂石"),$E$3*(1+$E$15),0)</f>
        <v>0</v>
      </c>
      <c r="BK72" s="102">
        <f t="shared" si="12"/>
        <v>0</v>
      </c>
      <c r="BL72" s="102">
        <f>MAX($C$9*IF($G$5="撼天",1.05,1)+IF(AND(VLOOKUP($E72,武器奇术!$A:$R,15,FALSE)="武器",VLOOKUP($E72,武器奇术!$A:$R,17,FALSE)="裂石"),$E$3*(1+$E$15),0),BJ72)</f>
        <v>0</v>
      </c>
      <c r="BM72" s="104">
        <f>IF(($D$9+IF(VLOOKUP($E72,武器奇术!$A:$R,17,FALSE)="裂石",$D$15,0)-VLOOKUP($F$7,目标属性!$A:$R,6,FALSE))&gt;0,($D$9+IF(VLOOKUP($E72,武器奇术!$A:$R,17,FALSE)="裂石",$D$15,0)-VLOOKUP($F$7,目标属性!$A:$R,6,FALSE))/200,($D$9+IF(VLOOKUP($E72,武器奇术!$A:$R,17,FALSE)="裂石",$D$15,0)-VLOOKUP($F$7,目标属性!$A:$R,6,FALSE))/100)</f>
        <v>-0.24</v>
      </c>
      <c r="BN72" s="111">
        <f t="shared" si="13"/>
        <v>0</v>
      </c>
      <c r="BO72" s="102">
        <v>1</v>
      </c>
      <c r="BP72" s="103">
        <f>BJ72*IF(VLOOKUP($E72,武器奇术!$A:$R,17,FALSE)="裂石",VLOOKUP($E72,武器奇术!$A:$R,4,FALSE),VLOOKUP($E72,武器奇术!$A:$R,2,FALSE))*(1+BM72)*(1+BN72)*BO72</f>
        <v>0</v>
      </c>
      <c r="BQ72" s="104">
        <f>(1-IF(VLOOKUP($E72,武器奇术!$A:$R,18,FALSE)="叶龙",1,$N72))*(1-$M72)</f>
        <v>0</v>
      </c>
      <c r="BR72" s="103">
        <f>BK72*IF(VLOOKUP($E72,武器奇术!$A:$R,17,FALSE)="裂石",VLOOKUP($E72,武器奇术!$A:$R,4,FALSE),VLOOKUP($E72,武器奇术!$A:$R,2,FALSE))*(1+BM72)*(1+BN72)*BO72*(1+$E$16+VLOOKUP($E72,武器奇术!$A:$R,8,FALSE))</f>
        <v>0</v>
      </c>
      <c r="BS72" s="104">
        <f t="shared" si="14"/>
        <v>0.8703</v>
      </c>
      <c r="BT72" s="103">
        <f>BL72*IF(VLOOKUP($E72,武器奇术!$A:$R,17,FALSE)="裂石",VLOOKUP($E72,武器奇术!$A:$R,4,FALSE),VLOOKUP($E72,武器奇术!$A:$R,2,FALSE))*(1+BM72)*(1+BN72)*BO72*(1+$E$17+VLOOKUP($E72,武器奇术!$A:$R,10,FALSE))</f>
        <v>0</v>
      </c>
      <c r="BU72" s="104">
        <f t="shared" si="15"/>
        <v>0.0986</v>
      </c>
      <c r="BV72" s="103">
        <f>BK72*IF(VLOOKUP($E72,武器奇术!$A:$R,17,FALSE)="裂石",VLOOKUP($E72,武器奇术!$A:$R,4,FALSE),VLOOKUP($E72,武器奇术!$A:$R,2,FALSE))*(1+BM72)*(1+BN72)*BO72</f>
        <v>0</v>
      </c>
      <c r="BW72" s="104">
        <f t="shared" si="16"/>
        <v>0.0311</v>
      </c>
      <c r="BX72" s="112">
        <f t="shared" si="17"/>
        <v>0</v>
      </c>
      <c r="BY72" s="110">
        <f>$B$11*IF($G$5="撼天",1.05,1)+IF(AND(VLOOKUP($E72,武器奇术!$A:$R,15,FALSE)="武器",VLOOKUP($E72,武器奇术!$A:$R,17,FALSE)="牵丝"),$E$3*(1+$E$15),0)</f>
        <v>686.71</v>
      </c>
      <c r="BZ72" s="102">
        <f>IF(VLOOKUP($E72,武器奇术!$A:$Z,18,FALSE)="叶龙",(CA72-(BY72+CA72)*0.5)*($G$15-0.5)*2+(BY72+CA72)*0.5,(BY72+CA72)*0.5)</f>
        <v>1052.21</v>
      </c>
      <c r="CA72" s="102">
        <f>MAX($C$11*IF($G$5="撼天",1.05,1)+IF(AND(VLOOKUP($E72,武器奇术!$A:$R,15,FALSE)="武器",VLOOKUP($E72,武器奇术!$A:$R,17,FALSE)="牵丝"),$E$3*(1+$E$15),0),BY72)</f>
        <v>1417.71</v>
      </c>
      <c r="CB72" s="104">
        <f>IF(($D$11+IF(VLOOKUP($E72,武器奇术!$A:$R,17,FALSE)="牵丝",$D$15,0)-VLOOKUP($F$7,目标属性!$A:$R,6,FALSE))&gt;0,($D$11+IF(VLOOKUP($E72,武器奇术!$A:$R,17,FALSE)="牵丝",$D$15,0)-VLOOKUP($F$7,目标属性!$A:$R,6,FALSE))/200,($D$11+IF(VLOOKUP($E72,武器奇术!$A:$R,17,FALSE)="牵丝",$D$15,0)-VLOOKUP($F$7,目标属性!$A:$R,6,FALSE))/100)</f>
        <v>0.028</v>
      </c>
      <c r="CC72" s="111">
        <f>$E$11+IF($G$5="烟柳",IF(VLOOKUP($E72,武器奇术!$A:$T,20,FALSE)=1,0.1,0),0)</f>
        <v>0.248</v>
      </c>
      <c r="CD72" s="102">
        <v>1</v>
      </c>
      <c r="CE72" s="103">
        <f>BY72*IF(VLOOKUP($E72,武器奇术!$A:$R,17,FALSE)="牵丝",VLOOKUP($E72,武器奇术!$A:$R,4,FALSE),VLOOKUP($E72,武器奇术!$A:$R,2,FALSE))*(1+CB72)*(1+CC72)*CD72</f>
        <v>3649.20705503528</v>
      </c>
      <c r="CF72" s="104">
        <f>(1-IF(VLOOKUP($E72,武器奇术!$A:$R,18,FALSE)="叶龙",1,$N72))*(1-$M72)</f>
        <v>0</v>
      </c>
      <c r="CG72" s="124">
        <f>BZ72*IF(VLOOKUP($E72,武器奇术!$A:$R,17,FALSE)="牵丝",VLOOKUP($E72,武器奇术!$A:$R,4,FALSE),VLOOKUP($E72,武器奇术!$A:$R,2,FALSE))*(1+CB72)*(1+CC72)*CD72*(1+$E$16+VLOOKUP($E72,武器奇术!$A:$R,8,FALSE))</f>
        <v>11205.3461277378</v>
      </c>
      <c r="CH72" s="104">
        <f t="shared" si="18"/>
        <v>0.8703</v>
      </c>
      <c r="CI72" s="103">
        <f>CA72*IF(VLOOKUP($E72,武器奇术!$A:$R,17,FALSE)="牵丝",VLOOKUP($E72,武器奇术!$A:$R,4,FALSE),VLOOKUP($E72,武器奇术!$A:$R,2,FALSE))*(1+CB72)*(1+CC72)*CD72*(1+$E$17+VLOOKUP($E72,武器奇术!$A:$R,10,FALSE))</f>
        <v>10170.5937016965</v>
      </c>
      <c r="CJ72" s="104">
        <f t="shared" si="19"/>
        <v>0.0986</v>
      </c>
      <c r="CK72" s="124">
        <f>BZ72*IF(VLOOKUP($E72,武器奇术!$A:$R,17,FALSE)="牵丝",VLOOKUP($E72,武器奇术!$A:$R,4,FALSE),VLOOKUP($E72,武器奇术!$A:$R,2,FALSE))*(1+CB72)*(1+CC72)*CD72</f>
        <v>5591.49008370152</v>
      </c>
      <c r="CL72" s="104">
        <f t="shared" si="20"/>
        <v>0.0311</v>
      </c>
      <c r="CM72" s="112">
        <f t="shared" si="39"/>
        <v>10928.7286155606</v>
      </c>
      <c r="CN72" s="110">
        <f>$B$13*IF($G$5="撼天",1.05,1)+IF(AND(VLOOKUP($E72,武器奇术!$A:$R,15,FALSE)="武器",VLOOKUP($E72,武器奇术!$A:$R,17,FALSE)="破竹"),$E$3*(1+$E$15),0)</f>
        <v>0</v>
      </c>
      <c r="CO72" s="102">
        <f t="shared" si="21"/>
        <v>0</v>
      </c>
      <c r="CP72" s="102">
        <f>MAX($C$13*IF($G$5="撼天",1.05,1)+IF(AND(VLOOKUP($E72,武器奇术!$A:$R,15,FALSE)="武器",VLOOKUP($E72,武器奇术!$A:$R,17,FALSE)="破竹"),$E$3*(1+$E$15),0),CN72)</f>
        <v>0</v>
      </c>
      <c r="CQ72" s="104">
        <f>IF(($D$13+IF(VLOOKUP($E72,武器奇术!$A:$R,17,FALSE)="破竹",$D$15,0)-VLOOKUP($F$7,目标属性!$A:$R,6,FALSE))&gt;0,($D$13+IF(VLOOKUP($E72,武器奇术!$A:$R,17,FALSE)="破竹",$D$15,0)-VLOOKUP($F$7,目标属性!$A:$R,6,FALSE))/200,($D$13+IF(VLOOKUP($E72,武器奇术!$A:$R,17,FALSE)="破竹",$D$15,0)-VLOOKUP($F$7,目标属性!$A:$R,6,FALSE))/100)</f>
        <v>-0.24</v>
      </c>
      <c r="CR72" s="111">
        <f t="shared" si="22"/>
        <v>0</v>
      </c>
      <c r="CS72" s="102">
        <v>1</v>
      </c>
      <c r="CT72" s="103">
        <f>CN72*IF(VLOOKUP($E72,武器奇术!$A:$R,17,FALSE)="破竹",VLOOKUP($E72,武器奇术!$A:$R,4,FALSE),VLOOKUP($E72,武器奇术!$A:$R,2,FALSE))*(1+CQ72)*(1+CR72)*CS72</f>
        <v>0</v>
      </c>
      <c r="CU72" s="104">
        <f>(1-IF(VLOOKUP($E72,武器奇术!$A:$R,18,FALSE)="叶龙",1,$N72))*(1-$M72)</f>
        <v>0</v>
      </c>
      <c r="CV72" s="103">
        <f>CO72*IF(VLOOKUP($E72,武器奇术!$A:$R,17,FALSE)="破竹",VLOOKUP($E72,武器奇术!$A:$R,4,FALSE),VLOOKUP($E72,武器奇术!$A:$R,2,FALSE))*(1+CQ72)*(1+CR72)*CS72*(1+$E$16+VLOOKUP($E72,武器奇术!$A:$R,8,FALSE))</f>
        <v>0</v>
      </c>
      <c r="CW72" s="104">
        <f t="shared" si="23"/>
        <v>0.8703</v>
      </c>
      <c r="CX72" s="103">
        <f>CP72*IF(VLOOKUP($E72,武器奇术!$A:$R,17,FALSE)="破竹",VLOOKUP($E72,武器奇术!$A:$R,4,FALSE),VLOOKUP($E72,武器奇术!$A:$R,2,FALSE))*(1+CQ72)*(1+CR72)*CS72*(1+$E$17+VLOOKUP($E72,武器奇术!$A:$R,10,FALSE))</f>
        <v>0</v>
      </c>
      <c r="CY72" s="104">
        <f t="shared" si="24"/>
        <v>0.0986</v>
      </c>
      <c r="CZ72" s="103">
        <f>CO72*IF(VLOOKUP($E72,武器奇术!$A:$R,17,FALSE)="破竹",VLOOKUP($E72,武器奇术!$A:$R,4,FALSE),VLOOKUP($E72,武器奇术!$A:$R,2,FALSE))*(1+CQ72)*(1+CR72)*CS72</f>
        <v>0</v>
      </c>
      <c r="DA72" s="104">
        <f t="shared" si="25"/>
        <v>0.0311</v>
      </c>
      <c r="DB72" s="112">
        <f t="shared" si="26"/>
        <v>0</v>
      </c>
      <c r="DC72" s="110">
        <f t="shared" si="40"/>
        <v>66</v>
      </c>
      <c r="DD72" s="102">
        <f t="shared" si="27"/>
        <v>125.8</v>
      </c>
      <c r="DE72" s="102">
        <f t="shared" si="41"/>
        <v>185.6</v>
      </c>
      <c r="DF72" s="104">
        <f>IF((IF(VLOOKUP($E72,武器奇术!$A:$R,17,FALSE)="鸣金",$D$7,0)+IF(VLOOKUP($E72,武器奇术!$A:$R,17,FALSE)="裂石",$D$9,0)+IF(VLOOKUP($E72,武器奇术!$A:$R,17,FALSE)="牵丝",$D$11,0)+IF(VLOOKUP($E72,武器奇术!$A:$R,17,FALSE)="破竹",$D$13,0)+$D$15-VLOOKUP($F$7,目标属性!$A:$R,6,FALSE))&gt;0,(IF(VLOOKUP($E72,武器奇术!$A:$R,17,FALSE)="鸣金",$D$7,0)+IF(VLOOKUP($E72,武器奇术!$A:$R,17,FALSE)="裂石",$D$9,0)+IF(VLOOKUP($E72,武器奇术!$A:$R,17,FALSE)="牵丝",$D$11,0)+IF(VLOOKUP($E72,武器奇术!$A:$R,17,FALSE)="破竹",$D$13,0)+$D$15-VLOOKUP($F$7,目标属性!$A:$R,6,FALSE))/200,(IF(VLOOKUP($E72,武器奇术!$A:$R,17,FALSE)="鸣金",$D$7,0)+IF(VLOOKUP($E72,武器奇术!$A:$R,17,FALSE)="裂石",$D$9,0)+IF(VLOOKUP($E72,武器奇术!$A:$R,17,FALSE)="牵丝",$D$11,0)+IF(VLOOKUP($E72,武器奇术!$A:$R,17,FALSE)="破竹",$D$13,0)+$D$15-VLOOKUP($F$7,目标属性!$A:$R,6,FALSE))/100)</f>
        <v>0.028</v>
      </c>
      <c r="DG72" s="111">
        <f>$E$11+IF($G$5="烟柳",IF(VLOOKUP($E72,武器奇术!$A:$T,20,FALSE)=1,0.1,0),0)</f>
        <v>0.248</v>
      </c>
      <c r="DH72" s="102">
        <v>1</v>
      </c>
      <c r="DI72" s="103">
        <f>DC72*IF(VLOOKUP($E72,武器奇术!$A:$R,17,FALSE)="牵丝",VLOOKUP($E72,武器奇术!$A:$R,4,FALSE),VLOOKUP($E72,武器奇术!$A:$R,2,FALSE))*(1+DF72)*(1+DG72)*DH72</f>
        <v>350.72689436928</v>
      </c>
      <c r="DJ72" s="104">
        <f>(1-IF(VLOOKUP($E72,武器奇术!$A:$R,18,FALSE)="叶龙",1,$N72))*(1-$M72)</f>
        <v>0</v>
      </c>
      <c r="DK72" s="124">
        <f>DD72*IF(VLOOKUP($E72,武器奇术!$A:$R,17,FALSE)="牵丝",VLOOKUP($E72,武器奇术!$A:$R,4,FALSE),VLOOKUP($E72,武器奇术!$A:$R,2,FALSE))*(1+DF72)*(1+DG72)*DH72*(1+$E$16+VLOOKUP($E72,武器奇术!$A:$R,8,FALSE))</f>
        <v>1339.6874605539</v>
      </c>
      <c r="DL72" s="104">
        <f t="shared" si="28"/>
        <v>0.8703</v>
      </c>
      <c r="DM72" s="103">
        <f>DE72*IF(VLOOKUP($E72,武器奇术!$A:$R,17,FALSE)="牵丝",VLOOKUP($E72,武器奇术!$A:$R,4,FALSE),VLOOKUP($E72,武器奇术!$A:$R,2,FALSE))*(1+DF72)*(1+DG72)*DH72*(1+$E$17+VLOOKUP($E72,武器奇术!$A:$R,10,FALSE))</f>
        <v>1331.48682807829</v>
      </c>
      <c r="DN72" s="104">
        <f t="shared" si="29"/>
        <v>0.0986</v>
      </c>
      <c r="DO72" s="124">
        <f>DD72*IF(VLOOKUP($E72,武器奇术!$A:$R,17,FALSE)="牵丝",VLOOKUP($E72,武器奇术!$A:$R,4,FALSE),VLOOKUP($E72,武器奇术!$A:$R,2,FALSE))*(1+DF72)*(1+DG72)*DH72</f>
        <v>668.506716843264</v>
      </c>
      <c r="DP72" s="104">
        <f t="shared" si="30"/>
        <v>0.0311</v>
      </c>
      <c r="DQ72" s="112">
        <f t="shared" si="31"/>
        <v>1318.0051570624</v>
      </c>
    </row>
    <row r="73" customFormat="1" customHeight="1" spans="1:121">
      <c r="A73" s="139"/>
      <c r="B73" t="s">
        <v>167</v>
      </c>
      <c r="C73">
        <v>1.4</v>
      </c>
      <c r="D73" s="37"/>
      <c r="E73" s="115" t="s">
        <v>131</v>
      </c>
      <c r="F73" s="116">
        <v>1</v>
      </c>
      <c r="G73" s="117"/>
      <c r="H73" s="103">
        <f>IF(VLOOKUP($E73,武器奇术!$A:$R,18,FALSE)="天工",AE73,(AE73+AT73+BI73+BX73+CM73+DB73+DQ73))*(1+J73)*F73*K73*(1+G73)</f>
        <v>13709.8928809123</v>
      </c>
      <c r="I73" s="104">
        <f t="shared" si="42"/>
        <v>0.00158006457693335</v>
      </c>
      <c r="J73" s="104">
        <f>$F$3+VLOOKUP($E73,武器奇术!$A:$R,12,FALSE)+VLOOKUP($E73,武器奇术!$A:$R,14,FALSE)*$G$3+$P73</f>
        <v>0.417</v>
      </c>
      <c r="K73" s="105">
        <f>VLOOKUP($E73,武器奇术!$A:$R,11,FALSE)</f>
        <v>1</v>
      </c>
      <c r="L73" s="119">
        <f>IF(VLOOKUP($E73,武器奇术!$A:$R,15,FALSE)="天工",0%,IF($C$17+VLOOKUP($E73,武器奇术!$A:$R,7,FALSE)&gt;80%,80%,$C$17+VLOOKUP($E73,武器奇术!$A:$R,7,FALSE))+IF($C$19&gt;20%,20%,$C$19))</f>
        <v>0.8703</v>
      </c>
      <c r="M73" s="120">
        <f>IF(VLOOKUP($E73,武器奇术!$A:$R,15,FALSE)="天工",0%,IF($C$18+VLOOKUP($E73,武器奇术!$A:$R,9,FALSE)&gt;40%,40%,$C$18+VLOOKUP($E73,武器奇术!$A:$R,9,FALSE))+IF($C$20&gt;10%,10%,$C$20))</f>
        <v>0.0986</v>
      </c>
      <c r="N73" s="121">
        <f>IF(VLOOKUP($E73,武器奇术!$A:$R,15,FALSE)="天工",100%,MIN($C$16,1))</f>
        <v>1</v>
      </c>
      <c r="O73" s="122" t="str">
        <f>VLOOKUP($E73,武器奇术!$A:$R,16,FALSE)</f>
        <v>扇</v>
      </c>
      <c r="P73" s="123">
        <f t="shared" si="44"/>
        <v>0.084</v>
      </c>
      <c r="Q73" s="110">
        <f>$B$5*(1+VLOOKUP($E73,武器奇术!$A:$R,5,FALSE))*(1+VLOOKUP($E73,武器奇术!$A:$S,19,FALSE)+IF($G$5="飞隼",0.1,0)+IF($G$5="撼天",0.05,0))-$F$9+IF($J$5="√",160,0)</f>
        <v>3081.85</v>
      </c>
      <c r="R73" s="102">
        <f>IF(VLOOKUP($E73,武器奇术!$A:$Z,18,FALSE)="叶龙",(S73-(Q73+S73)*0.5)*($G$15-0.5)*2+(Q73+S73)*0.5,(Q73+S73)*0.5)</f>
        <v>3161.85</v>
      </c>
      <c r="S73" s="102">
        <f>MAX($C$5,$B$5)*(1+VLOOKUP($E73,武器奇术!$A:$R,6,FALSE))*(1+VLOOKUP($E73,武器奇术!$A:$S,19,FALSE)+IF($G$5="飞隼",0.1,0)+IF($G$5="撼天",0.05,0))-$F$9+IF($J$5="√",320,0)</f>
        <v>3241.85</v>
      </c>
      <c r="T73" s="104">
        <f>IF(($D$5+VLOOKUP($E73,武器奇术!$A:$R,13,FALSE)+IF($I$3="√",10,0)-VLOOKUP($F$7,目标属性!$A:$R,5,FALSE))&gt;0,($D$5+VLOOKUP($E73,武器奇术!$A:$R,13,FALSE)+IF($I$3="√",10,0)-VLOOKUP($F$7,目标属性!$A:$R,5,FALSE))/200,($D$5+VLOOKUP($E73,武器奇术!$A:$R,13,FALSE)+IF($I$3="√",10,0)-VLOOKUP($F$7,目标属性!$A:$R,5,FALSE))/100)</f>
        <v>0.2675</v>
      </c>
      <c r="U73" s="111">
        <f>$E$5+IF($G$5="烟柳",IF(VLOOKUP($E73,武器奇术!$A:$T,20,FALSE)=1,0.1,0),0)</f>
        <v>0</v>
      </c>
      <c r="V73" s="102">
        <v>1</v>
      </c>
      <c r="W73" s="103">
        <f>Q73*VLOOKUP($E73,武器奇术!$A:$R,2,FALSE)*(1+T73)*(1+U73)*V73</f>
        <v>3619.526501175</v>
      </c>
      <c r="X73" s="104">
        <f>(1-IF(VLOOKUP($E73,武器奇术!$A:$R,18,FALSE)="叶龙",1,$N73))*(1-$M73)</f>
        <v>0</v>
      </c>
      <c r="Y73" s="103">
        <f>R73*VLOOKUP($E73,武器奇术!$A:$R,2,FALSE)*(1+T73)*(1+U73)*V73*(1+$E$16+VLOOKUP($E73,武器奇术!$A:$R,8,FALSE))</f>
        <v>6104.9672704917</v>
      </c>
      <c r="Z73" s="104">
        <f t="shared" si="33"/>
        <v>0.8703</v>
      </c>
      <c r="AA73" s="103">
        <f>S73*VLOOKUP($E73,武器奇术!$A:$R,2,FALSE)*(1+T73)*(1+U73)*V73*(1+$E$17+VLOOKUP($E73,武器奇术!$A:$R,10,FALSE))</f>
        <v>5140.04532458625</v>
      </c>
      <c r="AB73" s="104">
        <f t="shared" si="34"/>
        <v>0.0986</v>
      </c>
      <c r="AC73" s="103">
        <f>R73*VLOOKUP($E73,武器奇术!$A:$R,2,FALSE)*(1+T73)*(1+U73)*V73</f>
        <v>3713.483741175</v>
      </c>
      <c r="AD73" s="104">
        <f t="shared" si="35"/>
        <v>0.0311</v>
      </c>
      <c r="AE73" s="112">
        <f t="shared" si="36"/>
        <v>5935.45082886367</v>
      </c>
      <c r="AF73" s="113">
        <f>VLOOKUP($E73,武器奇术!$A:$R,3,FALSE)*(1+IF(VLOOKUP($E73,武器奇术!$A:$R,15,FALSE)="武器",$E$15,0))</f>
        <v>279.5</v>
      </c>
      <c r="AG73" s="103">
        <f t="shared" si="1"/>
        <v>279.5</v>
      </c>
      <c r="AH73" s="103">
        <f>VLOOKUP($E73,武器奇术!$A:$R,3,FALSE)*(1+IF(VLOOKUP($E73,武器奇术!$A:$R,15,FALSE)="武器",$E$15,0))</f>
        <v>279.5</v>
      </c>
      <c r="AI73" s="104">
        <f>IF(($D$5+VLOOKUP($E73,武器奇术!$A:$R,13,FALSE)+IF($I$3="√",10,0)-VLOOKUP($F$7,目标属性!$A:$R,5,FALSE))&gt;0,($D$5+VLOOKUP($E73,武器奇术!$A:$R,13,FALSE)+IF($I$3="√",10,0)-VLOOKUP($F$7,目标属性!$A:$R,5,FALSE))/200,($D$5+VLOOKUP($E73,武器奇术!$A:$R,13,FALSE)+IF($I$3="√",10,0)-VLOOKUP($F$7,目标属性!$A:$R,5,FALSE))/100)</f>
        <v>0.2675</v>
      </c>
      <c r="AJ73" s="111">
        <f>$E$5+IF($G$5="烟柳",IF(VLOOKUP($E73,武器奇术!$A:$T,20,FALSE)=1,0.1,0),0)</f>
        <v>0</v>
      </c>
      <c r="AK73" s="102">
        <v>1</v>
      </c>
      <c r="AL73" s="103">
        <f t="shared" si="45"/>
        <v>354.26625</v>
      </c>
      <c r="AM73" s="104">
        <f>(1-IF(VLOOKUP($E73,武器奇术!$A:$R,18,FALSE)="叶龙",1,$N73))*(1-$M73)</f>
        <v>0</v>
      </c>
      <c r="AN73" s="103">
        <f>AG73*(1+AI73)*(1+AJ73)*AK73*(1+$E$16+VLOOKUP($E73,武器奇术!$A:$R,8,FALSE))</f>
        <v>582.413715</v>
      </c>
      <c r="AO73" s="104">
        <f t="shared" si="2"/>
        <v>0.8703</v>
      </c>
      <c r="AP73" s="103">
        <f>AH73*(1+AI73)*(1+AJ73)*AK73*(1+$E$17+VLOOKUP($E73,武器奇术!$A:$R,10,FALSE))</f>
        <v>478.2594375</v>
      </c>
      <c r="AQ73" s="104">
        <f t="shared" si="3"/>
        <v>0.0986</v>
      </c>
      <c r="AR73" s="103">
        <f t="shared" si="38"/>
        <v>354.26625</v>
      </c>
      <c r="AS73" s="104">
        <f t="shared" si="4"/>
        <v>0.0311</v>
      </c>
      <c r="AT73" s="112">
        <f t="shared" si="5"/>
        <v>565.048717077</v>
      </c>
      <c r="AU73" s="110">
        <f>$B$7*IF($G$5="撼天",1.05,1)+IF(AND(VLOOKUP($E73,武器奇术!$A:$R,15,FALSE)="武器",VLOOKUP($E73,武器奇术!$A:$R,17,FALSE)="鸣金"),$E$3*(1+$E$15),0)</f>
        <v>0</v>
      </c>
      <c r="AV73" s="102">
        <f t="shared" si="6"/>
        <v>0</v>
      </c>
      <c r="AW73" s="102">
        <f>MAX($C$7*IF($G$5="撼天",1.05,1)+IF(AND(VLOOKUP($E73,武器奇术!$A:$R,15,FALSE)="武器",VLOOKUP($E73,武器奇术!$A:$R,17,FALSE)="鸣金"),$E$3*(1+$E$15),0),AU73)</f>
        <v>0</v>
      </c>
      <c r="AX73" s="104">
        <f>IF(($D$7+IF(VLOOKUP($E73,武器奇术!$A:$R,17,FALSE)="鸣金",$D$15,0)-VLOOKUP($F$7,目标属性!$A:$R,6,FALSE))&gt;0,($D$7+IF(VLOOKUP($E73,武器奇术!$A:$R,17,FALSE)="鸣金",$D$15,0)-VLOOKUP($F$7,目标属性!$A:$R,6,FALSE))/200,($D$7+IF(VLOOKUP($E73,武器奇术!$A:$R,17,FALSE)="鸣金",$D$15,0)-VLOOKUP($F$7,目标属性!$A:$R,6,FALSE))/100)</f>
        <v>-0.24</v>
      </c>
      <c r="AY73" s="111">
        <f t="shared" si="7"/>
        <v>0</v>
      </c>
      <c r="AZ73" s="102">
        <v>1</v>
      </c>
      <c r="BA73" s="103">
        <f>AU73*IF(VLOOKUP($E73,武器奇术!$A:$R,17,FALSE)="鸣金",VLOOKUP($E73,武器奇术!$A:$R,4,FALSE),VLOOKUP($E73,武器奇术!$A:$R,2,FALSE))*(1+AX73)*(1+AY73)*AZ73</f>
        <v>0</v>
      </c>
      <c r="BB73" s="104">
        <f>(1-IF(VLOOKUP($E73,武器奇术!$A:$R,18,FALSE)="叶龙",1,$N73))*(1-$M73)</f>
        <v>0</v>
      </c>
      <c r="BC73" s="103">
        <f>AV73*IF(VLOOKUP($E73,武器奇术!$A:$R,17,FALSE)="鸣金",VLOOKUP($E73,武器奇术!$A:$R,4,FALSE),VLOOKUP($E73,武器奇术!$A:$R,2,FALSE))*(1+AX73)*(1+AY73)*AZ73*(1+$E$16+VLOOKUP($E73,武器奇术!$A:$R,8,FALSE))</f>
        <v>0</v>
      </c>
      <c r="BD73" s="104">
        <f t="shared" si="8"/>
        <v>0.8703</v>
      </c>
      <c r="BE73" s="103">
        <f>AW73*IF(VLOOKUP($E73,武器奇术!$A:$R,17,FALSE)="鸣金",VLOOKUP($E73,武器奇术!$A:$R,4,FALSE),VLOOKUP($E73,武器奇术!$A:$R,2,FALSE))*(1+AX73)*(1+AY73)*AZ73*(1+$E$17+VLOOKUP($E73,武器奇术!$A:$R,10,FALSE))</f>
        <v>0</v>
      </c>
      <c r="BF73" s="104">
        <f t="shared" si="9"/>
        <v>0.0986</v>
      </c>
      <c r="BG73" s="103">
        <f>AV73*IF(VLOOKUP($E73,武器奇术!$A:$R,17,FALSE)="鸣金",VLOOKUP($E73,武器奇术!$A:$R,4,FALSE),VLOOKUP($E73,武器奇术!$A:$R,2,FALSE))*(1+AX73)*(1+AY73)*AZ73</f>
        <v>0</v>
      </c>
      <c r="BH73" s="104">
        <f t="shared" si="10"/>
        <v>0.0311</v>
      </c>
      <c r="BI73" s="112">
        <f t="shared" si="11"/>
        <v>0</v>
      </c>
      <c r="BJ73" s="110">
        <f>$B$9*IF($G$5="撼天",1.05,1)+IF(AND(VLOOKUP($E73,武器奇术!$A:$R,15,FALSE)="武器",VLOOKUP($E73,武器奇术!$A:$R,17,FALSE)="裂石"),$E$3*(1+$E$15),0)</f>
        <v>0</v>
      </c>
      <c r="BK73" s="102">
        <f t="shared" si="12"/>
        <v>0</v>
      </c>
      <c r="BL73" s="102">
        <f>MAX($C$9*IF($G$5="撼天",1.05,1)+IF(AND(VLOOKUP($E73,武器奇术!$A:$R,15,FALSE)="武器",VLOOKUP($E73,武器奇术!$A:$R,17,FALSE)="裂石"),$E$3*(1+$E$15),0),BJ73)</f>
        <v>0</v>
      </c>
      <c r="BM73" s="104">
        <f>IF(($D$9+IF(VLOOKUP($E73,武器奇术!$A:$R,17,FALSE)="裂石",$D$15,0)-VLOOKUP($F$7,目标属性!$A:$R,6,FALSE))&gt;0,($D$9+IF(VLOOKUP($E73,武器奇术!$A:$R,17,FALSE)="裂石",$D$15,0)-VLOOKUP($F$7,目标属性!$A:$R,6,FALSE))/200,($D$9+IF(VLOOKUP($E73,武器奇术!$A:$R,17,FALSE)="裂石",$D$15,0)-VLOOKUP($F$7,目标属性!$A:$R,6,FALSE))/100)</f>
        <v>-0.24</v>
      </c>
      <c r="BN73" s="111">
        <f t="shared" si="13"/>
        <v>0</v>
      </c>
      <c r="BO73" s="102">
        <v>1</v>
      </c>
      <c r="BP73" s="103">
        <f>BJ73*IF(VLOOKUP($E73,武器奇术!$A:$R,17,FALSE)="裂石",VLOOKUP($E73,武器奇术!$A:$R,4,FALSE),VLOOKUP($E73,武器奇术!$A:$R,2,FALSE))*(1+BM73)*(1+BN73)*BO73</f>
        <v>0</v>
      </c>
      <c r="BQ73" s="104">
        <f>(1-IF(VLOOKUP($E73,武器奇术!$A:$R,18,FALSE)="叶龙",1,$N73))*(1-$M73)</f>
        <v>0</v>
      </c>
      <c r="BR73" s="103">
        <f>BK73*IF(VLOOKUP($E73,武器奇术!$A:$R,17,FALSE)="裂石",VLOOKUP($E73,武器奇术!$A:$R,4,FALSE),VLOOKUP($E73,武器奇术!$A:$R,2,FALSE))*(1+BM73)*(1+BN73)*BO73*(1+$E$16+VLOOKUP($E73,武器奇术!$A:$R,8,FALSE))</f>
        <v>0</v>
      </c>
      <c r="BS73" s="104">
        <f t="shared" si="14"/>
        <v>0.8703</v>
      </c>
      <c r="BT73" s="103">
        <f>BL73*IF(VLOOKUP($E73,武器奇术!$A:$R,17,FALSE)="裂石",VLOOKUP($E73,武器奇术!$A:$R,4,FALSE),VLOOKUP($E73,武器奇术!$A:$R,2,FALSE))*(1+BM73)*(1+BN73)*BO73*(1+$E$17+VLOOKUP($E73,武器奇术!$A:$R,10,FALSE))</f>
        <v>0</v>
      </c>
      <c r="BU73" s="104">
        <f t="shared" si="15"/>
        <v>0.0986</v>
      </c>
      <c r="BV73" s="103">
        <f>BK73*IF(VLOOKUP($E73,武器奇术!$A:$R,17,FALSE)="裂石",VLOOKUP($E73,武器奇术!$A:$R,4,FALSE),VLOOKUP($E73,武器奇术!$A:$R,2,FALSE))*(1+BM73)*(1+BN73)*BO73</f>
        <v>0</v>
      </c>
      <c r="BW73" s="104">
        <f t="shared" si="16"/>
        <v>0.0311</v>
      </c>
      <c r="BX73" s="112">
        <f t="shared" si="17"/>
        <v>0</v>
      </c>
      <c r="BY73" s="110">
        <f>$B$11*IF($G$5="撼天",1.05,1)+IF(AND(VLOOKUP($E73,武器奇术!$A:$R,15,FALSE)="武器",VLOOKUP($E73,武器奇术!$A:$R,17,FALSE)="牵丝"),$E$3*(1+$E$15),0)</f>
        <v>686.71</v>
      </c>
      <c r="BZ73" s="102">
        <f>IF(VLOOKUP($E73,武器奇术!$A:$Z,18,FALSE)="叶龙",(CA73-(BY73+CA73)*0.5)*($G$15-0.5)*2+(BY73+CA73)*0.5,(BY73+CA73)*0.5)</f>
        <v>1052.21</v>
      </c>
      <c r="CA73" s="102">
        <f>MAX($C$11*IF($G$5="撼天",1.05,1)+IF(AND(VLOOKUP($E73,武器奇术!$A:$R,15,FALSE)="武器",VLOOKUP($E73,武器奇术!$A:$R,17,FALSE)="牵丝"),$E$3*(1+$E$15),0),BY73)</f>
        <v>1417.71</v>
      </c>
      <c r="CB73" s="104">
        <f>IF(($D$11+IF(VLOOKUP($E73,武器奇术!$A:$R,17,FALSE)="牵丝",$D$15,0)-VLOOKUP($F$7,目标属性!$A:$R,6,FALSE))&gt;0,($D$11+IF(VLOOKUP($E73,武器奇术!$A:$R,17,FALSE)="牵丝",$D$15,0)-VLOOKUP($F$7,目标属性!$A:$R,6,FALSE))/200,($D$11+IF(VLOOKUP($E73,武器奇术!$A:$R,17,FALSE)="牵丝",$D$15,0)-VLOOKUP($F$7,目标属性!$A:$R,6,FALSE))/100)</f>
        <v>0.028</v>
      </c>
      <c r="CC73" s="111">
        <f>$E$11+IF($G$5="烟柳",IF(VLOOKUP($E73,武器奇术!$A:$T,20,FALSE)=1,0.1,0),0)</f>
        <v>0.148</v>
      </c>
      <c r="CD73" s="102">
        <v>1</v>
      </c>
      <c r="CE73" s="103">
        <f>BY73*IF(VLOOKUP($E73,武器奇术!$A:$R,17,FALSE)="牵丝",VLOOKUP($E73,武器奇术!$A:$R,4,FALSE),VLOOKUP($E73,武器奇术!$A:$R,2,FALSE))*(1+CB73)*(1+CC73)*CD73</f>
        <v>1126.39815220498</v>
      </c>
      <c r="CF73" s="104">
        <f>(1-IF(VLOOKUP($E73,武器奇术!$A:$R,18,FALSE)="叶龙",1,$N73))*(1-$M73)</f>
        <v>0</v>
      </c>
      <c r="CG73" s="124">
        <f>BZ73*IF(VLOOKUP($E73,武器奇术!$A:$R,17,FALSE)="牵丝",VLOOKUP($E73,武器奇术!$A:$R,4,FALSE),VLOOKUP($E73,武器奇术!$A:$R,2,FALSE))*(1+CB73)*(1+CC73)*CD73*(1+$E$16+VLOOKUP($E73,武器奇术!$A:$R,8,FALSE))</f>
        <v>2837.4145784374</v>
      </c>
      <c r="CH73" s="104">
        <f t="shared" si="18"/>
        <v>0.8703</v>
      </c>
      <c r="CI73" s="103">
        <f>CA73*IF(VLOOKUP($E73,武器奇术!$A:$R,17,FALSE)="牵丝",VLOOKUP($E73,武器奇术!$A:$R,4,FALSE),VLOOKUP($E73,武器奇术!$A:$R,2,FALSE))*(1+CB73)*(1+CC73)*CD73*(1+$E$17+VLOOKUP($E73,武器奇术!$A:$R,10,FALSE))</f>
        <v>3139.34994086208</v>
      </c>
      <c r="CJ73" s="104">
        <f t="shared" si="19"/>
        <v>0.0986</v>
      </c>
      <c r="CK73" s="124">
        <f>BZ73*IF(VLOOKUP($E73,武器奇术!$A:$R,17,FALSE)="牵丝",VLOOKUP($E73,武器奇术!$A:$R,4,FALSE),VLOOKUP($E73,武器奇术!$A:$R,2,FALSE))*(1+CB73)*(1+CC73)*CD73</f>
        <v>1725.92127642178</v>
      </c>
      <c r="CL73" s="104">
        <f t="shared" si="20"/>
        <v>0.0311</v>
      </c>
      <c r="CM73" s="112">
        <f t="shared" si="39"/>
        <v>2832.61796347979</v>
      </c>
      <c r="CN73" s="110">
        <f>$B$13*IF($G$5="撼天",1.05,1)+IF(AND(VLOOKUP($E73,武器奇术!$A:$R,15,FALSE)="武器",VLOOKUP($E73,武器奇术!$A:$R,17,FALSE)="破竹"),$E$3*(1+$E$15),0)</f>
        <v>0</v>
      </c>
      <c r="CO73" s="102">
        <f t="shared" si="21"/>
        <v>0</v>
      </c>
      <c r="CP73" s="102">
        <f>MAX($C$13*IF($G$5="撼天",1.05,1)+IF(AND(VLOOKUP($E73,武器奇术!$A:$R,15,FALSE)="武器",VLOOKUP($E73,武器奇术!$A:$R,17,FALSE)="破竹"),$E$3*(1+$E$15),0),CN73)</f>
        <v>0</v>
      </c>
      <c r="CQ73" s="104">
        <f>IF(($D$13+IF(VLOOKUP($E73,武器奇术!$A:$R,17,FALSE)="破竹",$D$15,0)-VLOOKUP($F$7,目标属性!$A:$R,6,FALSE))&gt;0,($D$13+IF(VLOOKUP($E73,武器奇术!$A:$R,17,FALSE)="破竹",$D$15,0)-VLOOKUP($F$7,目标属性!$A:$R,6,FALSE))/200,($D$13+IF(VLOOKUP($E73,武器奇术!$A:$R,17,FALSE)="破竹",$D$15,0)-VLOOKUP($F$7,目标属性!$A:$R,6,FALSE))/100)</f>
        <v>-0.24</v>
      </c>
      <c r="CR73" s="111">
        <f t="shared" si="22"/>
        <v>0</v>
      </c>
      <c r="CS73" s="102">
        <v>1</v>
      </c>
      <c r="CT73" s="103">
        <f>CN73*IF(VLOOKUP($E73,武器奇术!$A:$R,17,FALSE)="破竹",VLOOKUP($E73,武器奇术!$A:$R,4,FALSE),VLOOKUP($E73,武器奇术!$A:$R,2,FALSE))*(1+CQ73)*(1+CR73)*CS73</f>
        <v>0</v>
      </c>
      <c r="CU73" s="104">
        <f>(1-IF(VLOOKUP($E73,武器奇术!$A:$R,18,FALSE)="叶龙",1,$N73))*(1-$M73)</f>
        <v>0</v>
      </c>
      <c r="CV73" s="103">
        <f>CO73*IF(VLOOKUP($E73,武器奇术!$A:$R,17,FALSE)="破竹",VLOOKUP($E73,武器奇术!$A:$R,4,FALSE),VLOOKUP($E73,武器奇术!$A:$R,2,FALSE))*(1+CQ73)*(1+CR73)*CS73*(1+$E$16+VLOOKUP($E73,武器奇术!$A:$R,8,FALSE))</f>
        <v>0</v>
      </c>
      <c r="CW73" s="104">
        <f t="shared" si="23"/>
        <v>0.8703</v>
      </c>
      <c r="CX73" s="103">
        <f>CP73*IF(VLOOKUP($E73,武器奇术!$A:$R,17,FALSE)="破竹",VLOOKUP($E73,武器奇术!$A:$R,4,FALSE),VLOOKUP($E73,武器奇术!$A:$R,2,FALSE))*(1+CQ73)*(1+CR73)*CS73*(1+$E$17+VLOOKUP($E73,武器奇术!$A:$R,10,FALSE))</f>
        <v>0</v>
      </c>
      <c r="CY73" s="104">
        <f t="shared" si="24"/>
        <v>0.0986</v>
      </c>
      <c r="CZ73" s="103">
        <f>CO73*IF(VLOOKUP($E73,武器奇术!$A:$R,17,FALSE)="破竹",VLOOKUP($E73,武器奇术!$A:$R,4,FALSE),VLOOKUP($E73,武器奇术!$A:$R,2,FALSE))*(1+CQ73)*(1+CR73)*CS73</f>
        <v>0</v>
      </c>
      <c r="DA73" s="104">
        <f t="shared" si="25"/>
        <v>0.0311</v>
      </c>
      <c r="DB73" s="112">
        <f t="shared" si="26"/>
        <v>0</v>
      </c>
      <c r="DC73" s="110">
        <f t="shared" si="40"/>
        <v>66</v>
      </c>
      <c r="DD73" s="102">
        <f t="shared" si="27"/>
        <v>125.8</v>
      </c>
      <c r="DE73" s="102">
        <f t="shared" si="41"/>
        <v>185.6</v>
      </c>
      <c r="DF73" s="104">
        <f>IF((IF(VLOOKUP($E73,武器奇术!$A:$R,17,FALSE)="鸣金",$D$7,0)+IF(VLOOKUP($E73,武器奇术!$A:$R,17,FALSE)="裂石",$D$9,0)+IF(VLOOKUP($E73,武器奇术!$A:$R,17,FALSE)="牵丝",$D$11,0)+IF(VLOOKUP($E73,武器奇术!$A:$R,17,FALSE)="破竹",$D$13,0)+$D$15-VLOOKUP($F$7,目标属性!$A:$R,6,FALSE))&gt;0,(IF(VLOOKUP($E73,武器奇术!$A:$R,17,FALSE)="鸣金",$D$7,0)+IF(VLOOKUP($E73,武器奇术!$A:$R,17,FALSE)="裂石",$D$9,0)+IF(VLOOKUP($E73,武器奇术!$A:$R,17,FALSE)="牵丝",$D$11,0)+IF(VLOOKUP($E73,武器奇术!$A:$R,17,FALSE)="破竹",$D$13,0)+$D$15-VLOOKUP($F$7,目标属性!$A:$R,6,FALSE))/200,(IF(VLOOKUP($E73,武器奇术!$A:$R,17,FALSE)="鸣金",$D$7,0)+IF(VLOOKUP($E73,武器奇术!$A:$R,17,FALSE)="裂石",$D$9,0)+IF(VLOOKUP($E73,武器奇术!$A:$R,17,FALSE)="牵丝",$D$11,0)+IF(VLOOKUP($E73,武器奇术!$A:$R,17,FALSE)="破竹",$D$13,0)+$D$15-VLOOKUP($F$7,目标属性!$A:$R,6,FALSE))/100)</f>
        <v>0.028</v>
      </c>
      <c r="DG73" s="111">
        <f>$E$11+IF($G$5="烟柳",IF(VLOOKUP($E73,武器奇术!$A:$T,20,FALSE)=1,0.1,0),0)</f>
        <v>0.148</v>
      </c>
      <c r="DH73" s="102">
        <v>1</v>
      </c>
      <c r="DI73" s="103">
        <f>DC73*IF(VLOOKUP($E73,武器奇术!$A:$R,17,FALSE)="牵丝",VLOOKUP($E73,武器奇术!$A:$R,4,FALSE),VLOOKUP($E73,武器奇术!$A:$R,2,FALSE))*(1+DF73)*(1+DG73)*DH73</f>
        <v>108.2586216096</v>
      </c>
      <c r="DJ73" s="104">
        <f>(1-IF(VLOOKUP($E73,武器奇术!$A:$R,18,FALSE)="叶龙",1,$N73))*(1-$M73)</f>
        <v>0</v>
      </c>
      <c r="DK73" s="124">
        <f>DD73*IF(VLOOKUP($E73,武器奇术!$A:$R,17,FALSE)="牵丝",VLOOKUP($E73,武器奇术!$A:$R,4,FALSE),VLOOKUP($E73,武器奇术!$A:$R,2,FALSE))*(1+DF73)*(1+DG73)*DH73*(1+$E$16+VLOOKUP($E73,武器奇术!$A:$R,8,FALSE))</f>
        <v>339.235279998693</v>
      </c>
      <c r="DL73" s="104">
        <f t="shared" si="28"/>
        <v>0.8703</v>
      </c>
      <c r="DM73" s="103">
        <f>DE73*IF(VLOOKUP($E73,武器奇术!$A:$R,17,FALSE)="牵丝",VLOOKUP($E73,武器奇术!$A:$R,4,FALSE),VLOOKUP($E73,武器奇术!$A:$R,2,FALSE))*(1+DF73)*(1+DG73)*DH73*(1+$E$17+VLOOKUP($E73,武器奇术!$A:$R,10,FALSE))</f>
        <v>410.989094401536</v>
      </c>
      <c r="DN73" s="104">
        <f t="shared" si="29"/>
        <v>0.0986</v>
      </c>
      <c r="DO73" s="124">
        <f>DD73*IF(VLOOKUP($E73,武器奇术!$A:$R,17,FALSE)="牵丝",VLOOKUP($E73,武器奇术!$A:$R,4,FALSE),VLOOKUP($E73,武器奇术!$A:$R,2,FALSE))*(1+DF73)*(1+DG73)*DH73</f>
        <v>206.34749391648</v>
      </c>
      <c r="DP73" s="104">
        <f t="shared" si="30"/>
        <v>0.0311</v>
      </c>
      <c r="DQ73" s="112">
        <f t="shared" si="31"/>
        <v>342.177395951657</v>
      </c>
    </row>
    <row r="74" customFormat="1" customHeight="1" spans="1:121">
      <c r="A74" s="139"/>
      <c r="B74" s="139" t="s">
        <v>176</v>
      </c>
      <c r="C74" s="139">
        <v>2.5</v>
      </c>
      <c r="D74" s="139"/>
      <c r="E74" s="115" t="s">
        <v>177</v>
      </c>
      <c r="F74" s="116">
        <v>1</v>
      </c>
      <c r="G74" s="117"/>
      <c r="H74" s="103">
        <f>IF(VLOOKUP($E74,武器奇术!$A:$R,18,FALSE)="天工",AE74,(AE74+AT74+BI74+BX74+CM74+DB74+DQ74))*(1+J74)*F74*K74*(1+G74)</f>
        <v>95604.3149046996</v>
      </c>
      <c r="I74" s="104">
        <f t="shared" si="42"/>
        <v>0.0110183932649986</v>
      </c>
      <c r="J74" s="104">
        <f>$F$3+VLOOKUP($E74,武器奇术!$A:$R,12,FALSE)+VLOOKUP($E74,武器奇术!$A:$R,14,FALSE)*$G$3+$P74</f>
        <v>0.567</v>
      </c>
      <c r="K74" s="105">
        <f>VLOOKUP($E74,武器奇术!$A:$R,11,FALSE)</f>
        <v>1</v>
      </c>
      <c r="L74" s="119">
        <f>IF(VLOOKUP($E74,武器奇术!$A:$R,15,FALSE)="天工",0%,IF($C$17+VLOOKUP($E74,武器奇术!$A:$R,7,FALSE)&gt;80%,80%,$C$17+VLOOKUP($E74,武器奇术!$A:$R,7,FALSE))+IF($C$19&gt;20%,20%,$C$19))</f>
        <v>0.887</v>
      </c>
      <c r="M74" s="120">
        <f>IF(VLOOKUP($E74,武器奇术!$A:$R,15,FALSE)="天工",0%,IF($C$18+VLOOKUP($E74,武器奇术!$A:$R,9,FALSE)&gt;40%,40%,$C$18+VLOOKUP($E74,武器奇术!$A:$R,9,FALSE))+IF($C$20&gt;10%,10%,$C$20))</f>
        <v>0.0986</v>
      </c>
      <c r="N74" s="121">
        <f>IF(VLOOKUP($E74,武器奇术!$A:$R,15,FALSE)="天工",100%,MIN($C$16,1))</f>
        <v>1</v>
      </c>
      <c r="O74" s="122" t="str">
        <f>VLOOKUP($E74,武器奇术!$A:$R,16,FALSE)</f>
        <v>扇</v>
      </c>
      <c r="P74" s="123">
        <f t="shared" si="44"/>
        <v>0.084</v>
      </c>
      <c r="Q74" s="110">
        <f>$B$5*(1+VLOOKUP($E74,武器奇术!$A:$R,5,FALSE))*(1+VLOOKUP($E74,武器奇术!$A:$S,19,FALSE)+IF($G$5="飞隼",0.1,0)+IF($G$5="撼天",0.05,0))-$F$9+IF($J$5="√",160,0)</f>
        <v>3081.85</v>
      </c>
      <c r="R74" s="102">
        <f>IF(VLOOKUP($E74,武器奇术!$A:$Z,18,FALSE)="叶龙",(S74-(Q74+S74)*0.5)*($G$15-0.5)*2+(Q74+S74)*0.5,(Q74+S74)*0.5)</f>
        <v>3161.85</v>
      </c>
      <c r="S74" s="102">
        <f>MAX($C$5,$B$5)*(1+VLOOKUP($E74,武器奇术!$A:$R,6,FALSE))*(1+VLOOKUP($E74,武器奇术!$A:$S,19,FALSE)+IF($G$5="飞隼",0.1,0)+IF($G$5="撼天",0.05,0))-$F$9+IF($J$5="√",320,0)</f>
        <v>3241.85</v>
      </c>
      <c r="T74" s="104">
        <f>IF(($D$5+VLOOKUP($E74,武器奇术!$A:$R,13,FALSE)+IF($I$3="√",10,0)-VLOOKUP($F$7,目标属性!$A:$R,5,FALSE))&gt;0,($D$5+VLOOKUP($E74,武器奇术!$A:$R,13,FALSE)+IF($I$3="√",10,0)-VLOOKUP($F$7,目标属性!$A:$R,5,FALSE))/200,($D$5+VLOOKUP($E74,武器奇术!$A:$R,13,FALSE)+IF($I$3="√",10,0)-VLOOKUP($F$7,目标属性!$A:$R,5,FALSE))/100)</f>
        <v>0.2675</v>
      </c>
      <c r="U74" s="111">
        <f>$E$5+IF($G$5="烟柳",IF(VLOOKUP($E74,武器奇术!$A:$T,20,FALSE)=1,0.1,0),0)</f>
        <v>0.1</v>
      </c>
      <c r="V74" s="102">
        <v>1</v>
      </c>
      <c r="W74" s="103">
        <f>Q74*VLOOKUP($E74,武器奇术!$A:$R,2,FALSE)*(1+T74)*(1+U74)*V74</f>
        <v>18806.6452475241</v>
      </c>
      <c r="X74" s="104">
        <f>(1-IF(VLOOKUP($E74,武器奇术!$A:$R,18,FALSE)="叶龙",1,$N74))*(1-$M74)</f>
        <v>0</v>
      </c>
      <c r="Y74" s="103">
        <f>R74*VLOOKUP($E74,武器奇术!$A:$R,2,FALSE)*(1+T74)*(1+U74)*V74*(1+$E$16+VLOOKUP($E74,武器奇术!$A:$R,8,FALSE))</f>
        <v>38666.8519612802</v>
      </c>
      <c r="Z74" s="104">
        <f t="shared" si="33"/>
        <v>0.887</v>
      </c>
      <c r="AA74" s="103">
        <f>S74*VLOOKUP($E74,武器奇术!$A:$R,2,FALSE)*(1+T74)*(1+U74)*V74*(1+$E$17+VLOOKUP($E74,武器奇术!$A:$R,10,FALSE))</f>
        <v>26707.0869475075</v>
      </c>
      <c r="AB74" s="104">
        <f t="shared" si="34"/>
        <v>0.0986</v>
      </c>
      <c r="AC74" s="103">
        <f>R74*VLOOKUP($E74,武器奇术!$A:$R,2,FALSE)*(1+T74)*(1+U74)*V74</f>
        <v>19294.8363080241</v>
      </c>
      <c r="AD74" s="104">
        <f t="shared" si="35"/>
        <v>0.0144</v>
      </c>
      <c r="AE74" s="112">
        <f t="shared" si="36"/>
        <v>37208.6621055154</v>
      </c>
      <c r="AF74" s="113">
        <f>VLOOKUP($E74,武器奇术!$A:$R,3,FALSE)*(1+IF(VLOOKUP($E74,武器奇术!$A:$R,15,FALSE)="武器",$E$15,0))</f>
        <v>1573.975</v>
      </c>
      <c r="AG74" s="103">
        <f t="shared" si="1"/>
        <v>1573.975</v>
      </c>
      <c r="AH74" s="103">
        <f>VLOOKUP($E74,武器奇术!$A:$R,3,FALSE)*(1+IF(VLOOKUP($E74,武器奇术!$A:$R,15,FALSE)="武器",$E$15,0))</f>
        <v>1573.975</v>
      </c>
      <c r="AI74" s="104">
        <f>IF(($D$5+VLOOKUP($E74,武器奇术!$A:$R,13,FALSE)+IF($I$3="√",10,0)-VLOOKUP($F$7,目标属性!$A:$R,5,FALSE))&gt;0,($D$5+VLOOKUP($E74,武器奇术!$A:$R,13,FALSE)+IF($I$3="√",10,0)-VLOOKUP($F$7,目标属性!$A:$R,5,FALSE))/200,($D$5+VLOOKUP($E74,武器奇术!$A:$R,13,FALSE)+IF($I$3="√",10,0)-VLOOKUP($F$7,目标属性!$A:$R,5,FALSE))/100)</f>
        <v>0.2675</v>
      </c>
      <c r="AJ74" s="111">
        <f>$E$5+IF($G$5="烟柳",IF(VLOOKUP($E74,武器奇术!$A:$T,20,FALSE)=1,0.1,0),0)</f>
        <v>0.1</v>
      </c>
      <c r="AK74" s="102">
        <v>1</v>
      </c>
      <c r="AL74" s="103">
        <f t="shared" si="45"/>
        <v>2194.51464375</v>
      </c>
      <c r="AM74" s="104">
        <f>(1-IF(VLOOKUP($E74,武器奇术!$A:$R,18,FALSE)="叶龙",1,$N74))*(1-$M74)</f>
        <v>0</v>
      </c>
      <c r="AN74" s="103">
        <f>AG74*(1+AI74)*(1+AJ74)*AK74*(1+$E$16+VLOOKUP($E74,武器奇术!$A:$R,8,FALSE))</f>
        <v>4397.807346075</v>
      </c>
      <c r="AO74" s="104">
        <f t="shared" si="2"/>
        <v>0.887</v>
      </c>
      <c r="AP74" s="103">
        <f>AH74*(1+AI74)*(1+AJ74)*AK74*(1+$E$17+VLOOKUP($E74,武器奇术!$A:$R,10,FALSE))</f>
        <v>2962.5947690625</v>
      </c>
      <c r="AQ74" s="104">
        <f t="shared" si="3"/>
        <v>0.0986</v>
      </c>
      <c r="AR74" s="103">
        <f t="shared" si="38"/>
        <v>2194.51464375</v>
      </c>
      <c r="AS74" s="104">
        <f t="shared" si="4"/>
        <v>0.0144</v>
      </c>
      <c r="AT74" s="112">
        <f t="shared" si="5"/>
        <v>4224.56797106809</v>
      </c>
      <c r="AU74" s="110">
        <f>$B$7*IF($G$5="撼天",1.05,1)+IF(AND(VLOOKUP($E74,武器奇术!$A:$R,15,FALSE)="武器",VLOOKUP($E74,武器奇术!$A:$R,17,FALSE)="鸣金"),$E$3*(1+$E$15),0)</f>
        <v>0</v>
      </c>
      <c r="AV74" s="102">
        <f t="shared" si="6"/>
        <v>0</v>
      </c>
      <c r="AW74" s="102">
        <f>MAX($C$7*IF($G$5="撼天",1.05,1)+IF(AND(VLOOKUP($E74,武器奇术!$A:$R,15,FALSE)="武器",VLOOKUP($E74,武器奇术!$A:$R,17,FALSE)="鸣金"),$E$3*(1+$E$15),0),AU74)</f>
        <v>0</v>
      </c>
      <c r="AX74" s="104">
        <f>IF(($D$7+IF(VLOOKUP($E74,武器奇术!$A:$R,17,FALSE)="鸣金",$D$15,0)-VLOOKUP($F$7,目标属性!$A:$R,6,FALSE))&gt;0,($D$7+IF(VLOOKUP($E74,武器奇术!$A:$R,17,FALSE)="鸣金",$D$15,0)-VLOOKUP($F$7,目标属性!$A:$R,6,FALSE))/200,($D$7+IF(VLOOKUP($E74,武器奇术!$A:$R,17,FALSE)="鸣金",$D$15,0)-VLOOKUP($F$7,目标属性!$A:$R,6,FALSE))/100)</f>
        <v>-0.24</v>
      </c>
      <c r="AY74" s="111">
        <f t="shared" si="7"/>
        <v>0</v>
      </c>
      <c r="AZ74" s="102">
        <v>1</v>
      </c>
      <c r="BA74" s="103">
        <f>AU74*IF(VLOOKUP($E74,武器奇术!$A:$R,17,FALSE)="鸣金",VLOOKUP($E74,武器奇术!$A:$R,4,FALSE),VLOOKUP($E74,武器奇术!$A:$R,2,FALSE))*(1+AX74)*(1+AY74)*AZ74</f>
        <v>0</v>
      </c>
      <c r="BB74" s="104">
        <f>(1-IF(VLOOKUP($E74,武器奇术!$A:$R,18,FALSE)="叶龙",1,$N74))*(1-$M74)</f>
        <v>0</v>
      </c>
      <c r="BC74" s="103">
        <f>AV74*IF(VLOOKUP($E74,武器奇术!$A:$R,17,FALSE)="鸣金",VLOOKUP($E74,武器奇术!$A:$R,4,FALSE),VLOOKUP($E74,武器奇术!$A:$R,2,FALSE))*(1+AX74)*(1+AY74)*AZ74*(1+$E$16+VLOOKUP($E74,武器奇术!$A:$R,8,FALSE))</f>
        <v>0</v>
      </c>
      <c r="BD74" s="104">
        <f t="shared" si="8"/>
        <v>0.887</v>
      </c>
      <c r="BE74" s="103">
        <f>AW74*IF(VLOOKUP($E74,武器奇术!$A:$R,17,FALSE)="鸣金",VLOOKUP($E74,武器奇术!$A:$R,4,FALSE),VLOOKUP($E74,武器奇术!$A:$R,2,FALSE))*(1+AX74)*(1+AY74)*AZ74*(1+$E$17+VLOOKUP($E74,武器奇术!$A:$R,10,FALSE))</f>
        <v>0</v>
      </c>
      <c r="BF74" s="104">
        <f t="shared" si="9"/>
        <v>0.0986</v>
      </c>
      <c r="BG74" s="103">
        <f>AV74*IF(VLOOKUP($E74,武器奇术!$A:$R,17,FALSE)="鸣金",VLOOKUP($E74,武器奇术!$A:$R,4,FALSE),VLOOKUP($E74,武器奇术!$A:$R,2,FALSE))*(1+AX74)*(1+AY74)*AZ74</f>
        <v>0</v>
      </c>
      <c r="BH74" s="104">
        <f t="shared" si="10"/>
        <v>0.0144</v>
      </c>
      <c r="BI74" s="112">
        <f t="shared" si="11"/>
        <v>0</v>
      </c>
      <c r="BJ74" s="110">
        <f>$B$9*IF($G$5="撼天",1.05,1)+IF(AND(VLOOKUP($E74,武器奇术!$A:$R,15,FALSE)="武器",VLOOKUP($E74,武器奇术!$A:$R,17,FALSE)="裂石"),$E$3*(1+$E$15),0)</f>
        <v>0</v>
      </c>
      <c r="BK74" s="102">
        <f t="shared" si="12"/>
        <v>0</v>
      </c>
      <c r="BL74" s="102">
        <f>MAX($C$9*IF($G$5="撼天",1.05,1)+IF(AND(VLOOKUP($E74,武器奇术!$A:$R,15,FALSE)="武器",VLOOKUP($E74,武器奇术!$A:$R,17,FALSE)="裂石"),$E$3*(1+$E$15),0),BJ74)</f>
        <v>0</v>
      </c>
      <c r="BM74" s="104">
        <f>IF(($D$9+IF(VLOOKUP($E74,武器奇术!$A:$R,17,FALSE)="裂石",$D$15,0)-VLOOKUP($F$7,目标属性!$A:$R,6,FALSE))&gt;0,($D$9+IF(VLOOKUP($E74,武器奇术!$A:$R,17,FALSE)="裂石",$D$15,0)-VLOOKUP($F$7,目标属性!$A:$R,6,FALSE))/200,($D$9+IF(VLOOKUP($E74,武器奇术!$A:$R,17,FALSE)="裂石",$D$15,0)-VLOOKUP($F$7,目标属性!$A:$R,6,FALSE))/100)</f>
        <v>-0.24</v>
      </c>
      <c r="BN74" s="111">
        <f t="shared" si="13"/>
        <v>0</v>
      </c>
      <c r="BO74" s="102">
        <v>1</v>
      </c>
      <c r="BP74" s="103">
        <f>BJ74*IF(VLOOKUP($E74,武器奇术!$A:$R,17,FALSE)="裂石",VLOOKUP($E74,武器奇术!$A:$R,4,FALSE),VLOOKUP($E74,武器奇术!$A:$R,2,FALSE))*(1+BM74)*(1+BN74)*BO74</f>
        <v>0</v>
      </c>
      <c r="BQ74" s="104">
        <f>(1-IF(VLOOKUP($E74,武器奇术!$A:$R,18,FALSE)="叶龙",1,$N74))*(1-$M74)</f>
        <v>0</v>
      </c>
      <c r="BR74" s="103">
        <f>BK74*IF(VLOOKUP($E74,武器奇术!$A:$R,17,FALSE)="裂石",VLOOKUP($E74,武器奇术!$A:$R,4,FALSE),VLOOKUP($E74,武器奇术!$A:$R,2,FALSE))*(1+BM74)*(1+BN74)*BO74*(1+$E$16+VLOOKUP($E74,武器奇术!$A:$R,8,FALSE))</f>
        <v>0</v>
      </c>
      <c r="BS74" s="104">
        <f t="shared" si="14"/>
        <v>0.887</v>
      </c>
      <c r="BT74" s="103">
        <f>BL74*IF(VLOOKUP($E74,武器奇术!$A:$R,17,FALSE)="裂石",VLOOKUP($E74,武器奇术!$A:$R,4,FALSE),VLOOKUP($E74,武器奇术!$A:$R,2,FALSE))*(1+BM74)*(1+BN74)*BO74*(1+$E$17+VLOOKUP($E74,武器奇术!$A:$R,10,FALSE))</f>
        <v>0</v>
      </c>
      <c r="BU74" s="104">
        <f t="shared" si="15"/>
        <v>0.0986</v>
      </c>
      <c r="BV74" s="103">
        <f>BK74*IF(VLOOKUP($E74,武器奇术!$A:$R,17,FALSE)="裂石",VLOOKUP($E74,武器奇术!$A:$R,4,FALSE),VLOOKUP($E74,武器奇术!$A:$R,2,FALSE))*(1+BM74)*(1+BN74)*BO74</f>
        <v>0</v>
      </c>
      <c r="BW74" s="104">
        <f t="shared" si="16"/>
        <v>0.0144</v>
      </c>
      <c r="BX74" s="112">
        <f t="shared" si="17"/>
        <v>0</v>
      </c>
      <c r="BY74" s="110">
        <f>$B$11*IF($G$5="撼天",1.05,1)+IF(AND(VLOOKUP($E74,武器奇术!$A:$R,15,FALSE)="武器",VLOOKUP($E74,武器奇术!$A:$R,17,FALSE)="牵丝"),$E$3*(1+$E$15),0)</f>
        <v>686.71</v>
      </c>
      <c r="BZ74" s="102">
        <f>IF(VLOOKUP($E74,武器奇术!$A:$Z,18,FALSE)="叶龙",(CA74-(BY74+CA74)*0.5)*($G$15-0.5)*2+(BY74+CA74)*0.5,(BY74+CA74)*0.5)</f>
        <v>1052.21</v>
      </c>
      <c r="CA74" s="102">
        <f>MAX($C$11*IF($G$5="撼天",1.05,1)+IF(AND(VLOOKUP($E74,武器奇术!$A:$R,15,FALSE)="武器",VLOOKUP($E74,武器奇术!$A:$R,17,FALSE)="牵丝"),$E$3*(1+$E$15),0),BY74)</f>
        <v>1417.71</v>
      </c>
      <c r="CB74" s="104">
        <f>IF(($D$11+IF(VLOOKUP($E74,武器奇术!$A:$R,17,FALSE)="牵丝",$D$15,0)-VLOOKUP($F$7,目标属性!$A:$R,6,FALSE))&gt;0,($D$11+IF(VLOOKUP($E74,武器奇术!$A:$R,17,FALSE)="牵丝",$D$15,0)-VLOOKUP($F$7,目标属性!$A:$R,6,FALSE))/200,($D$11+IF(VLOOKUP($E74,武器奇术!$A:$R,17,FALSE)="牵丝",$D$15,0)-VLOOKUP($F$7,目标属性!$A:$R,6,FALSE))/100)</f>
        <v>0.028</v>
      </c>
      <c r="CC74" s="111">
        <f>$E$11+IF($G$5="烟柳",IF(VLOOKUP($E74,武器奇术!$A:$T,20,FALSE)=1,0.1,0),0)</f>
        <v>0.248</v>
      </c>
      <c r="CD74" s="102">
        <v>1</v>
      </c>
      <c r="CE74" s="103">
        <f>BY74*IF(VLOOKUP($E74,武器奇术!$A:$R,17,FALSE)="牵丝",VLOOKUP($E74,武器奇术!$A:$R,4,FALSE),VLOOKUP($E74,武器奇术!$A:$R,2,FALSE))*(1+CB74)*(1+CC74)*CD74</f>
        <v>5784.10687663261</v>
      </c>
      <c r="CF74" s="104">
        <f>(1-IF(VLOOKUP($E74,武器奇术!$A:$R,18,FALSE)="叶龙",1,$N74))*(1-$M74)</f>
        <v>0</v>
      </c>
      <c r="CG74" s="124">
        <f>BZ74*IF(VLOOKUP($E74,武器奇术!$A:$R,17,FALSE)="牵丝",VLOOKUP($E74,武器奇术!$A:$R,4,FALSE),VLOOKUP($E74,武器奇术!$A:$R,2,FALSE))*(1+CB74)*(1+CC74)*CD74*(1+$E$16+VLOOKUP($E74,武器奇术!$A:$R,8,FALSE))</f>
        <v>17760.8227253278</v>
      </c>
      <c r="CH74" s="104">
        <f t="shared" si="18"/>
        <v>0.887</v>
      </c>
      <c r="CI74" s="103">
        <f>CA74*IF(VLOOKUP($E74,武器奇术!$A:$R,17,FALSE)="牵丝",VLOOKUP($E74,武器奇术!$A:$R,4,FALSE),VLOOKUP($E74,武器奇术!$A:$R,2,FALSE))*(1+CB74)*(1+CC74)*CD74*(1+$E$17+VLOOKUP($E74,武器奇术!$A:$R,10,FALSE))</f>
        <v>16120.7078913888</v>
      </c>
      <c r="CJ74" s="104">
        <f t="shared" si="19"/>
        <v>0.0986</v>
      </c>
      <c r="CK74" s="124">
        <f>BZ74*IF(VLOOKUP($E74,武器奇术!$A:$R,17,FALSE)="牵丝",VLOOKUP($E74,武器奇术!$A:$R,4,FALSE),VLOOKUP($E74,武器奇术!$A:$R,2,FALSE))*(1+CB74)*(1+CC74)*CD74</f>
        <v>8862.68599068254</v>
      </c>
      <c r="CL74" s="104">
        <f t="shared" si="20"/>
        <v>0.0144</v>
      </c>
      <c r="CM74" s="112">
        <f t="shared" si="39"/>
        <v>17470.9742337225</v>
      </c>
      <c r="CN74" s="110">
        <f>$B$13*IF($G$5="撼天",1.05,1)+IF(AND(VLOOKUP($E74,武器奇术!$A:$R,15,FALSE)="武器",VLOOKUP($E74,武器奇术!$A:$R,17,FALSE)="破竹"),$E$3*(1+$E$15),0)</f>
        <v>0</v>
      </c>
      <c r="CO74" s="102">
        <f t="shared" si="21"/>
        <v>0</v>
      </c>
      <c r="CP74" s="102">
        <f>MAX($C$13*IF($G$5="撼天",1.05,1)+IF(AND(VLOOKUP($E74,武器奇术!$A:$R,15,FALSE)="武器",VLOOKUP($E74,武器奇术!$A:$R,17,FALSE)="破竹"),$E$3*(1+$E$15),0),CN74)</f>
        <v>0</v>
      </c>
      <c r="CQ74" s="104">
        <f>IF(($D$13+IF(VLOOKUP($E74,武器奇术!$A:$R,17,FALSE)="破竹",$D$15,0)-VLOOKUP($F$7,目标属性!$A:$R,6,FALSE))&gt;0,($D$13+IF(VLOOKUP($E74,武器奇术!$A:$R,17,FALSE)="破竹",$D$15,0)-VLOOKUP($F$7,目标属性!$A:$R,6,FALSE))/200,($D$13+IF(VLOOKUP($E74,武器奇术!$A:$R,17,FALSE)="破竹",$D$15,0)-VLOOKUP($F$7,目标属性!$A:$R,6,FALSE))/100)</f>
        <v>-0.24</v>
      </c>
      <c r="CR74" s="111">
        <f t="shared" si="22"/>
        <v>0</v>
      </c>
      <c r="CS74" s="102">
        <v>1</v>
      </c>
      <c r="CT74" s="103">
        <f>CN74*IF(VLOOKUP($E74,武器奇术!$A:$R,17,FALSE)="破竹",VLOOKUP($E74,武器奇术!$A:$R,4,FALSE),VLOOKUP($E74,武器奇术!$A:$R,2,FALSE))*(1+CQ74)*(1+CR74)*CS74</f>
        <v>0</v>
      </c>
      <c r="CU74" s="104">
        <f>(1-IF(VLOOKUP($E74,武器奇术!$A:$R,18,FALSE)="叶龙",1,$N74))*(1-$M74)</f>
        <v>0</v>
      </c>
      <c r="CV74" s="103">
        <f>CO74*IF(VLOOKUP($E74,武器奇术!$A:$R,17,FALSE)="破竹",VLOOKUP($E74,武器奇术!$A:$R,4,FALSE),VLOOKUP($E74,武器奇术!$A:$R,2,FALSE))*(1+CQ74)*(1+CR74)*CS74*(1+$E$16+VLOOKUP($E74,武器奇术!$A:$R,8,FALSE))</f>
        <v>0</v>
      </c>
      <c r="CW74" s="104">
        <f t="shared" si="23"/>
        <v>0.887</v>
      </c>
      <c r="CX74" s="103">
        <f>CP74*IF(VLOOKUP($E74,武器奇术!$A:$R,17,FALSE)="破竹",VLOOKUP($E74,武器奇术!$A:$R,4,FALSE),VLOOKUP($E74,武器奇术!$A:$R,2,FALSE))*(1+CQ74)*(1+CR74)*CS74*(1+$E$17+VLOOKUP($E74,武器奇术!$A:$R,10,FALSE))</f>
        <v>0</v>
      </c>
      <c r="CY74" s="104">
        <f t="shared" si="24"/>
        <v>0.0986</v>
      </c>
      <c r="CZ74" s="103">
        <f>CO74*IF(VLOOKUP($E74,武器奇术!$A:$R,17,FALSE)="破竹",VLOOKUP($E74,武器奇术!$A:$R,4,FALSE),VLOOKUP($E74,武器奇术!$A:$R,2,FALSE))*(1+CQ74)*(1+CR74)*CS74</f>
        <v>0</v>
      </c>
      <c r="DA74" s="104">
        <f t="shared" si="25"/>
        <v>0.0144</v>
      </c>
      <c r="DB74" s="112">
        <f t="shared" si="26"/>
        <v>0</v>
      </c>
      <c r="DC74" s="110">
        <f t="shared" si="40"/>
        <v>66</v>
      </c>
      <c r="DD74" s="102">
        <f t="shared" si="27"/>
        <v>125.8</v>
      </c>
      <c r="DE74" s="102">
        <f t="shared" si="41"/>
        <v>185.6</v>
      </c>
      <c r="DF74" s="104">
        <f>IF((IF(VLOOKUP($E74,武器奇术!$A:$R,17,FALSE)="鸣金",$D$7,0)+IF(VLOOKUP($E74,武器奇术!$A:$R,17,FALSE)="裂石",$D$9,0)+IF(VLOOKUP($E74,武器奇术!$A:$R,17,FALSE)="牵丝",$D$11,0)+IF(VLOOKUP($E74,武器奇术!$A:$R,17,FALSE)="破竹",$D$13,0)+$D$15-VLOOKUP($F$7,目标属性!$A:$R,6,FALSE))&gt;0,(IF(VLOOKUP($E74,武器奇术!$A:$R,17,FALSE)="鸣金",$D$7,0)+IF(VLOOKUP($E74,武器奇术!$A:$R,17,FALSE)="裂石",$D$9,0)+IF(VLOOKUP($E74,武器奇术!$A:$R,17,FALSE)="牵丝",$D$11,0)+IF(VLOOKUP($E74,武器奇术!$A:$R,17,FALSE)="破竹",$D$13,0)+$D$15-VLOOKUP($F$7,目标属性!$A:$R,6,FALSE))/200,(IF(VLOOKUP($E74,武器奇术!$A:$R,17,FALSE)="鸣金",$D$7,0)+IF(VLOOKUP($E74,武器奇术!$A:$R,17,FALSE)="裂石",$D$9,0)+IF(VLOOKUP($E74,武器奇术!$A:$R,17,FALSE)="牵丝",$D$11,0)+IF(VLOOKUP($E74,武器奇术!$A:$R,17,FALSE)="破竹",$D$13,0)+$D$15-VLOOKUP($F$7,目标属性!$A:$R,6,FALSE))/100)</f>
        <v>0.028</v>
      </c>
      <c r="DG74" s="111">
        <f>$E$11+IF($G$5="烟柳",IF(VLOOKUP($E74,武器奇术!$A:$T,20,FALSE)=1,0.1,0),0)</f>
        <v>0.248</v>
      </c>
      <c r="DH74" s="102">
        <v>1</v>
      </c>
      <c r="DI74" s="103">
        <f>DC74*IF(VLOOKUP($E74,武器奇术!$A:$R,17,FALSE)="牵丝",VLOOKUP($E74,武器奇术!$A:$R,4,FALSE),VLOOKUP($E74,武器奇术!$A:$R,2,FALSE))*(1+DF74)*(1+DG74)*DH74</f>
        <v>555.91305479424</v>
      </c>
      <c r="DJ74" s="104">
        <f>(1-IF(VLOOKUP($E74,武器奇术!$A:$R,18,FALSE)="叶龙",1,$N74))*(1-$M74)</f>
        <v>0</v>
      </c>
      <c r="DK74" s="124">
        <f>DD74*IF(VLOOKUP($E74,武器奇术!$A:$R,17,FALSE)="牵丝",VLOOKUP($E74,武器奇术!$A:$R,4,FALSE),VLOOKUP($E74,武器奇术!$A:$R,2,FALSE))*(1+DF74)*(1+DG74)*DH74*(1+$E$16+VLOOKUP($E74,武器奇术!$A:$R,8,FALSE))</f>
        <v>2123.44636417278</v>
      </c>
      <c r="DL74" s="104">
        <f t="shared" si="28"/>
        <v>0.887</v>
      </c>
      <c r="DM74" s="103">
        <f>DE74*IF(VLOOKUP($E74,武器奇术!$A:$R,17,FALSE)="牵丝",VLOOKUP($E74,武器奇术!$A:$R,4,FALSE),VLOOKUP($E74,武器奇术!$A:$R,2,FALSE))*(1+DF74)*(1+DG74)*DH74*(1+$E$17+VLOOKUP($E74,武器奇术!$A:$R,10,FALSE))</f>
        <v>2110.44810620068</v>
      </c>
      <c r="DN74" s="104">
        <f t="shared" si="29"/>
        <v>0.0986</v>
      </c>
      <c r="DO74" s="124">
        <f>DD74*IF(VLOOKUP($E74,武器奇术!$A:$R,17,FALSE)="牵丝",VLOOKUP($E74,武器奇术!$A:$R,4,FALSE),VLOOKUP($E74,武器奇术!$A:$R,2,FALSE))*(1+DF74)*(1+DG74)*DH74</f>
        <v>1059.60397413811</v>
      </c>
      <c r="DP74" s="104">
        <f t="shared" si="30"/>
        <v>0.0144</v>
      </c>
      <c r="DQ74" s="112">
        <f t="shared" si="31"/>
        <v>2106.84540552023</v>
      </c>
    </row>
    <row r="75" customFormat="1" customHeight="1" spans="1:121">
      <c r="A75" s="37" t="s">
        <v>178</v>
      </c>
      <c r="B75" t="s">
        <v>156</v>
      </c>
      <c r="C75">
        <v>0.1</v>
      </c>
      <c r="D75" s="139"/>
      <c r="E75" s="115" t="s">
        <v>137</v>
      </c>
      <c r="F75" s="116">
        <v>10</v>
      </c>
      <c r="G75" s="117">
        <f t="shared" ref="G75:G80" si="47">$E$23</f>
        <v>0.32</v>
      </c>
      <c r="H75" s="103">
        <f>IF(VLOOKUP($E75,武器奇术!$A:$R,18,FALSE)="天工",AE75,(AE75+AT75+BI75+BX75+CM75+DB75+DQ75))*(1+J75)*F75*K75*(1+G75)</f>
        <v>456691.817975502</v>
      </c>
      <c r="I75" s="104">
        <f t="shared" si="42"/>
        <v>0.0526337127814499</v>
      </c>
      <c r="J75" s="104">
        <f>$F$3+VLOOKUP($E75,武器奇术!$A:$R,12,FALSE)+VLOOKUP($E75,武器奇术!$A:$R,14,FALSE)*$G$3+$P75</f>
        <v>1.103</v>
      </c>
      <c r="K75" s="105">
        <f>VLOOKUP($E75,武器奇术!$A:$R,11,FALSE)</f>
        <v>1</v>
      </c>
      <c r="L75" s="119">
        <f>IF(VLOOKUP($E75,武器奇术!$A:$R,15,FALSE)="天工",0%,IF($C$17+VLOOKUP($E75,武器奇术!$A:$R,7,FALSE)&gt;80%,80%,$C$17+VLOOKUP($E75,武器奇术!$A:$R,7,FALSE))+IF($C$19&gt;20%,20%,$C$19))</f>
        <v>0.8703</v>
      </c>
      <c r="M75" s="120">
        <f>IF(VLOOKUP($E75,武器奇术!$A:$R,15,FALSE)="天工",0%,IF($C$18+VLOOKUP($E75,武器奇术!$A:$R,9,FALSE)&gt;40%,40%,$C$18+VLOOKUP($E75,武器奇术!$A:$R,9,FALSE))+IF($C$20&gt;10%,10%,$C$20))</f>
        <v>0.0986</v>
      </c>
      <c r="N75" s="121">
        <f>IF(VLOOKUP($E75,武器奇术!$A:$R,15,FALSE)="天工",100%,MIN($C$16,1))</f>
        <v>1</v>
      </c>
      <c r="O75" s="122" t="str">
        <f>VLOOKUP($E75,武器奇术!$A:$R,16,FALSE)</f>
        <v>伞</v>
      </c>
      <c r="P75" s="123">
        <f t="shared" si="44"/>
        <v>0.17</v>
      </c>
      <c r="Q75" s="110">
        <f>$B$5*(1+VLOOKUP($E75,武器奇术!$A:$R,5,FALSE))*(1+VLOOKUP($E75,武器奇术!$A:$S,19,FALSE)+IF($G$5="飞隼",0.1,0)+IF($G$5="撼天",0.05,0))-$F$9+IF($J$5="√",160,0)</f>
        <v>3081.85</v>
      </c>
      <c r="R75" s="102">
        <f>IF(VLOOKUP($E75,武器奇术!$A:$Z,18,FALSE)="叶龙",(S75-(Q75+S75)*0.5)*($G$15-0.5)*2+(Q75+S75)*0.5,(Q75+S75)*0.5)</f>
        <v>3161.85</v>
      </c>
      <c r="S75" s="102">
        <f>MAX($C$5,$B$5)*(1+VLOOKUP($E75,武器奇术!$A:$R,6,FALSE))*(1+VLOOKUP($E75,武器奇术!$A:$S,19,FALSE)+IF($G$5="飞隼",0.1,0)+IF($G$5="撼天",0.05,0))-$F$9+IF($J$5="√",320,0)</f>
        <v>3241.85</v>
      </c>
      <c r="T75" s="104">
        <f>IF(($D$5+VLOOKUP($E75,武器奇术!$A:$R,13,FALSE)+IF($I$3="√",10,0)-VLOOKUP($F$7,目标属性!$A:$R,5,FALSE))&gt;0,($D$5+VLOOKUP($E75,武器奇术!$A:$R,13,FALSE)+IF($I$3="√",10,0)-VLOOKUP($F$7,目标属性!$A:$R,5,FALSE))/200,($D$5+VLOOKUP($E75,武器奇术!$A:$R,13,FALSE)+IF($I$3="√",10,0)-VLOOKUP($F$7,目标属性!$A:$R,5,FALSE))/100)</f>
        <v>0.2925</v>
      </c>
      <c r="U75" s="111">
        <f>$E$5+IF($G$5="烟柳",IF(VLOOKUP($E75,武器奇术!$A:$T,20,FALSE)=1,0.1,0),0)</f>
        <v>0.1</v>
      </c>
      <c r="V75" s="102">
        <v>1</v>
      </c>
      <c r="W75" s="103">
        <f>Q75*VLOOKUP($E75,武器奇术!$A:$R,2,FALSE)*(1+T75)*(1+U75)*V75</f>
        <v>5148.20660615181</v>
      </c>
      <c r="X75" s="104">
        <f>(1-IF(VLOOKUP($E75,武器奇术!$A:$R,18,FALSE)="叶龙",1,$N75))*(1-$M75)</f>
        <v>0</v>
      </c>
      <c r="Y75" s="103">
        <f>R75*VLOOKUP($E75,武器奇术!$A:$R,2,FALSE)*(1+T75)*(1+U75)*V75*(1+$E$16+VLOOKUP($E75,武器奇术!$A:$R,8,FALSE))</f>
        <v>10584.819359655</v>
      </c>
      <c r="Z75" s="104">
        <f t="shared" si="33"/>
        <v>0.8703</v>
      </c>
      <c r="AA75" s="103">
        <f>S75*VLOOKUP($E75,武器奇术!$A:$R,2,FALSE)*(1+T75)*(1+U75)*V75*(1+$E$17+VLOOKUP($E75,武器奇术!$A:$R,10,FALSE))</f>
        <v>7310.90524889495</v>
      </c>
      <c r="AB75" s="104">
        <f t="shared" si="34"/>
        <v>0.0986</v>
      </c>
      <c r="AC75" s="103">
        <f>R75*VLOOKUP($E75,武器奇术!$A:$R,2,FALSE)*(1+T75)*(1+U75)*V75</f>
        <v>5281.84598785181</v>
      </c>
      <c r="AD75" s="104">
        <f t="shared" si="35"/>
        <v>0.0311</v>
      </c>
      <c r="AE75" s="112">
        <f t="shared" si="36"/>
        <v>10097.088956471</v>
      </c>
      <c r="AF75" s="113">
        <f>VLOOKUP($E75,武器奇术!$A:$R,3,FALSE)*(1+IF(VLOOKUP($E75,武器奇术!$A:$R,15,FALSE)="武器",$E$15,0))</f>
        <v>421.59</v>
      </c>
      <c r="AG75" s="103">
        <f t="shared" si="1"/>
        <v>421.59</v>
      </c>
      <c r="AH75" s="103">
        <f>VLOOKUP($E75,武器奇术!$A:$R,3,FALSE)*(1+IF(VLOOKUP($E75,武器奇术!$A:$R,15,FALSE)="武器",$E$15,0))</f>
        <v>421.59</v>
      </c>
      <c r="AI75" s="104">
        <f>IF(($D$5+VLOOKUP($E75,武器奇术!$A:$R,13,FALSE)+IF($I$3="√",10,0)-VLOOKUP($F$7,目标属性!$A:$R,5,FALSE))&gt;0,($D$5+VLOOKUP($E75,武器奇术!$A:$R,13,FALSE)+IF($I$3="√",10,0)-VLOOKUP($F$7,目标属性!$A:$R,5,FALSE))/200,($D$5+VLOOKUP($E75,武器奇术!$A:$R,13,FALSE)+IF($I$3="√",10,0)-VLOOKUP($F$7,目标属性!$A:$R,5,FALSE))/100)</f>
        <v>0.2925</v>
      </c>
      <c r="AJ75" s="111">
        <f>$E$5+IF($G$5="烟柳",IF(VLOOKUP($E75,武器奇术!$A:$T,20,FALSE)=1,0.1,0),0)</f>
        <v>0.1</v>
      </c>
      <c r="AK75" s="102">
        <v>1</v>
      </c>
      <c r="AL75" s="103">
        <f t="shared" si="45"/>
        <v>599.3955825</v>
      </c>
      <c r="AM75" s="104">
        <f>(1-IF(VLOOKUP($E75,武器奇术!$A:$R,18,FALSE)="叶龙",1,$N75))*(1-$M75)</f>
        <v>0</v>
      </c>
      <c r="AN75" s="103">
        <f>AG75*(1+AI75)*(1+AJ75)*AK75*(1+$E$16+VLOOKUP($E75,武器奇术!$A:$R,8,FALSE))</f>
        <v>1201.18874733</v>
      </c>
      <c r="AO75" s="104">
        <f t="shared" si="2"/>
        <v>0.8703</v>
      </c>
      <c r="AP75" s="103">
        <f>AH75*(1+AI75)*(1+AJ75)*AK75*(1+$E$17+VLOOKUP($E75,武器奇术!$A:$R,10,FALSE))</f>
        <v>809.184036375</v>
      </c>
      <c r="AQ75" s="104">
        <f t="shared" si="3"/>
        <v>0.0986</v>
      </c>
      <c r="AR75" s="103">
        <f t="shared" si="38"/>
        <v>599.3955825</v>
      </c>
      <c r="AS75" s="104">
        <f t="shared" si="4"/>
        <v>0.0311</v>
      </c>
      <c r="AT75" s="112">
        <f t="shared" si="5"/>
        <v>1143.82131540362</v>
      </c>
      <c r="AU75" s="110">
        <f>$B$7*IF($G$5="撼天",1.05,1)+IF(AND(VLOOKUP($E75,武器奇术!$A:$R,15,FALSE)="武器",VLOOKUP($E75,武器奇术!$A:$R,17,FALSE)="鸣金"),$E$3*(1+$E$15),0)</f>
        <v>0</v>
      </c>
      <c r="AV75" s="102">
        <f t="shared" si="6"/>
        <v>0</v>
      </c>
      <c r="AW75" s="102">
        <f>MAX($C$7*IF($G$5="撼天",1.05,1)+IF(AND(VLOOKUP($E75,武器奇术!$A:$R,15,FALSE)="武器",VLOOKUP($E75,武器奇术!$A:$R,17,FALSE)="鸣金"),$E$3*(1+$E$15),0),AU75)</f>
        <v>0</v>
      </c>
      <c r="AX75" s="104">
        <f>IF(($D$7+IF(VLOOKUP($E75,武器奇术!$A:$R,17,FALSE)="鸣金",$D$15,0)-VLOOKUP($F$7,目标属性!$A:$R,6,FALSE))&gt;0,($D$7+IF(VLOOKUP($E75,武器奇术!$A:$R,17,FALSE)="鸣金",$D$15,0)-VLOOKUP($F$7,目标属性!$A:$R,6,FALSE))/200,($D$7+IF(VLOOKUP($E75,武器奇术!$A:$R,17,FALSE)="鸣金",$D$15,0)-VLOOKUP($F$7,目标属性!$A:$R,6,FALSE))/100)</f>
        <v>-0.24</v>
      </c>
      <c r="AY75" s="111">
        <f t="shared" si="7"/>
        <v>0</v>
      </c>
      <c r="AZ75" s="102">
        <v>1</v>
      </c>
      <c r="BA75" s="103">
        <f>AU75*IF(VLOOKUP($E75,武器奇术!$A:$R,17,FALSE)="鸣金",VLOOKUP($E75,武器奇术!$A:$R,4,FALSE),VLOOKUP($E75,武器奇术!$A:$R,2,FALSE))*(1+AX75)*(1+AY75)*AZ75</f>
        <v>0</v>
      </c>
      <c r="BB75" s="104">
        <f>(1-IF(VLOOKUP($E75,武器奇术!$A:$R,18,FALSE)="叶龙",1,$N75))*(1-$M75)</f>
        <v>0</v>
      </c>
      <c r="BC75" s="103">
        <f>AV75*IF(VLOOKUP($E75,武器奇术!$A:$R,17,FALSE)="鸣金",VLOOKUP($E75,武器奇术!$A:$R,4,FALSE),VLOOKUP($E75,武器奇术!$A:$R,2,FALSE))*(1+AX75)*(1+AY75)*AZ75*(1+$E$16+VLOOKUP($E75,武器奇术!$A:$R,8,FALSE))</f>
        <v>0</v>
      </c>
      <c r="BD75" s="104">
        <f t="shared" si="8"/>
        <v>0.8703</v>
      </c>
      <c r="BE75" s="103">
        <f>AW75*IF(VLOOKUP($E75,武器奇术!$A:$R,17,FALSE)="鸣金",VLOOKUP($E75,武器奇术!$A:$R,4,FALSE),VLOOKUP($E75,武器奇术!$A:$R,2,FALSE))*(1+AX75)*(1+AY75)*AZ75*(1+$E$17+VLOOKUP($E75,武器奇术!$A:$R,10,FALSE))</f>
        <v>0</v>
      </c>
      <c r="BF75" s="104">
        <f t="shared" si="9"/>
        <v>0.0986</v>
      </c>
      <c r="BG75" s="103">
        <f>AV75*IF(VLOOKUP($E75,武器奇术!$A:$R,17,FALSE)="鸣金",VLOOKUP($E75,武器奇术!$A:$R,4,FALSE),VLOOKUP($E75,武器奇术!$A:$R,2,FALSE))*(1+AX75)*(1+AY75)*AZ75</f>
        <v>0</v>
      </c>
      <c r="BH75" s="104">
        <f t="shared" si="10"/>
        <v>0.0311</v>
      </c>
      <c r="BI75" s="112">
        <f t="shared" si="11"/>
        <v>0</v>
      </c>
      <c r="BJ75" s="110">
        <f>$B$9*IF($G$5="撼天",1.05,1)+IF(AND(VLOOKUP($E75,武器奇术!$A:$R,15,FALSE)="武器",VLOOKUP($E75,武器奇术!$A:$R,17,FALSE)="裂石"),$E$3*(1+$E$15),0)</f>
        <v>0</v>
      </c>
      <c r="BK75" s="102">
        <f t="shared" si="12"/>
        <v>0</v>
      </c>
      <c r="BL75" s="102">
        <f>MAX($C$9*IF($G$5="撼天",1.05,1)+IF(AND(VLOOKUP($E75,武器奇术!$A:$R,15,FALSE)="武器",VLOOKUP($E75,武器奇术!$A:$R,17,FALSE)="裂石"),$E$3*(1+$E$15),0),BJ75)</f>
        <v>0</v>
      </c>
      <c r="BM75" s="104">
        <f>IF(($D$9+IF(VLOOKUP($E75,武器奇术!$A:$R,17,FALSE)="裂石",$D$15,0)-VLOOKUP($F$7,目标属性!$A:$R,6,FALSE))&gt;0,($D$9+IF(VLOOKUP($E75,武器奇术!$A:$R,17,FALSE)="裂石",$D$15,0)-VLOOKUP($F$7,目标属性!$A:$R,6,FALSE))/200,($D$9+IF(VLOOKUP($E75,武器奇术!$A:$R,17,FALSE)="裂石",$D$15,0)-VLOOKUP($F$7,目标属性!$A:$R,6,FALSE))/100)</f>
        <v>-0.24</v>
      </c>
      <c r="BN75" s="111">
        <f t="shared" si="13"/>
        <v>0</v>
      </c>
      <c r="BO75" s="102">
        <v>1</v>
      </c>
      <c r="BP75" s="103">
        <f>BJ75*IF(VLOOKUP($E75,武器奇术!$A:$R,17,FALSE)="裂石",VLOOKUP($E75,武器奇术!$A:$R,4,FALSE),VLOOKUP($E75,武器奇术!$A:$R,2,FALSE))*(1+BM75)*(1+BN75)*BO75</f>
        <v>0</v>
      </c>
      <c r="BQ75" s="104">
        <f>(1-IF(VLOOKUP($E75,武器奇术!$A:$R,18,FALSE)="叶龙",1,$N75))*(1-$M75)</f>
        <v>0</v>
      </c>
      <c r="BR75" s="103">
        <f>BK75*IF(VLOOKUP($E75,武器奇术!$A:$R,17,FALSE)="裂石",VLOOKUP($E75,武器奇术!$A:$R,4,FALSE),VLOOKUP($E75,武器奇术!$A:$R,2,FALSE))*(1+BM75)*(1+BN75)*BO75*(1+$E$16+VLOOKUP($E75,武器奇术!$A:$R,8,FALSE))</f>
        <v>0</v>
      </c>
      <c r="BS75" s="104">
        <f t="shared" si="14"/>
        <v>0.8703</v>
      </c>
      <c r="BT75" s="103">
        <f>BL75*IF(VLOOKUP($E75,武器奇术!$A:$R,17,FALSE)="裂石",VLOOKUP($E75,武器奇术!$A:$R,4,FALSE),VLOOKUP($E75,武器奇术!$A:$R,2,FALSE))*(1+BM75)*(1+BN75)*BO75*(1+$E$17+VLOOKUP($E75,武器奇术!$A:$R,10,FALSE))</f>
        <v>0</v>
      </c>
      <c r="BU75" s="104">
        <f t="shared" si="15"/>
        <v>0.0986</v>
      </c>
      <c r="BV75" s="103">
        <f>BK75*IF(VLOOKUP($E75,武器奇术!$A:$R,17,FALSE)="裂石",VLOOKUP($E75,武器奇术!$A:$R,4,FALSE),VLOOKUP($E75,武器奇术!$A:$R,2,FALSE))*(1+BM75)*(1+BN75)*BO75</f>
        <v>0</v>
      </c>
      <c r="BW75" s="104">
        <f t="shared" si="16"/>
        <v>0.0311</v>
      </c>
      <c r="BX75" s="112">
        <f t="shared" si="17"/>
        <v>0</v>
      </c>
      <c r="BY75" s="110">
        <f>$B$11*IF($G$5="撼天",1.05,1)+IF(AND(VLOOKUP($E75,武器奇术!$A:$R,15,FALSE)="武器",VLOOKUP($E75,武器奇术!$A:$R,17,FALSE)="牵丝"),$E$3*(1+$E$15),0)</f>
        <v>686.71</v>
      </c>
      <c r="BZ75" s="102">
        <f>IF(VLOOKUP($E75,武器奇术!$A:$Z,18,FALSE)="叶龙",(CA75-(BY75+CA75)*0.5)*($G$15-0.5)*2+(BY75+CA75)*0.5,(BY75+CA75)*0.5)</f>
        <v>1052.21</v>
      </c>
      <c r="CA75" s="102">
        <f>MAX($C$11*IF($G$5="撼天",1.05,1)+IF(AND(VLOOKUP($E75,武器奇术!$A:$R,15,FALSE)="武器",VLOOKUP($E75,武器奇术!$A:$R,17,FALSE)="牵丝"),$E$3*(1+$E$15),0),BY75)</f>
        <v>1417.71</v>
      </c>
      <c r="CB75" s="104">
        <f>IF(($D$11+IF(VLOOKUP($E75,武器奇术!$A:$R,17,FALSE)="牵丝",$D$15,0)-VLOOKUP($F$7,目标属性!$A:$R,6,FALSE))&gt;0,($D$11+IF(VLOOKUP($E75,武器奇术!$A:$R,17,FALSE)="牵丝",$D$15,0)-VLOOKUP($F$7,目标属性!$A:$R,6,FALSE))/200,($D$11+IF(VLOOKUP($E75,武器奇术!$A:$R,17,FALSE)="牵丝",$D$15,0)-VLOOKUP($F$7,目标属性!$A:$R,6,FALSE))/100)</f>
        <v>0.028</v>
      </c>
      <c r="CC75" s="111">
        <f>$E$11+IF($G$5="烟柳",IF(VLOOKUP($E75,武器奇术!$A:$T,20,FALSE)=1,0.1,0),0)</f>
        <v>0.248</v>
      </c>
      <c r="CD75" s="102">
        <v>1</v>
      </c>
      <c r="CE75" s="103">
        <f>BY75*IF(VLOOKUP($E75,武器奇术!$A:$R,17,FALSE)="牵丝",VLOOKUP($E75,武器奇术!$A:$R,4,FALSE),VLOOKUP($E75,武器奇术!$A:$R,2,FALSE))*(1+CB75)*(1+CC75)*CD75</f>
        <v>1552.67083453872</v>
      </c>
      <c r="CF75" s="104">
        <f>(1-IF(VLOOKUP($E75,武器奇术!$A:$R,18,FALSE)="叶龙",1,$N75))*(1-$M75)</f>
        <v>0</v>
      </c>
      <c r="CG75" s="124">
        <f>BZ75*IF(VLOOKUP($E75,武器奇术!$A:$R,17,FALSE)="牵丝",VLOOKUP($E75,武器奇术!$A:$R,4,FALSE),VLOOKUP($E75,武器奇术!$A:$R,2,FALSE))*(1+CB75)*(1+CC75)*CD75*(1+$E$16+VLOOKUP($E75,武器奇术!$A:$R,8,FALSE))</f>
        <v>4767.66975977518</v>
      </c>
      <c r="CH75" s="104">
        <f t="shared" si="18"/>
        <v>0.8703</v>
      </c>
      <c r="CI75" s="103">
        <f>CA75*IF(VLOOKUP($E75,武器奇术!$A:$R,17,FALSE)="牵丝",VLOOKUP($E75,武器奇术!$A:$R,4,FALSE),VLOOKUP($E75,武器奇术!$A:$R,2,FALSE))*(1+CB75)*(1+CC75)*CD75*(1+$E$17+VLOOKUP($E75,武器奇术!$A:$R,10,FALSE))</f>
        <v>4327.40153474647</v>
      </c>
      <c r="CJ75" s="104">
        <f t="shared" si="19"/>
        <v>0.0986</v>
      </c>
      <c r="CK75" s="124">
        <f>BZ75*IF(VLOOKUP($E75,武器奇术!$A:$R,17,FALSE)="牵丝",VLOOKUP($E75,武器奇术!$A:$R,4,FALSE),VLOOKUP($E75,武器奇术!$A:$R,2,FALSE))*(1+CB75)*(1+CC75)*CD75</f>
        <v>2379.07672643472</v>
      </c>
      <c r="CL75" s="104">
        <f t="shared" si="20"/>
        <v>0.0311</v>
      </c>
      <c r="CM75" s="112">
        <f t="shared" si="39"/>
        <v>4649.97406945046</v>
      </c>
      <c r="CN75" s="110">
        <f>$B$13*IF($G$5="撼天",1.05,1)+IF(AND(VLOOKUP($E75,武器奇术!$A:$R,15,FALSE)="武器",VLOOKUP($E75,武器奇术!$A:$R,17,FALSE)="破竹"),$E$3*(1+$E$15),0)</f>
        <v>0</v>
      </c>
      <c r="CO75" s="102">
        <f t="shared" si="21"/>
        <v>0</v>
      </c>
      <c r="CP75" s="102">
        <f>MAX($C$13*IF($G$5="撼天",1.05,1)+IF(AND(VLOOKUP($E75,武器奇术!$A:$R,15,FALSE)="武器",VLOOKUP($E75,武器奇术!$A:$R,17,FALSE)="破竹"),$E$3*(1+$E$15),0),CN75)</f>
        <v>0</v>
      </c>
      <c r="CQ75" s="104">
        <f>IF(($D$13+IF(VLOOKUP($E75,武器奇术!$A:$R,17,FALSE)="破竹",$D$15,0)-VLOOKUP($F$7,目标属性!$A:$R,6,FALSE))&gt;0,($D$13+IF(VLOOKUP($E75,武器奇术!$A:$R,17,FALSE)="破竹",$D$15,0)-VLOOKUP($F$7,目标属性!$A:$R,6,FALSE))/200,($D$13+IF(VLOOKUP($E75,武器奇术!$A:$R,17,FALSE)="破竹",$D$15,0)-VLOOKUP($F$7,目标属性!$A:$R,6,FALSE))/100)</f>
        <v>-0.24</v>
      </c>
      <c r="CR75" s="111">
        <f t="shared" si="22"/>
        <v>0</v>
      </c>
      <c r="CS75" s="102">
        <v>1</v>
      </c>
      <c r="CT75" s="103">
        <f>CN75*IF(VLOOKUP($E75,武器奇术!$A:$R,17,FALSE)="破竹",VLOOKUP($E75,武器奇术!$A:$R,4,FALSE),VLOOKUP($E75,武器奇术!$A:$R,2,FALSE))*(1+CQ75)*(1+CR75)*CS75</f>
        <v>0</v>
      </c>
      <c r="CU75" s="104">
        <f>(1-IF(VLOOKUP($E75,武器奇术!$A:$R,18,FALSE)="叶龙",1,$N75))*(1-$M75)</f>
        <v>0</v>
      </c>
      <c r="CV75" s="103">
        <f>CO75*IF(VLOOKUP($E75,武器奇术!$A:$R,17,FALSE)="破竹",VLOOKUP($E75,武器奇术!$A:$R,4,FALSE),VLOOKUP($E75,武器奇术!$A:$R,2,FALSE))*(1+CQ75)*(1+CR75)*CS75*(1+$E$16+VLOOKUP($E75,武器奇术!$A:$R,8,FALSE))</f>
        <v>0</v>
      </c>
      <c r="CW75" s="104">
        <f t="shared" si="23"/>
        <v>0.8703</v>
      </c>
      <c r="CX75" s="103">
        <f>CP75*IF(VLOOKUP($E75,武器奇术!$A:$R,17,FALSE)="破竹",VLOOKUP($E75,武器奇术!$A:$R,4,FALSE),VLOOKUP($E75,武器奇术!$A:$R,2,FALSE))*(1+CQ75)*(1+CR75)*CS75*(1+$E$17+VLOOKUP($E75,武器奇术!$A:$R,10,FALSE))</f>
        <v>0</v>
      </c>
      <c r="CY75" s="104">
        <f t="shared" si="24"/>
        <v>0.0986</v>
      </c>
      <c r="CZ75" s="103">
        <f>CO75*IF(VLOOKUP($E75,武器奇术!$A:$R,17,FALSE)="破竹",VLOOKUP($E75,武器奇术!$A:$R,4,FALSE),VLOOKUP($E75,武器奇术!$A:$R,2,FALSE))*(1+CQ75)*(1+CR75)*CS75</f>
        <v>0</v>
      </c>
      <c r="DA75" s="104">
        <f t="shared" si="25"/>
        <v>0.0311</v>
      </c>
      <c r="DB75" s="112">
        <f t="shared" si="26"/>
        <v>0</v>
      </c>
      <c r="DC75" s="110">
        <f t="shared" si="40"/>
        <v>66</v>
      </c>
      <c r="DD75" s="102">
        <f t="shared" si="27"/>
        <v>125.8</v>
      </c>
      <c r="DE75" s="102">
        <f t="shared" si="41"/>
        <v>185.6</v>
      </c>
      <c r="DF75" s="104">
        <f>IF((IF(VLOOKUP($E75,武器奇术!$A:$R,17,FALSE)="鸣金",$D$7,0)+IF(VLOOKUP($E75,武器奇术!$A:$R,17,FALSE)="裂石",$D$9,0)+IF(VLOOKUP($E75,武器奇术!$A:$R,17,FALSE)="牵丝",$D$11,0)+IF(VLOOKUP($E75,武器奇术!$A:$R,17,FALSE)="破竹",$D$13,0)+$D$15-VLOOKUP($F$7,目标属性!$A:$R,6,FALSE))&gt;0,(IF(VLOOKUP($E75,武器奇术!$A:$R,17,FALSE)="鸣金",$D$7,0)+IF(VLOOKUP($E75,武器奇术!$A:$R,17,FALSE)="裂石",$D$9,0)+IF(VLOOKUP($E75,武器奇术!$A:$R,17,FALSE)="牵丝",$D$11,0)+IF(VLOOKUP($E75,武器奇术!$A:$R,17,FALSE)="破竹",$D$13,0)+$D$15-VLOOKUP($F$7,目标属性!$A:$R,6,FALSE))/200,(IF(VLOOKUP($E75,武器奇术!$A:$R,17,FALSE)="鸣金",$D$7,0)+IF(VLOOKUP($E75,武器奇术!$A:$R,17,FALSE)="裂石",$D$9,0)+IF(VLOOKUP($E75,武器奇术!$A:$R,17,FALSE)="牵丝",$D$11,0)+IF(VLOOKUP($E75,武器奇术!$A:$R,17,FALSE)="破竹",$D$13,0)+$D$15-VLOOKUP($F$7,目标属性!$A:$R,6,FALSE))/100)</f>
        <v>0.028</v>
      </c>
      <c r="DG75" s="111">
        <f>$E$11+IF($G$5="烟柳",IF(VLOOKUP($E75,武器奇术!$A:$T,20,FALSE)=1,0.1,0),0)</f>
        <v>0.248</v>
      </c>
      <c r="DH75" s="102">
        <v>1</v>
      </c>
      <c r="DI75" s="103">
        <f>DC75*IF(VLOOKUP($E75,武器奇术!$A:$R,17,FALSE)="牵丝",VLOOKUP($E75,武器奇术!$A:$R,4,FALSE),VLOOKUP($E75,武器奇术!$A:$R,2,FALSE))*(1+DF75)*(1+DG75)*DH75</f>
        <v>149.227876512</v>
      </c>
      <c r="DJ75" s="104">
        <f>(1-IF(VLOOKUP($E75,武器奇术!$A:$R,18,FALSE)="叶龙",1,$N75))*(1-$M75)</f>
        <v>0</v>
      </c>
      <c r="DK75" s="124">
        <f>DD75*IF(VLOOKUP($E75,武器奇术!$A:$R,17,FALSE)="牵丝",VLOOKUP($E75,武器奇术!$A:$R,4,FALSE),VLOOKUP($E75,武器奇术!$A:$R,2,FALSE))*(1+DF75)*(1+DG75)*DH75*(1+$E$16+VLOOKUP($E75,武器奇术!$A:$R,8,FALSE))</f>
        <v>570.012502998182</v>
      </c>
      <c r="DL75" s="104">
        <f t="shared" si="28"/>
        <v>0.8703</v>
      </c>
      <c r="DM75" s="103">
        <f>DE75*IF(VLOOKUP($E75,武器奇术!$A:$R,17,FALSE)="牵丝",VLOOKUP($E75,武器奇术!$A:$R,4,FALSE),VLOOKUP($E75,武器奇术!$A:$R,2,FALSE))*(1+DF75)*(1+DG75)*DH75*(1+$E$17+VLOOKUP($E75,武器奇术!$A:$R,10,FALSE))</f>
        <v>566.52328392192</v>
      </c>
      <c r="DN75" s="104">
        <f t="shared" si="29"/>
        <v>0.0986</v>
      </c>
      <c r="DO75" s="124">
        <f>DD75*IF(VLOOKUP($E75,武器奇术!$A:$R,17,FALSE)="牵丝",VLOOKUP($E75,武器奇术!$A:$R,4,FALSE),VLOOKUP($E75,武器奇术!$A:$R,2,FALSE))*(1+DF75)*(1+DG75)*DH75</f>
        <v>284.4373767456</v>
      </c>
      <c r="DP75" s="104">
        <f t="shared" si="30"/>
        <v>0.0311</v>
      </c>
      <c r="DQ75" s="112">
        <f t="shared" si="31"/>
        <v>560.787079570808</v>
      </c>
    </row>
    <row r="76" spans="1:121">
      <c r="A76" s="37"/>
      <c r="B76" t="s">
        <v>152</v>
      </c>
      <c r="C76">
        <v>1.25</v>
      </c>
      <c r="D76" s="139"/>
      <c r="E76" s="115" t="s">
        <v>138</v>
      </c>
      <c r="F76" s="116">
        <v>1</v>
      </c>
      <c r="G76" s="117"/>
      <c r="H76" s="103">
        <f>IF(VLOOKUP($E76,武器奇术!$A:$R,18,FALSE)="天工",AE76,(AE76+AT76+BI76+BX76+CM76+DB76+DQ76))*(1+J76)*F76*K76*(1+G76)</f>
        <v>68911.9384262613</v>
      </c>
      <c r="I76" s="104">
        <f t="shared" si="42"/>
        <v>0.00794209800039677</v>
      </c>
      <c r="J76" s="104">
        <f>$F$3+VLOOKUP($E76,武器奇术!$A:$R,12,FALSE)+VLOOKUP($E76,武器奇术!$A:$R,14,FALSE)*$G$3+$P76</f>
        <v>1.103</v>
      </c>
      <c r="K76" s="105">
        <f>VLOOKUP($E76,武器奇术!$A:$R,11,FALSE)</f>
        <v>1</v>
      </c>
      <c r="L76" s="119">
        <f>IF(VLOOKUP($E76,武器奇术!$A:$R,15,FALSE)="天工",0%,IF($C$17+VLOOKUP($E76,武器奇术!$A:$R,7,FALSE)&gt;80%,80%,$C$17+VLOOKUP($E76,武器奇术!$A:$R,7,FALSE))+IF($C$19&gt;20%,20%,$C$19))</f>
        <v>0.8703</v>
      </c>
      <c r="M76" s="120">
        <f>IF(VLOOKUP($E76,武器奇术!$A:$R,15,FALSE)="天工",0%,IF($C$18+VLOOKUP($E76,武器奇术!$A:$R,9,FALSE)&gt;40%,40%,$C$18+VLOOKUP($E76,武器奇术!$A:$R,9,FALSE))+IF($C$20&gt;10%,10%,$C$20))</f>
        <v>0.0986</v>
      </c>
      <c r="N76" s="121">
        <f>IF(VLOOKUP($E76,武器奇术!$A:$R,15,FALSE)="天工",100%,MIN($C$16,1))</f>
        <v>1</v>
      </c>
      <c r="O76" s="122" t="str">
        <f>VLOOKUP($E76,武器奇术!$A:$R,16,FALSE)</f>
        <v>伞</v>
      </c>
      <c r="P76" s="123">
        <f t="shared" si="44"/>
        <v>0.17</v>
      </c>
      <c r="Q76" s="110">
        <f>$B$5*(1+VLOOKUP($E76,武器奇术!$A:$R,5,FALSE))*(1+VLOOKUP($E76,武器奇术!$A:$S,19,FALSE)+IF($G$5="飞隼",0.1,0)+IF($G$5="撼天",0.05,0))-$F$9+IF($J$5="√",160,0)</f>
        <v>3081.85</v>
      </c>
      <c r="R76" s="102">
        <f>IF(VLOOKUP($E76,武器奇术!$A:$Z,18,FALSE)="叶龙",(S76-(Q76+S76)*0.5)*($G$15-0.5)*2+(Q76+S76)*0.5,(Q76+S76)*0.5)</f>
        <v>3161.85</v>
      </c>
      <c r="S76" s="102">
        <f>MAX($C$5,$B$5)*(1+VLOOKUP($E76,武器奇术!$A:$R,6,FALSE))*(1+VLOOKUP($E76,武器奇术!$A:$S,19,FALSE)+IF($G$5="飞隼",0.1,0)+IF($G$5="撼天",0.05,0))-$F$9+IF($J$5="√",320,0)</f>
        <v>3241.85</v>
      </c>
      <c r="T76" s="104">
        <f>IF(($D$5+VLOOKUP($E76,武器奇术!$A:$R,13,FALSE)+IF($I$3="√",10,0)-VLOOKUP($F$7,目标属性!$A:$R,5,FALSE))&gt;0,($D$5+VLOOKUP($E76,武器奇术!$A:$R,13,FALSE)+IF($I$3="√",10,0)-VLOOKUP($F$7,目标属性!$A:$R,5,FALSE))/200,($D$5+VLOOKUP($E76,武器奇术!$A:$R,13,FALSE)+IF($I$3="√",10,0)-VLOOKUP($F$7,目标属性!$A:$R,5,FALSE))/100)</f>
        <v>0.2925</v>
      </c>
      <c r="U76" s="111">
        <f>$E$5+IF($G$5="烟柳",IF(VLOOKUP($E76,武器奇术!$A:$T,20,FALSE)=1,0.1,0),0)</f>
        <v>0.1</v>
      </c>
      <c r="V76" s="102">
        <v>1</v>
      </c>
      <c r="W76" s="103">
        <f>Q76*VLOOKUP($E76,武器奇术!$A:$R,2,FALSE)*(1+T76)*(1+U76)*V76</f>
        <v>10251.6768696788</v>
      </c>
      <c r="X76" s="104">
        <f>(1-IF(VLOOKUP($E76,武器奇术!$A:$R,18,FALSE)="叶龙",1,$N76))*(1-$M76)</f>
        <v>0</v>
      </c>
      <c r="Y76" s="103">
        <f>R76*VLOOKUP($E76,武器奇术!$A:$R,2,FALSE)*(1+T76)*(1+U76)*V76*(1+$E$16+VLOOKUP($E76,武器奇术!$A:$R,8,FALSE))</f>
        <v>21077.6598727482</v>
      </c>
      <c r="Z76" s="104">
        <f t="shared" si="33"/>
        <v>0.8703</v>
      </c>
      <c r="AA76" s="103">
        <f>S76*VLOOKUP($E76,武器奇术!$A:$R,2,FALSE)*(1+T76)*(1+U76)*V76*(1+$E$17+VLOOKUP($E76,武器奇术!$A:$R,10,FALSE))</f>
        <v>14558.2809646663</v>
      </c>
      <c r="AB76" s="104">
        <f t="shared" si="34"/>
        <v>0.0986</v>
      </c>
      <c r="AC76" s="103">
        <f>R76*VLOOKUP($E76,武器奇术!$A:$R,2,FALSE)*(1+T76)*(1+U76)*V76</f>
        <v>10517.7943476788</v>
      </c>
      <c r="AD76" s="104">
        <f t="shared" si="35"/>
        <v>0.0311</v>
      </c>
      <c r="AE76" s="112">
        <f t="shared" si="36"/>
        <v>20106.4372945817</v>
      </c>
      <c r="AF76" s="113">
        <f>VLOOKUP($E76,武器奇术!$A:$R,3,FALSE)*(1+IF(VLOOKUP($E76,武器奇术!$A:$R,15,FALSE)="武器",$E$15,0))</f>
        <v>842.4</v>
      </c>
      <c r="AG76" s="103">
        <f t="shared" si="1"/>
        <v>842.4</v>
      </c>
      <c r="AH76" s="103">
        <f>VLOOKUP($E76,武器奇术!$A:$R,3,FALSE)*(1+IF(VLOOKUP($E76,武器奇术!$A:$R,15,FALSE)="武器",$E$15,0))</f>
        <v>842.4</v>
      </c>
      <c r="AI76" s="104">
        <f>IF(($D$5+VLOOKUP($E76,武器奇术!$A:$R,13,FALSE)+IF($I$3="√",10,0)-VLOOKUP($F$7,目标属性!$A:$R,5,FALSE))&gt;0,($D$5+VLOOKUP($E76,武器奇术!$A:$R,13,FALSE)+IF($I$3="√",10,0)-VLOOKUP($F$7,目标属性!$A:$R,5,FALSE))/200,($D$5+VLOOKUP($E76,武器奇术!$A:$R,13,FALSE)+IF($I$3="√",10,0)-VLOOKUP($F$7,目标属性!$A:$R,5,FALSE))/100)</f>
        <v>0.2925</v>
      </c>
      <c r="AJ76" s="111">
        <f>$E$5+IF($G$5="烟柳",IF(VLOOKUP($E76,武器奇术!$A:$T,20,FALSE)=1,0.1,0),0)</f>
        <v>0.1</v>
      </c>
      <c r="AK76" s="102">
        <v>1</v>
      </c>
      <c r="AL76" s="103">
        <f t="shared" si="45"/>
        <v>1197.6822</v>
      </c>
      <c r="AM76" s="104">
        <f>(1-IF(VLOOKUP($E76,武器奇术!$A:$R,18,FALSE)="叶龙",1,$N76))*(1-$M76)</f>
        <v>0</v>
      </c>
      <c r="AN76" s="103">
        <f>AG76*(1+AI76)*(1+AJ76)*AK76*(1+$E$16+VLOOKUP($E76,武器奇术!$A:$R,8,FALSE))</f>
        <v>2400.1551288</v>
      </c>
      <c r="AO76" s="104">
        <f t="shared" si="2"/>
        <v>0.8703</v>
      </c>
      <c r="AP76" s="103">
        <f>AH76*(1+AI76)*(1+AJ76)*AK76*(1+$E$17+VLOOKUP($E76,武器奇术!$A:$R,10,FALSE))</f>
        <v>1616.87097</v>
      </c>
      <c r="AQ76" s="104">
        <f t="shared" si="3"/>
        <v>0.0986</v>
      </c>
      <c r="AR76" s="103">
        <f t="shared" si="38"/>
        <v>1197.6822</v>
      </c>
      <c r="AS76" s="104">
        <f t="shared" si="4"/>
        <v>0.0311</v>
      </c>
      <c r="AT76" s="112">
        <f t="shared" si="5"/>
        <v>2285.52640265664</v>
      </c>
      <c r="AU76" s="110">
        <f>$B$7*IF($G$5="撼天",1.05,1)+IF(AND(VLOOKUP($E76,武器奇术!$A:$R,15,FALSE)="武器",VLOOKUP($E76,武器奇术!$A:$R,17,FALSE)="鸣金"),$E$3*(1+$E$15),0)</f>
        <v>0</v>
      </c>
      <c r="AV76" s="102">
        <f t="shared" si="6"/>
        <v>0</v>
      </c>
      <c r="AW76" s="102">
        <f>MAX($C$7*IF($G$5="撼天",1.05,1)+IF(AND(VLOOKUP($E76,武器奇术!$A:$R,15,FALSE)="武器",VLOOKUP($E76,武器奇术!$A:$R,17,FALSE)="鸣金"),$E$3*(1+$E$15),0),AU76)</f>
        <v>0</v>
      </c>
      <c r="AX76" s="104">
        <f>IF(($D$7+IF(VLOOKUP($E76,武器奇术!$A:$R,17,FALSE)="鸣金",$D$15,0)-VLOOKUP($F$7,目标属性!$A:$R,6,FALSE))&gt;0,($D$7+IF(VLOOKUP($E76,武器奇术!$A:$R,17,FALSE)="鸣金",$D$15,0)-VLOOKUP($F$7,目标属性!$A:$R,6,FALSE))/200,($D$7+IF(VLOOKUP($E76,武器奇术!$A:$R,17,FALSE)="鸣金",$D$15,0)-VLOOKUP($F$7,目标属性!$A:$R,6,FALSE))/100)</f>
        <v>-0.24</v>
      </c>
      <c r="AY76" s="111">
        <f t="shared" si="7"/>
        <v>0</v>
      </c>
      <c r="AZ76" s="102">
        <v>1</v>
      </c>
      <c r="BA76" s="103">
        <f>AU76*IF(VLOOKUP($E76,武器奇术!$A:$R,17,FALSE)="鸣金",VLOOKUP($E76,武器奇术!$A:$R,4,FALSE),VLOOKUP($E76,武器奇术!$A:$R,2,FALSE))*(1+AX76)*(1+AY76)*AZ76</f>
        <v>0</v>
      </c>
      <c r="BB76" s="104">
        <f>(1-IF(VLOOKUP($E76,武器奇术!$A:$R,18,FALSE)="叶龙",1,$N76))*(1-$M76)</f>
        <v>0</v>
      </c>
      <c r="BC76" s="103">
        <f>AV76*IF(VLOOKUP($E76,武器奇术!$A:$R,17,FALSE)="鸣金",VLOOKUP($E76,武器奇术!$A:$R,4,FALSE),VLOOKUP($E76,武器奇术!$A:$R,2,FALSE))*(1+AX76)*(1+AY76)*AZ76*(1+$E$16+VLOOKUP($E76,武器奇术!$A:$R,8,FALSE))</f>
        <v>0</v>
      </c>
      <c r="BD76" s="104">
        <f t="shared" si="8"/>
        <v>0.8703</v>
      </c>
      <c r="BE76" s="103">
        <f>AW76*IF(VLOOKUP($E76,武器奇术!$A:$R,17,FALSE)="鸣金",VLOOKUP($E76,武器奇术!$A:$R,4,FALSE),VLOOKUP($E76,武器奇术!$A:$R,2,FALSE))*(1+AX76)*(1+AY76)*AZ76*(1+$E$17+VLOOKUP($E76,武器奇术!$A:$R,10,FALSE))</f>
        <v>0</v>
      </c>
      <c r="BF76" s="104">
        <f t="shared" si="9"/>
        <v>0.0986</v>
      </c>
      <c r="BG76" s="103">
        <f>AV76*IF(VLOOKUP($E76,武器奇术!$A:$R,17,FALSE)="鸣金",VLOOKUP($E76,武器奇术!$A:$R,4,FALSE),VLOOKUP($E76,武器奇术!$A:$R,2,FALSE))*(1+AX76)*(1+AY76)*AZ76</f>
        <v>0</v>
      </c>
      <c r="BH76" s="104">
        <f t="shared" si="10"/>
        <v>0.0311</v>
      </c>
      <c r="BI76" s="112">
        <f t="shared" si="11"/>
        <v>0</v>
      </c>
      <c r="BJ76" s="110">
        <f>$B$9*IF($G$5="撼天",1.05,1)+IF(AND(VLOOKUP($E76,武器奇术!$A:$R,15,FALSE)="武器",VLOOKUP($E76,武器奇术!$A:$R,17,FALSE)="裂石"),$E$3*(1+$E$15),0)</f>
        <v>0</v>
      </c>
      <c r="BK76" s="102">
        <f t="shared" si="12"/>
        <v>0</v>
      </c>
      <c r="BL76" s="102">
        <f>MAX($C$9*IF($G$5="撼天",1.05,1)+IF(AND(VLOOKUP($E76,武器奇术!$A:$R,15,FALSE)="武器",VLOOKUP($E76,武器奇术!$A:$R,17,FALSE)="裂石"),$E$3*(1+$E$15),0),BJ76)</f>
        <v>0</v>
      </c>
      <c r="BM76" s="104">
        <f>IF(($D$9+IF(VLOOKUP($E76,武器奇术!$A:$R,17,FALSE)="裂石",$D$15,0)-VLOOKUP($F$7,目标属性!$A:$R,6,FALSE))&gt;0,($D$9+IF(VLOOKUP($E76,武器奇术!$A:$R,17,FALSE)="裂石",$D$15,0)-VLOOKUP($F$7,目标属性!$A:$R,6,FALSE))/200,($D$9+IF(VLOOKUP($E76,武器奇术!$A:$R,17,FALSE)="裂石",$D$15,0)-VLOOKUP($F$7,目标属性!$A:$R,6,FALSE))/100)</f>
        <v>-0.24</v>
      </c>
      <c r="BN76" s="111">
        <f t="shared" si="13"/>
        <v>0</v>
      </c>
      <c r="BO76" s="102">
        <v>1</v>
      </c>
      <c r="BP76" s="103">
        <f>BJ76*IF(VLOOKUP($E76,武器奇术!$A:$R,17,FALSE)="裂石",VLOOKUP($E76,武器奇术!$A:$R,4,FALSE),VLOOKUP($E76,武器奇术!$A:$R,2,FALSE))*(1+BM76)*(1+BN76)*BO76</f>
        <v>0</v>
      </c>
      <c r="BQ76" s="104">
        <f>(1-IF(VLOOKUP($E76,武器奇术!$A:$R,18,FALSE)="叶龙",1,$N76))*(1-$M76)</f>
        <v>0</v>
      </c>
      <c r="BR76" s="103">
        <f>BK76*IF(VLOOKUP($E76,武器奇术!$A:$R,17,FALSE)="裂石",VLOOKUP($E76,武器奇术!$A:$R,4,FALSE),VLOOKUP($E76,武器奇术!$A:$R,2,FALSE))*(1+BM76)*(1+BN76)*BO76*(1+$E$16+VLOOKUP($E76,武器奇术!$A:$R,8,FALSE))</f>
        <v>0</v>
      </c>
      <c r="BS76" s="104">
        <f t="shared" si="14"/>
        <v>0.8703</v>
      </c>
      <c r="BT76" s="103">
        <f>BL76*IF(VLOOKUP($E76,武器奇术!$A:$R,17,FALSE)="裂石",VLOOKUP($E76,武器奇术!$A:$R,4,FALSE),VLOOKUP($E76,武器奇术!$A:$R,2,FALSE))*(1+BM76)*(1+BN76)*BO76*(1+$E$17+VLOOKUP($E76,武器奇术!$A:$R,10,FALSE))</f>
        <v>0</v>
      </c>
      <c r="BU76" s="104">
        <f t="shared" si="15"/>
        <v>0.0986</v>
      </c>
      <c r="BV76" s="103">
        <f>BK76*IF(VLOOKUP($E76,武器奇术!$A:$R,17,FALSE)="裂石",VLOOKUP($E76,武器奇术!$A:$R,4,FALSE),VLOOKUP($E76,武器奇术!$A:$R,2,FALSE))*(1+BM76)*(1+BN76)*BO76</f>
        <v>0</v>
      </c>
      <c r="BW76" s="104">
        <f t="shared" si="16"/>
        <v>0.0311</v>
      </c>
      <c r="BX76" s="112">
        <f t="shared" si="17"/>
        <v>0</v>
      </c>
      <c r="BY76" s="110">
        <f>$B$11*IF($G$5="撼天",1.05,1)+IF(AND(VLOOKUP($E76,武器奇术!$A:$R,15,FALSE)="武器",VLOOKUP($E76,武器奇术!$A:$R,17,FALSE)="牵丝"),$E$3*(1+$E$15),0)</f>
        <v>686.71</v>
      </c>
      <c r="BZ76" s="102">
        <f>IF(VLOOKUP($E76,武器奇术!$A:$Z,18,FALSE)="叶龙",(CA76-(BY76+CA76)*0.5)*($G$15-0.5)*2+(BY76+CA76)*0.5,(BY76+CA76)*0.5)</f>
        <v>1052.21</v>
      </c>
      <c r="CA76" s="102">
        <f>MAX($C$11*IF($G$5="撼天",1.05,1)+IF(AND(VLOOKUP($E76,武器奇术!$A:$R,15,FALSE)="武器",VLOOKUP($E76,武器奇术!$A:$R,17,FALSE)="牵丝"),$E$3*(1+$E$15),0),BY76)</f>
        <v>1417.71</v>
      </c>
      <c r="CB76" s="104">
        <f>IF(($D$11+IF(VLOOKUP($E76,武器奇术!$A:$R,17,FALSE)="牵丝",$D$15,0)-VLOOKUP($F$7,目标属性!$A:$R,6,FALSE))&gt;0,($D$11+IF(VLOOKUP($E76,武器奇术!$A:$R,17,FALSE)="牵丝",$D$15,0)-VLOOKUP($F$7,目标属性!$A:$R,6,FALSE))/200,($D$11+IF(VLOOKUP($E76,武器奇术!$A:$R,17,FALSE)="牵丝",$D$15,0)-VLOOKUP($F$7,目标属性!$A:$R,6,FALSE))/100)</f>
        <v>0.028</v>
      </c>
      <c r="CC76" s="111">
        <f>$E$11+IF($G$5="烟柳",IF(VLOOKUP($E76,武器奇术!$A:$T,20,FALSE)=1,0.1,0),0)</f>
        <v>0.248</v>
      </c>
      <c r="CD76" s="102">
        <v>1</v>
      </c>
      <c r="CE76" s="103">
        <f>BY76*IF(VLOOKUP($E76,武器奇术!$A:$R,17,FALSE)="牵丝",VLOOKUP($E76,武器奇术!$A:$R,4,FALSE),VLOOKUP($E76,武器奇术!$A:$R,2,FALSE))*(1+CB76)*(1+CC76)*CD76</f>
        <v>3091.90625934528</v>
      </c>
      <c r="CF76" s="104">
        <f>(1-IF(VLOOKUP($E76,武器奇术!$A:$R,18,FALSE)="叶龙",1,$N76))*(1-$M76)</f>
        <v>0</v>
      </c>
      <c r="CG76" s="124">
        <f>BZ76*IF(VLOOKUP($E76,武器奇术!$A:$R,17,FALSE)="牵丝",VLOOKUP($E76,武器奇术!$A:$R,4,FALSE),VLOOKUP($E76,武器奇术!$A:$R,2,FALSE))*(1+CB76)*(1+CC76)*CD76*(1+$E$16+VLOOKUP($E76,武器奇术!$A:$R,8,FALSE))</f>
        <v>9494.08441559316</v>
      </c>
      <c r="CH76" s="104">
        <f t="shared" si="18"/>
        <v>0.8703</v>
      </c>
      <c r="CI76" s="103">
        <f>CA76*IF(VLOOKUP($E76,武器奇术!$A:$R,17,FALSE)="牵丝",VLOOKUP($E76,武器奇术!$A:$R,4,FALSE),VLOOKUP($E76,武器奇术!$A:$R,2,FALSE))*(1+CB76)*(1+CC76)*CD76*(1+$E$17+VLOOKUP($E76,武器奇术!$A:$R,10,FALSE))</f>
        <v>8617.35764873693</v>
      </c>
      <c r="CJ76" s="104">
        <f t="shared" si="19"/>
        <v>0.0986</v>
      </c>
      <c r="CK76" s="124">
        <f>BZ76*IF(VLOOKUP($E76,武器奇术!$A:$R,17,FALSE)="牵丝",VLOOKUP($E76,武器奇术!$A:$R,4,FALSE),VLOOKUP($E76,武器奇术!$A:$R,2,FALSE))*(1+CB76)*(1+CC76)*CD76</f>
        <v>4737.56707364928</v>
      </c>
      <c r="CL76" s="104">
        <f t="shared" si="20"/>
        <v>0.0311</v>
      </c>
      <c r="CM76" s="112">
        <f t="shared" si="39"/>
        <v>9259.71146704668</v>
      </c>
      <c r="CN76" s="110">
        <f>$B$13*IF($G$5="撼天",1.05,1)+IF(AND(VLOOKUP($E76,武器奇术!$A:$R,15,FALSE)="武器",VLOOKUP($E76,武器奇术!$A:$R,17,FALSE)="破竹"),$E$3*(1+$E$15),0)</f>
        <v>0</v>
      </c>
      <c r="CO76" s="102">
        <f t="shared" si="21"/>
        <v>0</v>
      </c>
      <c r="CP76" s="102">
        <f>MAX($C$13*IF($G$5="撼天",1.05,1)+IF(AND(VLOOKUP($E76,武器奇术!$A:$R,15,FALSE)="武器",VLOOKUP($E76,武器奇术!$A:$R,17,FALSE)="破竹"),$E$3*(1+$E$15),0),CN76)</f>
        <v>0</v>
      </c>
      <c r="CQ76" s="104">
        <f>IF(($D$13+IF(VLOOKUP($E76,武器奇术!$A:$R,17,FALSE)="破竹",$D$15,0)-VLOOKUP($F$7,目标属性!$A:$R,6,FALSE))&gt;0,($D$13+IF(VLOOKUP($E76,武器奇术!$A:$R,17,FALSE)="破竹",$D$15,0)-VLOOKUP($F$7,目标属性!$A:$R,6,FALSE))/200,($D$13+IF(VLOOKUP($E76,武器奇术!$A:$R,17,FALSE)="破竹",$D$15,0)-VLOOKUP($F$7,目标属性!$A:$R,6,FALSE))/100)</f>
        <v>-0.24</v>
      </c>
      <c r="CR76" s="111">
        <f t="shared" si="22"/>
        <v>0</v>
      </c>
      <c r="CS76" s="102">
        <v>1</v>
      </c>
      <c r="CT76" s="103">
        <f>CN76*IF(VLOOKUP($E76,武器奇术!$A:$R,17,FALSE)="破竹",VLOOKUP($E76,武器奇术!$A:$R,4,FALSE),VLOOKUP($E76,武器奇术!$A:$R,2,FALSE))*(1+CQ76)*(1+CR76)*CS76</f>
        <v>0</v>
      </c>
      <c r="CU76" s="104">
        <f>(1-IF(VLOOKUP($E76,武器奇术!$A:$R,18,FALSE)="叶龙",1,$N76))*(1-$M76)</f>
        <v>0</v>
      </c>
      <c r="CV76" s="103">
        <f>CO76*IF(VLOOKUP($E76,武器奇术!$A:$R,17,FALSE)="破竹",VLOOKUP($E76,武器奇术!$A:$R,4,FALSE),VLOOKUP($E76,武器奇术!$A:$R,2,FALSE))*(1+CQ76)*(1+CR76)*CS76*(1+$E$16+VLOOKUP($E76,武器奇术!$A:$R,8,FALSE))</f>
        <v>0</v>
      </c>
      <c r="CW76" s="104">
        <f t="shared" si="23"/>
        <v>0.8703</v>
      </c>
      <c r="CX76" s="103">
        <f>CP76*IF(VLOOKUP($E76,武器奇术!$A:$R,17,FALSE)="破竹",VLOOKUP($E76,武器奇术!$A:$R,4,FALSE),VLOOKUP($E76,武器奇术!$A:$R,2,FALSE))*(1+CQ76)*(1+CR76)*CS76*(1+$E$17+VLOOKUP($E76,武器奇术!$A:$R,10,FALSE))</f>
        <v>0</v>
      </c>
      <c r="CY76" s="104">
        <f t="shared" si="24"/>
        <v>0.0986</v>
      </c>
      <c r="CZ76" s="103">
        <f>CO76*IF(VLOOKUP($E76,武器奇术!$A:$R,17,FALSE)="破竹",VLOOKUP($E76,武器奇术!$A:$R,4,FALSE),VLOOKUP($E76,武器奇术!$A:$R,2,FALSE))*(1+CQ76)*(1+CR76)*CS76</f>
        <v>0</v>
      </c>
      <c r="DA76" s="104">
        <f t="shared" si="25"/>
        <v>0.0311</v>
      </c>
      <c r="DB76" s="112">
        <f t="shared" si="26"/>
        <v>0</v>
      </c>
      <c r="DC76" s="110">
        <f t="shared" si="40"/>
        <v>66</v>
      </c>
      <c r="DD76" s="102">
        <f t="shared" si="27"/>
        <v>125.8</v>
      </c>
      <c r="DE76" s="102">
        <f t="shared" si="41"/>
        <v>185.6</v>
      </c>
      <c r="DF76" s="104">
        <f>IF((IF(VLOOKUP($E76,武器奇术!$A:$R,17,FALSE)="鸣金",$D$7,0)+IF(VLOOKUP($E76,武器奇术!$A:$R,17,FALSE)="裂石",$D$9,0)+IF(VLOOKUP($E76,武器奇术!$A:$R,17,FALSE)="牵丝",$D$11,0)+IF(VLOOKUP($E76,武器奇术!$A:$R,17,FALSE)="破竹",$D$13,0)+$D$15-VLOOKUP($F$7,目标属性!$A:$R,6,FALSE))&gt;0,(IF(VLOOKUP($E76,武器奇术!$A:$R,17,FALSE)="鸣金",$D$7,0)+IF(VLOOKUP($E76,武器奇术!$A:$R,17,FALSE)="裂石",$D$9,0)+IF(VLOOKUP($E76,武器奇术!$A:$R,17,FALSE)="牵丝",$D$11,0)+IF(VLOOKUP($E76,武器奇术!$A:$R,17,FALSE)="破竹",$D$13,0)+$D$15-VLOOKUP($F$7,目标属性!$A:$R,6,FALSE))/200,(IF(VLOOKUP($E76,武器奇术!$A:$R,17,FALSE)="鸣金",$D$7,0)+IF(VLOOKUP($E76,武器奇术!$A:$R,17,FALSE)="裂石",$D$9,0)+IF(VLOOKUP($E76,武器奇术!$A:$R,17,FALSE)="牵丝",$D$11,0)+IF(VLOOKUP($E76,武器奇术!$A:$R,17,FALSE)="破竹",$D$13,0)+$D$15-VLOOKUP($F$7,目标属性!$A:$R,6,FALSE))/100)</f>
        <v>0.028</v>
      </c>
      <c r="DG76" s="111">
        <f>$E$11+IF($G$5="烟柳",IF(VLOOKUP($E76,武器奇术!$A:$T,20,FALSE)=1,0.1,0),0)</f>
        <v>0.248</v>
      </c>
      <c r="DH76" s="102">
        <v>1</v>
      </c>
      <c r="DI76" s="103">
        <f>DC76*IF(VLOOKUP($E76,武器奇术!$A:$R,17,FALSE)="牵丝",VLOOKUP($E76,武器奇术!$A:$R,4,FALSE),VLOOKUP($E76,武器奇术!$A:$R,2,FALSE))*(1+DF76)*(1+DG76)*DH76</f>
        <v>297.164469888</v>
      </c>
      <c r="DJ76" s="104">
        <f>(1-IF(VLOOKUP($E76,武器奇术!$A:$R,18,FALSE)="叶龙",1,$N76))*(1-$M76)</f>
        <v>0</v>
      </c>
      <c r="DK76" s="124">
        <f>DD76*IF(VLOOKUP($E76,武器奇术!$A:$R,17,FALSE)="牵丝",VLOOKUP($E76,武器奇术!$A:$R,4,FALSE),VLOOKUP($E76,武器奇术!$A:$R,2,FALSE))*(1+DF76)*(1+DG76)*DH76*(1+$E$16+VLOOKUP($E76,武器奇术!$A:$R,8,FALSE))</f>
        <v>1135.0926331071</v>
      </c>
      <c r="DL76" s="104">
        <f t="shared" si="28"/>
        <v>0.8703</v>
      </c>
      <c r="DM76" s="103">
        <f>DE76*IF(VLOOKUP($E76,武器奇术!$A:$R,17,FALSE)="牵丝",VLOOKUP($E76,武器奇术!$A:$R,4,FALSE),VLOOKUP($E76,武器奇术!$A:$R,2,FALSE))*(1+DF76)*(1+DG76)*DH76*(1+$E$17+VLOOKUP($E76,武器奇术!$A:$R,10,FALSE))</f>
        <v>1128.14438750208</v>
      </c>
      <c r="DN76" s="104">
        <f t="shared" si="29"/>
        <v>0.0986</v>
      </c>
      <c r="DO76" s="124">
        <f>DD76*IF(VLOOKUP($E76,武器奇术!$A:$R,17,FALSE)="牵丝",VLOOKUP($E76,武器奇术!$A:$R,4,FALSE),VLOOKUP($E76,武器奇术!$A:$R,2,FALSE))*(1+DF76)*(1+DG76)*DH76</f>
        <v>566.4134895744</v>
      </c>
      <c r="DP76" s="104">
        <f t="shared" si="30"/>
        <v>0.0311</v>
      </c>
      <c r="DQ76" s="112">
        <f t="shared" si="31"/>
        <v>1116.72161472658</v>
      </c>
    </row>
    <row r="77" spans="1:121">
      <c r="A77" s="37"/>
      <c r="B77" t="s">
        <v>165</v>
      </c>
      <c r="C77" s="141">
        <v>1.3</v>
      </c>
      <c r="D77" s="139"/>
      <c r="E77" s="115" t="s">
        <v>179</v>
      </c>
      <c r="F77" s="116">
        <v>1</v>
      </c>
      <c r="G77" s="117"/>
      <c r="H77" s="103">
        <f>IF(VLOOKUP($E77,武器奇术!$A:$R,18,FALSE)="天工",AE77,(AE77+AT77+BI77+BX77+CM77+DB77+DQ77))*(1+J77)*F77*K77*(1+G77)</f>
        <v>10133.9224152393</v>
      </c>
      <c r="I77" s="104">
        <f t="shared" si="42"/>
        <v>0.0011679341314186</v>
      </c>
      <c r="J77" s="104">
        <f>$F$3+VLOOKUP($E77,武器奇术!$A:$R,12,FALSE)+VLOOKUP($E77,武器奇术!$A:$R,14,FALSE)*$G$3+$P77</f>
        <v>0.623</v>
      </c>
      <c r="K77" s="105">
        <f>VLOOKUP($E77,武器奇术!$A:$R,11,FALSE)</f>
        <v>1</v>
      </c>
      <c r="L77" s="119">
        <f>IF(VLOOKUP($E77,武器奇术!$A:$R,15,FALSE)="天工",0%,IF($C$17+VLOOKUP($E77,武器奇术!$A:$R,7,FALSE)&gt;80%,80%,$C$17+VLOOKUP($E77,武器奇术!$A:$R,7,FALSE))+IF($C$19&gt;20%,20%,$C$19))</f>
        <v>0.8703</v>
      </c>
      <c r="M77" s="120">
        <f>IF(VLOOKUP($E77,武器奇术!$A:$R,15,FALSE)="天工",0%,IF($C$18+VLOOKUP($E77,武器奇术!$A:$R,9,FALSE)&gt;40%,40%,$C$18+VLOOKUP($E77,武器奇术!$A:$R,9,FALSE))+IF($C$20&gt;10%,10%,$C$20))</f>
        <v>0.0986</v>
      </c>
      <c r="N77" s="121">
        <f>IF(VLOOKUP($E77,武器奇术!$A:$R,15,FALSE)="天工",100%,MIN($C$16,1))</f>
        <v>1</v>
      </c>
      <c r="O77" s="122" t="str">
        <f>VLOOKUP($E77,武器奇术!$A:$R,16,FALSE)</f>
        <v>伞</v>
      </c>
      <c r="P77" s="123">
        <f t="shared" si="44"/>
        <v>0.17</v>
      </c>
      <c r="Q77" s="110">
        <f>$B$5*(1+VLOOKUP($E77,武器奇术!$A:$R,5,FALSE))*(1+VLOOKUP($E77,武器奇术!$A:$S,19,FALSE)+IF($G$5="飞隼",0.1,0)+IF($G$5="撼天",0.05,0))-$F$9+IF($J$5="√",160,0)</f>
        <v>3081.85</v>
      </c>
      <c r="R77" s="102">
        <f>IF(VLOOKUP($E77,武器奇术!$A:$Z,18,FALSE)="叶龙",(S77-(Q77+S77)*0.5)*($G$15-0.5)*2+(Q77+S77)*0.5,(Q77+S77)*0.5)</f>
        <v>3161.85</v>
      </c>
      <c r="S77" s="102">
        <f>MAX($C$5,$B$5)*(1+VLOOKUP($E77,武器奇术!$A:$R,6,FALSE))*(1+VLOOKUP($E77,武器奇术!$A:$S,19,FALSE)+IF($G$5="飞隼",0.1,0)+IF($G$5="撼天",0.05,0))-$F$9+IF($J$5="√",320,0)</f>
        <v>3241.85</v>
      </c>
      <c r="T77" s="104">
        <f>IF(($D$5+VLOOKUP($E77,武器奇术!$A:$R,13,FALSE)+IF($I$3="√",10,0)-VLOOKUP($F$7,目标属性!$A:$R,5,FALSE))&gt;0,($D$5+VLOOKUP($E77,武器奇术!$A:$R,13,FALSE)+IF($I$3="√",10,0)-VLOOKUP($F$7,目标属性!$A:$R,5,FALSE))/200,($D$5+VLOOKUP($E77,武器奇术!$A:$R,13,FALSE)+IF($I$3="√",10,0)-VLOOKUP($F$7,目标属性!$A:$R,5,FALSE))/100)</f>
        <v>0.2675</v>
      </c>
      <c r="U77" s="111">
        <f>$E$5+IF($G$5="烟柳",IF(VLOOKUP($E77,武器奇术!$A:$T,20,FALSE)=1,0.1,0),0)</f>
        <v>0.1</v>
      </c>
      <c r="V77" s="102">
        <v>1</v>
      </c>
      <c r="W77" s="103">
        <f>Q77*VLOOKUP($E77,武器奇术!$A:$R,2,FALSE)*(1+T77)*(1+U77)*V77</f>
        <v>2319.02039494125</v>
      </c>
      <c r="X77" s="104">
        <f>(1-IF(VLOOKUP($E77,武器奇术!$A:$R,18,FALSE)="叶龙",1,$N77))*(1-$M77)</f>
        <v>0</v>
      </c>
      <c r="Y77" s="103">
        <f>R77*VLOOKUP($E77,武器奇术!$A:$R,2,FALSE)*(1+T77)*(1+U77)*V77*(1+$E$16+VLOOKUP($E77,武器奇术!$A:$R,8,FALSE))</f>
        <v>3911.43526815541</v>
      </c>
      <c r="Z77" s="104">
        <f t="shared" si="33"/>
        <v>0.8703</v>
      </c>
      <c r="AA77" s="103">
        <f>S77*VLOOKUP($E77,武器奇术!$A:$R,2,FALSE)*(1+T77)*(1+U77)*V77*(1+$E$17+VLOOKUP($E77,武器奇术!$A:$R,10,FALSE))</f>
        <v>3293.21250577069</v>
      </c>
      <c r="AB77" s="104">
        <f t="shared" si="34"/>
        <v>0.0986</v>
      </c>
      <c r="AC77" s="103">
        <f>R77*VLOOKUP($E77,武器奇术!$A:$R,2,FALSE)*(1+T77)*(1+U77)*V77</f>
        <v>2379.21853294125</v>
      </c>
      <c r="AD77" s="104">
        <f t="shared" si="35"/>
        <v>0.0311</v>
      </c>
      <c r="AE77" s="112">
        <f t="shared" si="36"/>
        <v>3802.82656331912</v>
      </c>
      <c r="AF77" s="113">
        <f>VLOOKUP($E77,武器奇术!$A:$R,3,FALSE)*(1+IF(VLOOKUP($E77,武器奇术!$A:$R,15,FALSE)="武器",$E$15,0))</f>
        <v>193.7</v>
      </c>
      <c r="AG77" s="103">
        <f t="shared" si="1"/>
        <v>193.7</v>
      </c>
      <c r="AH77" s="103">
        <f>VLOOKUP($E77,武器奇术!$A:$R,3,FALSE)*(1+IF(VLOOKUP($E77,武器奇术!$A:$R,15,FALSE)="武器",$E$15,0))</f>
        <v>193.7</v>
      </c>
      <c r="AI77" s="104">
        <f>IF(($D$5+VLOOKUP($E77,武器奇术!$A:$R,13,FALSE)+IF($I$3="√",10,0)-VLOOKUP($F$7,目标属性!$A:$R,5,FALSE))&gt;0,($D$5+VLOOKUP($E77,武器奇术!$A:$R,13,FALSE)+IF($I$3="√",10,0)-VLOOKUP($F$7,目标属性!$A:$R,5,FALSE))/200,($D$5+VLOOKUP($E77,武器奇术!$A:$R,13,FALSE)+IF($I$3="√",10,0)-VLOOKUP($F$7,目标属性!$A:$R,5,FALSE))/100)</f>
        <v>0.2675</v>
      </c>
      <c r="AJ77" s="111">
        <f>$E$5+IF($G$5="烟柳",IF(VLOOKUP($E77,武器奇术!$A:$T,20,FALSE)=1,0.1,0),0)</f>
        <v>0.1</v>
      </c>
      <c r="AK77" s="102">
        <v>1</v>
      </c>
      <c r="AL77" s="103">
        <f t="shared" si="45"/>
        <v>270.066225</v>
      </c>
      <c r="AM77" s="104">
        <f>(1-IF(VLOOKUP($E77,武器奇术!$A:$R,18,FALSE)="叶龙",1,$N77))*(1-$M77)</f>
        <v>0</v>
      </c>
      <c r="AN77" s="103">
        <f>AG77*(1+AI77)*(1+AJ77)*AK77*(1+$E$16+VLOOKUP($E77,武器奇术!$A:$R,8,FALSE))</f>
        <v>443.9888739</v>
      </c>
      <c r="AO77" s="104">
        <f t="shared" si="2"/>
        <v>0.8703</v>
      </c>
      <c r="AP77" s="103">
        <f>AH77*(1+AI77)*(1+AJ77)*AK77*(1+$E$17+VLOOKUP($E77,武器奇术!$A:$R,10,FALSE))</f>
        <v>364.58940375</v>
      </c>
      <c r="AQ77" s="104">
        <f t="shared" si="3"/>
        <v>0.0986</v>
      </c>
      <c r="AR77" s="103">
        <f t="shared" si="38"/>
        <v>270.066225</v>
      </c>
      <c r="AS77" s="104">
        <f t="shared" si="4"/>
        <v>0.0311</v>
      </c>
      <c r="AT77" s="112">
        <f t="shared" si="5"/>
        <v>430.75109176242</v>
      </c>
      <c r="AU77" s="110">
        <f>$B$7*IF($G$5="撼天",1.05,1)+IF(AND(VLOOKUP($E77,武器奇术!$A:$R,15,FALSE)="武器",VLOOKUP($E77,武器奇术!$A:$R,17,FALSE)="鸣金"),$E$3*(1+$E$15),0)</f>
        <v>0</v>
      </c>
      <c r="AV77" s="102">
        <f t="shared" si="6"/>
        <v>0</v>
      </c>
      <c r="AW77" s="102">
        <f>MAX($C$7*IF($G$5="撼天",1.05,1)+IF(AND(VLOOKUP($E77,武器奇术!$A:$R,15,FALSE)="武器",VLOOKUP($E77,武器奇术!$A:$R,17,FALSE)="鸣金"),$E$3*(1+$E$15),0),AU77)</f>
        <v>0</v>
      </c>
      <c r="AX77" s="104">
        <f>IF(($D$7+IF(VLOOKUP($E77,武器奇术!$A:$R,17,FALSE)="鸣金",$D$15,0)-VLOOKUP($F$7,目标属性!$A:$R,6,FALSE))&gt;0,($D$7+IF(VLOOKUP($E77,武器奇术!$A:$R,17,FALSE)="鸣金",$D$15,0)-VLOOKUP($F$7,目标属性!$A:$R,6,FALSE))/200,($D$7+IF(VLOOKUP($E77,武器奇术!$A:$R,17,FALSE)="鸣金",$D$15,0)-VLOOKUP($F$7,目标属性!$A:$R,6,FALSE))/100)</f>
        <v>-0.24</v>
      </c>
      <c r="AY77" s="111">
        <f t="shared" si="7"/>
        <v>0</v>
      </c>
      <c r="AZ77" s="102">
        <v>1</v>
      </c>
      <c r="BA77" s="103">
        <f>AU77*IF(VLOOKUP($E77,武器奇术!$A:$R,17,FALSE)="鸣金",VLOOKUP($E77,武器奇术!$A:$R,4,FALSE),VLOOKUP($E77,武器奇术!$A:$R,2,FALSE))*(1+AX77)*(1+AY77)*AZ77</f>
        <v>0</v>
      </c>
      <c r="BB77" s="104">
        <f>(1-IF(VLOOKUP($E77,武器奇术!$A:$R,18,FALSE)="叶龙",1,$N77))*(1-$M77)</f>
        <v>0</v>
      </c>
      <c r="BC77" s="103">
        <f>AV77*IF(VLOOKUP($E77,武器奇术!$A:$R,17,FALSE)="鸣金",VLOOKUP($E77,武器奇术!$A:$R,4,FALSE),VLOOKUP($E77,武器奇术!$A:$R,2,FALSE))*(1+AX77)*(1+AY77)*AZ77*(1+$E$16+VLOOKUP($E77,武器奇术!$A:$R,8,FALSE))</f>
        <v>0</v>
      </c>
      <c r="BD77" s="104">
        <f t="shared" si="8"/>
        <v>0.8703</v>
      </c>
      <c r="BE77" s="103">
        <f>AW77*IF(VLOOKUP($E77,武器奇术!$A:$R,17,FALSE)="鸣金",VLOOKUP($E77,武器奇术!$A:$R,4,FALSE),VLOOKUP($E77,武器奇术!$A:$R,2,FALSE))*(1+AX77)*(1+AY77)*AZ77*(1+$E$17+VLOOKUP($E77,武器奇术!$A:$R,10,FALSE))</f>
        <v>0</v>
      </c>
      <c r="BF77" s="104">
        <f t="shared" si="9"/>
        <v>0.0986</v>
      </c>
      <c r="BG77" s="103">
        <f>AV77*IF(VLOOKUP($E77,武器奇术!$A:$R,17,FALSE)="鸣金",VLOOKUP($E77,武器奇术!$A:$R,4,FALSE),VLOOKUP($E77,武器奇术!$A:$R,2,FALSE))*(1+AX77)*(1+AY77)*AZ77</f>
        <v>0</v>
      </c>
      <c r="BH77" s="104">
        <f t="shared" si="10"/>
        <v>0.0311</v>
      </c>
      <c r="BI77" s="112">
        <f t="shared" si="11"/>
        <v>0</v>
      </c>
      <c r="BJ77" s="110">
        <f>$B$9*IF($G$5="撼天",1.05,1)+IF(AND(VLOOKUP($E77,武器奇术!$A:$R,15,FALSE)="武器",VLOOKUP($E77,武器奇术!$A:$R,17,FALSE)="裂石"),$E$3*(1+$E$15),0)</f>
        <v>0</v>
      </c>
      <c r="BK77" s="102">
        <f t="shared" si="12"/>
        <v>0</v>
      </c>
      <c r="BL77" s="102">
        <f>MAX($C$9*IF($G$5="撼天",1.05,1)+IF(AND(VLOOKUP($E77,武器奇术!$A:$R,15,FALSE)="武器",VLOOKUP($E77,武器奇术!$A:$R,17,FALSE)="裂石"),$E$3*(1+$E$15),0),BJ77)</f>
        <v>0</v>
      </c>
      <c r="BM77" s="104">
        <f>IF(($D$9+IF(VLOOKUP($E77,武器奇术!$A:$R,17,FALSE)="裂石",$D$15,0)-VLOOKUP($F$7,目标属性!$A:$R,6,FALSE))&gt;0,($D$9+IF(VLOOKUP($E77,武器奇术!$A:$R,17,FALSE)="裂石",$D$15,0)-VLOOKUP($F$7,目标属性!$A:$R,6,FALSE))/200,($D$9+IF(VLOOKUP($E77,武器奇术!$A:$R,17,FALSE)="裂石",$D$15,0)-VLOOKUP($F$7,目标属性!$A:$R,6,FALSE))/100)</f>
        <v>-0.24</v>
      </c>
      <c r="BN77" s="111">
        <f t="shared" si="13"/>
        <v>0</v>
      </c>
      <c r="BO77" s="102">
        <v>1</v>
      </c>
      <c r="BP77" s="103">
        <f>BJ77*IF(VLOOKUP($E77,武器奇术!$A:$R,17,FALSE)="裂石",VLOOKUP($E77,武器奇术!$A:$R,4,FALSE),VLOOKUP($E77,武器奇术!$A:$R,2,FALSE))*(1+BM77)*(1+BN77)*BO77</f>
        <v>0</v>
      </c>
      <c r="BQ77" s="104">
        <f>(1-IF(VLOOKUP($E77,武器奇术!$A:$R,18,FALSE)="叶龙",1,$N77))*(1-$M77)</f>
        <v>0</v>
      </c>
      <c r="BR77" s="103">
        <f>BK77*IF(VLOOKUP($E77,武器奇术!$A:$R,17,FALSE)="裂石",VLOOKUP($E77,武器奇术!$A:$R,4,FALSE),VLOOKUP($E77,武器奇术!$A:$R,2,FALSE))*(1+BM77)*(1+BN77)*BO77*(1+$E$16+VLOOKUP($E77,武器奇术!$A:$R,8,FALSE))</f>
        <v>0</v>
      </c>
      <c r="BS77" s="104">
        <f t="shared" si="14"/>
        <v>0.8703</v>
      </c>
      <c r="BT77" s="103">
        <f>BL77*IF(VLOOKUP($E77,武器奇术!$A:$R,17,FALSE)="裂石",VLOOKUP($E77,武器奇术!$A:$R,4,FALSE),VLOOKUP($E77,武器奇术!$A:$R,2,FALSE))*(1+BM77)*(1+BN77)*BO77*(1+$E$17+VLOOKUP($E77,武器奇术!$A:$R,10,FALSE))</f>
        <v>0</v>
      </c>
      <c r="BU77" s="104">
        <f t="shared" si="15"/>
        <v>0.0986</v>
      </c>
      <c r="BV77" s="103">
        <f>BK77*IF(VLOOKUP($E77,武器奇术!$A:$R,17,FALSE)="裂石",VLOOKUP($E77,武器奇术!$A:$R,4,FALSE),VLOOKUP($E77,武器奇术!$A:$R,2,FALSE))*(1+BM77)*(1+BN77)*BO77</f>
        <v>0</v>
      </c>
      <c r="BW77" s="104">
        <f t="shared" si="16"/>
        <v>0.0311</v>
      </c>
      <c r="BX77" s="112">
        <f t="shared" si="17"/>
        <v>0</v>
      </c>
      <c r="BY77" s="110">
        <f>$B$11*IF($G$5="撼天",1.05,1)+IF(AND(VLOOKUP($E77,武器奇术!$A:$R,15,FALSE)="武器",VLOOKUP($E77,武器奇术!$A:$R,17,FALSE)="牵丝"),$E$3*(1+$E$15),0)</f>
        <v>686.71</v>
      </c>
      <c r="BZ77" s="102">
        <f>IF(VLOOKUP($E77,武器奇术!$A:$Z,18,FALSE)="叶龙",(CA77-(BY77+CA77)*0.5)*($G$15-0.5)*2+(BY77+CA77)*0.5,(BY77+CA77)*0.5)</f>
        <v>1052.21</v>
      </c>
      <c r="CA77" s="102">
        <f>MAX($C$11*IF($G$5="撼天",1.05,1)+IF(AND(VLOOKUP($E77,武器奇术!$A:$R,15,FALSE)="武器",VLOOKUP($E77,武器奇术!$A:$R,17,FALSE)="牵丝"),$E$3*(1+$E$15),0),BY77)</f>
        <v>1417.71</v>
      </c>
      <c r="CB77" s="104">
        <f>IF(($D$11+IF(VLOOKUP($E77,武器奇术!$A:$R,17,FALSE)="牵丝",$D$15,0)-VLOOKUP($F$7,目标属性!$A:$R,6,FALSE))&gt;0,($D$11+IF(VLOOKUP($E77,武器奇术!$A:$R,17,FALSE)="牵丝",$D$15,0)-VLOOKUP($F$7,目标属性!$A:$R,6,FALSE))/200,($D$11+IF(VLOOKUP($E77,武器奇术!$A:$R,17,FALSE)="牵丝",$D$15,0)-VLOOKUP($F$7,目标属性!$A:$R,6,FALSE))/100)</f>
        <v>0.028</v>
      </c>
      <c r="CC77" s="111">
        <f>$E$11+IF($G$5="烟柳",IF(VLOOKUP($E77,武器奇术!$A:$T,20,FALSE)=1,0.1,0),0)</f>
        <v>0.248</v>
      </c>
      <c r="CD77" s="102">
        <v>1</v>
      </c>
      <c r="CE77" s="103">
        <f>BY77*IF(VLOOKUP($E77,武器奇术!$A:$R,17,FALSE)="牵丝",VLOOKUP($E77,武器奇术!$A:$R,4,FALSE),VLOOKUP($E77,武器奇术!$A:$R,2,FALSE))*(1+CB77)*(1+CC77)*CD77</f>
        <v>713.266079944704</v>
      </c>
      <c r="CF77" s="104">
        <f>(1-IF(VLOOKUP($E77,武器奇术!$A:$R,18,FALSE)="叶龙",1,$N77))*(1-$M77)</f>
        <v>0</v>
      </c>
      <c r="CG77" s="124">
        <f>BZ77*IF(VLOOKUP($E77,武器奇术!$A:$R,17,FALSE)="牵丝",VLOOKUP($E77,武器奇术!$A:$R,4,FALSE),VLOOKUP($E77,武器奇术!$A:$R,2,FALSE))*(1+CB77)*(1+CC77)*CD77*(1+$E$16+VLOOKUP($E77,武器奇术!$A:$R,8,FALSE))</f>
        <v>1796.72842109893</v>
      </c>
      <c r="CH77" s="104">
        <f t="shared" si="18"/>
        <v>0.8703</v>
      </c>
      <c r="CI77" s="103">
        <f>CA77*IF(VLOOKUP($E77,武器奇术!$A:$R,17,FALSE)="牵丝",VLOOKUP($E77,武器奇术!$A:$R,4,FALSE),VLOOKUP($E77,武器奇术!$A:$R,2,FALSE))*(1+CB77)*(1+CC77)*CD77*(1+$E$17+VLOOKUP($E77,武器奇术!$A:$R,10,FALSE))</f>
        <v>1987.92214059479</v>
      </c>
      <c r="CJ77" s="104">
        <f t="shared" si="19"/>
        <v>0.0986</v>
      </c>
      <c r="CK77" s="124">
        <f>BZ77*IF(VLOOKUP($E77,武器奇术!$A:$R,17,FALSE)="牵丝",VLOOKUP($E77,武器奇术!$A:$R,4,FALSE),VLOOKUP($E77,武器奇术!$A:$R,2,FALSE))*(1+CB77)*(1+CC77)*CD77</f>
        <v>1092.9004994519</v>
      </c>
      <c r="CL77" s="104">
        <f t="shared" si="20"/>
        <v>0.0311</v>
      </c>
      <c r="CM77" s="112">
        <f t="shared" si="39"/>
        <v>1793.691073478</v>
      </c>
      <c r="CN77" s="110">
        <f>$B$13*IF($G$5="撼天",1.05,1)+IF(AND(VLOOKUP($E77,武器奇术!$A:$R,15,FALSE)="武器",VLOOKUP($E77,武器奇术!$A:$R,17,FALSE)="破竹"),$E$3*(1+$E$15),0)</f>
        <v>0</v>
      </c>
      <c r="CO77" s="102">
        <f t="shared" si="21"/>
        <v>0</v>
      </c>
      <c r="CP77" s="102">
        <f>MAX($C$13*IF($G$5="撼天",1.05,1)+IF(AND(VLOOKUP($E77,武器奇术!$A:$R,15,FALSE)="武器",VLOOKUP($E77,武器奇术!$A:$R,17,FALSE)="破竹"),$E$3*(1+$E$15),0),CN77)</f>
        <v>0</v>
      </c>
      <c r="CQ77" s="104">
        <f>IF(($D$13+IF(VLOOKUP($E77,武器奇术!$A:$R,17,FALSE)="破竹",$D$15,0)-VLOOKUP($F$7,目标属性!$A:$R,6,FALSE))&gt;0,($D$13+IF(VLOOKUP($E77,武器奇术!$A:$R,17,FALSE)="破竹",$D$15,0)-VLOOKUP($F$7,目标属性!$A:$R,6,FALSE))/200,($D$13+IF(VLOOKUP($E77,武器奇术!$A:$R,17,FALSE)="破竹",$D$15,0)-VLOOKUP($F$7,目标属性!$A:$R,6,FALSE))/100)</f>
        <v>-0.24</v>
      </c>
      <c r="CR77" s="111">
        <f t="shared" si="22"/>
        <v>0</v>
      </c>
      <c r="CS77" s="102">
        <v>1</v>
      </c>
      <c r="CT77" s="103">
        <f>CN77*IF(VLOOKUP($E77,武器奇术!$A:$R,17,FALSE)="破竹",VLOOKUP($E77,武器奇术!$A:$R,4,FALSE),VLOOKUP($E77,武器奇术!$A:$R,2,FALSE))*(1+CQ77)*(1+CR77)*CS77</f>
        <v>0</v>
      </c>
      <c r="CU77" s="104">
        <f>(1-IF(VLOOKUP($E77,武器奇术!$A:$R,18,FALSE)="叶龙",1,$N77))*(1-$M77)</f>
        <v>0</v>
      </c>
      <c r="CV77" s="103">
        <f>CO77*IF(VLOOKUP($E77,武器奇术!$A:$R,17,FALSE)="破竹",VLOOKUP($E77,武器奇术!$A:$R,4,FALSE),VLOOKUP($E77,武器奇术!$A:$R,2,FALSE))*(1+CQ77)*(1+CR77)*CS77*(1+$E$16+VLOOKUP($E77,武器奇术!$A:$R,8,FALSE))</f>
        <v>0</v>
      </c>
      <c r="CW77" s="104">
        <f t="shared" si="23"/>
        <v>0.8703</v>
      </c>
      <c r="CX77" s="103">
        <f>CP77*IF(VLOOKUP($E77,武器奇术!$A:$R,17,FALSE)="破竹",VLOOKUP($E77,武器奇术!$A:$R,4,FALSE),VLOOKUP($E77,武器奇术!$A:$R,2,FALSE))*(1+CQ77)*(1+CR77)*CS77*(1+$E$17+VLOOKUP($E77,武器奇术!$A:$R,10,FALSE))</f>
        <v>0</v>
      </c>
      <c r="CY77" s="104">
        <f t="shared" si="24"/>
        <v>0.0986</v>
      </c>
      <c r="CZ77" s="103">
        <f>CO77*IF(VLOOKUP($E77,武器奇术!$A:$R,17,FALSE)="破竹",VLOOKUP($E77,武器奇术!$A:$R,4,FALSE),VLOOKUP($E77,武器奇术!$A:$R,2,FALSE))*(1+CQ77)*(1+CR77)*CS77</f>
        <v>0</v>
      </c>
      <c r="DA77" s="104">
        <f t="shared" si="25"/>
        <v>0.0311</v>
      </c>
      <c r="DB77" s="112">
        <f t="shared" si="26"/>
        <v>0</v>
      </c>
      <c r="DC77" s="110">
        <f t="shared" si="40"/>
        <v>66</v>
      </c>
      <c r="DD77" s="102">
        <f t="shared" si="27"/>
        <v>125.8</v>
      </c>
      <c r="DE77" s="102">
        <f t="shared" si="41"/>
        <v>185.6</v>
      </c>
      <c r="DF77" s="104">
        <f>IF((IF(VLOOKUP($E77,武器奇术!$A:$R,17,FALSE)="鸣金",$D$7,0)+IF(VLOOKUP($E77,武器奇术!$A:$R,17,FALSE)="裂石",$D$9,0)+IF(VLOOKUP($E77,武器奇术!$A:$R,17,FALSE)="牵丝",$D$11,0)+IF(VLOOKUP($E77,武器奇术!$A:$R,17,FALSE)="破竹",$D$13,0)+$D$15-VLOOKUP($F$7,目标属性!$A:$R,6,FALSE))&gt;0,(IF(VLOOKUP($E77,武器奇术!$A:$R,17,FALSE)="鸣金",$D$7,0)+IF(VLOOKUP($E77,武器奇术!$A:$R,17,FALSE)="裂石",$D$9,0)+IF(VLOOKUP($E77,武器奇术!$A:$R,17,FALSE)="牵丝",$D$11,0)+IF(VLOOKUP($E77,武器奇术!$A:$R,17,FALSE)="破竹",$D$13,0)+$D$15-VLOOKUP($F$7,目标属性!$A:$R,6,FALSE))/200,(IF(VLOOKUP($E77,武器奇术!$A:$R,17,FALSE)="鸣金",$D$7,0)+IF(VLOOKUP($E77,武器奇术!$A:$R,17,FALSE)="裂石",$D$9,0)+IF(VLOOKUP($E77,武器奇术!$A:$R,17,FALSE)="牵丝",$D$11,0)+IF(VLOOKUP($E77,武器奇术!$A:$R,17,FALSE)="破竹",$D$13,0)+$D$15-VLOOKUP($F$7,目标属性!$A:$R,6,FALSE))/100)</f>
        <v>0.028</v>
      </c>
      <c r="DG77" s="111">
        <f>$E$11+IF($G$5="烟柳",IF(VLOOKUP($E77,武器奇术!$A:$T,20,FALSE)=1,0.1,0),0)</f>
        <v>0.248</v>
      </c>
      <c r="DH77" s="102">
        <v>1</v>
      </c>
      <c r="DI77" s="103">
        <f>DC77*IF(VLOOKUP($E77,武器奇术!$A:$R,17,FALSE)="牵丝",VLOOKUP($E77,武器奇术!$A:$R,4,FALSE),VLOOKUP($E77,武器奇术!$A:$R,2,FALSE))*(1+DF77)*(1+DG77)*DH77</f>
        <v>68.5523165184</v>
      </c>
      <c r="DJ77" s="104">
        <f>(1-IF(VLOOKUP($E77,武器奇术!$A:$R,18,FALSE)="叶龙",1,$N77))*(1-$M77)</f>
        <v>0</v>
      </c>
      <c r="DK77" s="124">
        <f>DD77*IF(VLOOKUP($E77,武器奇术!$A:$R,17,FALSE)="牵丝",VLOOKUP($E77,武器奇术!$A:$R,4,FALSE),VLOOKUP($E77,武器奇术!$A:$R,2,FALSE))*(1+DF77)*(1+DG77)*DH77*(1+$E$16+VLOOKUP($E77,武器奇术!$A:$R,8,FALSE))</f>
        <v>214.813046230549</v>
      </c>
      <c r="DL77" s="104">
        <f t="shared" si="28"/>
        <v>0.8703</v>
      </c>
      <c r="DM77" s="103">
        <f>DE77*IF(VLOOKUP($E77,武器奇术!$A:$R,17,FALSE)="牵丝",VLOOKUP($E77,武器奇术!$A:$R,4,FALSE),VLOOKUP($E77,武器奇术!$A:$R,2,FALSE))*(1+DF77)*(1+DG77)*DH77*(1+$E$17+VLOOKUP($E77,武器奇术!$A:$R,10,FALSE))</f>
        <v>260.249521618944</v>
      </c>
      <c r="DN77" s="104">
        <f t="shared" si="29"/>
        <v>0.0986</v>
      </c>
      <c r="DO77" s="124">
        <f>DD77*IF(VLOOKUP($E77,武器奇术!$A:$R,17,FALSE)="牵丝",VLOOKUP($E77,武器奇术!$A:$R,4,FALSE),VLOOKUP($E77,武器奇术!$A:$R,2,FALSE))*(1+DF77)*(1+DG77)*DH77</f>
        <v>130.66486996992</v>
      </c>
      <c r="DP77" s="104">
        <f t="shared" si="30"/>
        <v>0.0311</v>
      </c>
      <c r="DQ77" s="112">
        <f t="shared" si="31"/>
        <v>216.676074422139</v>
      </c>
    </row>
    <row r="78" spans="1:121">
      <c r="A78" s="37"/>
      <c r="B78" t="s">
        <v>154</v>
      </c>
      <c r="C78" s="141">
        <v>1.16</v>
      </c>
      <c r="D78" s="139"/>
      <c r="E78" s="115" t="s">
        <v>141</v>
      </c>
      <c r="F78" s="116">
        <v>1</v>
      </c>
      <c r="G78" s="117"/>
      <c r="H78" s="103">
        <f>IF(VLOOKUP($E78,武器奇术!$A:$R,18,FALSE)="天工",AE78,(AE78+AT78+BI78+BX78+CM78+DB78+DQ78))*(1+J78)*F78*K78*(1+G78)</f>
        <v>8456.81712156399</v>
      </c>
      <c r="I78" s="104">
        <f t="shared" si="42"/>
        <v>0.000974647816978241</v>
      </c>
      <c r="J78" s="104">
        <f>$F$3+VLOOKUP($E78,武器奇术!$A:$R,12,FALSE)+VLOOKUP($E78,武器奇术!$A:$R,14,FALSE)*$G$3+$P78</f>
        <v>0.503</v>
      </c>
      <c r="K78" s="105">
        <f>VLOOKUP($E78,武器奇术!$A:$R,11,FALSE)</f>
        <v>1</v>
      </c>
      <c r="L78" s="119">
        <f>IF(VLOOKUP($E78,武器奇术!$A:$R,15,FALSE)="天工",0%,IF($C$17+VLOOKUP($E78,武器奇术!$A:$R,7,FALSE)&gt;80%,80%,$C$17+VLOOKUP($E78,武器奇术!$A:$R,7,FALSE))+IF($C$19&gt;20%,20%,$C$19))</f>
        <v>0.8703</v>
      </c>
      <c r="M78" s="120">
        <f>IF(VLOOKUP($E78,武器奇术!$A:$R,15,FALSE)="天工",0%,IF($C$18+VLOOKUP($E78,武器奇术!$A:$R,9,FALSE)&gt;40%,40%,$C$18+VLOOKUP($E78,武器奇术!$A:$R,9,FALSE))+IF($C$20&gt;10%,10%,$C$20))</f>
        <v>0.0986</v>
      </c>
      <c r="N78" s="121">
        <f>IF(VLOOKUP($E78,武器奇术!$A:$R,15,FALSE)="天工",100%,MIN($C$16,1))</f>
        <v>1</v>
      </c>
      <c r="O78" s="122" t="str">
        <f>VLOOKUP($E78,武器奇术!$A:$R,16,FALSE)</f>
        <v>伞</v>
      </c>
      <c r="P78" s="123">
        <f t="shared" si="44"/>
        <v>0.17</v>
      </c>
      <c r="Q78" s="110">
        <f>$B$5*(1+VLOOKUP($E78,武器奇术!$A:$R,5,FALSE))*(1+VLOOKUP($E78,武器奇术!$A:$S,19,FALSE)+IF($G$5="飞隼",0.1,0)+IF($G$5="撼天",0.05,0))-$F$9+IF($J$5="√",160,0)</f>
        <v>3081.85</v>
      </c>
      <c r="R78" s="102">
        <f>IF(VLOOKUP($E78,武器奇术!$A:$Z,18,FALSE)="叶龙",(S78-(Q78+S78)*0.5)*($G$15-0.5)*2+(Q78+S78)*0.5,(Q78+S78)*0.5)</f>
        <v>3161.85</v>
      </c>
      <c r="S78" s="102">
        <f>MAX($C$5,$B$5)*(1+VLOOKUP($E78,武器奇术!$A:$R,6,FALSE))*(1+VLOOKUP($E78,武器奇术!$A:$S,19,FALSE)+IF($G$5="飞隼",0.1,0)+IF($G$5="撼天",0.05,0))-$F$9+IF($J$5="√",320,0)</f>
        <v>3241.85</v>
      </c>
      <c r="T78" s="104">
        <f>IF(($D$5+VLOOKUP($E78,武器奇术!$A:$R,13,FALSE)+IF($I$3="√",10,0)-VLOOKUP($F$7,目标属性!$A:$R,5,FALSE))&gt;0,($D$5+VLOOKUP($E78,武器奇术!$A:$R,13,FALSE)+IF($I$3="√",10,0)-VLOOKUP($F$7,目标属性!$A:$R,5,FALSE))/200,($D$5+VLOOKUP($E78,武器奇术!$A:$R,13,FALSE)+IF($I$3="√",10,0)-VLOOKUP($F$7,目标属性!$A:$R,5,FALSE))/100)</f>
        <v>0.2675</v>
      </c>
      <c r="U78" s="111">
        <f>$E$5+IF($G$5="烟柳",IF(VLOOKUP($E78,武器奇术!$A:$T,20,FALSE)=1,0.1,0),0)</f>
        <v>0</v>
      </c>
      <c r="V78" s="102">
        <v>1</v>
      </c>
      <c r="W78" s="103">
        <f>Q78*VLOOKUP($E78,武器奇术!$A:$R,2,FALSE)*(1+T78)*(1+U78)*V78</f>
        <v>2105.465987625</v>
      </c>
      <c r="X78" s="104">
        <f>(1-IF(VLOOKUP($E78,武器奇术!$A:$R,18,FALSE)="叶龙",1,$N78))*(1-$M78)</f>
        <v>0</v>
      </c>
      <c r="Y78" s="103">
        <f>R78*VLOOKUP($E78,武器奇术!$A:$R,2,FALSE)*(1+T78)*(1+U78)*V78*(1+$E$16+VLOOKUP($E78,武器奇术!$A:$R,8,FALSE))</f>
        <v>3551.2382460555</v>
      </c>
      <c r="Z78" s="104">
        <f t="shared" si="33"/>
        <v>0.8703</v>
      </c>
      <c r="AA78" s="103">
        <f>S78*VLOOKUP($E78,武器奇术!$A:$R,2,FALSE)*(1+T78)*(1+U78)*V78*(1+$E$17+VLOOKUP($E78,武器奇术!$A:$R,10,FALSE))</f>
        <v>2989.94650329375</v>
      </c>
      <c r="AB78" s="104">
        <f t="shared" si="34"/>
        <v>0.0986</v>
      </c>
      <c r="AC78" s="103">
        <f>R78*VLOOKUP($E78,武器奇术!$A:$R,2,FALSE)*(1+T78)*(1+U78)*V78</f>
        <v>2160.120587625</v>
      </c>
      <c r="AD78" s="104">
        <f t="shared" si="35"/>
        <v>0.0311</v>
      </c>
      <c r="AE78" s="112">
        <f t="shared" si="36"/>
        <v>3452.631121042</v>
      </c>
      <c r="AF78" s="113">
        <f>VLOOKUP($E78,武器奇术!$A:$R,3,FALSE)*(1+IF(VLOOKUP($E78,武器奇术!$A:$R,15,FALSE)="武器",$E$15,0))</f>
        <v>161.8617</v>
      </c>
      <c r="AG78" s="103">
        <f t="shared" si="1"/>
        <v>161.8617</v>
      </c>
      <c r="AH78" s="103">
        <f>VLOOKUP($E78,武器奇术!$A:$R,3,FALSE)*(1+IF(VLOOKUP($E78,武器奇术!$A:$R,15,FALSE)="武器",$E$15,0))</f>
        <v>161.8617</v>
      </c>
      <c r="AI78" s="104">
        <f>IF(($D$5+VLOOKUP($E78,武器奇术!$A:$R,13,FALSE)+IF($I$3="√",10,0)-VLOOKUP($F$7,目标属性!$A:$R,5,FALSE))&gt;0,($D$5+VLOOKUP($E78,武器奇术!$A:$R,13,FALSE)+IF($I$3="√",10,0)-VLOOKUP($F$7,目标属性!$A:$R,5,FALSE))/200,($D$5+VLOOKUP($E78,武器奇术!$A:$R,13,FALSE)+IF($I$3="√",10,0)-VLOOKUP($F$7,目标属性!$A:$R,5,FALSE))/100)</f>
        <v>0.2675</v>
      </c>
      <c r="AJ78" s="111">
        <f>$E$5+IF($G$5="烟柳",IF(VLOOKUP($E78,武器奇术!$A:$T,20,FALSE)=1,0.1,0),0)</f>
        <v>0</v>
      </c>
      <c r="AK78" s="102">
        <v>1</v>
      </c>
      <c r="AL78" s="103">
        <f t="shared" si="45"/>
        <v>205.15970475</v>
      </c>
      <c r="AM78" s="104">
        <f>(1-IF(VLOOKUP($E78,武器奇术!$A:$R,18,FALSE)="叶龙",1,$N78))*(1-$M78)</f>
        <v>0</v>
      </c>
      <c r="AN78" s="103">
        <f>AG78*(1+AI78)*(1+AJ78)*AK78*(1+$E$16+VLOOKUP($E78,武器奇术!$A:$R,8,FALSE))</f>
        <v>337.282554609</v>
      </c>
      <c r="AO78" s="104">
        <f t="shared" si="2"/>
        <v>0.8703</v>
      </c>
      <c r="AP78" s="103">
        <f>AH78*(1+AI78)*(1+AJ78)*AK78*(1+$E$17+VLOOKUP($E78,武器奇术!$A:$R,10,FALSE))</f>
        <v>276.9656014125</v>
      </c>
      <c r="AQ78" s="104">
        <f t="shared" si="3"/>
        <v>0.0986</v>
      </c>
      <c r="AR78" s="103">
        <f t="shared" si="38"/>
        <v>205.15970475</v>
      </c>
      <c r="AS78" s="104">
        <f t="shared" si="4"/>
        <v>0.0311</v>
      </c>
      <c r="AT78" s="112">
        <f t="shared" si="5"/>
        <v>327.22628239321</v>
      </c>
      <c r="AU78" s="110">
        <f>$B$7*IF($G$5="撼天",1.05,1)+IF(AND(VLOOKUP($E78,武器奇术!$A:$R,15,FALSE)="武器",VLOOKUP($E78,武器奇术!$A:$R,17,FALSE)="鸣金"),$E$3*(1+$E$15),0)</f>
        <v>0</v>
      </c>
      <c r="AV78" s="102">
        <f t="shared" si="6"/>
        <v>0</v>
      </c>
      <c r="AW78" s="102">
        <f>MAX($C$7*IF($G$5="撼天",1.05,1)+IF(AND(VLOOKUP($E78,武器奇术!$A:$R,15,FALSE)="武器",VLOOKUP($E78,武器奇术!$A:$R,17,FALSE)="鸣金"),$E$3*(1+$E$15),0),AU78)</f>
        <v>0</v>
      </c>
      <c r="AX78" s="104">
        <f>IF(($D$7+IF(VLOOKUP($E78,武器奇术!$A:$R,17,FALSE)="鸣金",$D$15,0)-VLOOKUP($F$7,目标属性!$A:$R,6,FALSE))&gt;0,($D$7+IF(VLOOKUP($E78,武器奇术!$A:$R,17,FALSE)="鸣金",$D$15,0)-VLOOKUP($F$7,目标属性!$A:$R,6,FALSE))/200,($D$7+IF(VLOOKUP($E78,武器奇术!$A:$R,17,FALSE)="鸣金",$D$15,0)-VLOOKUP($F$7,目标属性!$A:$R,6,FALSE))/100)</f>
        <v>-0.24</v>
      </c>
      <c r="AY78" s="111">
        <f t="shared" si="7"/>
        <v>0</v>
      </c>
      <c r="AZ78" s="102">
        <v>1</v>
      </c>
      <c r="BA78" s="103">
        <f>AU78*IF(VLOOKUP($E78,武器奇术!$A:$R,17,FALSE)="鸣金",VLOOKUP($E78,武器奇术!$A:$R,4,FALSE),VLOOKUP($E78,武器奇术!$A:$R,2,FALSE))*(1+AX78)*(1+AY78)*AZ78</f>
        <v>0</v>
      </c>
      <c r="BB78" s="104">
        <f>(1-IF(VLOOKUP($E78,武器奇术!$A:$R,18,FALSE)="叶龙",1,$N78))*(1-$M78)</f>
        <v>0</v>
      </c>
      <c r="BC78" s="103">
        <f>AV78*IF(VLOOKUP($E78,武器奇术!$A:$R,17,FALSE)="鸣金",VLOOKUP($E78,武器奇术!$A:$R,4,FALSE),VLOOKUP($E78,武器奇术!$A:$R,2,FALSE))*(1+AX78)*(1+AY78)*AZ78*(1+$E$16+VLOOKUP($E78,武器奇术!$A:$R,8,FALSE))</f>
        <v>0</v>
      </c>
      <c r="BD78" s="104">
        <f t="shared" si="8"/>
        <v>0.8703</v>
      </c>
      <c r="BE78" s="103">
        <f>AW78*IF(VLOOKUP($E78,武器奇术!$A:$R,17,FALSE)="鸣金",VLOOKUP($E78,武器奇术!$A:$R,4,FALSE),VLOOKUP($E78,武器奇术!$A:$R,2,FALSE))*(1+AX78)*(1+AY78)*AZ78*(1+$E$17+VLOOKUP($E78,武器奇术!$A:$R,10,FALSE))</f>
        <v>0</v>
      </c>
      <c r="BF78" s="104">
        <f t="shared" si="9"/>
        <v>0.0986</v>
      </c>
      <c r="BG78" s="103">
        <f>AV78*IF(VLOOKUP($E78,武器奇术!$A:$R,17,FALSE)="鸣金",VLOOKUP($E78,武器奇术!$A:$R,4,FALSE),VLOOKUP($E78,武器奇术!$A:$R,2,FALSE))*(1+AX78)*(1+AY78)*AZ78</f>
        <v>0</v>
      </c>
      <c r="BH78" s="104">
        <f t="shared" si="10"/>
        <v>0.0311</v>
      </c>
      <c r="BI78" s="112">
        <f t="shared" si="11"/>
        <v>0</v>
      </c>
      <c r="BJ78" s="110">
        <f>$B$9*IF($G$5="撼天",1.05,1)+IF(AND(VLOOKUP($E78,武器奇术!$A:$R,15,FALSE)="武器",VLOOKUP($E78,武器奇术!$A:$R,17,FALSE)="裂石"),$E$3*(1+$E$15),0)</f>
        <v>0</v>
      </c>
      <c r="BK78" s="102">
        <f t="shared" si="12"/>
        <v>0</v>
      </c>
      <c r="BL78" s="102">
        <f>MAX($C$9*IF($G$5="撼天",1.05,1)+IF(AND(VLOOKUP($E78,武器奇术!$A:$R,15,FALSE)="武器",VLOOKUP($E78,武器奇术!$A:$R,17,FALSE)="裂石"),$E$3*(1+$E$15),0),BJ78)</f>
        <v>0</v>
      </c>
      <c r="BM78" s="104">
        <f>IF(($D$9+IF(VLOOKUP($E78,武器奇术!$A:$R,17,FALSE)="裂石",$D$15,0)-VLOOKUP($F$7,目标属性!$A:$R,6,FALSE))&gt;0,($D$9+IF(VLOOKUP($E78,武器奇术!$A:$R,17,FALSE)="裂石",$D$15,0)-VLOOKUP($F$7,目标属性!$A:$R,6,FALSE))/200,($D$9+IF(VLOOKUP($E78,武器奇术!$A:$R,17,FALSE)="裂石",$D$15,0)-VLOOKUP($F$7,目标属性!$A:$R,6,FALSE))/100)</f>
        <v>-0.24</v>
      </c>
      <c r="BN78" s="111">
        <f t="shared" si="13"/>
        <v>0</v>
      </c>
      <c r="BO78" s="102">
        <v>1</v>
      </c>
      <c r="BP78" s="103">
        <f>BJ78*IF(VLOOKUP($E78,武器奇术!$A:$R,17,FALSE)="裂石",VLOOKUP($E78,武器奇术!$A:$R,4,FALSE),VLOOKUP($E78,武器奇术!$A:$R,2,FALSE))*(1+BM78)*(1+BN78)*BO78</f>
        <v>0</v>
      </c>
      <c r="BQ78" s="104">
        <f>(1-IF(VLOOKUP($E78,武器奇术!$A:$R,18,FALSE)="叶龙",1,$N78))*(1-$M78)</f>
        <v>0</v>
      </c>
      <c r="BR78" s="103">
        <f>BK78*IF(VLOOKUP($E78,武器奇术!$A:$R,17,FALSE)="裂石",VLOOKUP($E78,武器奇术!$A:$R,4,FALSE),VLOOKUP($E78,武器奇术!$A:$R,2,FALSE))*(1+BM78)*(1+BN78)*BO78*(1+$E$16+VLOOKUP($E78,武器奇术!$A:$R,8,FALSE))</f>
        <v>0</v>
      </c>
      <c r="BS78" s="104">
        <f t="shared" si="14"/>
        <v>0.8703</v>
      </c>
      <c r="BT78" s="103">
        <f>BL78*IF(VLOOKUP($E78,武器奇术!$A:$R,17,FALSE)="裂石",VLOOKUP($E78,武器奇术!$A:$R,4,FALSE),VLOOKUP($E78,武器奇术!$A:$R,2,FALSE))*(1+BM78)*(1+BN78)*BO78*(1+$E$17+VLOOKUP($E78,武器奇术!$A:$R,10,FALSE))</f>
        <v>0</v>
      </c>
      <c r="BU78" s="104">
        <f t="shared" si="15"/>
        <v>0.0986</v>
      </c>
      <c r="BV78" s="103">
        <f>BK78*IF(VLOOKUP($E78,武器奇术!$A:$R,17,FALSE)="裂石",VLOOKUP($E78,武器奇术!$A:$R,4,FALSE),VLOOKUP($E78,武器奇术!$A:$R,2,FALSE))*(1+BM78)*(1+BN78)*BO78</f>
        <v>0</v>
      </c>
      <c r="BW78" s="104">
        <f t="shared" si="16"/>
        <v>0.0311</v>
      </c>
      <c r="BX78" s="112">
        <f t="shared" si="17"/>
        <v>0</v>
      </c>
      <c r="BY78" s="110">
        <f>$B$11*IF($G$5="撼天",1.05,1)+IF(AND(VLOOKUP($E78,武器奇术!$A:$R,15,FALSE)="武器",VLOOKUP($E78,武器奇术!$A:$R,17,FALSE)="牵丝"),$E$3*(1+$E$15),0)</f>
        <v>686.71</v>
      </c>
      <c r="BZ78" s="102">
        <f>IF(VLOOKUP($E78,武器奇术!$A:$Z,18,FALSE)="叶龙",(CA78-(BY78+CA78)*0.5)*($G$15-0.5)*2+(BY78+CA78)*0.5,(BY78+CA78)*0.5)</f>
        <v>1052.21</v>
      </c>
      <c r="CA78" s="102">
        <f>MAX($C$11*IF($G$5="撼天",1.05,1)+IF(AND(VLOOKUP($E78,武器奇术!$A:$R,15,FALSE)="武器",VLOOKUP($E78,武器奇术!$A:$R,17,FALSE)="牵丝"),$E$3*(1+$E$15),0),BY78)</f>
        <v>1417.71</v>
      </c>
      <c r="CB78" s="104">
        <f>IF(($D$11+IF(VLOOKUP($E78,武器奇术!$A:$R,17,FALSE)="牵丝",$D$15,0)-VLOOKUP($F$7,目标属性!$A:$R,6,FALSE))&gt;0,($D$11+IF(VLOOKUP($E78,武器奇术!$A:$R,17,FALSE)="牵丝",$D$15,0)-VLOOKUP($F$7,目标属性!$A:$R,6,FALSE))/200,($D$11+IF(VLOOKUP($E78,武器奇术!$A:$R,17,FALSE)="牵丝",$D$15,0)-VLOOKUP($F$7,目标属性!$A:$R,6,FALSE))/100)</f>
        <v>0.028</v>
      </c>
      <c r="CC78" s="111">
        <f>$E$11+IF($G$5="烟柳",IF(VLOOKUP($E78,武器奇术!$A:$T,20,FALSE)=1,0.1,0),0)</f>
        <v>0.148</v>
      </c>
      <c r="CD78" s="102">
        <v>1</v>
      </c>
      <c r="CE78" s="103">
        <f>BY78*IF(VLOOKUP($E78,武器奇术!$A:$R,17,FALSE)="牵丝",VLOOKUP($E78,武器奇术!$A:$R,4,FALSE),VLOOKUP($E78,武器奇术!$A:$R,2,FALSE))*(1+CB78)*(1+CC78)*CD78</f>
        <v>655.22189082504</v>
      </c>
      <c r="CF78" s="104">
        <f>(1-IF(VLOOKUP($E78,武器奇术!$A:$R,18,FALSE)="叶龙",1,$N78))*(1-$M78)</f>
        <v>0</v>
      </c>
      <c r="CG78" s="124">
        <f>BZ78*IF(VLOOKUP($E78,武器奇术!$A:$R,17,FALSE)="牵丝",VLOOKUP($E78,武器奇术!$A:$R,4,FALSE),VLOOKUP($E78,武器奇术!$A:$R,2,FALSE))*(1+CB78)*(1+CC78)*CD78*(1+$E$16+VLOOKUP($E78,武器奇术!$A:$R,8,FALSE))</f>
        <v>1650.51420006233</v>
      </c>
      <c r="CH78" s="104">
        <f t="shared" si="18"/>
        <v>0.8703</v>
      </c>
      <c r="CI78" s="103">
        <f>CA78*IF(VLOOKUP($E78,武器奇术!$A:$R,17,FALSE)="牵丝",VLOOKUP($E78,武器奇术!$A:$R,4,FALSE),VLOOKUP($E78,武器奇术!$A:$R,2,FALSE))*(1+CB78)*(1+CC78)*CD78*(1+$E$17+VLOOKUP($E78,武器奇术!$A:$R,10,FALSE))</f>
        <v>1826.1489511382</v>
      </c>
      <c r="CJ78" s="104">
        <f t="shared" si="19"/>
        <v>0.0986</v>
      </c>
      <c r="CK78" s="124">
        <f>BZ78*IF(VLOOKUP($E78,武器奇术!$A:$R,17,FALSE)="牵丝",VLOOKUP($E78,武器奇术!$A:$R,4,FALSE),VLOOKUP($E78,武器奇术!$A:$R,2,FALSE))*(1+CB78)*(1+CC78)*CD78</f>
        <v>1003.96240879704</v>
      </c>
      <c r="CL78" s="104">
        <f t="shared" si="20"/>
        <v>0.0311</v>
      </c>
      <c r="CM78" s="112">
        <f t="shared" si="39"/>
        <v>1647.72402581006</v>
      </c>
      <c r="CN78" s="110">
        <f>$B$13*IF($G$5="撼天",1.05,1)+IF(AND(VLOOKUP($E78,武器奇术!$A:$R,15,FALSE)="武器",VLOOKUP($E78,武器奇术!$A:$R,17,FALSE)="破竹"),$E$3*(1+$E$15),0)</f>
        <v>0</v>
      </c>
      <c r="CO78" s="102">
        <f t="shared" si="21"/>
        <v>0</v>
      </c>
      <c r="CP78" s="102">
        <f>MAX($C$13*IF($G$5="撼天",1.05,1)+IF(AND(VLOOKUP($E78,武器奇术!$A:$R,15,FALSE)="武器",VLOOKUP($E78,武器奇术!$A:$R,17,FALSE)="破竹"),$E$3*(1+$E$15),0),CN78)</f>
        <v>0</v>
      </c>
      <c r="CQ78" s="104">
        <f>IF(($D$13+IF(VLOOKUP($E78,武器奇术!$A:$R,17,FALSE)="破竹",$D$15,0)-VLOOKUP($F$7,目标属性!$A:$R,6,FALSE))&gt;0,($D$13+IF(VLOOKUP($E78,武器奇术!$A:$R,17,FALSE)="破竹",$D$15,0)-VLOOKUP($F$7,目标属性!$A:$R,6,FALSE))/200,($D$13+IF(VLOOKUP($E78,武器奇术!$A:$R,17,FALSE)="破竹",$D$15,0)-VLOOKUP($F$7,目标属性!$A:$R,6,FALSE))/100)</f>
        <v>-0.24</v>
      </c>
      <c r="CR78" s="111">
        <f t="shared" si="22"/>
        <v>0</v>
      </c>
      <c r="CS78" s="102">
        <v>1</v>
      </c>
      <c r="CT78" s="103">
        <f>CN78*IF(VLOOKUP($E78,武器奇术!$A:$R,17,FALSE)="破竹",VLOOKUP($E78,武器奇术!$A:$R,4,FALSE),VLOOKUP($E78,武器奇术!$A:$R,2,FALSE))*(1+CQ78)*(1+CR78)*CS78</f>
        <v>0</v>
      </c>
      <c r="CU78" s="104">
        <f>(1-IF(VLOOKUP($E78,武器奇术!$A:$R,18,FALSE)="叶龙",1,$N78))*(1-$M78)</f>
        <v>0</v>
      </c>
      <c r="CV78" s="103">
        <f>CO78*IF(VLOOKUP($E78,武器奇术!$A:$R,17,FALSE)="破竹",VLOOKUP($E78,武器奇术!$A:$R,4,FALSE),VLOOKUP($E78,武器奇术!$A:$R,2,FALSE))*(1+CQ78)*(1+CR78)*CS78*(1+$E$16+VLOOKUP($E78,武器奇术!$A:$R,8,FALSE))</f>
        <v>0</v>
      </c>
      <c r="CW78" s="104">
        <f t="shared" si="23"/>
        <v>0.8703</v>
      </c>
      <c r="CX78" s="103">
        <f>CP78*IF(VLOOKUP($E78,武器奇术!$A:$R,17,FALSE)="破竹",VLOOKUP($E78,武器奇术!$A:$R,4,FALSE),VLOOKUP($E78,武器奇术!$A:$R,2,FALSE))*(1+CQ78)*(1+CR78)*CS78*(1+$E$17+VLOOKUP($E78,武器奇术!$A:$R,10,FALSE))</f>
        <v>0</v>
      </c>
      <c r="CY78" s="104">
        <f t="shared" si="24"/>
        <v>0.0986</v>
      </c>
      <c r="CZ78" s="103">
        <f>CO78*IF(VLOOKUP($E78,武器奇术!$A:$R,17,FALSE)="破竹",VLOOKUP($E78,武器奇术!$A:$R,4,FALSE),VLOOKUP($E78,武器奇术!$A:$R,2,FALSE))*(1+CQ78)*(1+CR78)*CS78</f>
        <v>0</v>
      </c>
      <c r="DA78" s="104">
        <f t="shared" si="25"/>
        <v>0.0311</v>
      </c>
      <c r="DB78" s="112">
        <f t="shared" si="26"/>
        <v>0</v>
      </c>
      <c r="DC78" s="110">
        <f t="shared" si="40"/>
        <v>66</v>
      </c>
      <c r="DD78" s="102">
        <f t="shared" si="27"/>
        <v>125.8</v>
      </c>
      <c r="DE78" s="102">
        <f t="shared" si="41"/>
        <v>185.6</v>
      </c>
      <c r="DF78" s="104">
        <f>IF((IF(VLOOKUP($E78,武器奇术!$A:$R,17,FALSE)="鸣金",$D$7,0)+IF(VLOOKUP($E78,武器奇术!$A:$R,17,FALSE)="裂石",$D$9,0)+IF(VLOOKUP($E78,武器奇术!$A:$R,17,FALSE)="牵丝",$D$11,0)+IF(VLOOKUP($E78,武器奇术!$A:$R,17,FALSE)="破竹",$D$13,0)+$D$15-VLOOKUP($F$7,目标属性!$A:$R,6,FALSE))&gt;0,(IF(VLOOKUP($E78,武器奇术!$A:$R,17,FALSE)="鸣金",$D$7,0)+IF(VLOOKUP($E78,武器奇术!$A:$R,17,FALSE)="裂石",$D$9,0)+IF(VLOOKUP($E78,武器奇术!$A:$R,17,FALSE)="牵丝",$D$11,0)+IF(VLOOKUP($E78,武器奇术!$A:$R,17,FALSE)="破竹",$D$13,0)+$D$15-VLOOKUP($F$7,目标属性!$A:$R,6,FALSE))/200,(IF(VLOOKUP($E78,武器奇术!$A:$R,17,FALSE)="鸣金",$D$7,0)+IF(VLOOKUP($E78,武器奇术!$A:$R,17,FALSE)="裂石",$D$9,0)+IF(VLOOKUP($E78,武器奇术!$A:$R,17,FALSE)="牵丝",$D$11,0)+IF(VLOOKUP($E78,武器奇术!$A:$R,17,FALSE)="破竹",$D$13,0)+$D$15-VLOOKUP($F$7,目标属性!$A:$R,6,FALSE))/100)</f>
        <v>0.028</v>
      </c>
      <c r="DG78" s="111">
        <f>$E$11+IF($G$5="烟柳",IF(VLOOKUP($E78,武器奇术!$A:$T,20,FALSE)=1,0.1,0),0)</f>
        <v>0.148</v>
      </c>
      <c r="DH78" s="102">
        <v>1</v>
      </c>
      <c r="DI78" s="103">
        <f>DC78*IF(VLOOKUP($E78,武器奇术!$A:$R,17,FALSE)="牵丝",VLOOKUP($E78,武器奇术!$A:$R,4,FALSE),VLOOKUP($E78,武器奇术!$A:$R,2,FALSE))*(1+DF78)*(1+DG78)*DH78</f>
        <v>62.973663984</v>
      </c>
      <c r="DJ78" s="104">
        <f>(1-IF(VLOOKUP($E78,武器奇术!$A:$R,18,FALSE)="叶龙",1,$N78))*(1-$M78)</f>
        <v>0</v>
      </c>
      <c r="DK78" s="124">
        <f>DD78*IF(VLOOKUP($E78,武器奇术!$A:$R,17,FALSE)="牵丝",VLOOKUP($E78,武器奇术!$A:$R,4,FALSE),VLOOKUP($E78,武器奇术!$A:$R,2,FALSE))*(1+DF78)*(1+DG78)*DH78*(1+$E$16+VLOOKUP($E78,武器奇术!$A:$R,8,FALSE))</f>
        <v>197.331983508845</v>
      </c>
      <c r="DL78" s="104">
        <f t="shared" si="28"/>
        <v>0.8703</v>
      </c>
      <c r="DM78" s="103">
        <f>DE78*IF(VLOOKUP($E78,武器奇术!$A:$R,17,FALSE)="牵丝",VLOOKUP($E78,武器奇术!$A:$R,4,FALSE),VLOOKUP($E78,武器奇术!$A:$R,2,FALSE))*(1+DF78)*(1+DG78)*DH78*(1+$E$17+VLOOKUP($E78,武器奇术!$A:$R,10,FALSE))</f>
        <v>239.07092799744</v>
      </c>
      <c r="DN78" s="104">
        <f t="shared" si="29"/>
        <v>0.0986</v>
      </c>
      <c r="DO78" s="124">
        <f>DD78*IF(VLOOKUP($E78,武器奇术!$A:$R,17,FALSE)="牵丝",VLOOKUP($E78,武器奇术!$A:$R,4,FALSE),VLOOKUP($E78,武器奇术!$A:$R,2,FALSE))*(1+DF78)*(1+DG78)*DH78</f>
        <v>120.0316201392</v>
      </c>
      <c r="DP78" s="104">
        <f t="shared" si="30"/>
        <v>0.0311</v>
      </c>
      <c r="DQ78" s="112">
        <f t="shared" si="31"/>
        <v>199.043402134624</v>
      </c>
    </row>
    <row r="79" spans="1:121">
      <c r="A79" s="37"/>
      <c r="B79" s="139" t="s">
        <v>180</v>
      </c>
      <c r="C79" s="139">
        <v>2</v>
      </c>
      <c r="D79" s="139"/>
      <c r="E79" s="115" t="s">
        <v>137</v>
      </c>
      <c r="F79" s="116">
        <v>5</v>
      </c>
      <c r="G79" s="117">
        <f t="shared" si="47"/>
        <v>0.32</v>
      </c>
      <c r="H79" s="103">
        <f>IF(VLOOKUP($E79,武器奇术!$A:$R,18,FALSE)="天工",AE79,(AE79+AT79+BI79+BX79+CM79+DB79+DQ79))*(1+J79)*F79*K79*(1+G79)</f>
        <v>228345.908987751</v>
      </c>
      <c r="I79" s="104">
        <f t="shared" si="42"/>
        <v>0.0263168563907249</v>
      </c>
      <c r="J79" s="104">
        <f>$F$3+VLOOKUP($E79,武器奇术!$A:$R,12,FALSE)+VLOOKUP($E79,武器奇术!$A:$R,14,FALSE)*$G$3+$P79</f>
        <v>1.103</v>
      </c>
      <c r="K79" s="105">
        <f>VLOOKUP($E79,武器奇术!$A:$R,11,FALSE)</f>
        <v>1</v>
      </c>
      <c r="L79" s="119">
        <f>IF(VLOOKUP($E79,武器奇术!$A:$R,15,FALSE)="天工",0%,IF($C$17+VLOOKUP($E79,武器奇术!$A:$R,7,FALSE)&gt;80%,80%,$C$17+VLOOKUP($E79,武器奇术!$A:$R,7,FALSE))+IF($C$19&gt;20%,20%,$C$19))</f>
        <v>0.8703</v>
      </c>
      <c r="M79" s="120">
        <f>IF(VLOOKUP($E79,武器奇术!$A:$R,15,FALSE)="天工",0%,IF($C$18+VLOOKUP($E79,武器奇术!$A:$R,9,FALSE)&gt;40%,40%,$C$18+VLOOKUP($E79,武器奇术!$A:$R,9,FALSE))+IF($C$20&gt;10%,10%,$C$20))</f>
        <v>0.0986</v>
      </c>
      <c r="N79" s="121">
        <f>IF(VLOOKUP($E79,武器奇术!$A:$R,15,FALSE)="天工",100%,MIN($C$16,1))</f>
        <v>1</v>
      </c>
      <c r="O79" s="122" t="str">
        <f>VLOOKUP($E79,武器奇术!$A:$R,16,FALSE)</f>
        <v>伞</v>
      </c>
      <c r="P79" s="123">
        <f t="shared" si="44"/>
        <v>0.17</v>
      </c>
      <c r="Q79" s="110">
        <f>$B$5*(1+VLOOKUP($E79,武器奇术!$A:$R,5,FALSE))*(1+VLOOKUP($E79,武器奇术!$A:$S,19,FALSE)+IF($G$5="飞隼",0.1,0)+IF($G$5="撼天",0.05,0))-$F$9+IF($J$5="√",160,0)</f>
        <v>3081.85</v>
      </c>
      <c r="R79" s="102">
        <f>IF(VLOOKUP($E79,武器奇术!$A:$Z,18,FALSE)="叶龙",(S79-(Q79+S79)*0.5)*($G$15-0.5)*2+(Q79+S79)*0.5,(Q79+S79)*0.5)</f>
        <v>3161.85</v>
      </c>
      <c r="S79" s="102">
        <f>MAX($C$5,$B$5)*(1+VLOOKUP($E79,武器奇术!$A:$R,6,FALSE))*(1+VLOOKUP($E79,武器奇术!$A:$S,19,FALSE)+IF($G$5="飞隼",0.1,0)+IF($G$5="撼天",0.05,0))-$F$9+IF($J$5="√",320,0)</f>
        <v>3241.85</v>
      </c>
      <c r="T79" s="104">
        <f>IF(($D$5+VLOOKUP($E79,武器奇术!$A:$R,13,FALSE)+IF($I$3="√",10,0)-VLOOKUP($F$7,目标属性!$A:$R,5,FALSE))&gt;0,($D$5+VLOOKUP($E79,武器奇术!$A:$R,13,FALSE)+IF($I$3="√",10,0)-VLOOKUP($F$7,目标属性!$A:$R,5,FALSE))/200,($D$5+VLOOKUP($E79,武器奇术!$A:$R,13,FALSE)+IF($I$3="√",10,0)-VLOOKUP($F$7,目标属性!$A:$R,5,FALSE))/100)</f>
        <v>0.2925</v>
      </c>
      <c r="U79" s="111">
        <f>$E$5+IF($G$5="烟柳",IF(VLOOKUP($E79,武器奇术!$A:$T,20,FALSE)=1,0.1,0),0)</f>
        <v>0.1</v>
      </c>
      <c r="V79" s="102">
        <v>1</v>
      </c>
      <c r="W79" s="103">
        <f>Q79*VLOOKUP($E79,武器奇术!$A:$R,2,FALSE)*(1+T79)*(1+U79)*V79</f>
        <v>5148.20660615181</v>
      </c>
      <c r="X79" s="104">
        <f>(1-IF(VLOOKUP($E79,武器奇术!$A:$R,18,FALSE)="叶龙",1,$N79))*(1-$M79)</f>
        <v>0</v>
      </c>
      <c r="Y79" s="103">
        <f>R79*VLOOKUP($E79,武器奇术!$A:$R,2,FALSE)*(1+T79)*(1+U79)*V79*(1+$E$16+VLOOKUP($E79,武器奇术!$A:$R,8,FALSE))</f>
        <v>10584.819359655</v>
      </c>
      <c r="Z79" s="104">
        <f t="shared" si="33"/>
        <v>0.8703</v>
      </c>
      <c r="AA79" s="103">
        <f>S79*VLOOKUP($E79,武器奇术!$A:$R,2,FALSE)*(1+T79)*(1+U79)*V79*(1+$E$17+VLOOKUP($E79,武器奇术!$A:$R,10,FALSE))</f>
        <v>7310.90524889495</v>
      </c>
      <c r="AB79" s="104">
        <f t="shared" si="34"/>
        <v>0.0986</v>
      </c>
      <c r="AC79" s="103">
        <f>R79*VLOOKUP($E79,武器奇术!$A:$R,2,FALSE)*(1+T79)*(1+U79)*V79</f>
        <v>5281.84598785181</v>
      </c>
      <c r="AD79" s="104">
        <f t="shared" si="35"/>
        <v>0.0311</v>
      </c>
      <c r="AE79" s="112">
        <f t="shared" si="36"/>
        <v>10097.088956471</v>
      </c>
      <c r="AF79" s="113">
        <f>VLOOKUP($E79,武器奇术!$A:$R,3,FALSE)*(1+IF(VLOOKUP($E79,武器奇术!$A:$R,15,FALSE)="武器",$E$15,0))</f>
        <v>421.59</v>
      </c>
      <c r="AG79" s="103">
        <f t="shared" si="1"/>
        <v>421.59</v>
      </c>
      <c r="AH79" s="103">
        <f>VLOOKUP($E79,武器奇术!$A:$R,3,FALSE)*(1+IF(VLOOKUP($E79,武器奇术!$A:$R,15,FALSE)="武器",$E$15,0))</f>
        <v>421.59</v>
      </c>
      <c r="AI79" s="104">
        <f>IF(($D$5+VLOOKUP($E79,武器奇术!$A:$R,13,FALSE)+IF($I$3="√",10,0)-VLOOKUP($F$7,目标属性!$A:$R,5,FALSE))&gt;0,($D$5+VLOOKUP($E79,武器奇术!$A:$R,13,FALSE)+IF($I$3="√",10,0)-VLOOKUP($F$7,目标属性!$A:$R,5,FALSE))/200,($D$5+VLOOKUP($E79,武器奇术!$A:$R,13,FALSE)+IF($I$3="√",10,0)-VLOOKUP($F$7,目标属性!$A:$R,5,FALSE))/100)</f>
        <v>0.2925</v>
      </c>
      <c r="AJ79" s="111">
        <f>$E$5+IF($G$5="烟柳",IF(VLOOKUP($E79,武器奇术!$A:$T,20,FALSE)=1,0.1,0),0)</f>
        <v>0.1</v>
      </c>
      <c r="AK79" s="102">
        <v>1</v>
      </c>
      <c r="AL79" s="103">
        <f t="shared" si="45"/>
        <v>599.3955825</v>
      </c>
      <c r="AM79" s="104">
        <f>(1-IF(VLOOKUP($E79,武器奇术!$A:$R,18,FALSE)="叶龙",1,$N79))*(1-$M79)</f>
        <v>0</v>
      </c>
      <c r="AN79" s="103">
        <f>AG79*(1+AI79)*(1+AJ79)*AK79*(1+$E$16+VLOOKUP($E79,武器奇术!$A:$R,8,FALSE))</f>
        <v>1201.18874733</v>
      </c>
      <c r="AO79" s="104">
        <f t="shared" si="2"/>
        <v>0.8703</v>
      </c>
      <c r="AP79" s="103">
        <f>AH79*(1+AI79)*(1+AJ79)*AK79*(1+$E$17+VLOOKUP($E79,武器奇术!$A:$R,10,FALSE))</f>
        <v>809.184036375</v>
      </c>
      <c r="AQ79" s="104">
        <f t="shared" si="3"/>
        <v>0.0986</v>
      </c>
      <c r="AR79" s="103">
        <f t="shared" si="38"/>
        <v>599.3955825</v>
      </c>
      <c r="AS79" s="104">
        <f t="shared" si="4"/>
        <v>0.0311</v>
      </c>
      <c r="AT79" s="112">
        <f t="shared" si="5"/>
        <v>1143.82131540362</v>
      </c>
      <c r="AU79" s="110">
        <f>$B$7*IF($G$5="撼天",1.05,1)+IF(AND(VLOOKUP($E79,武器奇术!$A:$R,15,FALSE)="武器",VLOOKUP($E79,武器奇术!$A:$R,17,FALSE)="鸣金"),$E$3*(1+$E$15),0)</f>
        <v>0</v>
      </c>
      <c r="AV79" s="102">
        <f t="shared" si="6"/>
        <v>0</v>
      </c>
      <c r="AW79" s="102">
        <f>MAX($C$7*IF($G$5="撼天",1.05,1)+IF(AND(VLOOKUP($E79,武器奇术!$A:$R,15,FALSE)="武器",VLOOKUP($E79,武器奇术!$A:$R,17,FALSE)="鸣金"),$E$3*(1+$E$15),0),AU79)</f>
        <v>0</v>
      </c>
      <c r="AX79" s="104">
        <f>IF(($D$7+IF(VLOOKUP($E79,武器奇术!$A:$R,17,FALSE)="鸣金",$D$15,0)-VLOOKUP($F$7,目标属性!$A:$R,6,FALSE))&gt;0,($D$7+IF(VLOOKUP($E79,武器奇术!$A:$R,17,FALSE)="鸣金",$D$15,0)-VLOOKUP($F$7,目标属性!$A:$R,6,FALSE))/200,($D$7+IF(VLOOKUP($E79,武器奇术!$A:$R,17,FALSE)="鸣金",$D$15,0)-VLOOKUP($F$7,目标属性!$A:$R,6,FALSE))/100)</f>
        <v>-0.24</v>
      </c>
      <c r="AY79" s="111">
        <f t="shared" si="7"/>
        <v>0</v>
      </c>
      <c r="AZ79" s="102">
        <v>1</v>
      </c>
      <c r="BA79" s="103">
        <f>AU79*IF(VLOOKUP($E79,武器奇术!$A:$R,17,FALSE)="鸣金",VLOOKUP($E79,武器奇术!$A:$R,4,FALSE),VLOOKUP($E79,武器奇术!$A:$R,2,FALSE))*(1+AX79)*(1+AY79)*AZ79</f>
        <v>0</v>
      </c>
      <c r="BB79" s="104">
        <f>(1-IF(VLOOKUP($E79,武器奇术!$A:$R,18,FALSE)="叶龙",1,$N79))*(1-$M79)</f>
        <v>0</v>
      </c>
      <c r="BC79" s="103">
        <f>AV79*IF(VLOOKUP($E79,武器奇术!$A:$R,17,FALSE)="鸣金",VLOOKUP($E79,武器奇术!$A:$R,4,FALSE),VLOOKUP($E79,武器奇术!$A:$R,2,FALSE))*(1+AX79)*(1+AY79)*AZ79*(1+$E$16+VLOOKUP($E79,武器奇术!$A:$R,8,FALSE))</f>
        <v>0</v>
      </c>
      <c r="BD79" s="104">
        <f t="shared" si="8"/>
        <v>0.8703</v>
      </c>
      <c r="BE79" s="103">
        <f>AW79*IF(VLOOKUP($E79,武器奇术!$A:$R,17,FALSE)="鸣金",VLOOKUP($E79,武器奇术!$A:$R,4,FALSE),VLOOKUP($E79,武器奇术!$A:$R,2,FALSE))*(1+AX79)*(1+AY79)*AZ79*(1+$E$17+VLOOKUP($E79,武器奇术!$A:$R,10,FALSE))</f>
        <v>0</v>
      </c>
      <c r="BF79" s="104">
        <f t="shared" si="9"/>
        <v>0.0986</v>
      </c>
      <c r="BG79" s="103">
        <f>AV79*IF(VLOOKUP($E79,武器奇术!$A:$R,17,FALSE)="鸣金",VLOOKUP($E79,武器奇术!$A:$R,4,FALSE),VLOOKUP($E79,武器奇术!$A:$R,2,FALSE))*(1+AX79)*(1+AY79)*AZ79</f>
        <v>0</v>
      </c>
      <c r="BH79" s="104">
        <f t="shared" si="10"/>
        <v>0.0311</v>
      </c>
      <c r="BI79" s="112">
        <f t="shared" si="11"/>
        <v>0</v>
      </c>
      <c r="BJ79" s="110">
        <f>$B$9*IF($G$5="撼天",1.05,1)+IF(AND(VLOOKUP($E79,武器奇术!$A:$R,15,FALSE)="武器",VLOOKUP($E79,武器奇术!$A:$R,17,FALSE)="裂石"),$E$3*(1+$E$15),0)</f>
        <v>0</v>
      </c>
      <c r="BK79" s="102">
        <f t="shared" si="12"/>
        <v>0</v>
      </c>
      <c r="BL79" s="102">
        <f>MAX($C$9*IF($G$5="撼天",1.05,1)+IF(AND(VLOOKUP($E79,武器奇术!$A:$R,15,FALSE)="武器",VLOOKUP($E79,武器奇术!$A:$R,17,FALSE)="裂石"),$E$3*(1+$E$15),0),BJ79)</f>
        <v>0</v>
      </c>
      <c r="BM79" s="104">
        <f>IF(($D$9+IF(VLOOKUP($E79,武器奇术!$A:$R,17,FALSE)="裂石",$D$15,0)-VLOOKUP($F$7,目标属性!$A:$R,6,FALSE))&gt;0,($D$9+IF(VLOOKUP($E79,武器奇术!$A:$R,17,FALSE)="裂石",$D$15,0)-VLOOKUP($F$7,目标属性!$A:$R,6,FALSE))/200,($D$9+IF(VLOOKUP($E79,武器奇术!$A:$R,17,FALSE)="裂石",$D$15,0)-VLOOKUP($F$7,目标属性!$A:$R,6,FALSE))/100)</f>
        <v>-0.24</v>
      </c>
      <c r="BN79" s="111">
        <f t="shared" si="13"/>
        <v>0</v>
      </c>
      <c r="BO79" s="102">
        <v>1</v>
      </c>
      <c r="BP79" s="103">
        <f>BJ79*IF(VLOOKUP($E79,武器奇术!$A:$R,17,FALSE)="裂石",VLOOKUP($E79,武器奇术!$A:$R,4,FALSE),VLOOKUP($E79,武器奇术!$A:$R,2,FALSE))*(1+BM79)*(1+BN79)*BO79</f>
        <v>0</v>
      </c>
      <c r="BQ79" s="104">
        <f>(1-IF(VLOOKUP($E79,武器奇术!$A:$R,18,FALSE)="叶龙",1,$N79))*(1-$M79)</f>
        <v>0</v>
      </c>
      <c r="BR79" s="103">
        <f>BK79*IF(VLOOKUP($E79,武器奇术!$A:$R,17,FALSE)="裂石",VLOOKUP($E79,武器奇术!$A:$R,4,FALSE),VLOOKUP($E79,武器奇术!$A:$R,2,FALSE))*(1+BM79)*(1+BN79)*BO79*(1+$E$16+VLOOKUP($E79,武器奇术!$A:$R,8,FALSE))</f>
        <v>0</v>
      </c>
      <c r="BS79" s="104">
        <f t="shared" si="14"/>
        <v>0.8703</v>
      </c>
      <c r="BT79" s="103">
        <f>BL79*IF(VLOOKUP($E79,武器奇术!$A:$R,17,FALSE)="裂石",VLOOKUP($E79,武器奇术!$A:$R,4,FALSE),VLOOKUP($E79,武器奇术!$A:$R,2,FALSE))*(1+BM79)*(1+BN79)*BO79*(1+$E$17+VLOOKUP($E79,武器奇术!$A:$R,10,FALSE))</f>
        <v>0</v>
      </c>
      <c r="BU79" s="104">
        <f t="shared" si="15"/>
        <v>0.0986</v>
      </c>
      <c r="BV79" s="103">
        <f>BK79*IF(VLOOKUP($E79,武器奇术!$A:$R,17,FALSE)="裂石",VLOOKUP($E79,武器奇术!$A:$R,4,FALSE),VLOOKUP($E79,武器奇术!$A:$R,2,FALSE))*(1+BM79)*(1+BN79)*BO79</f>
        <v>0</v>
      </c>
      <c r="BW79" s="104">
        <f t="shared" si="16"/>
        <v>0.0311</v>
      </c>
      <c r="BX79" s="112">
        <f t="shared" si="17"/>
        <v>0</v>
      </c>
      <c r="BY79" s="110">
        <f>$B$11*IF($G$5="撼天",1.05,1)+IF(AND(VLOOKUP($E79,武器奇术!$A:$R,15,FALSE)="武器",VLOOKUP($E79,武器奇术!$A:$R,17,FALSE)="牵丝"),$E$3*(1+$E$15),0)</f>
        <v>686.71</v>
      </c>
      <c r="BZ79" s="102">
        <f>IF(VLOOKUP($E79,武器奇术!$A:$Z,18,FALSE)="叶龙",(CA79-(BY79+CA79)*0.5)*($G$15-0.5)*2+(BY79+CA79)*0.5,(BY79+CA79)*0.5)</f>
        <v>1052.21</v>
      </c>
      <c r="CA79" s="102">
        <f>MAX($C$11*IF($G$5="撼天",1.05,1)+IF(AND(VLOOKUP($E79,武器奇术!$A:$R,15,FALSE)="武器",VLOOKUP($E79,武器奇术!$A:$R,17,FALSE)="牵丝"),$E$3*(1+$E$15),0),BY79)</f>
        <v>1417.71</v>
      </c>
      <c r="CB79" s="104">
        <f>IF(($D$11+IF(VLOOKUP($E79,武器奇术!$A:$R,17,FALSE)="牵丝",$D$15,0)-VLOOKUP($F$7,目标属性!$A:$R,6,FALSE))&gt;0,($D$11+IF(VLOOKUP($E79,武器奇术!$A:$R,17,FALSE)="牵丝",$D$15,0)-VLOOKUP($F$7,目标属性!$A:$R,6,FALSE))/200,($D$11+IF(VLOOKUP($E79,武器奇术!$A:$R,17,FALSE)="牵丝",$D$15,0)-VLOOKUP($F$7,目标属性!$A:$R,6,FALSE))/100)</f>
        <v>0.028</v>
      </c>
      <c r="CC79" s="111">
        <f>$E$11+IF($G$5="烟柳",IF(VLOOKUP($E79,武器奇术!$A:$T,20,FALSE)=1,0.1,0),0)</f>
        <v>0.248</v>
      </c>
      <c r="CD79" s="102">
        <v>1</v>
      </c>
      <c r="CE79" s="103">
        <f>BY79*IF(VLOOKUP($E79,武器奇术!$A:$R,17,FALSE)="牵丝",VLOOKUP($E79,武器奇术!$A:$R,4,FALSE),VLOOKUP($E79,武器奇术!$A:$R,2,FALSE))*(1+CB79)*(1+CC79)*CD79</f>
        <v>1552.67083453872</v>
      </c>
      <c r="CF79" s="104">
        <f>(1-IF(VLOOKUP($E79,武器奇术!$A:$R,18,FALSE)="叶龙",1,$N79))*(1-$M79)</f>
        <v>0</v>
      </c>
      <c r="CG79" s="124">
        <f>BZ79*IF(VLOOKUP($E79,武器奇术!$A:$R,17,FALSE)="牵丝",VLOOKUP($E79,武器奇术!$A:$R,4,FALSE),VLOOKUP($E79,武器奇术!$A:$R,2,FALSE))*(1+CB79)*(1+CC79)*CD79*(1+$E$16+VLOOKUP($E79,武器奇术!$A:$R,8,FALSE))</f>
        <v>4767.66975977518</v>
      </c>
      <c r="CH79" s="104">
        <f t="shared" si="18"/>
        <v>0.8703</v>
      </c>
      <c r="CI79" s="103">
        <f>CA79*IF(VLOOKUP($E79,武器奇术!$A:$R,17,FALSE)="牵丝",VLOOKUP($E79,武器奇术!$A:$R,4,FALSE),VLOOKUP($E79,武器奇术!$A:$R,2,FALSE))*(1+CB79)*(1+CC79)*CD79*(1+$E$17+VLOOKUP($E79,武器奇术!$A:$R,10,FALSE))</f>
        <v>4327.40153474647</v>
      </c>
      <c r="CJ79" s="104">
        <f t="shared" si="19"/>
        <v>0.0986</v>
      </c>
      <c r="CK79" s="124">
        <f>BZ79*IF(VLOOKUP($E79,武器奇术!$A:$R,17,FALSE)="牵丝",VLOOKUP($E79,武器奇术!$A:$R,4,FALSE),VLOOKUP($E79,武器奇术!$A:$R,2,FALSE))*(1+CB79)*(1+CC79)*CD79</f>
        <v>2379.07672643472</v>
      </c>
      <c r="CL79" s="104">
        <f t="shared" si="20"/>
        <v>0.0311</v>
      </c>
      <c r="CM79" s="112">
        <f t="shared" si="39"/>
        <v>4649.97406945046</v>
      </c>
      <c r="CN79" s="110">
        <f>$B$13*IF($G$5="撼天",1.05,1)+IF(AND(VLOOKUP($E79,武器奇术!$A:$R,15,FALSE)="武器",VLOOKUP($E79,武器奇术!$A:$R,17,FALSE)="破竹"),$E$3*(1+$E$15),0)</f>
        <v>0</v>
      </c>
      <c r="CO79" s="102">
        <f t="shared" si="21"/>
        <v>0</v>
      </c>
      <c r="CP79" s="102">
        <f>MAX($C$13*IF($G$5="撼天",1.05,1)+IF(AND(VLOOKUP($E79,武器奇术!$A:$R,15,FALSE)="武器",VLOOKUP($E79,武器奇术!$A:$R,17,FALSE)="破竹"),$E$3*(1+$E$15),0),CN79)</f>
        <v>0</v>
      </c>
      <c r="CQ79" s="104">
        <f>IF(($D$13+IF(VLOOKUP($E79,武器奇术!$A:$R,17,FALSE)="破竹",$D$15,0)-VLOOKUP($F$7,目标属性!$A:$R,6,FALSE))&gt;0,($D$13+IF(VLOOKUP($E79,武器奇术!$A:$R,17,FALSE)="破竹",$D$15,0)-VLOOKUP($F$7,目标属性!$A:$R,6,FALSE))/200,($D$13+IF(VLOOKUP($E79,武器奇术!$A:$R,17,FALSE)="破竹",$D$15,0)-VLOOKUP($F$7,目标属性!$A:$R,6,FALSE))/100)</f>
        <v>-0.24</v>
      </c>
      <c r="CR79" s="111">
        <f t="shared" si="22"/>
        <v>0</v>
      </c>
      <c r="CS79" s="102">
        <v>1</v>
      </c>
      <c r="CT79" s="103">
        <f>CN79*IF(VLOOKUP($E79,武器奇术!$A:$R,17,FALSE)="破竹",VLOOKUP($E79,武器奇术!$A:$R,4,FALSE),VLOOKUP($E79,武器奇术!$A:$R,2,FALSE))*(1+CQ79)*(1+CR79)*CS79</f>
        <v>0</v>
      </c>
      <c r="CU79" s="104">
        <f>(1-IF(VLOOKUP($E79,武器奇术!$A:$R,18,FALSE)="叶龙",1,$N79))*(1-$M79)</f>
        <v>0</v>
      </c>
      <c r="CV79" s="103">
        <f>CO79*IF(VLOOKUP($E79,武器奇术!$A:$R,17,FALSE)="破竹",VLOOKUP($E79,武器奇术!$A:$R,4,FALSE),VLOOKUP($E79,武器奇术!$A:$R,2,FALSE))*(1+CQ79)*(1+CR79)*CS79*(1+$E$16+VLOOKUP($E79,武器奇术!$A:$R,8,FALSE))</f>
        <v>0</v>
      </c>
      <c r="CW79" s="104">
        <f t="shared" si="23"/>
        <v>0.8703</v>
      </c>
      <c r="CX79" s="103">
        <f>CP79*IF(VLOOKUP($E79,武器奇术!$A:$R,17,FALSE)="破竹",VLOOKUP($E79,武器奇术!$A:$R,4,FALSE),VLOOKUP($E79,武器奇术!$A:$R,2,FALSE))*(1+CQ79)*(1+CR79)*CS79*(1+$E$17+VLOOKUP($E79,武器奇术!$A:$R,10,FALSE))</f>
        <v>0</v>
      </c>
      <c r="CY79" s="104">
        <f t="shared" si="24"/>
        <v>0.0986</v>
      </c>
      <c r="CZ79" s="103">
        <f>CO79*IF(VLOOKUP($E79,武器奇术!$A:$R,17,FALSE)="破竹",VLOOKUP($E79,武器奇术!$A:$R,4,FALSE),VLOOKUP($E79,武器奇术!$A:$R,2,FALSE))*(1+CQ79)*(1+CR79)*CS79</f>
        <v>0</v>
      </c>
      <c r="DA79" s="104">
        <f t="shared" si="25"/>
        <v>0.0311</v>
      </c>
      <c r="DB79" s="112">
        <f t="shared" si="26"/>
        <v>0</v>
      </c>
      <c r="DC79" s="110">
        <f t="shared" si="40"/>
        <v>66</v>
      </c>
      <c r="DD79" s="102">
        <f t="shared" si="27"/>
        <v>125.8</v>
      </c>
      <c r="DE79" s="102">
        <f t="shared" si="41"/>
        <v>185.6</v>
      </c>
      <c r="DF79" s="104">
        <f>IF((IF(VLOOKUP($E79,武器奇术!$A:$R,17,FALSE)="鸣金",$D$7,0)+IF(VLOOKUP($E79,武器奇术!$A:$R,17,FALSE)="裂石",$D$9,0)+IF(VLOOKUP($E79,武器奇术!$A:$R,17,FALSE)="牵丝",$D$11,0)+IF(VLOOKUP($E79,武器奇术!$A:$R,17,FALSE)="破竹",$D$13,0)+$D$15-VLOOKUP($F$7,目标属性!$A:$R,6,FALSE))&gt;0,(IF(VLOOKUP($E79,武器奇术!$A:$R,17,FALSE)="鸣金",$D$7,0)+IF(VLOOKUP($E79,武器奇术!$A:$R,17,FALSE)="裂石",$D$9,0)+IF(VLOOKUP($E79,武器奇术!$A:$R,17,FALSE)="牵丝",$D$11,0)+IF(VLOOKUP($E79,武器奇术!$A:$R,17,FALSE)="破竹",$D$13,0)+$D$15-VLOOKUP($F$7,目标属性!$A:$R,6,FALSE))/200,(IF(VLOOKUP($E79,武器奇术!$A:$R,17,FALSE)="鸣金",$D$7,0)+IF(VLOOKUP($E79,武器奇术!$A:$R,17,FALSE)="裂石",$D$9,0)+IF(VLOOKUP($E79,武器奇术!$A:$R,17,FALSE)="牵丝",$D$11,0)+IF(VLOOKUP($E79,武器奇术!$A:$R,17,FALSE)="破竹",$D$13,0)+$D$15-VLOOKUP($F$7,目标属性!$A:$R,6,FALSE))/100)</f>
        <v>0.028</v>
      </c>
      <c r="DG79" s="111">
        <f>$E$11+IF($G$5="烟柳",IF(VLOOKUP($E79,武器奇术!$A:$T,20,FALSE)=1,0.1,0),0)</f>
        <v>0.248</v>
      </c>
      <c r="DH79" s="102">
        <v>1</v>
      </c>
      <c r="DI79" s="103">
        <f>DC79*IF(VLOOKUP($E79,武器奇术!$A:$R,17,FALSE)="牵丝",VLOOKUP($E79,武器奇术!$A:$R,4,FALSE),VLOOKUP($E79,武器奇术!$A:$R,2,FALSE))*(1+DF79)*(1+DG79)*DH79</f>
        <v>149.227876512</v>
      </c>
      <c r="DJ79" s="104">
        <f>(1-IF(VLOOKUP($E79,武器奇术!$A:$R,18,FALSE)="叶龙",1,$N79))*(1-$M79)</f>
        <v>0</v>
      </c>
      <c r="DK79" s="124">
        <f>DD79*IF(VLOOKUP($E79,武器奇术!$A:$R,17,FALSE)="牵丝",VLOOKUP($E79,武器奇术!$A:$R,4,FALSE),VLOOKUP($E79,武器奇术!$A:$R,2,FALSE))*(1+DF79)*(1+DG79)*DH79*(1+$E$16+VLOOKUP($E79,武器奇术!$A:$R,8,FALSE))</f>
        <v>570.012502998182</v>
      </c>
      <c r="DL79" s="104">
        <f t="shared" si="28"/>
        <v>0.8703</v>
      </c>
      <c r="DM79" s="103">
        <f>DE79*IF(VLOOKUP($E79,武器奇术!$A:$R,17,FALSE)="牵丝",VLOOKUP($E79,武器奇术!$A:$R,4,FALSE),VLOOKUP($E79,武器奇术!$A:$R,2,FALSE))*(1+DF79)*(1+DG79)*DH79*(1+$E$17+VLOOKUP($E79,武器奇术!$A:$R,10,FALSE))</f>
        <v>566.52328392192</v>
      </c>
      <c r="DN79" s="104">
        <f t="shared" si="29"/>
        <v>0.0986</v>
      </c>
      <c r="DO79" s="124">
        <f>DD79*IF(VLOOKUP($E79,武器奇术!$A:$R,17,FALSE)="牵丝",VLOOKUP($E79,武器奇术!$A:$R,4,FALSE),VLOOKUP($E79,武器奇术!$A:$R,2,FALSE))*(1+DF79)*(1+DG79)*DH79</f>
        <v>284.4373767456</v>
      </c>
      <c r="DP79" s="104">
        <f t="shared" si="30"/>
        <v>0.0311</v>
      </c>
      <c r="DQ79" s="112">
        <f t="shared" si="31"/>
        <v>560.787079570808</v>
      </c>
    </row>
    <row r="80" spans="1:121">
      <c r="A80" s="37"/>
      <c r="B80" t="s">
        <v>181</v>
      </c>
      <c r="C80">
        <v>2</v>
      </c>
      <c r="D80" s="139"/>
      <c r="E80" s="115" t="s">
        <v>137</v>
      </c>
      <c r="F80" s="116">
        <v>4</v>
      </c>
      <c r="G80" s="117">
        <f t="shared" si="47"/>
        <v>0.32</v>
      </c>
      <c r="H80" s="140">
        <f>IF(VLOOKUP($E80,武器奇术!$A:$R,18,FALSE)="天工",AE80,(AE80+AT80+BI80+BX80+CM80+DB80+DQ80))*(1+J80)*F80*K80*(1+G80)*(1+$G$21*5%)</f>
        <v>255747.418066281</v>
      </c>
      <c r="I80" s="104">
        <f t="shared" si="42"/>
        <v>0.0294748791576119</v>
      </c>
      <c r="J80" s="104">
        <f>$F$3+VLOOKUP($E80,武器奇术!$A:$R,12,FALSE)+VLOOKUP($E80,武器奇术!$A:$R,14,FALSE)*$G$3+$P80</f>
        <v>1.103</v>
      </c>
      <c r="K80" s="105">
        <f>VLOOKUP($E80,武器奇术!$A:$R,11,FALSE)</f>
        <v>1</v>
      </c>
      <c r="L80" s="119">
        <f>IF(VLOOKUP($E80,武器奇术!$A:$R,15,FALSE)="天工",0%,IF($C$17+VLOOKUP($E80,武器奇术!$A:$R,7,FALSE)&gt;80%,80%,$C$17+VLOOKUP($E80,武器奇术!$A:$R,7,FALSE))+IF($C$19&gt;20%,20%,$C$19))</f>
        <v>0.8703</v>
      </c>
      <c r="M80" s="120">
        <f>IF(VLOOKUP($E80,武器奇术!$A:$R,15,FALSE)="天工",0%,IF($C$18+VLOOKUP($E80,武器奇术!$A:$R,9,FALSE)&gt;40%,40%,$C$18+VLOOKUP($E80,武器奇术!$A:$R,9,FALSE))+IF($C$20&gt;10%,10%,$C$20))</f>
        <v>0.0986</v>
      </c>
      <c r="N80" s="121">
        <f>IF(VLOOKUP($E80,武器奇术!$A:$R,15,FALSE)="天工",100%,MIN($C$16,1))</f>
        <v>1</v>
      </c>
      <c r="O80" s="122" t="str">
        <f>VLOOKUP($E80,武器奇术!$A:$R,16,FALSE)</f>
        <v>伞</v>
      </c>
      <c r="P80" s="123">
        <f t="shared" si="44"/>
        <v>0.17</v>
      </c>
      <c r="Q80" s="110">
        <f>$B$5*(1+VLOOKUP($E80,武器奇术!$A:$R,5,FALSE))*(1+VLOOKUP($E80,武器奇术!$A:$S,19,FALSE)+IF($G$5="飞隼",0.1,0)+IF($G$5="撼天",0.05,0))-$F$9+IF($J$5="√",160,0)</f>
        <v>3081.85</v>
      </c>
      <c r="R80" s="102">
        <f>IF(VLOOKUP($E80,武器奇术!$A:$Z,18,FALSE)="叶龙",(S80-(Q80+S80)*0.5)*($G$15-0.5)*2+(Q80+S80)*0.5,(Q80+S80)*0.5)</f>
        <v>3161.85</v>
      </c>
      <c r="S80" s="102">
        <f>MAX($C$5,$B$5)*(1+VLOOKUP($E80,武器奇术!$A:$R,6,FALSE))*(1+VLOOKUP($E80,武器奇术!$A:$S,19,FALSE)+IF($G$5="飞隼",0.1,0)+IF($G$5="撼天",0.05,0))-$F$9+IF($J$5="√",320,0)</f>
        <v>3241.85</v>
      </c>
      <c r="T80" s="104">
        <f>IF(($D$5+VLOOKUP($E80,武器奇术!$A:$R,13,FALSE)+IF($I$3="√",10,0)-VLOOKUP($F$7,目标属性!$A:$R,5,FALSE))&gt;0,($D$5+VLOOKUP($E80,武器奇术!$A:$R,13,FALSE)+IF($I$3="√",10,0)-VLOOKUP($F$7,目标属性!$A:$R,5,FALSE))/200,($D$5+VLOOKUP($E80,武器奇术!$A:$R,13,FALSE)+IF($I$3="√",10,0)-VLOOKUP($F$7,目标属性!$A:$R,5,FALSE))/100)</f>
        <v>0.2925</v>
      </c>
      <c r="U80" s="111">
        <f>$E$5+IF($G$5="烟柳",IF(VLOOKUP($E80,武器奇术!$A:$T,20,FALSE)=1,0.1,0),0)</f>
        <v>0.1</v>
      </c>
      <c r="V80" s="102">
        <v>1</v>
      </c>
      <c r="W80" s="103">
        <f>Q80*VLOOKUP($E80,武器奇术!$A:$R,2,FALSE)*(1+T80)*(1+U80)*V80</f>
        <v>5148.20660615181</v>
      </c>
      <c r="X80" s="104">
        <f>(1-IF(VLOOKUP($E80,武器奇术!$A:$R,18,FALSE)="叶龙",1,$N80))*(1-$M80)</f>
        <v>0</v>
      </c>
      <c r="Y80" s="103">
        <f>R80*VLOOKUP($E80,武器奇术!$A:$R,2,FALSE)*(1+T80)*(1+U80)*V80*(1+$E$16+VLOOKUP($E80,武器奇术!$A:$R,8,FALSE))</f>
        <v>10584.819359655</v>
      </c>
      <c r="Z80" s="104">
        <f t="shared" si="33"/>
        <v>0.8703</v>
      </c>
      <c r="AA80" s="103">
        <f>S80*VLOOKUP($E80,武器奇术!$A:$R,2,FALSE)*(1+T80)*(1+U80)*V80*(1+$E$17+VLOOKUP($E80,武器奇术!$A:$R,10,FALSE))</f>
        <v>7310.90524889495</v>
      </c>
      <c r="AB80" s="104">
        <f t="shared" si="34"/>
        <v>0.0986</v>
      </c>
      <c r="AC80" s="103">
        <f>R80*VLOOKUP($E80,武器奇术!$A:$R,2,FALSE)*(1+T80)*(1+U80)*V80</f>
        <v>5281.84598785181</v>
      </c>
      <c r="AD80" s="104">
        <f t="shared" si="35"/>
        <v>0.0311</v>
      </c>
      <c r="AE80" s="112">
        <f t="shared" si="36"/>
        <v>10097.088956471</v>
      </c>
      <c r="AF80" s="113">
        <f>VLOOKUP($E80,武器奇术!$A:$R,3,FALSE)*(1+IF(VLOOKUP($E80,武器奇术!$A:$R,15,FALSE)="武器",$E$15,0))</f>
        <v>421.59</v>
      </c>
      <c r="AG80" s="103">
        <f t="shared" si="1"/>
        <v>421.59</v>
      </c>
      <c r="AH80" s="103">
        <f>VLOOKUP($E80,武器奇术!$A:$R,3,FALSE)*(1+IF(VLOOKUP($E80,武器奇术!$A:$R,15,FALSE)="武器",$E$15,0))</f>
        <v>421.59</v>
      </c>
      <c r="AI80" s="104">
        <f>IF(($D$5+VLOOKUP($E80,武器奇术!$A:$R,13,FALSE)+IF($I$3="√",10,0)-VLOOKUP($F$7,目标属性!$A:$R,5,FALSE))&gt;0,($D$5+VLOOKUP($E80,武器奇术!$A:$R,13,FALSE)+IF($I$3="√",10,0)-VLOOKUP($F$7,目标属性!$A:$R,5,FALSE))/200,($D$5+VLOOKUP($E80,武器奇术!$A:$R,13,FALSE)+IF($I$3="√",10,0)-VLOOKUP($F$7,目标属性!$A:$R,5,FALSE))/100)</f>
        <v>0.2925</v>
      </c>
      <c r="AJ80" s="111">
        <f>$E$5+IF($G$5="烟柳",IF(VLOOKUP($E80,武器奇术!$A:$T,20,FALSE)=1,0.1,0),0)</f>
        <v>0.1</v>
      </c>
      <c r="AK80" s="102">
        <v>1</v>
      </c>
      <c r="AL80" s="103">
        <f t="shared" si="45"/>
        <v>599.3955825</v>
      </c>
      <c r="AM80" s="104">
        <f>(1-IF(VLOOKUP($E80,武器奇术!$A:$R,18,FALSE)="叶龙",1,$N80))*(1-$M80)</f>
        <v>0</v>
      </c>
      <c r="AN80" s="103">
        <f>AG80*(1+AI80)*(1+AJ80)*AK80*(1+$E$16+VLOOKUP($E80,武器奇术!$A:$R,8,FALSE))</f>
        <v>1201.18874733</v>
      </c>
      <c r="AO80" s="104">
        <f t="shared" si="2"/>
        <v>0.8703</v>
      </c>
      <c r="AP80" s="103">
        <f>AH80*(1+AI80)*(1+AJ80)*AK80*(1+$E$17+VLOOKUP($E80,武器奇术!$A:$R,10,FALSE))</f>
        <v>809.184036375</v>
      </c>
      <c r="AQ80" s="104">
        <f t="shared" si="3"/>
        <v>0.0986</v>
      </c>
      <c r="AR80" s="103">
        <f t="shared" si="38"/>
        <v>599.3955825</v>
      </c>
      <c r="AS80" s="104">
        <f t="shared" si="4"/>
        <v>0.0311</v>
      </c>
      <c r="AT80" s="112">
        <f t="shared" si="5"/>
        <v>1143.82131540362</v>
      </c>
      <c r="AU80" s="110">
        <f>$B$7*IF($G$5="撼天",1.05,1)+IF(AND(VLOOKUP($E80,武器奇术!$A:$R,15,FALSE)="武器",VLOOKUP($E80,武器奇术!$A:$R,17,FALSE)="鸣金"),$E$3*(1+$E$15),0)</f>
        <v>0</v>
      </c>
      <c r="AV80" s="102">
        <f t="shared" si="6"/>
        <v>0</v>
      </c>
      <c r="AW80" s="102">
        <f>MAX($C$7*IF($G$5="撼天",1.05,1)+IF(AND(VLOOKUP($E80,武器奇术!$A:$R,15,FALSE)="武器",VLOOKUP($E80,武器奇术!$A:$R,17,FALSE)="鸣金"),$E$3*(1+$E$15),0),AU80)</f>
        <v>0</v>
      </c>
      <c r="AX80" s="104">
        <f>IF(($D$7+IF(VLOOKUP($E80,武器奇术!$A:$R,17,FALSE)="鸣金",$D$15,0)-VLOOKUP($F$7,目标属性!$A:$R,6,FALSE))&gt;0,($D$7+IF(VLOOKUP($E80,武器奇术!$A:$R,17,FALSE)="鸣金",$D$15,0)-VLOOKUP($F$7,目标属性!$A:$R,6,FALSE))/200,($D$7+IF(VLOOKUP($E80,武器奇术!$A:$R,17,FALSE)="鸣金",$D$15,0)-VLOOKUP($F$7,目标属性!$A:$R,6,FALSE))/100)</f>
        <v>-0.24</v>
      </c>
      <c r="AY80" s="111">
        <f t="shared" si="7"/>
        <v>0</v>
      </c>
      <c r="AZ80" s="102">
        <v>1</v>
      </c>
      <c r="BA80" s="103">
        <f>AU80*IF(VLOOKUP($E80,武器奇术!$A:$R,17,FALSE)="鸣金",VLOOKUP($E80,武器奇术!$A:$R,4,FALSE),VLOOKUP($E80,武器奇术!$A:$R,2,FALSE))*(1+AX80)*(1+AY80)*AZ80</f>
        <v>0</v>
      </c>
      <c r="BB80" s="104">
        <f>(1-IF(VLOOKUP($E80,武器奇术!$A:$R,18,FALSE)="叶龙",1,$N80))*(1-$M80)</f>
        <v>0</v>
      </c>
      <c r="BC80" s="103">
        <f>AV80*IF(VLOOKUP($E80,武器奇术!$A:$R,17,FALSE)="鸣金",VLOOKUP($E80,武器奇术!$A:$R,4,FALSE),VLOOKUP($E80,武器奇术!$A:$R,2,FALSE))*(1+AX80)*(1+AY80)*AZ80*(1+$E$16+VLOOKUP($E80,武器奇术!$A:$R,8,FALSE))</f>
        <v>0</v>
      </c>
      <c r="BD80" s="104">
        <f t="shared" si="8"/>
        <v>0.8703</v>
      </c>
      <c r="BE80" s="103">
        <f>AW80*IF(VLOOKUP($E80,武器奇术!$A:$R,17,FALSE)="鸣金",VLOOKUP($E80,武器奇术!$A:$R,4,FALSE),VLOOKUP($E80,武器奇术!$A:$R,2,FALSE))*(1+AX80)*(1+AY80)*AZ80*(1+$E$17+VLOOKUP($E80,武器奇术!$A:$R,10,FALSE))</f>
        <v>0</v>
      </c>
      <c r="BF80" s="104">
        <f t="shared" si="9"/>
        <v>0.0986</v>
      </c>
      <c r="BG80" s="103">
        <f>AV80*IF(VLOOKUP($E80,武器奇术!$A:$R,17,FALSE)="鸣金",VLOOKUP($E80,武器奇术!$A:$R,4,FALSE),VLOOKUP($E80,武器奇术!$A:$R,2,FALSE))*(1+AX80)*(1+AY80)*AZ80</f>
        <v>0</v>
      </c>
      <c r="BH80" s="104">
        <f t="shared" si="10"/>
        <v>0.0311</v>
      </c>
      <c r="BI80" s="112">
        <f t="shared" si="11"/>
        <v>0</v>
      </c>
      <c r="BJ80" s="110">
        <f>$B$9*IF($G$5="撼天",1.05,1)+IF(AND(VLOOKUP($E80,武器奇术!$A:$R,15,FALSE)="武器",VLOOKUP($E80,武器奇术!$A:$R,17,FALSE)="裂石"),$E$3*(1+$E$15),0)</f>
        <v>0</v>
      </c>
      <c r="BK80" s="102">
        <f t="shared" si="12"/>
        <v>0</v>
      </c>
      <c r="BL80" s="102">
        <f>MAX($C$9*IF($G$5="撼天",1.05,1)+IF(AND(VLOOKUP($E80,武器奇术!$A:$R,15,FALSE)="武器",VLOOKUP($E80,武器奇术!$A:$R,17,FALSE)="裂石"),$E$3*(1+$E$15),0),BJ80)</f>
        <v>0</v>
      </c>
      <c r="BM80" s="104">
        <f>IF(($D$9+IF(VLOOKUP($E80,武器奇术!$A:$R,17,FALSE)="裂石",$D$15,0)-VLOOKUP($F$7,目标属性!$A:$R,6,FALSE))&gt;0,($D$9+IF(VLOOKUP($E80,武器奇术!$A:$R,17,FALSE)="裂石",$D$15,0)-VLOOKUP($F$7,目标属性!$A:$R,6,FALSE))/200,($D$9+IF(VLOOKUP($E80,武器奇术!$A:$R,17,FALSE)="裂石",$D$15,0)-VLOOKUP($F$7,目标属性!$A:$R,6,FALSE))/100)</f>
        <v>-0.24</v>
      </c>
      <c r="BN80" s="111">
        <f t="shared" si="13"/>
        <v>0</v>
      </c>
      <c r="BO80" s="102">
        <v>1</v>
      </c>
      <c r="BP80" s="103">
        <f>BJ80*IF(VLOOKUP($E80,武器奇术!$A:$R,17,FALSE)="裂石",VLOOKUP($E80,武器奇术!$A:$R,4,FALSE),VLOOKUP($E80,武器奇术!$A:$R,2,FALSE))*(1+BM80)*(1+BN80)*BO80</f>
        <v>0</v>
      </c>
      <c r="BQ80" s="104">
        <f>(1-IF(VLOOKUP($E80,武器奇术!$A:$R,18,FALSE)="叶龙",1,$N80))*(1-$M80)</f>
        <v>0</v>
      </c>
      <c r="BR80" s="103">
        <f>BK80*IF(VLOOKUP($E80,武器奇术!$A:$R,17,FALSE)="裂石",VLOOKUP($E80,武器奇术!$A:$R,4,FALSE),VLOOKUP($E80,武器奇术!$A:$R,2,FALSE))*(1+BM80)*(1+BN80)*BO80*(1+$E$16+VLOOKUP($E80,武器奇术!$A:$R,8,FALSE))</f>
        <v>0</v>
      </c>
      <c r="BS80" s="104">
        <f t="shared" si="14"/>
        <v>0.8703</v>
      </c>
      <c r="BT80" s="103">
        <f>BL80*IF(VLOOKUP($E80,武器奇术!$A:$R,17,FALSE)="裂石",VLOOKUP($E80,武器奇术!$A:$R,4,FALSE),VLOOKUP($E80,武器奇术!$A:$R,2,FALSE))*(1+BM80)*(1+BN80)*BO80*(1+$E$17+VLOOKUP($E80,武器奇术!$A:$R,10,FALSE))</f>
        <v>0</v>
      </c>
      <c r="BU80" s="104">
        <f t="shared" si="15"/>
        <v>0.0986</v>
      </c>
      <c r="BV80" s="103">
        <f>BK80*IF(VLOOKUP($E80,武器奇术!$A:$R,17,FALSE)="裂石",VLOOKUP($E80,武器奇术!$A:$R,4,FALSE),VLOOKUP($E80,武器奇术!$A:$R,2,FALSE))*(1+BM80)*(1+BN80)*BO80</f>
        <v>0</v>
      </c>
      <c r="BW80" s="104">
        <f t="shared" si="16"/>
        <v>0.0311</v>
      </c>
      <c r="BX80" s="112">
        <f t="shared" si="17"/>
        <v>0</v>
      </c>
      <c r="BY80" s="110">
        <f>$B$11*IF($G$5="撼天",1.05,1)+IF(AND(VLOOKUP($E80,武器奇术!$A:$R,15,FALSE)="武器",VLOOKUP($E80,武器奇术!$A:$R,17,FALSE)="牵丝"),$E$3*(1+$E$15),0)</f>
        <v>686.71</v>
      </c>
      <c r="BZ80" s="102">
        <f>IF(VLOOKUP($E80,武器奇术!$A:$Z,18,FALSE)="叶龙",(CA80-(BY80+CA80)*0.5)*($G$15-0.5)*2+(BY80+CA80)*0.5,(BY80+CA80)*0.5)</f>
        <v>1052.21</v>
      </c>
      <c r="CA80" s="102">
        <f>MAX($C$11*IF($G$5="撼天",1.05,1)+IF(AND(VLOOKUP($E80,武器奇术!$A:$R,15,FALSE)="武器",VLOOKUP($E80,武器奇术!$A:$R,17,FALSE)="牵丝"),$E$3*(1+$E$15),0),BY80)</f>
        <v>1417.71</v>
      </c>
      <c r="CB80" s="104">
        <f>IF(($D$11+IF(VLOOKUP($E80,武器奇术!$A:$R,17,FALSE)="牵丝",$D$15,0)-VLOOKUP($F$7,目标属性!$A:$R,6,FALSE))&gt;0,($D$11+IF(VLOOKUP($E80,武器奇术!$A:$R,17,FALSE)="牵丝",$D$15,0)-VLOOKUP($F$7,目标属性!$A:$R,6,FALSE))/200,($D$11+IF(VLOOKUP($E80,武器奇术!$A:$R,17,FALSE)="牵丝",$D$15,0)-VLOOKUP($F$7,目标属性!$A:$R,6,FALSE))/100)</f>
        <v>0.028</v>
      </c>
      <c r="CC80" s="111">
        <f>$E$11+IF($G$5="烟柳",IF(VLOOKUP($E80,武器奇术!$A:$T,20,FALSE)=1,0.1,0),0)</f>
        <v>0.248</v>
      </c>
      <c r="CD80" s="102">
        <v>1</v>
      </c>
      <c r="CE80" s="103">
        <f>BY80*IF(VLOOKUP($E80,武器奇术!$A:$R,17,FALSE)="牵丝",VLOOKUP($E80,武器奇术!$A:$R,4,FALSE),VLOOKUP($E80,武器奇术!$A:$R,2,FALSE))*(1+CB80)*(1+CC80)*CD80</f>
        <v>1552.67083453872</v>
      </c>
      <c r="CF80" s="104">
        <f>(1-IF(VLOOKUP($E80,武器奇术!$A:$R,18,FALSE)="叶龙",1,$N80))*(1-$M80)</f>
        <v>0</v>
      </c>
      <c r="CG80" s="124">
        <f>BZ80*IF(VLOOKUP($E80,武器奇术!$A:$R,17,FALSE)="牵丝",VLOOKUP($E80,武器奇术!$A:$R,4,FALSE),VLOOKUP($E80,武器奇术!$A:$R,2,FALSE))*(1+CB80)*(1+CC80)*CD80*(1+$E$16+VLOOKUP($E80,武器奇术!$A:$R,8,FALSE))</f>
        <v>4767.66975977518</v>
      </c>
      <c r="CH80" s="104">
        <f t="shared" si="18"/>
        <v>0.8703</v>
      </c>
      <c r="CI80" s="103">
        <f>CA80*IF(VLOOKUP($E80,武器奇术!$A:$R,17,FALSE)="牵丝",VLOOKUP($E80,武器奇术!$A:$R,4,FALSE),VLOOKUP($E80,武器奇术!$A:$R,2,FALSE))*(1+CB80)*(1+CC80)*CD80*(1+$E$17+VLOOKUP($E80,武器奇术!$A:$R,10,FALSE))</f>
        <v>4327.40153474647</v>
      </c>
      <c r="CJ80" s="104">
        <f t="shared" si="19"/>
        <v>0.0986</v>
      </c>
      <c r="CK80" s="124">
        <f>BZ80*IF(VLOOKUP($E80,武器奇术!$A:$R,17,FALSE)="牵丝",VLOOKUP($E80,武器奇术!$A:$R,4,FALSE),VLOOKUP($E80,武器奇术!$A:$R,2,FALSE))*(1+CB80)*(1+CC80)*CD80</f>
        <v>2379.07672643472</v>
      </c>
      <c r="CL80" s="104">
        <f t="shared" si="20"/>
        <v>0.0311</v>
      </c>
      <c r="CM80" s="112">
        <f t="shared" si="39"/>
        <v>4649.97406945046</v>
      </c>
      <c r="CN80" s="110">
        <f>$B$13*IF($G$5="撼天",1.05,1)+IF(AND(VLOOKUP($E80,武器奇术!$A:$R,15,FALSE)="武器",VLOOKUP($E80,武器奇术!$A:$R,17,FALSE)="破竹"),$E$3*(1+$E$15),0)</f>
        <v>0</v>
      </c>
      <c r="CO80" s="102">
        <f t="shared" si="21"/>
        <v>0</v>
      </c>
      <c r="CP80" s="102">
        <f>MAX($C$13*IF($G$5="撼天",1.05,1)+IF(AND(VLOOKUP($E80,武器奇术!$A:$R,15,FALSE)="武器",VLOOKUP($E80,武器奇术!$A:$R,17,FALSE)="破竹"),$E$3*(1+$E$15),0),CN80)</f>
        <v>0</v>
      </c>
      <c r="CQ80" s="104">
        <f>IF(($D$13+IF(VLOOKUP($E80,武器奇术!$A:$R,17,FALSE)="破竹",$D$15,0)-VLOOKUP($F$7,目标属性!$A:$R,6,FALSE))&gt;0,($D$13+IF(VLOOKUP($E80,武器奇术!$A:$R,17,FALSE)="破竹",$D$15,0)-VLOOKUP($F$7,目标属性!$A:$R,6,FALSE))/200,($D$13+IF(VLOOKUP($E80,武器奇术!$A:$R,17,FALSE)="破竹",$D$15,0)-VLOOKUP($F$7,目标属性!$A:$R,6,FALSE))/100)</f>
        <v>-0.24</v>
      </c>
      <c r="CR80" s="111">
        <f t="shared" si="22"/>
        <v>0</v>
      </c>
      <c r="CS80" s="102">
        <v>1</v>
      </c>
      <c r="CT80" s="103">
        <f>CN80*IF(VLOOKUP($E80,武器奇术!$A:$R,17,FALSE)="破竹",VLOOKUP($E80,武器奇术!$A:$R,4,FALSE),VLOOKUP($E80,武器奇术!$A:$R,2,FALSE))*(1+CQ80)*(1+CR80)*CS80</f>
        <v>0</v>
      </c>
      <c r="CU80" s="104">
        <f>(1-IF(VLOOKUP($E80,武器奇术!$A:$R,18,FALSE)="叶龙",1,$N80))*(1-$M80)</f>
        <v>0</v>
      </c>
      <c r="CV80" s="103">
        <f>CO80*IF(VLOOKUP($E80,武器奇术!$A:$R,17,FALSE)="破竹",VLOOKUP($E80,武器奇术!$A:$R,4,FALSE),VLOOKUP($E80,武器奇术!$A:$R,2,FALSE))*(1+CQ80)*(1+CR80)*CS80*(1+$E$16+VLOOKUP($E80,武器奇术!$A:$R,8,FALSE))</f>
        <v>0</v>
      </c>
      <c r="CW80" s="104">
        <f t="shared" si="23"/>
        <v>0.8703</v>
      </c>
      <c r="CX80" s="103">
        <f>CP80*IF(VLOOKUP($E80,武器奇术!$A:$R,17,FALSE)="破竹",VLOOKUP($E80,武器奇术!$A:$R,4,FALSE),VLOOKUP($E80,武器奇术!$A:$R,2,FALSE))*(1+CQ80)*(1+CR80)*CS80*(1+$E$17+VLOOKUP($E80,武器奇术!$A:$R,10,FALSE))</f>
        <v>0</v>
      </c>
      <c r="CY80" s="104">
        <f t="shared" si="24"/>
        <v>0.0986</v>
      </c>
      <c r="CZ80" s="103">
        <f>CO80*IF(VLOOKUP($E80,武器奇术!$A:$R,17,FALSE)="破竹",VLOOKUP($E80,武器奇术!$A:$R,4,FALSE),VLOOKUP($E80,武器奇术!$A:$R,2,FALSE))*(1+CQ80)*(1+CR80)*CS80</f>
        <v>0</v>
      </c>
      <c r="DA80" s="104">
        <f t="shared" si="25"/>
        <v>0.0311</v>
      </c>
      <c r="DB80" s="112">
        <f t="shared" si="26"/>
        <v>0</v>
      </c>
      <c r="DC80" s="110">
        <f t="shared" si="40"/>
        <v>66</v>
      </c>
      <c r="DD80" s="102">
        <f t="shared" si="27"/>
        <v>125.8</v>
      </c>
      <c r="DE80" s="102">
        <f t="shared" si="41"/>
        <v>185.6</v>
      </c>
      <c r="DF80" s="104">
        <f>IF((IF(VLOOKUP($E80,武器奇术!$A:$R,17,FALSE)="鸣金",$D$7,0)+IF(VLOOKUP($E80,武器奇术!$A:$R,17,FALSE)="裂石",$D$9,0)+IF(VLOOKUP($E80,武器奇术!$A:$R,17,FALSE)="牵丝",$D$11,0)+IF(VLOOKUP($E80,武器奇术!$A:$R,17,FALSE)="破竹",$D$13,0)+$D$15-VLOOKUP($F$7,目标属性!$A:$R,6,FALSE))&gt;0,(IF(VLOOKUP($E80,武器奇术!$A:$R,17,FALSE)="鸣金",$D$7,0)+IF(VLOOKUP($E80,武器奇术!$A:$R,17,FALSE)="裂石",$D$9,0)+IF(VLOOKUP($E80,武器奇术!$A:$R,17,FALSE)="牵丝",$D$11,0)+IF(VLOOKUP($E80,武器奇术!$A:$R,17,FALSE)="破竹",$D$13,0)+$D$15-VLOOKUP($F$7,目标属性!$A:$R,6,FALSE))/200,(IF(VLOOKUP($E80,武器奇术!$A:$R,17,FALSE)="鸣金",$D$7,0)+IF(VLOOKUP($E80,武器奇术!$A:$R,17,FALSE)="裂石",$D$9,0)+IF(VLOOKUP($E80,武器奇术!$A:$R,17,FALSE)="牵丝",$D$11,0)+IF(VLOOKUP($E80,武器奇术!$A:$R,17,FALSE)="破竹",$D$13,0)+$D$15-VLOOKUP($F$7,目标属性!$A:$R,6,FALSE))/100)</f>
        <v>0.028</v>
      </c>
      <c r="DG80" s="111">
        <f>$E$11+IF($G$5="烟柳",IF(VLOOKUP($E80,武器奇术!$A:$T,20,FALSE)=1,0.1,0),0)</f>
        <v>0.248</v>
      </c>
      <c r="DH80" s="102">
        <v>1</v>
      </c>
      <c r="DI80" s="103">
        <f>DC80*IF(VLOOKUP($E80,武器奇术!$A:$R,17,FALSE)="牵丝",VLOOKUP($E80,武器奇术!$A:$R,4,FALSE),VLOOKUP($E80,武器奇术!$A:$R,2,FALSE))*(1+DF80)*(1+DG80)*DH80</f>
        <v>149.227876512</v>
      </c>
      <c r="DJ80" s="104">
        <f>(1-IF(VLOOKUP($E80,武器奇术!$A:$R,18,FALSE)="叶龙",1,$N80))*(1-$M80)</f>
        <v>0</v>
      </c>
      <c r="DK80" s="124">
        <f>DD80*IF(VLOOKUP($E80,武器奇术!$A:$R,17,FALSE)="牵丝",VLOOKUP($E80,武器奇术!$A:$R,4,FALSE),VLOOKUP($E80,武器奇术!$A:$R,2,FALSE))*(1+DF80)*(1+DG80)*DH80*(1+$E$16+VLOOKUP($E80,武器奇术!$A:$R,8,FALSE))</f>
        <v>570.012502998182</v>
      </c>
      <c r="DL80" s="104">
        <f t="shared" si="28"/>
        <v>0.8703</v>
      </c>
      <c r="DM80" s="103">
        <f>DE80*IF(VLOOKUP($E80,武器奇术!$A:$R,17,FALSE)="牵丝",VLOOKUP($E80,武器奇术!$A:$R,4,FALSE),VLOOKUP($E80,武器奇术!$A:$R,2,FALSE))*(1+DF80)*(1+DG80)*DH80*(1+$E$17+VLOOKUP($E80,武器奇术!$A:$R,10,FALSE))</f>
        <v>566.52328392192</v>
      </c>
      <c r="DN80" s="104">
        <f t="shared" si="29"/>
        <v>0.0986</v>
      </c>
      <c r="DO80" s="124">
        <f>DD80*IF(VLOOKUP($E80,武器奇术!$A:$R,17,FALSE)="牵丝",VLOOKUP($E80,武器奇术!$A:$R,4,FALSE),VLOOKUP($E80,武器奇术!$A:$R,2,FALSE))*(1+DF80)*(1+DG80)*DH80</f>
        <v>284.4373767456</v>
      </c>
      <c r="DP80" s="104">
        <f t="shared" si="30"/>
        <v>0.0311</v>
      </c>
      <c r="DQ80" s="112">
        <f t="shared" si="31"/>
        <v>560.787079570808</v>
      </c>
    </row>
    <row r="81" spans="1:121">
      <c r="A81" s="37"/>
      <c r="B81" t="s">
        <v>182</v>
      </c>
      <c r="C81">
        <v>2.25</v>
      </c>
      <c r="D81" s="139"/>
      <c r="E81" s="115" t="s">
        <v>142</v>
      </c>
      <c r="F81" s="116">
        <v>1</v>
      </c>
      <c r="G81" s="117"/>
      <c r="H81" s="140">
        <f>IF(VLOOKUP($E81,武器奇术!$A:$R,18,FALSE)="天工",AE81,(AE81+AT81+BI81+BX81+CM81+DB81+DQ81))*(1+J81)*F81*K81*(1+G81)*(1+$G$21*5%)</f>
        <v>107578.080223594</v>
      </c>
      <c r="I81" s="104">
        <f t="shared" si="42"/>
        <v>0.0123983692135517</v>
      </c>
      <c r="J81" s="104">
        <f>$F$3+VLOOKUP($E81,武器奇术!$A:$R,12,FALSE)+VLOOKUP($E81,武器奇术!$A:$R,14,FALSE)*$G$3+$P81</f>
        <v>0.987</v>
      </c>
      <c r="K81" s="105">
        <f>VLOOKUP($E81,武器奇术!$A:$R,11,FALSE)</f>
        <v>1</v>
      </c>
      <c r="L81" s="119">
        <f>IF(VLOOKUP($E81,武器奇术!$A:$R,15,FALSE)="天工",0%,IF($C$17+VLOOKUP($E81,武器奇术!$A:$R,7,FALSE)&gt;80%,80%,$C$17+VLOOKUP($E81,武器奇术!$A:$R,7,FALSE))+IF($C$19&gt;20%,20%,$C$19))</f>
        <v>0.8703</v>
      </c>
      <c r="M81" s="120">
        <f>IF(VLOOKUP($E81,武器奇术!$A:$R,15,FALSE)="天工",0%,IF($C$18+VLOOKUP($E81,武器奇术!$A:$R,9,FALSE)&gt;40%,40%,$C$18+VLOOKUP($E81,武器奇术!$A:$R,9,FALSE))+IF($C$20&gt;10%,10%,$C$20))</f>
        <v>0.0986</v>
      </c>
      <c r="N81" s="121">
        <f>IF(VLOOKUP($E81,武器奇术!$A:$R,15,FALSE)="天工",100%,MIN($C$16,1))</f>
        <v>1</v>
      </c>
      <c r="O81" s="122" t="str">
        <f>VLOOKUP($E81,武器奇术!$A:$R,16,FALSE)</f>
        <v>扇</v>
      </c>
      <c r="P81" s="123">
        <f t="shared" si="44"/>
        <v>0.084</v>
      </c>
      <c r="Q81" s="110">
        <f>$B$5*(1+VLOOKUP($E81,武器奇术!$A:$R,5,FALSE))*(1+VLOOKUP($E81,武器奇术!$A:$S,19,FALSE)+IF($G$5="飞隼",0.1,0)+IF($G$5="撼天",0.05,0))-$F$9+IF($J$5="√",160,0)</f>
        <v>3081.85</v>
      </c>
      <c r="R81" s="102">
        <f>IF(VLOOKUP($E81,武器奇术!$A:$Z,18,FALSE)="叶龙",(S81-(Q81+S81)*0.5)*($G$15-0.5)*2+(Q81+S81)*0.5,(Q81+S81)*0.5)</f>
        <v>3161.85</v>
      </c>
      <c r="S81" s="102">
        <f>MAX($C$5,$B$5)*(1+VLOOKUP($E81,武器奇术!$A:$R,6,FALSE))*(1+VLOOKUP($E81,武器奇术!$A:$S,19,FALSE)+IF($G$5="飞隼",0.1,0)+IF($G$5="撼天",0.05,0))-$F$9+IF($J$5="√",320,0)</f>
        <v>3241.85</v>
      </c>
      <c r="T81" s="104">
        <f>IF(($D$5+VLOOKUP($E81,武器奇术!$A:$R,13,FALSE)+IF($I$3="√",10,0)-VLOOKUP($F$7,目标属性!$A:$R,5,FALSE))&gt;0,($D$5+VLOOKUP($E81,武器奇术!$A:$R,13,FALSE)+IF($I$3="√",10,0)-VLOOKUP($F$7,目标属性!$A:$R,5,FALSE))/200,($D$5+VLOOKUP($E81,武器奇术!$A:$R,13,FALSE)+IF($I$3="√",10,0)-VLOOKUP($F$7,目标属性!$A:$R,5,FALSE))/100)</f>
        <v>0.2925</v>
      </c>
      <c r="U81" s="111">
        <f>$E$5+IF($G$5="烟柳",IF(VLOOKUP($E81,武器奇术!$A:$T,20,FALSE)=1,0.1,0),0)</f>
        <v>0.1</v>
      </c>
      <c r="V81" s="102">
        <v>1</v>
      </c>
      <c r="W81" s="103">
        <f>Q81*VLOOKUP($E81,武器奇术!$A:$R,2,FALSE)*(1+T81)*(1+U81)*V81</f>
        <v>12099.3184914278</v>
      </c>
      <c r="X81" s="104">
        <f>(1-IF(VLOOKUP($E81,武器奇术!$A:$R,18,FALSE)="叶龙",1,$N81))*(1-$M81)</f>
        <v>0</v>
      </c>
      <c r="Y81" s="103">
        <f>R81*VLOOKUP($E81,武器奇术!$A:$R,2,FALSE)*(1+T81)*(1+U81)*V81*(1+$E$16+VLOOKUP($E81,武器奇术!$A:$R,8,FALSE))</f>
        <v>24876.449296666</v>
      </c>
      <c r="Z81" s="104">
        <f t="shared" si="33"/>
        <v>0.8703</v>
      </c>
      <c r="AA81" s="103">
        <f>S81*VLOOKUP($E81,武器奇术!$A:$R,2,FALSE)*(1+T81)*(1+U81)*V81*(1+$E$17+VLOOKUP($E81,武器奇术!$A:$R,10,FALSE))</f>
        <v>17182.0942386675</v>
      </c>
      <c r="AB81" s="104">
        <f t="shared" si="34"/>
        <v>0.0986</v>
      </c>
      <c r="AC81" s="103">
        <f>R81*VLOOKUP($E81,武器奇术!$A:$R,2,FALSE)*(1+T81)*(1+U81)*V81</f>
        <v>12413.3978526277</v>
      </c>
      <c r="AD81" s="104">
        <f t="shared" si="35"/>
        <v>0.0311</v>
      </c>
      <c r="AE81" s="112">
        <f t="shared" si="36"/>
        <v>23730.1849880378</v>
      </c>
      <c r="AF81" s="113">
        <f>VLOOKUP($E81,武器奇术!$A:$R,3,FALSE)*(1+IF(VLOOKUP($E81,武器奇术!$A:$R,15,FALSE)="武器",$E$15,0))</f>
        <v>993.395</v>
      </c>
      <c r="AG81" s="103">
        <f t="shared" si="1"/>
        <v>993.395</v>
      </c>
      <c r="AH81" s="103">
        <f>VLOOKUP($E81,武器奇术!$A:$R,3,FALSE)*(1+IF(VLOOKUP($E81,武器奇术!$A:$R,15,FALSE)="武器",$E$15,0))</f>
        <v>993.395</v>
      </c>
      <c r="AI81" s="104">
        <f>IF(($D$5+VLOOKUP($E81,武器奇术!$A:$R,13,FALSE)+IF($I$3="√",10,0)-VLOOKUP($F$7,目标属性!$A:$R,5,FALSE))&gt;0,($D$5+VLOOKUP($E81,武器奇术!$A:$R,13,FALSE)+IF($I$3="√",10,0)-VLOOKUP($F$7,目标属性!$A:$R,5,FALSE))/200,($D$5+VLOOKUP($E81,武器奇术!$A:$R,13,FALSE)+IF($I$3="√",10,0)-VLOOKUP($F$7,目标属性!$A:$R,5,FALSE))/100)</f>
        <v>0.2925</v>
      </c>
      <c r="AJ81" s="111">
        <f>$E$5+IF($G$5="烟柳",IF(VLOOKUP($E81,武器奇术!$A:$T,20,FALSE)=1,0.1,0),0)</f>
        <v>0.1</v>
      </c>
      <c r="AK81" s="102">
        <v>1</v>
      </c>
      <c r="AL81" s="103">
        <f t="shared" si="45"/>
        <v>1412.35934125</v>
      </c>
      <c r="AM81" s="104">
        <f>(1-IF(VLOOKUP($E81,武器奇术!$A:$R,18,FALSE)="叶龙",1,$N81))*(1-$M81)</f>
        <v>0</v>
      </c>
      <c r="AN81" s="103">
        <f>AG81*(1+AI81)*(1+AJ81)*AK81*(1+$E$16+VLOOKUP($E81,武器奇术!$A:$R,8,FALSE))</f>
        <v>2830.368119865</v>
      </c>
      <c r="AO81" s="104">
        <f t="shared" si="2"/>
        <v>0.8703</v>
      </c>
      <c r="AP81" s="103">
        <f>AH81*(1+AI81)*(1+AJ81)*AK81*(1+$E$17+VLOOKUP($E81,武器奇术!$A:$R,10,FALSE))</f>
        <v>1906.6851106875</v>
      </c>
      <c r="AQ81" s="104">
        <f t="shared" si="3"/>
        <v>0.0986</v>
      </c>
      <c r="AR81" s="103">
        <f t="shared" si="38"/>
        <v>1412.35934125</v>
      </c>
      <c r="AS81" s="104">
        <f t="shared" si="4"/>
        <v>0.0311</v>
      </c>
      <c r="AT81" s="112">
        <f t="shared" si="5"/>
        <v>2695.19290214517</v>
      </c>
      <c r="AU81" s="110">
        <f>$B$7*IF($G$5="撼天",1.05,1)+IF(AND(VLOOKUP($E81,武器奇术!$A:$R,15,FALSE)="武器",VLOOKUP($E81,武器奇术!$A:$R,17,FALSE)="鸣金"),$E$3*(1+$E$15),0)</f>
        <v>0</v>
      </c>
      <c r="AV81" s="102">
        <f t="shared" si="6"/>
        <v>0</v>
      </c>
      <c r="AW81" s="102">
        <f>MAX($C$7*IF($G$5="撼天",1.05,1)+IF(AND(VLOOKUP($E81,武器奇术!$A:$R,15,FALSE)="武器",VLOOKUP($E81,武器奇术!$A:$R,17,FALSE)="鸣金"),$E$3*(1+$E$15),0),AU81)</f>
        <v>0</v>
      </c>
      <c r="AX81" s="104">
        <f>IF(($D$7+IF(VLOOKUP($E81,武器奇术!$A:$R,17,FALSE)="鸣金",$D$15,0)-VLOOKUP($F$7,目标属性!$A:$R,6,FALSE))&gt;0,($D$7+IF(VLOOKUP($E81,武器奇术!$A:$R,17,FALSE)="鸣金",$D$15,0)-VLOOKUP($F$7,目标属性!$A:$R,6,FALSE))/200,($D$7+IF(VLOOKUP($E81,武器奇术!$A:$R,17,FALSE)="鸣金",$D$15,0)-VLOOKUP($F$7,目标属性!$A:$R,6,FALSE))/100)</f>
        <v>-0.24</v>
      </c>
      <c r="AY81" s="111">
        <f t="shared" si="7"/>
        <v>0</v>
      </c>
      <c r="AZ81" s="102">
        <v>1</v>
      </c>
      <c r="BA81" s="103">
        <f>AU81*IF(VLOOKUP($E81,武器奇术!$A:$R,17,FALSE)="鸣金",VLOOKUP($E81,武器奇术!$A:$R,4,FALSE),VLOOKUP($E81,武器奇术!$A:$R,2,FALSE))*(1+AX81)*(1+AY81)*AZ81</f>
        <v>0</v>
      </c>
      <c r="BB81" s="104">
        <f>(1-IF(VLOOKUP($E81,武器奇术!$A:$R,18,FALSE)="叶龙",1,$N81))*(1-$M81)</f>
        <v>0</v>
      </c>
      <c r="BC81" s="103">
        <f>AV81*IF(VLOOKUP($E81,武器奇术!$A:$R,17,FALSE)="鸣金",VLOOKUP($E81,武器奇术!$A:$R,4,FALSE),VLOOKUP($E81,武器奇术!$A:$R,2,FALSE))*(1+AX81)*(1+AY81)*AZ81*(1+$E$16+VLOOKUP($E81,武器奇术!$A:$R,8,FALSE))</f>
        <v>0</v>
      </c>
      <c r="BD81" s="104">
        <f t="shared" si="8"/>
        <v>0.8703</v>
      </c>
      <c r="BE81" s="103">
        <f>AW81*IF(VLOOKUP($E81,武器奇术!$A:$R,17,FALSE)="鸣金",VLOOKUP($E81,武器奇术!$A:$R,4,FALSE),VLOOKUP($E81,武器奇术!$A:$R,2,FALSE))*(1+AX81)*(1+AY81)*AZ81*(1+$E$17+VLOOKUP($E81,武器奇术!$A:$R,10,FALSE))</f>
        <v>0</v>
      </c>
      <c r="BF81" s="104">
        <f t="shared" si="9"/>
        <v>0.0986</v>
      </c>
      <c r="BG81" s="103">
        <f>AV81*IF(VLOOKUP($E81,武器奇术!$A:$R,17,FALSE)="鸣金",VLOOKUP($E81,武器奇术!$A:$R,4,FALSE),VLOOKUP($E81,武器奇术!$A:$R,2,FALSE))*(1+AX81)*(1+AY81)*AZ81</f>
        <v>0</v>
      </c>
      <c r="BH81" s="104">
        <f t="shared" si="10"/>
        <v>0.0311</v>
      </c>
      <c r="BI81" s="112">
        <f t="shared" si="11"/>
        <v>0</v>
      </c>
      <c r="BJ81" s="110">
        <f>$B$9*IF($G$5="撼天",1.05,1)+IF(AND(VLOOKUP($E81,武器奇术!$A:$R,15,FALSE)="武器",VLOOKUP($E81,武器奇术!$A:$R,17,FALSE)="裂石"),$E$3*(1+$E$15),0)</f>
        <v>0</v>
      </c>
      <c r="BK81" s="102">
        <f t="shared" si="12"/>
        <v>0</v>
      </c>
      <c r="BL81" s="102">
        <f>MAX($C$9*IF($G$5="撼天",1.05,1)+IF(AND(VLOOKUP($E81,武器奇术!$A:$R,15,FALSE)="武器",VLOOKUP($E81,武器奇术!$A:$R,17,FALSE)="裂石"),$E$3*(1+$E$15),0),BJ81)</f>
        <v>0</v>
      </c>
      <c r="BM81" s="104">
        <f>IF(($D$9+IF(VLOOKUP($E81,武器奇术!$A:$R,17,FALSE)="裂石",$D$15,0)-VLOOKUP($F$7,目标属性!$A:$R,6,FALSE))&gt;0,($D$9+IF(VLOOKUP($E81,武器奇术!$A:$R,17,FALSE)="裂石",$D$15,0)-VLOOKUP($F$7,目标属性!$A:$R,6,FALSE))/200,($D$9+IF(VLOOKUP($E81,武器奇术!$A:$R,17,FALSE)="裂石",$D$15,0)-VLOOKUP($F$7,目标属性!$A:$R,6,FALSE))/100)</f>
        <v>-0.24</v>
      </c>
      <c r="BN81" s="111">
        <f t="shared" si="13"/>
        <v>0</v>
      </c>
      <c r="BO81" s="102">
        <v>1</v>
      </c>
      <c r="BP81" s="103">
        <f>BJ81*IF(VLOOKUP($E81,武器奇术!$A:$R,17,FALSE)="裂石",VLOOKUP($E81,武器奇术!$A:$R,4,FALSE),VLOOKUP($E81,武器奇术!$A:$R,2,FALSE))*(1+BM81)*(1+BN81)*BO81</f>
        <v>0</v>
      </c>
      <c r="BQ81" s="104">
        <f>(1-IF(VLOOKUP($E81,武器奇术!$A:$R,18,FALSE)="叶龙",1,$N81))*(1-$M81)</f>
        <v>0</v>
      </c>
      <c r="BR81" s="103">
        <f>BK81*IF(VLOOKUP($E81,武器奇术!$A:$R,17,FALSE)="裂石",VLOOKUP($E81,武器奇术!$A:$R,4,FALSE),VLOOKUP($E81,武器奇术!$A:$R,2,FALSE))*(1+BM81)*(1+BN81)*BO81*(1+$E$16+VLOOKUP($E81,武器奇术!$A:$R,8,FALSE))</f>
        <v>0</v>
      </c>
      <c r="BS81" s="104">
        <f t="shared" si="14"/>
        <v>0.8703</v>
      </c>
      <c r="BT81" s="103">
        <f>BL81*IF(VLOOKUP($E81,武器奇术!$A:$R,17,FALSE)="裂石",VLOOKUP($E81,武器奇术!$A:$R,4,FALSE),VLOOKUP($E81,武器奇术!$A:$R,2,FALSE))*(1+BM81)*(1+BN81)*BO81*(1+$E$17+VLOOKUP($E81,武器奇术!$A:$R,10,FALSE))</f>
        <v>0</v>
      </c>
      <c r="BU81" s="104">
        <f t="shared" si="15"/>
        <v>0.0986</v>
      </c>
      <c r="BV81" s="103">
        <f>BK81*IF(VLOOKUP($E81,武器奇术!$A:$R,17,FALSE)="裂石",VLOOKUP($E81,武器奇术!$A:$R,4,FALSE),VLOOKUP($E81,武器奇术!$A:$R,2,FALSE))*(1+BM81)*(1+BN81)*BO81</f>
        <v>0</v>
      </c>
      <c r="BW81" s="104">
        <f t="shared" si="16"/>
        <v>0.0311</v>
      </c>
      <c r="BX81" s="112">
        <f t="shared" si="17"/>
        <v>0</v>
      </c>
      <c r="BY81" s="110">
        <f>$B$11*IF($G$5="撼天",1.05,1)+IF(AND(VLOOKUP($E81,武器奇术!$A:$R,15,FALSE)="武器",VLOOKUP($E81,武器奇术!$A:$R,17,FALSE)="牵丝"),$E$3*(1+$E$15),0)</f>
        <v>686.71</v>
      </c>
      <c r="BZ81" s="102">
        <f>IF(VLOOKUP($E81,武器奇术!$A:$Z,18,FALSE)="叶龙",(CA81-(BY81+CA81)*0.5)*($G$15-0.5)*2+(BY81+CA81)*0.5,(BY81+CA81)*0.5)</f>
        <v>1052.21</v>
      </c>
      <c r="CA81" s="102">
        <f>MAX($C$11*IF($G$5="撼天",1.05,1)+IF(AND(VLOOKUP($E81,武器奇术!$A:$R,15,FALSE)="武器",VLOOKUP($E81,武器奇术!$A:$R,17,FALSE)="牵丝"),$E$3*(1+$E$15),0),BY81)</f>
        <v>1417.71</v>
      </c>
      <c r="CB81" s="104">
        <f>IF(($D$11+IF(VLOOKUP($E81,武器奇术!$A:$R,17,FALSE)="牵丝",$D$15,0)-VLOOKUP($F$7,目标属性!$A:$R,6,FALSE))&gt;0,($D$11+IF(VLOOKUP($E81,武器奇术!$A:$R,17,FALSE)="牵丝",$D$15,0)-VLOOKUP($F$7,目标属性!$A:$R,6,FALSE))/200,($D$11+IF(VLOOKUP($E81,武器奇术!$A:$R,17,FALSE)="牵丝",$D$15,0)-VLOOKUP($F$7,目标属性!$A:$R,6,FALSE))/100)</f>
        <v>0.028</v>
      </c>
      <c r="CC81" s="111">
        <f>$E$11+IF($G$5="烟柳",IF(VLOOKUP($E81,武器奇术!$A:$T,20,FALSE)=1,0.1,0),0)</f>
        <v>0.248</v>
      </c>
      <c r="CD81" s="102">
        <v>1</v>
      </c>
      <c r="CE81" s="103">
        <f>BY81*IF(VLOOKUP($E81,武器奇术!$A:$R,17,FALSE)="牵丝",VLOOKUP($E81,武器奇术!$A:$R,4,FALSE),VLOOKUP($E81,武器奇术!$A:$R,2,FALSE))*(1+CB81)*(1+CC81)*CD81</f>
        <v>3649.20705503528</v>
      </c>
      <c r="CF81" s="104">
        <f>(1-IF(VLOOKUP($E81,武器奇术!$A:$R,18,FALSE)="叶龙",1,$N81))*(1-$M81)</f>
        <v>0</v>
      </c>
      <c r="CG81" s="124">
        <f>BZ81*IF(VLOOKUP($E81,武器奇术!$A:$R,17,FALSE)="牵丝",VLOOKUP($E81,武器奇术!$A:$R,4,FALSE),VLOOKUP($E81,武器奇术!$A:$R,2,FALSE))*(1+CB81)*(1+CC81)*CD81*(1+$E$16+VLOOKUP($E81,武器奇术!$A:$R,8,FALSE))</f>
        <v>11205.3461277378</v>
      </c>
      <c r="CH81" s="104">
        <f t="shared" si="18"/>
        <v>0.8703</v>
      </c>
      <c r="CI81" s="103">
        <f>CA81*IF(VLOOKUP($E81,武器奇术!$A:$R,17,FALSE)="牵丝",VLOOKUP($E81,武器奇术!$A:$R,4,FALSE),VLOOKUP($E81,武器奇术!$A:$R,2,FALSE))*(1+CB81)*(1+CC81)*CD81*(1+$E$17+VLOOKUP($E81,武器奇术!$A:$R,10,FALSE))</f>
        <v>10170.5937016965</v>
      </c>
      <c r="CJ81" s="104">
        <f t="shared" si="19"/>
        <v>0.0986</v>
      </c>
      <c r="CK81" s="124">
        <f>BZ81*IF(VLOOKUP($E81,武器奇术!$A:$R,17,FALSE)="牵丝",VLOOKUP($E81,武器奇术!$A:$R,4,FALSE),VLOOKUP($E81,武器奇术!$A:$R,2,FALSE))*(1+CB81)*(1+CC81)*CD81</f>
        <v>5591.49008370152</v>
      </c>
      <c r="CL81" s="104">
        <f t="shared" si="20"/>
        <v>0.0311</v>
      </c>
      <c r="CM81" s="112">
        <f t="shared" si="39"/>
        <v>10928.7286155606</v>
      </c>
      <c r="CN81" s="110">
        <f>$B$13*IF($G$5="撼天",1.05,1)+IF(AND(VLOOKUP($E81,武器奇术!$A:$R,15,FALSE)="武器",VLOOKUP($E81,武器奇术!$A:$R,17,FALSE)="破竹"),$E$3*(1+$E$15),0)</f>
        <v>0</v>
      </c>
      <c r="CO81" s="102">
        <f t="shared" si="21"/>
        <v>0</v>
      </c>
      <c r="CP81" s="102">
        <f>MAX($C$13*IF($G$5="撼天",1.05,1)+IF(AND(VLOOKUP($E81,武器奇术!$A:$R,15,FALSE)="武器",VLOOKUP($E81,武器奇术!$A:$R,17,FALSE)="破竹"),$E$3*(1+$E$15),0),CN81)</f>
        <v>0</v>
      </c>
      <c r="CQ81" s="104">
        <f>IF(($D$13+IF(VLOOKUP($E81,武器奇术!$A:$R,17,FALSE)="破竹",$D$15,0)-VLOOKUP($F$7,目标属性!$A:$R,6,FALSE))&gt;0,($D$13+IF(VLOOKUP($E81,武器奇术!$A:$R,17,FALSE)="破竹",$D$15,0)-VLOOKUP($F$7,目标属性!$A:$R,6,FALSE))/200,($D$13+IF(VLOOKUP($E81,武器奇术!$A:$R,17,FALSE)="破竹",$D$15,0)-VLOOKUP($F$7,目标属性!$A:$R,6,FALSE))/100)</f>
        <v>-0.24</v>
      </c>
      <c r="CR81" s="111">
        <f t="shared" si="22"/>
        <v>0</v>
      </c>
      <c r="CS81" s="102">
        <v>1</v>
      </c>
      <c r="CT81" s="103">
        <f>CN81*IF(VLOOKUP($E81,武器奇术!$A:$R,17,FALSE)="破竹",VLOOKUP($E81,武器奇术!$A:$R,4,FALSE),VLOOKUP($E81,武器奇术!$A:$R,2,FALSE))*(1+CQ81)*(1+CR81)*CS81</f>
        <v>0</v>
      </c>
      <c r="CU81" s="104">
        <f>(1-IF(VLOOKUP($E81,武器奇术!$A:$R,18,FALSE)="叶龙",1,$N81))*(1-$M81)</f>
        <v>0</v>
      </c>
      <c r="CV81" s="103">
        <f>CO81*IF(VLOOKUP($E81,武器奇术!$A:$R,17,FALSE)="破竹",VLOOKUP($E81,武器奇术!$A:$R,4,FALSE),VLOOKUP($E81,武器奇术!$A:$R,2,FALSE))*(1+CQ81)*(1+CR81)*CS81*(1+$E$16+VLOOKUP($E81,武器奇术!$A:$R,8,FALSE))</f>
        <v>0</v>
      </c>
      <c r="CW81" s="104">
        <f t="shared" si="23"/>
        <v>0.8703</v>
      </c>
      <c r="CX81" s="103">
        <f>CP81*IF(VLOOKUP($E81,武器奇术!$A:$R,17,FALSE)="破竹",VLOOKUP($E81,武器奇术!$A:$R,4,FALSE),VLOOKUP($E81,武器奇术!$A:$R,2,FALSE))*(1+CQ81)*(1+CR81)*CS81*(1+$E$17+VLOOKUP($E81,武器奇术!$A:$R,10,FALSE))</f>
        <v>0</v>
      </c>
      <c r="CY81" s="104">
        <f t="shared" si="24"/>
        <v>0.0986</v>
      </c>
      <c r="CZ81" s="103">
        <f>CO81*IF(VLOOKUP($E81,武器奇术!$A:$R,17,FALSE)="破竹",VLOOKUP($E81,武器奇术!$A:$R,4,FALSE),VLOOKUP($E81,武器奇术!$A:$R,2,FALSE))*(1+CQ81)*(1+CR81)*CS81</f>
        <v>0</v>
      </c>
      <c r="DA81" s="104">
        <f t="shared" si="25"/>
        <v>0.0311</v>
      </c>
      <c r="DB81" s="112">
        <f t="shared" si="26"/>
        <v>0</v>
      </c>
      <c r="DC81" s="110">
        <f t="shared" si="40"/>
        <v>66</v>
      </c>
      <c r="DD81" s="102">
        <f t="shared" si="27"/>
        <v>125.8</v>
      </c>
      <c r="DE81" s="102">
        <f t="shared" si="41"/>
        <v>185.6</v>
      </c>
      <c r="DF81" s="104">
        <f>IF((IF(VLOOKUP($E81,武器奇术!$A:$R,17,FALSE)="鸣金",$D$7,0)+IF(VLOOKUP($E81,武器奇术!$A:$R,17,FALSE)="裂石",$D$9,0)+IF(VLOOKUP($E81,武器奇术!$A:$R,17,FALSE)="牵丝",$D$11,0)+IF(VLOOKUP($E81,武器奇术!$A:$R,17,FALSE)="破竹",$D$13,0)+$D$15-VLOOKUP($F$7,目标属性!$A:$R,6,FALSE))&gt;0,(IF(VLOOKUP($E81,武器奇术!$A:$R,17,FALSE)="鸣金",$D$7,0)+IF(VLOOKUP($E81,武器奇术!$A:$R,17,FALSE)="裂石",$D$9,0)+IF(VLOOKUP($E81,武器奇术!$A:$R,17,FALSE)="牵丝",$D$11,0)+IF(VLOOKUP($E81,武器奇术!$A:$R,17,FALSE)="破竹",$D$13,0)+$D$15-VLOOKUP($F$7,目标属性!$A:$R,6,FALSE))/200,(IF(VLOOKUP($E81,武器奇术!$A:$R,17,FALSE)="鸣金",$D$7,0)+IF(VLOOKUP($E81,武器奇术!$A:$R,17,FALSE)="裂石",$D$9,0)+IF(VLOOKUP($E81,武器奇术!$A:$R,17,FALSE)="牵丝",$D$11,0)+IF(VLOOKUP($E81,武器奇术!$A:$R,17,FALSE)="破竹",$D$13,0)+$D$15-VLOOKUP($F$7,目标属性!$A:$R,6,FALSE))/100)</f>
        <v>0.028</v>
      </c>
      <c r="DG81" s="111">
        <f>$E$11+IF($G$5="烟柳",IF(VLOOKUP($E81,武器奇术!$A:$T,20,FALSE)=1,0.1,0),0)</f>
        <v>0.248</v>
      </c>
      <c r="DH81" s="102">
        <v>1</v>
      </c>
      <c r="DI81" s="103">
        <f>DC81*IF(VLOOKUP($E81,武器奇术!$A:$R,17,FALSE)="牵丝",VLOOKUP($E81,武器奇术!$A:$R,4,FALSE),VLOOKUP($E81,武器奇术!$A:$R,2,FALSE))*(1+DF81)*(1+DG81)*DH81</f>
        <v>350.72689436928</v>
      </c>
      <c r="DJ81" s="104">
        <f>(1-IF(VLOOKUP($E81,武器奇术!$A:$R,18,FALSE)="叶龙",1,$N81))*(1-$M81)</f>
        <v>0</v>
      </c>
      <c r="DK81" s="124">
        <f>DD81*IF(VLOOKUP($E81,武器奇术!$A:$R,17,FALSE)="牵丝",VLOOKUP($E81,武器奇术!$A:$R,4,FALSE),VLOOKUP($E81,武器奇术!$A:$R,2,FALSE))*(1+DF81)*(1+DG81)*DH81*(1+$E$16+VLOOKUP($E81,武器奇术!$A:$R,8,FALSE))</f>
        <v>1339.6874605539</v>
      </c>
      <c r="DL81" s="104">
        <f t="shared" si="28"/>
        <v>0.8703</v>
      </c>
      <c r="DM81" s="103">
        <f>DE81*IF(VLOOKUP($E81,武器奇术!$A:$R,17,FALSE)="牵丝",VLOOKUP($E81,武器奇术!$A:$R,4,FALSE),VLOOKUP($E81,武器奇术!$A:$R,2,FALSE))*(1+DF81)*(1+DG81)*DH81*(1+$E$17+VLOOKUP($E81,武器奇术!$A:$R,10,FALSE))</f>
        <v>1331.48682807829</v>
      </c>
      <c r="DN81" s="104">
        <f t="shared" si="29"/>
        <v>0.0986</v>
      </c>
      <c r="DO81" s="124">
        <f>DD81*IF(VLOOKUP($E81,武器奇术!$A:$R,17,FALSE)="牵丝",VLOOKUP($E81,武器奇术!$A:$R,4,FALSE),VLOOKUP($E81,武器奇术!$A:$R,2,FALSE))*(1+DF81)*(1+DG81)*DH81</f>
        <v>668.506716843264</v>
      </c>
      <c r="DP81" s="104">
        <f t="shared" si="30"/>
        <v>0.0311</v>
      </c>
      <c r="DQ81" s="112">
        <f t="shared" si="31"/>
        <v>1318.0051570624</v>
      </c>
    </row>
    <row r="82" spans="1:121">
      <c r="A82" s="37" t="s">
        <v>183</v>
      </c>
      <c r="B82" t="s">
        <v>165</v>
      </c>
      <c r="C82" s="141">
        <v>1.3</v>
      </c>
      <c r="D82" s="37" t="s">
        <v>173</v>
      </c>
      <c r="E82" s="115" t="s">
        <v>138</v>
      </c>
      <c r="F82" s="116">
        <v>1</v>
      </c>
      <c r="G82" s="117"/>
      <c r="H82" s="140">
        <f>IF(VLOOKUP($E82,武器奇术!$A:$R,18,FALSE)="天工",AE82,(AE82+AT82+BI82+BX82+CM82+DB82+DQ82))*(1+J82)*F82*K82*(1+G82)*(1+$G$21*5%)</f>
        <v>96476.7137967659</v>
      </c>
      <c r="I82" s="104">
        <f t="shared" si="42"/>
        <v>0.0111189372005555</v>
      </c>
      <c r="J82" s="104">
        <f>$F$3+VLOOKUP($E82,武器奇术!$A:$R,12,FALSE)+VLOOKUP($E82,武器奇术!$A:$R,14,FALSE)*$G$3+$P82</f>
        <v>1.103</v>
      </c>
      <c r="K82" s="105">
        <f>VLOOKUP($E82,武器奇术!$A:$R,11,FALSE)</f>
        <v>1</v>
      </c>
      <c r="L82" s="119">
        <f>IF(VLOOKUP($E82,武器奇术!$A:$R,15,FALSE)="天工",0%,IF($C$17+VLOOKUP($E82,武器奇术!$A:$R,7,FALSE)&gt;80%,80%,$C$17+VLOOKUP($E82,武器奇术!$A:$R,7,FALSE))+IF($C$19&gt;20%,20%,$C$19))</f>
        <v>0.8703</v>
      </c>
      <c r="M82" s="120">
        <f>IF(VLOOKUP($E82,武器奇术!$A:$R,15,FALSE)="天工",0%,IF($C$18+VLOOKUP($E82,武器奇术!$A:$R,9,FALSE)&gt;40%,40%,$C$18+VLOOKUP($E82,武器奇术!$A:$R,9,FALSE))+IF($C$20&gt;10%,10%,$C$20))</f>
        <v>0.0986</v>
      </c>
      <c r="N82" s="121">
        <f>IF(VLOOKUP($E82,武器奇术!$A:$R,15,FALSE)="天工",100%,MIN($C$16,1))</f>
        <v>1</v>
      </c>
      <c r="O82" s="122" t="str">
        <f>VLOOKUP($E82,武器奇术!$A:$R,16,FALSE)</f>
        <v>伞</v>
      </c>
      <c r="P82" s="123">
        <f t="shared" si="44"/>
        <v>0.17</v>
      </c>
      <c r="Q82" s="110">
        <f>$B$5*(1+VLOOKUP($E82,武器奇术!$A:$R,5,FALSE))*(1+VLOOKUP($E82,武器奇术!$A:$S,19,FALSE)+IF($G$5="飞隼",0.1,0)+IF($G$5="撼天",0.05,0))-$F$9+IF($J$5="√",160,0)</f>
        <v>3081.85</v>
      </c>
      <c r="R82" s="102">
        <f>IF(VLOOKUP($E82,武器奇术!$A:$Z,18,FALSE)="叶龙",(S82-(Q82+S82)*0.5)*($G$15-0.5)*2+(Q82+S82)*0.5,(Q82+S82)*0.5)</f>
        <v>3161.85</v>
      </c>
      <c r="S82" s="102">
        <f>MAX($C$5,$B$5)*(1+VLOOKUP($E82,武器奇术!$A:$R,6,FALSE))*(1+VLOOKUP($E82,武器奇术!$A:$S,19,FALSE)+IF($G$5="飞隼",0.1,0)+IF($G$5="撼天",0.05,0))-$F$9+IF($J$5="√",320,0)</f>
        <v>3241.85</v>
      </c>
      <c r="T82" s="104">
        <f>IF(($D$5+VLOOKUP($E82,武器奇术!$A:$R,13,FALSE)+IF($I$3="√",10,0)-VLOOKUP($F$7,目标属性!$A:$R,5,FALSE))&gt;0,($D$5+VLOOKUP($E82,武器奇术!$A:$R,13,FALSE)+IF($I$3="√",10,0)-VLOOKUP($F$7,目标属性!$A:$R,5,FALSE))/200,($D$5+VLOOKUP($E82,武器奇术!$A:$R,13,FALSE)+IF($I$3="√",10,0)-VLOOKUP($F$7,目标属性!$A:$R,5,FALSE))/100)</f>
        <v>0.2925</v>
      </c>
      <c r="U82" s="111">
        <f>$E$5+IF($G$5="烟柳",IF(VLOOKUP($E82,武器奇术!$A:$T,20,FALSE)=1,0.1,0),0)</f>
        <v>0.1</v>
      </c>
      <c r="V82" s="102">
        <v>1</v>
      </c>
      <c r="W82" s="103">
        <f>Q82*VLOOKUP($E82,武器奇术!$A:$R,2,FALSE)*(1+T82)*(1+U82)*V82</f>
        <v>10251.6768696788</v>
      </c>
      <c r="X82" s="104">
        <f>(1-IF(VLOOKUP($E82,武器奇术!$A:$R,18,FALSE)="叶龙",1,$N82))*(1-$M82)</f>
        <v>0</v>
      </c>
      <c r="Y82" s="103">
        <f>R82*VLOOKUP($E82,武器奇术!$A:$R,2,FALSE)*(1+T82)*(1+U82)*V82*(1+$E$16+VLOOKUP($E82,武器奇术!$A:$R,8,FALSE))</f>
        <v>21077.6598727482</v>
      </c>
      <c r="Z82" s="104">
        <f t="shared" si="33"/>
        <v>0.8703</v>
      </c>
      <c r="AA82" s="103">
        <f>S82*VLOOKUP($E82,武器奇术!$A:$R,2,FALSE)*(1+T82)*(1+U82)*V82*(1+$E$17+VLOOKUP($E82,武器奇术!$A:$R,10,FALSE))</f>
        <v>14558.2809646663</v>
      </c>
      <c r="AB82" s="104">
        <f t="shared" si="34"/>
        <v>0.0986</v>
      </c>
      <c r="AC82" s="103">
        <f>R82*VLOOKUP($E82,武器奇术!$A:$R,2,FALSE)*(1+T82)*(1+U82)*V82</f>
        <v>10517.7943476788</v>
      </c>
      <c r="AD82" s="104">
        <f t="shared" si="35"/>
        <v>0.0311</v>
      </c>
      <c r="AE82" s="112">
        <f t="shared" si="36"/>
        <v>20106.4372945817</v>
      </c>
      <c r="AF82" s="113">
        <f>VLOOKUP($E82,武器奇术!$A:$R,3,FALSE)*(1+IF(VLOOKUP($E82,武器奇术!$A:$R,15,FALSE)="武器",$E$15,0))</f>
        <v>842.4</v>
      </c>
      <c r="AG82" s="103">
        <f t="shared" si="1"/>
        <v>842.4</v>
      </c>
      <c r="AH82" s="103">
        <f>VLOOKUP($E82,武器奇术!$A:$R,3,FALSE)*(1+IF(VLOOKUP($E82,武器奇术!$A:$R,15,FALSE)="武器",$E$15,0))</f>
        <v>842.4</v>
      </c>
      <c r="AI82" s="104">
        <f>IF(($D$5+VLOOKUP($E82,武器奇术!$A:$R,13,FALSE)+IF($I$3="√",10,0)-VLOOKUP($F$7,目标属性!$A:$R,5,FALSE))&gt;0,($D$5+VLOOKUP($E82,武器奇术!$A:$R,13,FALSE)+IF($I$3="√",10,0)-VLOOKUP($F$7,目标属性!$A:$R,5,FALSE))/200,($D$5+VLOOKUP($E82,武器奇术!$A:$R,13,FALSE)+IF($I$3="√",10,0)-VLOOKUP($F$7,目标属性!$A:$R,5,FALSE))/100)</f>
        <v>0.2925</v>
      </c>
      <c r="AJ82" s="111">
        <f>$E$5+IF($G$5="烟柳",IF(VLOOKUP($E82,武器奇术!$A:$T,20,FALSE)=1,0.1,0),0)</f>
        <v>0.1</v>
      </c>
      <c r="AK82" s="102">
        <v>1</v>
      </c>
      <c r="AL82" s="103">
        <f t="shared" si="45"/>
        <v>1197.6822</v>
      </c>
      <c r="AM82" s="104">
        <f>(1-IF(VLOOKUP($E82,武器奇术!$A:$R,18,FALSE)="叶龙",1,$N82))*(1-$M82)</f>
        <v>0</v>
      </c>
      <c r="AN82" s="103">
        <f>AG82*(1+AI82)*(1+AJ82)*AK82*(1+$E$16+VLOOKUP($E82,武器奇术!$A:$R,8,FALSE))</f>
        <v>2400.1551288</v>
      </c>
      <c r="AO82" s="104">
        <f t="shared" si="2"/>
        <v>0.8703</v>
      </c>
      <c r="AP82" s="103">
        <f>AH82*(1+AI82)*(1+AJ82)*AK82*(1+$E$17+VLOOKUP($E82,武器奇术!$A:$R,10,FALSE))</f>
        <v>1616.87097</v>
      </c>
      <c r="AQ82" s="104">
        <f t="shared" si="3"/>
        <v>0.0986</v>
      </c>
      <c r="AR82" s="103">
        <f t="shared" si="38"/>
        <v>1197.6822</v>
      </c>
      <c r="AS82" s="104">
        <f t="shared" si="4"/>
        <v>0.0311</v>
      </c>
      <c r="AT82" s="112">
        <f t="shared" si="5"/>
        <v>2285.52640265664</v>
      </c>
      <c r="AU82" s="110">
        <f>$B$7*IF($G$5="撼天",1.05,1)+IF(AND(VLOOKUP($E82,武器奇术!$A:$R,15,FALSE)="武器",VLOOKUP($E82,武器奇术!$A:$R,17,FALSE)="鸣金"),$E$3*(1+$E$15),0)</f>
        <v>0</v>
      </c>
      <c r="AV82" s="102">
        <f t="shared" si="6"/>
        <v>0</v>
      </c>
      <c r="AW82" s="102">
        <f>MAX($C$7*IF($G$5="撼天",1.05,1)+IF(AND(VLOOKUP($E82,武器奇术!$A:$R,15,FALSE)="武器",VLOOKUP($E82,武器奇术!$A:$R,17,FALSE)="鸣金"),$E$3*(1+$E$15),0),AU82)</f>
        <v>0</v>
      </c>
      <c r="AX82" s="104">
        <f>IF(($D$7+IF(VLOOKUP($E82,武器奇术!$A:$R,17,FALSE)="鸣金",$D$15,0)-VLOOKUP($F$7,目标属性!$A:$R,6,FALSE))&gt;0,($D$7+IF(VLOOKUP($E82,武器奇术!$A:$R,17,FALSE)="鸣金",$D$15,0)-VLOOKUP($F$7,目标属性!$A:$R,6,FALSE))/200,($D$7+IF(VLOOKUP($E82,武器奇术!$A:$R,17,FALSE)="鸣金",$D$15,0)-VLOOKUP($F$7,目标属性!$A:$R,6,FALSE))/100)</f>
        <v>-0.24</v>
      </c>
      <c r="AY82" s="111">
        <f t="shared" si="7"/>
        <v>0</v>
      </c>
      <c r="AZ82" s="102">
        <v>1</v>
      </c>
      <c r="BA82" s="103">
        <f>AU82*IF(VLOOKUP($E82,武器奇术!$A:$R,17,FALSE)="鸣金",VLOOKUP($E82,武器奇术!$A:$R,4,FALSE),VLOOKUP($E82,武器奇术!$A:$R,2,FALSE))*(1+AX82)*(1+AY82)*AZ82</f>
        <v>0</v>
      </c>
      <c r="BB82" s="104">
        <f>(1-IF(VLOOKUP($E82,武器奇术!$A:$R,18,FALSE)="叶龙",1,$N82))*(1-$M82)</f>
        <v>0</v>
      </c>
      <c r="BC82" s="103">
        <f>AV82*IF(VLOOKUP($E82,武器奇术!$A:$R,17,FALSE)="鸣金",VLOOKUP($E82,武器奇术!$A:$R,4,FALSE),VLOOKUP($E82,武器奇术!$A:$R,2,FALSE))*(1+AX82)*(1+AY82)*AZ82*(1+$E$16+VLOOKUP($E82,武器奇术!$A:$R,8,FALSE))</f>
        <v>0</v>
      </c>
      <c r="BD82" s="104">
        <f t="shared" si="8"/>
        <v>0.8703</v>
      </c>
      <c r="BE82" s="103">
        <f>AW82*IF(VLOOKUP($E82,武器奇术!$A:$R,17,FALSE)="鸣金",VLOOKUP($E82,武器奇术!$A:$R,4,FALSE),VLOOKUP($E82,武器奇术!$A:$R,2,FALSE))*(1+AX82)*(1+AY82)*AZ82*(1+$E$17+VLOOKUP($E82,武器奇术!$A:$R,10,FALSE))</f>
        <v>0</v>
      </c>
      <c r="BF82" s="104">
        <f t="shared" si="9"/>
        <v>0.0986</v>
      </c>
      <c r="BG82" s="103">
        <f>AV82*IF(VLOOKUP($E82,武器奇术!$A:$R,17,FALSE)="鸣金",VLOOKUP($E82,武器奇术!$A:$R,4,FALSE),VLOOKUP($E82,武器奇术!$A:$R,2,FALSE))*(1+AX82)*(1+AY82)*AZ82</f>
        <v>0</v>
      </c>
      <c r="BH82" s="104">
        <f t="shared" si="10"/>
        <v>0.0311</v>
      </c>
      <c r="BI82" s="112">
        <f t="shared" si="11"/>
        <v>0</v>
      </c>
      <c r="BJ82" s="110">
        <f>$B$9*IF($G$5="撼天",1.05,1)+IF(AND(VLOOKUP($E82,武器奇术!$A:$R,15,FALSE)="武器",VLOOKUP($E82,武器奇术!$A:$R,17,FALSE)="裂石"),$E$3*(1+$E$15),0)</f>
        <v>0</v>
      </c>
      <c r="BK82" s="102">
        <f t="shared" si="12"/>
        <v>0</v>
      </c>
      <c r="BL82" s="102">
        <f>MAX($C$9*IF($G$5="撼天",1.05,1)+IF(AND(VLOOKUP($E82,武器奇术!$A:$R,15,FALSE)="武器",VLOOKUP($E82,武器奇术!$A:$R,17,FALSE)="裂石"),$E$3*(1+$E$15),0),BJ82)</f>
        <v>0</v>
      </c>
      <c r="BM82" s="104">
        <f>IF(($D$9+IF(VLOOKUP($E82,武器奇术!$A:$R,17,FALSE)="裂石",$D$15,0)-VLOOKUP($F$7,目标属性!$A:$R,6,FALSE))&gt;0,($D$9+IF(VLOOKUP($E82,武器奇术!$A:$R,17,FALSE)="裂石",$D$15,0)-VLOOKUP($F$7,目标属性!$A:$R,6,FALSE))/200,($D$9+IF(VLOOKUP($E82,武器奇术!$A:$R,17,FALSE)="裂石",$D$15,0)-VLOOKUP($F$7,目标属性!$A:$R,6,FALSE))/100)</f>
        <v>-0.24</v>
      </c>
      <c r="BN82" s="111">
        <f t="shared" si="13"/>
        <v>0</v>
      </c>
      <c r="BO82" s="102">
        <v>1</v>
      </c>
      <c r="BP82" s="103">
        <f>BJ82*IF(VLOOKUP($E82,武器奇术!$A:$R,17,FALSE)="裂石",VLOOKUP($E82,武器奇术!$A:$R,4,FALSE),VLOOKUP($E82,武器奇术!$A:$R,2,FALSE))*(1+BM82)*(1+BN82)*BO82</f>
        <v>0</v>
      </c>
      <c r="BQ82" s="104">
        <f>(1-IF(VLOOKUP($E82,武器奇术!$A:$R,18,FALSE)="叶龙",1,$N82))*(1-$M82)</f>
        <v>0</v>
      </c>
      <c r="BR82" s="103">
        <f>BK82*IF(VLOOKUP($E82,武器奇术!$A:$R,17,FALSE)="裂石",VLOOKUP($E82,武器奇术!$A:$R,4,FALSE),VLOOKUP($E82,武器奇术!$A:$R,2,FALSE))*(1+BM82)*(1+BN82)*BO82*(1+$E$16+VLOOKUP($E82,武器奇术!$A:$R,8,FALSE))</f>
        <v>0</v>
      </c>
      <c r="BS82" s="104">
        <f t="shared" si="14"/>
        <v>0.8703</v>
      </c>
      <c r="BT82" s="103">
        <f>BL82*IF(VLOOKUP($E82,武器奇术!$A:$R,17,FALSE)="裂石",VLOOKUP($E82,武器奇术!$A:$R,4,FALSE),VLOOKUP($E82,武器奇术!$A:$R,2,FALSE))*(1+BM82)*(1+BN82)*BO82*(1+$E$17+VLOOKUP($E82,武器奇术!$A:$R,10,FALSE))</f>
        <v>0</v>
      </c>
      <c r="BU82" s="104">
        <f t="shared" si="15"/>
        <v>0.0986</v>
      </c>
      <c r="BV82" s="103">
        <f>BK82*IF(VLOOKUP($E82,武器奇术!$A:$R,17,FALSE)="裂石",VLOOKUP($E82,武器奇术!$A:$R,4,FALSE),VLOOKUP($E82,武器奇术!$A:$R,2,FALSE))*(1+BM82)*(1+BN82)*BO82</f>
        <v>0</v>
      </c>
      <c r="BW82" s="104">
        <f t="shared" si="16"/>
        <v>0.0311</v>
      </c>
      <c r="BX82" s="112">
        <f t="shared" si="17"/>
        <v>0</v>
      </c>
      <c r="BY82" s="110">
        <f>$B$11*IF($G$5="撼天",1.05,1)+IF(AND(VLOOKUP($E82,武器奇术!$A:$R,15,FALSE)="武器",VLOOKUP($E82,武器奇术!$A:$R,17,FALSE)="牵丝"),$E$3*(1+$E$15),0)</f>
        <v>686.71</v>
      </c>
      <c r="BZ82" s="102">
        <f>IF(VLOOKUP($E82,武器奇术!$A:$Z,18,FALSE)="叶龙",(CA82-(BY82+CA82)*0.5)*($G$15-0.5)*2+(BY82+CA82)*0.5,(BY82+CA82)*0.5)</f>
        <v>1052.21</v>
      </c>
      <c r="CA82" s="102">
        <f>MAX($C$11*IF($G$5="撼天",1.05,1)+IF(AND(VLOOKUP($E82,武器奇术!$A:$R,15,FALSE)="武器",VLOOKUP($E82,武器奇术!$A:$R,17,FALSE)="牵丝"),$E$3*(1+$E$15),0),BY82)</f>
        <v>1417.71</v>
      </c>
      <c r="CB82" s="104">
        <f>IF(($D$11+IF(VLOOKUP($E82,武器奇术!$A:$R,17,FALSE)="牵丝",$D$15,0)-VLOOKUP($F$7,目标属性!$A:$R,6,FALSE))&gt;0,($D$11+IF(VLOOKUP($E82,武器奇术!$A:$R,17,FALSE)="牵丝",$D$15,0)-VLOOKUP($F$7,目标属性!$A:$R,6,FALSE))/200,($D$11+IF(VLOOKUP($E82,武器奇术!$A:$R,17,FALSE)="牵丝",$D$15,0)-VLOOKUP($F$7,目标属性!$A:$R,6,FALSE))/100)</f>
        <v>0.028</v>
      </c>
      <c r="CC82" s="111">
        <f>$E$11+IF($G$5="烟柳",IF(VLOOKUP($E82,武器奇术!$A:$T,20,FALSE)=1,0.1,0),0)</f>
        <v>0.248</v>
      </c>
      <c r="CD82" s="102">
        <v>1</v>
      </c>
      <c r="CE82" s="103">
        <f>BY82*IF(VLOOKUP($E82,武器奇术!$A:$R,17,FALSE)="牵丝",VLOOKUP($E82,武器奇术!$A:$R,4,FALSE),VLOOKUP($E82,武器奇术!$A:$R,2,FALSE))*(1+CB82)*(1+CC82)*CD82</f>
        <v>3091.90625934528</v>
      </c>
      <c r="CF82" s="104">
        <f>(1-IF(VLOOKUP($E82,武器奇术!$A:$R,18,FALSE)="叶龙",1,$N82))*(1-$M82)</f>
        <v>0</v>
      </c>
      <c r="CG82" s="124">
        <f>BZ82*IF(VLOOKUP($E82,武器奇术!$A:$R,17,FALSE)="牵丝",VLOOKUP($E82,武器奇术!$A:$R,4,FALSE),VLOOKUP($E82,武器奇术!$A:$R,2,FALSE))*(1+CB82)*(1+CC82)*CD82*(1+$E$16+VLOOKUP($E82,武器奇术!$A:$R,8,FALSE))</f>
        <v>9494.08441559316</v>
      </c>
      <c r="CH82" s="104">
        <f t="shared" si="18"/>
        <v>0.8703</v>
      </c>
      <c r="CI82" s="103">
        <f>CA82*IF(VLOOKUP($E82,武器奇术!$A:$R,17,FALSE)="牵丝",VLOOKUP($E82,武器奇术!$A:$R,4,FALSE),VLOOKUP($E82,武器奇术!$A:$R,2,FALSE))*(1+CB82)*(1+CC82)*CD82*(1+$E$17+VLOOKUP($E82,武器奇术!$A:$R,10,FALSE))</f>
        <v>8617.35764873693</v>
      </c>
      <c r="CJ82" s="104">
        <f t="shared" si="19"/>
        <v>0.0986</v>
      </c>
      <c r="CK82" s="124">
        <f>BZ82*IF(VLOOKUP($E82,武器奇术!$A:$R,17,FALSE)="牵丝",VLOOKUP($E82,武器奇术!$A:$R,4,FALSE),VLOOKUP($E82,武器奇术!$A:$R,2,FALSE))*(1+CB82)*(1+CC82)*CD82</f>
        <v>4737.56707364928</v>
      </c>
      <c r="CL82" s="104">
        <f t="shared" si="20"/>
        <v>0.0311</v>
      </c>
      <c r="CM82" s="112">
        <f t="shared" si="39"/>
        <v>9259.71146704668</v>
      </c>
      <c r="CN82" s="110">
        <f>$B$13*IF($G$5="撼天",1.05,1)+IF(AND(VLOOKUP($E82,武器奇术!$A:$R,15,FALSE)="武器",VLOOKUP($E82,武器奇术!$A:$R,17,FALSE)="破竹"),$E$3*(1+$E$15),0)</f>
        <v>0</v>
      </c>
      <c r="CO82" s="102">
        <f t="shared" si="21"/>
        <v>0</v>
      </c>
      <c r="CP82" s="102">
        <f>MAX($C$13*IF($G$5="撼天",1.05,1)+IF(AND(VLOOKUP($E82,武器奇术!$A:$R,15,FALSE)="武器",VLOOKUP($E82,武器奇术!$A:$R,17,FALSE)="破竹"),$E$3*(1+$E$15),0),CN82)</f>
        <v>0</v>
      </c>
      <c r="CQ82" s="104">
        <f>IF(($D$13+IF(VLOOKUP($E82,武器奇术!$A:$R,17,FALSE)="破竹",$D$15,0)-VLOOKUP($F$7,目标属性!$A:$R,6,FALSE))&gt;0,($D$13+IF(VLOOKUP($E82,武器奇术!$A:$R,17,FALSE)="破竹",$D$15,0)-VLOOKUP($F$7,目标属性!$A:$R,6,FALSE))/200,($D$13+IF(VLOOKUP($E82,武器奇术!$A:$R,17,FALSE)="破竹",$D$15,0)-VLOOKUP($F$7,目标属性!$A:$R,6,FALSE))/100)</f>
        <v>-0.24</v>
      </c>
      <c r="CR82" s="111">
        <f t="shared" si="22"/>
        <v>0</v>
      </c>
      <c r="CS82" s="102">
        <v>1</v>
      </c>
      <c r="CT82" s="103">
        <f>CN82*IF(VLOOKUP($E82,武器奇术!$A:$R,17,FALSE)="破竹",VLOOKUP($E82,武器奇术!$A:$R,4,FALSE),VLOOKUP($E82,武器奇术!$A:$R,2,FALSE))*(1+CQ82)*(1+CR82)*CS82</f>
        <v>0</v>
      </c>
      <c r="CU82" s="104">
        <f>(1-IF(VLOOKUP($E82,武器奇术!$A:$R,18,FALSE)="叶龙",1,$N82))*(1-$M82)</f>
        <v>0</v>
      </c>
      <c r="CV82" s="103">
        <f>CO82*IF(VLOOKUP($E82,武器奇术!$A:$R,17,FALSE)="破竹",VLOOKUP($E82,武器奇术!$A:$R,4,FALSE),VLOOKUP($E82,武器奇术!$A:$R,2,FALSE))*(1+CQ82)*(1+CR82)*CS82*(1+$E$16+VLOOKUP($E82,武器奇术!$A:$R,8,FALSE))</f>
        <v>0</v>
      </c>
      <c r="CW82" s="104">
        <f t="shared" si="23"/>
        <v>0.8703</v>
      </c>
      <c r="CX82" s="103">
        <f>CP82*IF(VLOOKUP($E82,武器奇术!$A:$R,17,FALSE)="破竹",VLOOKUP($E82,武器奇术!$A:$R,4,FALSE),VLOOKUP($E82,武器奇术!$A:$R,2,FALSE))*(1+CQ82)*(1+CR82)*CS82*(1+$E$17+VLOOKUP($E82,武器奇术!$A:$R,10,FALSE))</f>
        <v>0</v>
      </c>
      <c r="CY82" s="104">
        <f t="shared" si="24"/>
        <v>0.0986</v>
      </c>
      <c r="CZ82" s="103">
        <f>CO82*IF(VLOOKUP($E82,武器奇术!$A:$R,17,FALSE)="破竹",VLOOKUP($E82,武器奇术!$A:$R,4,FALSE),VLOOKUP($E82,武器奇术!$A:$R,2,FALSE))*(1+CQ82)*(1+CR82)*CS82</f>
        <v>0</v>
      </c>
      <c r="DA82" s="104">
        <f t="shared" si="25"/>
        <v>0.0311</v>
      </c>
      <c r="DB82" s="112">
        <f t="shared" si="26"/>
        <v>0</v>
      </c>
      <c r="DC82" s="110">
        <f t="shared" si="40"/>
        <v>66</v>
      </c>
      <c r="DD82" s="102">
        <f t="shared" si="27"/>
        <v>125.8</v>
      </c>
      <c r="DE82" s="102">
        <f t="shared" si="41"/>
        <v>185.6</v>
      </c>
      <c r="DF82" s="104">
        <f>IF((IF(VLOOKUP($E82,武器奇术!$A:$R,17,FALSE)="鸣金",$D$7,0)+IF(VLOOKUP($E82,武器奇术!$A:$R,17,FALSE)="裂石",$D$9,0)+IF(VLOOKUP($E82,武器奇术!$A:$R,17,FALSE)="牵丝",$D$11,0)+IF(VLOOKUP($E82,武器奇术!$A:$R,17,FALSE)="破竹",$D$13,0)+$D$15-VLOOKUP($F$7,目标属性!$A:$R,6,FALSE))&gt;0,(IF(VLOOKUP($E82,武器奇术!$A:$R,17,FALSE)="鸣金",$D$7,0)+IF(VLOOKUP($E82,武器奇术!$A:$R,17,FALSE)="裂石",$D$9,0)+IF(VLOOKUP($E82,武器奇术!$A:$R,17,FALSE)="牵丝",$D$11,0)+IF(VLOOKUP($E82,武器奇术!$A:$R,17,FALSE)="破竹",$D$13,0)+$D$15-VLOOKUP($F$7,目标属性!$A:$R,6,FALSE))/200,(IF(VLOOKUP($E82,武器奇术!$A:$R,17,FALSE)="鸣金",$D$7,0)+IF(VLOOKUP($E82,武器奇术!$A:$R,17,FALSE)="裂石",$D$9,0)+IF(VLOOKUP($E82,武器奇术!$A:$R,17,FALSE)="牵丝",$D$11,0)+IF(VLOOKUP($E82,武器奇术!$A:$R,17,FALSE)="破竹",$D$13,0)+$D$15-VLOOKUP($F$7,目标属性!$A:$R,6,FALSE))/100)</f>
        <v>0.028</v>
      </c>
      <c r="DG82" s="111">
        <f>$E$11+IF($G$5="烟柳",IF(VLOOKUP($E82,武器奇术!$A:$T,20,FALSE)=1,0.1,0),0)</f>
        <v>0.248</v>
      </c>
      <c r="DH82" s="102">
        <v>1</v>
      </c>
      <c r="DI82" s="103">
        <f>DC82*IF(VLOOKUP($E82,武器奇术!$A:$R,17,FALSE)="牵丝",VLOOKUP($E82,武器奇术!$A:$R,4,FALSE),VLOOKUP($E82,武器奇术!$A:$R,2,FALSE))*(1+DF82)*(1+DG82)*DH82</f>
        <v>297.164469888</v>
      </c>
      <c r="DJ82" s="104">
        <f>(1-IF(VLOOKUP($E82,武器奇术!$A:$R,18,FALSE)="叶龙",1,$N82))*(1-$M82)</f>
        <v>0</v>
      </c>
      <c r="DK82" s="124">
        <f>DD82*IF(VLOOKUP($E82,武器奇术!$A:$R,17,FALSE)="牵丝",VLOOKUP($E82,武器奇术!$A:$R,4,FALSE),VLOOKUP($E82,武器奇术!$A:$R,2,FALSE))*(1+DF82)*(1+DG82)*DH82*(1+$E$16+VLOOKUP($E82,武器奇术!$A:$R,8,FALSE))</f>
        <v>1135.0926331071</v>
      </c>
      <c r="DL82" s="104">
        <f t="shared" si="28"/>
        <v>0.8703</v>
      </c>
      <c r="DM82" s="103">
        <f>DE82*IF(VLOOKUP($E82,武器奇术!$A:$R,17,FALSE)="牵丝",VLOOKUP($E82,武器奇术!$A:$R,4,FALSE),VLOOKUP($E82,武器奇术!$A:$R,2,FALSE))*(1+DF82)*(1+DG82)*DH82*(1+$E$17+VLOOKUP($E82,武器奇术!$A:$R,10,FALSE))</f>
        <v>1128.14438750208</v>
      </c>
      <c r="DN82" s="104">
        <f t="shared" si="29"/>
        <v>0.0986</v>
      </c>
      <c r="DO82" s="124">
        <f>DD82*IF(VLOOKUP($E82,武器奇术!$A:$R,17,FALSE)="牵丝",VLOOKUP($E82,武器奇术!$A:$R,4,FALSE),VLOOKUP($E82,武器奇术!$A:$R,2,FALSE))*(1+DF82)*(1+DG82)*DH82</f>
        <v>566.4134895744</v>
      </c>
      <c r="DP82" s="104">
        <f t="shared" si="30"/>
        <v>0.0311</v>
      </c>
      <c r="DQ82" s="112">
        <f t="shared" si="31"/>
        <v>1116.72161472658</v>
      </c>
    </row>
    <row r="83" spans="1:121">
      <c r="A83" s="37"/>
      <c r="B83" t="s">
        <v>154</v>
      </c>
      <c r="C83" s="141">
        <v>1.16</v>
      </c>
      <c r="D83" s="37"/>
      <c r="E83" s="115" t="s">
        <v>140</v>
      </c>
      <c r="F83" s="116">
        <v>1</v>
      </c>
      <c r="G83" s="117"/>
      <c r="H83" s="140">
        <f>IF(VLOOKUP($E83,武器奇术!$A:$R,18,FALSE)="天工",AE83,(AE83+AT83+BI83+BX83+CM83+DB83+DQ83))*(1+J83)*F83*K83*(1+G83)*(1+$G$21*5%)</f>
        <v>44174.3155693458</v>
      </c>
      <c r="I83" s="104">
        <f t="shared" si="42"/>
        <v>0.0050910880083225</v>
      </c>
      <c r="J83" s="104">
        <f>$F$3+VLOOKUP($E83,武器奇术!$A:$R,12,FALSE)+VLOOKUP($E83,武器奇术!$A:$R,14,FALSE)*$G$3+$P83</f>
        <v>0.623</v>
      </c>
      <c r="K83" s="105">
        <f>VLOOKUP($E83,武器奇术!$A:$R,11,FALSE)</f>
        <v>1</v>
      </c>
      <c r="L83" s="119">
        <f>IF(VLOOKUP($E83,武器奇术!$A:$R,15,FALSE)="天工",0%,IF($C$17+VLOOKUP($E83,武器奇术!$A:$R,7,FALSE)&gt;80%,80%,$C$17+VLOOKUP($E83,武器奇术!$A:$R,7,FALSE))+IF($C$19&gt;20%,20%,$C$19))</f>
        <v>0.8703</v>
      </c>
      <c r="M83" s="120">
        <f>IF(VLOOKUP($E83,武器奇术!$A:$R,15,FALSE)="天工",0%,IF($C$18+VLOOKUP($E83,武器奇术!$A:$R,9,FALSE)&gt;40%,40%,$C$18+VLOOKUP($E83,武器奇术!$A:$R,9,FALSE))+IF($C$20&gt;10%,10%,$C$20))</f>
        <v>0.0986</v>
      </c>
      <c r="N83" s="121">
        <f>IF(VLOOKUP($E83,武器奇术!$A:$R,15,FALSE)="天工",100%,MIN($C$16,1))</f>
        <v>1</v>
      </c>
      <c r="O83" s="122" t="str">
        <f>VLOOKUP($E83,武器奇术!$A:$R,16,FALSE)</f>
        <v>伞</v>
      </c>
      <c r="P83" s="123">
        <f t="shared" si="44"/>
        <v>0.17</v>
      </c>
      <c r="Q83" s="110">
        <f>$B$5*(1+VLOOKUP($E83,武器奇术!$A:$R,5,FALSE))*(1+VLOOKUP($E83,武器奇术!$A:$S,19,FALSE)+IF($G$5="飞隼",0.1,0)+IF($G$5="撼天",0.05,0))-$F$9+IF($J$5="√",160,0)</f>
        <v>3081.85</v>
      </c>
      <c r="R83" s="102">
        <f>IF(VLOOKUP($E83,武器奇术!$A:$Z,18,FALSE)="叶龙",(S83-(Q83+S83)*0.5)*($G$15-0.5)*2+(Q83+S83)*0.5,(Q83+S83)*0.5)</f>
        <v>3161.85</v>
      </c>
      <c r="S83" s="102">
        <f>MAX($C$5,$B$5)*(1+VLOOKUP($E83,武器奇术!$A:$R,6,FALSE))*(1+VLOOKUP($E83,武器奇术!$A:$S,19,FALSE)+IF($G$5="飞隼",0.1,0)+IF($G$5="撼天",0.05,0))-$F$9+IF($J$5="√",320,0)</f>
        <v>3241.85</v>
      </c>
      <c r="T83" s="104">
        <f>IF(($D$5+VLOOKUP($E83,武器奇术!$A:$R,13,FALSE)+IF($I$3="√",10,0)-VLOOKUP($F$7,目标属性!$A:$R,5,FALSE))&gt;0,($D$5+VLOOKUP($E83,武器奇术!$A:$R,13,FALSE)+IF($I$3="√",10,0)-VLOOKUP($F$7,目标属性!$A:$R,5,FALSE))/200,($D$5+VLOOKUP($E83,武器奇术!$A:$R,13,FALSE)+IF($I$3="√",10,0)-VLOOKUP($F$7,目标属性!$A:$R,5,FALSE))/100)</f>
        <v>0.2675</v>
      </c>
      <c r="U83" s="111">
        <f>$E$5+IF($G$5="烟柳",IF(VLOOKUP($E83,武器奇术!$A:$T,20,FALSE)=1,0.1,0),0)</f>
        <v>0.1</v>
      </c>
      <c r="V83" s="102">
        <v>1</v>
      </c>
      <c r="W83" s="103">
        <f>Q83*VLOOKUP($E83,武器奇术!$A:$R,2,FALSE)*(1+T83)*(1+U83)*V83</f>
        <v>7302.52948156875</v>
      </c>
      <c r="X83" s="104">
        <f>(1-IF(VLOOKUP($E83,武器奇术!$A:$R,18,FALSE)="叶龙",1,$N83))*(1-$M83)</f>
        <v>0</v>
      </c>
      <c r="Y83" s="103">
        <f>R83*VLOOKUP($E83,武器奇术!$A:$R,2,FALSE)*(1+T83)*(1+U83)*V83*(1+$E$16+VLOOKUP($E83,武器奇术!$A:$R,8,FALSE))</f>
        <v>12316.998773819</v>
      </c>
      <c r="Z83" s="104">
        <f t="shared" si="33"/>
        <v>0.8703</v>
      </c>
      <c r="AA83" s="103">
        <f>S83*VLOOKUP($E83,武器奇术!$A:$R,2,FALSE)*(1+T83)*(1+U83)*V83*(1+$E$17+VLOOKUP($E83,武器奇术!$A:$R,10,FALSE))</f>
        <v>10370.2328211178</v>
      </c>
      <c r="AB83" s="104">
        <f t="shared" si="34"/>
        <v>0.0986</v>
      </c>
      <c r="AC83" s="103">
        <f>R83*VLOOKUP($E83,武器奇术!$A:$R,2,FALSE)*(1+T83)*(1+U83)*V83</f>
        <v>7492.09171156875</v>
      </c>
      <c r="AD83" s="104">
        <f t="shared" si="35"/>
        <v>0.0311</v>
      </c>
      <c r="AE83" s="112">
        <f t="shared" si="36"/>
        <v>11974.9930412467</v>
      </c>
      <c r="AF83" s="113">
        <f>VLOOKUP($E83,武器奇术!$A:$R,3,FALSE)*(1+IF(VLOOKUP($E83,武器奇术!$A:$R,15,FALSE)="武器",$E$15,0))</f>
        <v>510.9</v>
      </c>
      <c r="AG83" s="103">
        <f t="shared" si="1"/>
        <v>510.9</v>
      </c>
      <c r="AH83" s="103">
        <f>VLOOKUP($E83,武器奇术!$A:$R,3,FALSE)*(1+IF(VLOOKUP($E83,武器奇术!$A:$R,15,FALSE)="武器",$E$15,0))</f>
        <v>510.9</v>
      </c>
      <c r="AI83" s="104">
        <f>IF(($D$5+VLOOKUP($E83,武器奇术!$A:$R,13,FALSE)+IF($I$3="√",10,0)-VLOOKUP($F$7,目标属性!$A:$R,5,FALSE))&gt;0,($D$5+VLOOKUP($E83,武器奇术!$A:$R,13,FALSE)+IF($I$3="√",10,0)-VLOOKUP($F$7,目标属性!$A:$R,5,FALSE))/200,($D$5+VLOOKUP($E83,武器奇术!$A:$R,13,FALSE)+IF($I$3="√",10,0)-VLOOKUP($F$7,目标属性!$A:$R,5,FALSE))/100)</f>
        <v>0.2675</v>
      </c>
      <c r="AJ83" s="111">
        <f>$E$5+IF($G$5="烟柳",IF(VLOOKUP($E83,武器奇术!$A:$T,20,FALSE)=1,0.1,0),0)</f>
        <v>0.1</v>
      </c>
      <c r="AK83" s="102">
        <v>1</v>
      </c>
      <c r="AL83" s="103">
        <f t="shared" si="45"/>
        <v>712.322325</v>
      </c>
      <c r="AM83" s="104">
        <f>(1-IF(VLOOKUP($E83,武器奇术!$A:$R,18,FALSE)="叶龙",1,$N83))*(1-$M83)</f>
        <v>0</v>
      </c>
      <c r="AN83" s="103">
        <f>AG83*(1+AI83)*(1+AJ83)*AK83*(1+$E$16+VLOOKUP($E83,武器奇术!$A:$R,8,FALSE))</f>
        <v>1171.0579023</v>
      </c>
      <c r="AO83" s="104">
        <f t="shared" si="2"/>
        <v>0.8703</v>
      </c>
      <c r="AP83" s="103">
        <f>AH83*(1+AI83)*(1+AJ83)*AK83*(1+$E$17+VLOOKUP($E83,武器奇术!$A:$R,10,FALSE))</f>
        <v>961.63513875</v>
      </c>
      <c r="AQ83" s="104">
        <f t="shared" si="3"/>
        <v>0.0986</v>
      </c>
      <c r="AR83" s="103">
        <f t="shared" si="38"/>
        <v>712.322325</v>
      </c>
      <c r="AS83" s="104">
        <f t="shared" si="4"/>
        <v>0.0311</v>
      </c>
      <c r="AT83" s="112">
        <f t="shared" si="5"/>
        <v>1136.14214135994</v>
      </c>
      <c r="AU83" s="110">
        <f>$B$7*IF($G$5="撼天",1.05,1)+IF(AND(VLOOKUP($E83,武器奇术!$A:$R,15,FALSE)="武器",VLOOKUP($E83,武器奇术!$A:$R,17,FALSE)="鸣金"),$E$3*(1+$E$15),0)</f>
        <v>0</v>
      </c>
      <c r="AV83" s="102">
        <f t="shared" si="6"/>
        <v>0</v>
      </c>
      <c r="AW83" s="102">
        <f>MAX($C$7*IF($G$5="撼天",1.05,1)+IF(AND(VLOOKUP($E83,武器奇术!$A:$R,15,FALSE)="武器",VLOOKUP($E83,武器奇术!$A:$R,17,FALSE)="鸣金"),$E$3*(1+$E$15),0),AU83)</f>
        <v>0</v>
      </c>
      <c r="AX83" s="104">
        <f>IF(($D$7+IF(VLOOKUP($E83,武器奇术!$A:$R,17,FALSE)="鸣金",$D$15,0)-VLOOKUP($F$7,目标属性!$A:$R,6,FALSE))&gt;0,($D$7+IF(VLOOKUP($E83,武器奇术!$A:$R,17,FALSE)="鸣金",$D$15,0)-VLOOKUP($F$7,目标属性!$A:$R,6,FALSE))/200,($D$7+IF(VLOOKUP($E83,武器奇术!$A:$R,17,FALSE)="鸣金",$D$15,0)-VLOOKUP($F$7,目标属性!$A:$R,6,FALSE))/100)</f>
        <v>-0.24</v>
      </c>
      <c r="AY83" s="111">
        <f t="shared" si="7"/>
        <v>0</v>
      </c>
      <c r="AZ83" s="102">
        <v>1</v>
      </c>
      <c r="BA83" s="103">
        <f>AU83*IF(VLOOKUP($E83,武器奇术!$A:$R,17,FALSE)="鸣金",VLOOKUP($E83,武器奇术!$A:$R,4,FALSE),VLOOKUP($E83,武器奇术!$A:$R,2,FALSE))*(1+AX83)*(1+AY83)*AZ83</f>
        <v>0</v>
      </c>
      <c r="BB83" s="104">
        <f>(1-IF(VLOOKUP($E83,武器奇术!$A:$R,18,FALSE)="叶龙",1,$N83))*(1-$M83)</f>
        <v>0</v>
      </c>
      <c r="BC83" s="103">
        <f>AV83*IF(VLOOKUP($E83,武器奇术!$A:$R,17,FALSE)="鸣金",VLOOKUP($E83,武器奇术!$A:$R,4,FALSE),VLOOKUP($E83,武器奇术!$A:$R,2,FALSE))*(1+AX83)*(1+AY83)*AZ83*(1+$E$16+VLOOKUP($E83,武器奇术!$A:$R,8,FALSE))</f>
        <v>0</v>
      </c>
      <c r="BD83" s="104">
        <f t="shared" si="8"/>
        <v>0.8703</v>
      </c>
      <c r="BE83" s="103">
        <f>AW83*IF(VLOOKUP($E83,武器奇术!$A:$R,17,FALSE)="鸣金",VLOOKUP($E83,武器奇术!$A:$R,4,FALSE),VLOOKUP($E83,武器奇术!$A:$R,2,FALSE))*(1+AX83)*(1+AY83)*AZ83*(1+$E$17+VLOOKUP($E83,武器奇术!$A:$R,10,FALSE))</f>
        <v>0</v>
      </c>
      <c r="BF83" s="104">
        <f t="shared" si="9"/>
        <v>0.0986</v>
      </c>
      <c r="BG83" s="103">
        <f>AV83*IF(VLOOKUP($E83,武器奇术!$A:$R,17,FALSE)="鸣金",VLOOKUP($E83,武器奇术!$A:$R,4,FALSE),VLOOKUP($E83,武器奇术!$A:$R,2,FALSE))*(1+AX83)*(1+AY83)*AZ83</f>
        <v>0</v>
      </c>
      <c r="BH83" s="104">
        <f t="shared" si="10"/>
        <v>0.0311</v>
      </c>
      <c r="BI83" s="112">
        <f t="shared" si="11"/>
        <v>0</v>
      </c>
      <c r="BJ83" s="110">
        <f>$B$9*IF($G$5="撼天",1.05,1)+IF(AND(VLOOKUP($E83,武器奇术!$A:$R,15,FALSE)="武器",VLOOKUP($E83,武器奇术!$A:$R,17,FALSE)="裂石"),$E$3*(1+$E$15),0)</f>
        <v>0</v>
      </c>
      <c r="BK83" s="102">
        <f t="shared" si="12"/>
        <v>0</v>
      </c>
      <c r="BL83" s="102">
        <f>MAX($C$9*IF($G$5="撼天",1.05,1)+IF(AND(VLOOKUP($E83,武器奇术!$A:$R,15,FALSE)="武器",VLOOKUP($E83,武器奇术!$A:$R,17,FALSE)="裂石"),$E$3*(1+$E$15),0),BJ83)</f>
        <v>0</v>
      </c>
      <c r="BM83" s="104">
        <f>IF(($D$9+IF(VLOOKUP($E83,武器奇术!$A:$R,17,FALSE)="裂石",$D$15,0)-VLOOKUP($F$7,目标属性!$A:$R,6,FALSE))&gt;0,($D$9+IF(VLOOKUP($E83,武器奇术!$A:$R,17,FALSE)="裂石",$D$15,0)-VLOOKUP($F$7,目标属性!$A:$R,6,FALSE))/200,($D$9+IF(VLOOKUP($E83,武器奇术!$A:$R,17,FALSE)="裂石",$D$15,0)-VLOOKUP($F$7,目标属性!$A:$R,6,FALSE))/100)</f>
        <v>-0.24</v>
      </c>
      <c r="BN83" s="111">
        <f t="shared" si="13"/>
        <v>0</v>
      </c>
      <c r="BO83" s="102">
        <v>1</v>
      </c>
      <c r="BP83" s="103">
        <f>BJ83*IF(VLOOKUP($E83,武器奇术!$A:$R,17,FALSE)="裂石",VLOOKUP($E83,武器奇术!$A:$R,4,FALSE),VLOOKUP($E83,武器奇术!$A:$R,2,FALSE))*(1+BM83)*(1+BN83)*BO83</f>
        <v>0</v>
      </c>
      <c r="BQ83" s="104">
        <f>(1-IF(VLOOKUP($E83,武器奇术!$A:$R,18,FALSE)="叶龙",1,$N83))*(1-$M83)</f>
        <v>0</v>
      </c>
      <c r="BR83" s="103">
        <f>BK83*IF(VLOOKUP($E83,武器奇术!$A:$R,17,FALSE)="裂石",VLOOKUP($E83,武器奇术!$A:$R,4,FALSE),VLOOKUP($E83,武器奇术!$A:$R,2,FALSE))*(1+BM83)*(1+BN83)*BO83*(1+$E$16+VLOOKUP($E83,武器奇术!$A:$R,8,FALSE))</f>
        <v>0</v>
      </c>
      <c r="BS83" s="104">
        <f t="shared" si="14"/>
        <v>0.8703</v>
      </c>
      <c r="BT83" s="103">
        <f>BL83*IF(VLOOKUP($E83,武器奇术!$A:$R,17,FALSE)="裂石",VLOOKUP($E83,武器奇术!$A:$R,4,FALSE),VLOOKUP($E83,武器奇术!$A:$R,2,FALSE))*(1+BM83)*(1+BN83)*BO83*(1+$E$17+VLOOKUP($E83,武器奇术!$A:$R,10,FALSE))</f>
        <v>0</v>
      </c>
      <c r="BU83" s="104">
        <f t="shared" si="15"/>
        <v>0.0986</v>
      </c>
      <c r="BV83" s="103">
        <f>BK83*IF(VLOOKUP($E83,武器奇术!$A:$R,17,FALSE)="裂石",VLOOKUP($E83,武器奇术!$A:$R,4,FALSE),VLOOKUP($E83,武器奇术!$A:$R,2,FALSE))*(1+BM83)*(1+BN83)*BO83</f>
        <v>0</v>
      </c>
      <c r="BW83" s="104">
        <f t="shared" si="16"/>
        <v>0.0311</v>
      </c>
      <c r="BX83" s="112">
        <f t="shared" si="17"/>
        <v>0</v>
      </c>
      <c r="BY83" s="110">
        <f>$B$11*IF($G$5="撼天",1.05,1)+IF(AND(VLOOKUP($E83,武器奇术!$A:$R,15,FALSE)="武器",VLOOKUP($E83,武器奇术!$A:$R,17,FALSE)="牵丝"),$E$3*(1+$E$15),0)</f>
        <v>686.71</v>
      </c>
      <c r="BZ83" s="102">
        <f>IF(VLOOKUP($E83,武器奇术!$A:$Z,18,FALSE)="叶龙",(CA83-(BY83+CA83)*0.5)*($G$15-0.5)*2+(BY83+CA83)*0.5,(BY83+CA83)*0.5)</f>
        <v>1052.21</v>
      </c>
      <c r="CA83" s="102">
        <f>MAX($C$11*IF($G$5="撼天",1.05,1)+IF(AND(VLOOKUP($E83,武器奇术!$A:$R,15,FALSE)="武器",VLOOKUP($E83,武器奇术!$A:$R,17,FALSE)="牵丝"),$E$3*(1+$E$15),0),BY83)</f>
        <v>1417.71</v>
      </c>
      <c r="CB83" s="104">
        <f>IF(($D$11+IF(VLOOKUP($E83,武器奇术!$A:$R,17,FALSE)="牵丝",$D$15,0)-VLOOKUP($F$7,目标属性!$A:$R,6,FALSE))&gt;0,($D$11+IF(VLOOKUP($E83,武器奇术!$A:$R,17,FALSE)="牵丝",$D$15,0)-VLOOKUP($F$7,目标属性!$A:$R,6,FALSE))/200,($D$11+IF(VLOOKUP($E83,武器奇术!$A:$R,17,FALSE)="牵丝",$D$15,0)-VLOOKUP($F$7,目标属性!$A:$R,6,FALSE))/100)</f>
        <v>0.028</v>
      </c>
      <c r="CC83" s="111">
        <f>$E$11+IF($G$5="烟柳",IF(VLOOKUP($E83,武器奇术!$A:$T,20,FALSE)=1,0.1,0),0)</f>
        <v>0.248</v>
      </c>
      <c r="CD83" s="102">
        <v>1</v>
      </c>
      <c r="CE83" s="103">
        <f>BY83*IF(VLOOKUP($E83,武器奇术!$A:$R,17,FALSE)="牵丝",VLOOKUP($E83,武器奇术!$A:$R,4,FALSE),VLOOKUP($E83,武器奇术!$A:$R,2,FALSE))*(1+CB83)*(1+CC83)*CD83</f>
        <v>2245.87190093261</v>
      </c>
      <c r="CF83" s="104">
        <f>(1-IF(VLOOKUP($E83,武器奇术!$A:$R,18,FALSE)="叶龙",1,$N83))*(1-$M83)</f>
        <v>0</v>
      </c>
      <c r="CG83" s="124">
        <f>BZ83*IF(VLOOKUP($E83,武器奇术!$A:$R,17,FALSE)="牵丝",VLOOKUP($E83,武器奇术!$A:$R,4,FALSE),VLOOKUP($E83,武器奇术!$A:$R,2,FALSE))*(1+CB83)*(1+CC83)*CD83*(1+$E$16+VLOOKUP($E83,武器奇术!$A:$R,8,FALSE))</f>
        <v>5657.38647611832</v>
      </c>
      <c r="CH83" s="104">
        <f t="shared" si="18"/>
        <v>0.8703</v>
      </c>
      <c r="CI83" s="103">
        <f>CA83*IF(VLOOKUP($E83,武器奇术!$A:$R,17,FALSE)="牵丝",VLOOKUP($E83,武器奇术!$A:$R,4,FALSE),VLOOKUP($E83,武器奇术!$A:$R,2,FALSE))*(1+CB83)*(1+CC83)*CD83*(1+$E$17+VLOOKUP($E83,武器奇术!$A:$R,10,FALSE))</f>
        <v>6259.4010879499</v>
      </c>
      <c r="CJ83" s="104">
        <f t="shared" si="19"/>
        <v>0.0986</v>
      </c>
      <c r="CK83" s="124">
        <f>BZ83*IF(VLOOKUP($E83,武器奇术!$A:$R,17,FALSE)="牵丝",VLOOKUP($E83,武器奇术!$A:$R,4,FALSE),VLOOKUP($E83,武器奇术!$A:$R,2,FALSE))*(1+CB83)*(1+CC83)*CD83</f>
        <v>3441.23264970701</v>
      </c>
      <c r="CL83" s="104">
        <f t="shared" si="20"/>
        <v>0.0311</v>
      </c>
      <c r="CM83" s="112">
        <f t="shared" si="39"/>
        <v>5647.82273284352</v>
      </c>
      <c r="CN83" s="110">
        <f>$B$13*IF($G$5="撼天",1.05,1)+IF(AND(VLOOKUP($E83,武器奇术!$A:$R,15,FALSE)="武器",VLOOKUP($E83,武器奇术!$A:$R,17,FALSE)="破竹"),$E$3*(1+$E$15),0)</f>
        <v>0</v>
      </c>
      <c r="CO83" s="102">
        <f t="shared" si="21"/>
        <v>0</v>
      </c>
      <c r="CP83" s="102">
        <f>MAX($C$13*IF($G$5="撼天",1.05,1)+IF(AND(VLOOKUP($E83,武器奇术!$A:$R,15,FALSE)="武器",VLOOKUP($E83,武器奇术!$A:$R,17,FALSE)="破竹"),$E$3*(1+$E$15),0),CN83)</f>
        <v>0</v>
      </c>
      <c r="CQ83" s="104">
        <f>IF(($D$13+IF(VLOOKUP($E83,武器奇术!$A:$R,17,FALSE)="破竹",$D$15,0)-VLOOKUP($F$7,目标属性!$A:$R,6,FALSE))&gt;0,($D$13+IF(VLOOKUP($E83,武器奇术!$A:$R,17,FALSE)="破竹",$D$15,0)-VLOOKUP($F$7,目标属性!$A:$R,6,FALSE))/200,($D$13+IF(VLOOKUP($E83,武器奇术!$A:$R,17,FALSE)="破竹",$D$15,0)-VLOOKUP($F$7,目标属性!$A:$R,6,FALSE))/100)</f>
        <v>-0.24</v>
      </c>
      <c r="CR83" s="111">
        <f t="shared" si="22"/>
        <v>0</v>
      </c>
      <c r="CS83" s="102">
        <v>1</v>
      </c>
      <c r="CT83" s="103">
        <f>CN83*IF(VLOOKUP($E83,武器奇术!$A:$R,17,FALSE)="破竹",VLOOKUP($E83,武器奇术!$A:$R,4,FALSE),VLOOKUP($E83,武器奇术!$A:$R,2,FALSE))*(1+CQ83)*(1+CR83)*CS83</f>
        <v>0</v>
      </c>
      <c r="CU83" s="104">
        <f>(1-IF(VLOOKUP($E83,武器奇术!$A:$R,18,FALSE)="叶龙",1,$N83))*(1-$M83)</f>
        <v>0</v>
      </c>
      <c r="CV83" s="103">
        <f>CO83*IF(VLOOKUP($E83,武器奇术!$A:$R,17,FALSE)="破竹",VLOOKUP($E83,武器奇术!$A:$R,4,FALSE),VLOOKUP($E83,武器奇术!$A:$R,2,FALSE))*(1+CQ83)*(1+CR83)*CS83*(1+$E$16+VLOOKUP($E83,武器奇术!$A:$R,8,FALSE))</f>
        <v>0</v>
      </c>
      <c r="CW83" s="104">
        <f t="shared" si="23"/>
        <v>0.8703</v>
      </c>
      <c r="CX83" s="103">
        <f>CP83*IF(VLOOKUP($E83,武器奇术!$A:$R,17,FALSE)="破竹",VLOOKUP($E83,武器奇术!$A:$R,4,FALSE),VLOOKUP($E83,武器奇术!$A:$R,2,FALSE))*(1+CQ83)*(1+CR83)*CS83*(1+$E$17+VLOOKUP($E83,武器奇术!$A:$R,10,FALSE))</f>
        <v>0</v>
      </c>
      <c r="CY83" s="104">
        <f t="shared" si="24"/>
        <v>0.0986</v>
      </c>
      <c r="CZ83" s="103">
        <f>CO83*IF(VLOOKUP($E83,武器奇术!$A:$R,17,FALSE)="破竹",VLOOKUP($E83,武器奇术!$A:$R,4,FALSE),VLOOKUP($E83,武器奇术!$A:$R,2,FALSE))*(1+CQ83)*(1+CR83)*CS83</f>
        <v>0</v>
      </c>
      <c r="DA83" s="104">
        <f t="shared" si="25"/>
        <v>0.0311</v>
      </c>
      <c r="DB83" s="112">
        <f t="shared" si="26"/>
        <v>0</v>
      </c>
      <c r="DC83" s="110">
        <f t="shared" si="40"/>
        <v>66</v>
      </c>
      <c r="DD83" s="102">
        <f t="shared" si="27"/>
        <v>125.8</v>
      </c>
      <c r="DE83" s="102">
        <f t="shared" si="41"/>
        <v>185.6</v>
      </c>
      <c r="DF83" s="104">
        <f>IF((IF(VLOOKUP($E83,武器奇术!$A:$R,17,FALSE)="鸣金",$D$7,0)+IF(VLOOKUP($E83,武器奇术!$A:$R,17,FALSE)="裂石",$D$9,0)+IF(VLOOKUP($E83,武器奇术!$A:$R,17,FALSE)="牵丝",$D$11,0)+IF(VLOOKUP($E83,武器奇术!$A:$R,17,FALSE)="破竹",$D$13,0)+$D$15-VLOOKUP($F$7,目标属性!$A:$R,6,FALSE))&gt;0,(IF(VLOOKUP($E83,武器奇术!$A:$R,17,FALSE)="鸣金",$D$7,0)+IF(VLOOKUP($E83,武器奇术!$A:$R,17,FALSE)="裂石",$D$9,0)+IF(VLOOKUP($E83,武器奇术!$A:$R,17,FALSE)="牵丝",$D$11,0)+IF(VLOOKUP($E83,武器奇术!$A:$R,17,FALSE)="破竹",$D$13,0)+$D$15-VLOOKUP($F$7,目标属性!$A:$R,6,FALSE))/200,(IF(VLOOKUP($E83,武器奇术!$A:$R,17,FALSE)="鸣金",$D$7,0)+IF(VLOOKUP($E83,武器奇术!$A:$R,17,FALSE)="裂石",$D$9,0)+IF(VLOOKUP($E83,武器奇术!$A:$R,17,FALSE)="牵丝",$D$11,0)+IF(VLOOKUP($E83,武器奇术!$A:$R,17,FALSE)="破竹",$D$13,0)+$D$15-VLOOKUP($F$7,目标属性!$A:$R,6,FALSE))/100)</f>
        <v>0.028</v>
      </c>
      <c r="DG83" s="111">
        <f>$E$11+IF($G$5="烟柳",IF(VLOOKUP($E83,武器奇术!$A:$T,20,FALSE)=1,0.1,0),0)</f>
        <v>0.248</v>
      </c>
      <c r="DH83" s="102">
        <v>1</v>
      </c>
      <c r="DI83" s="103">
        <f>DC83*IF(VLOOKUP($E83,武器奇术!$A:$R,17,FALSE)="牵丝",VLOOKUP($E83,武器奇术!$A:$R,4,FALSE),VLOOKUP($E83,武器奇术!$A:$R,2,FALSE))*(1+DF83)*(1+DG83)*DH83</f>
        <v>215.8517357568</v>
      </c>
      <c r="DJ83" s="104">
        <f>(1-IF(VLOOKUP($E83,武器奇术!$A:$R,18,FALSE)="叶龙",1,$N83))*(1-$M83)</f>
        <v>0</v>
      </c>
      <c r="DK83" s="124">
        <f>DD83*IF(VLOOKUP($E83,武器奇术!$A:$R,17,FALSE)="牵丝",VLOOKUP($E83,武器奇术!$A:$R,4,FALSE),VLOOKUP($E83,武器奇术!$A:$R,2,FALSE))*(1+DF83)*(1+DG83)*DH83*(1+$E$16+VLOOKUP($E83,武器奇术!$A:$R,8,FALSE))</f>
        <v>676.385150013481</v>
      </c>
      <c r="DL83" s="104">
        <f t="shared" si="28"/>
        <v>0.8703</v>
      </c>
      <c r="DM83" s="103">
        <f>DE83*IF(VLOOKUP($E83,武器奇术!$A:$R,17,FALSE)="牵丝",VLOOKUP($E83,武器奇术!$A:$R,4,FALSE),VLOOKUP($E83,武器奇术!$A:$R,2,FALSE))*(1+DF83)*(1+DG83)*DH83*(1+$E$17+VLOOKUP($E83,武器奇术!$A:$R,10,FALSE))</f>
        <v>819.451680473088</v>
      </c>
      <c r="DN83" s="104">
        <f t="shared" si="29"/>
        <v>0.0986</v>
      </c>
      <c r="DO83" s="124">
        <f>DD83*IF(VLOOKUP($E83,武器奇术!$A:$R,17,FALSE)="牵丝",VLOOKUP($E83,武器奇术!$A:$R,4,FALSE),VLOOKUP($E83,武器奇术!$A:$R,2,FALSE))*(1+DF83)*(1+DG83)*DH83</f>
        <v>411.42649027584</v>
      </c>
      <c r="DP83" s="104">
        <f t="shared" si="30"/>
        <v>0.0311</v>
      </c>
      <c r="DQ83" s="112">
        <f t="shared" si="31"/>
        <v>682.251295598958</v>
      </c>
    </row>
    <row r="84" spans="1:121">
      <c r="A84" s="37"/>
      <c r="B84" t="s">
        <v>156</v>
      </c>
      <c r="C84">
        <v>0.1</v>
      </c>
      <c r="D84" s="37"/>
      <c r="E84" s="115" t="s">
        <v>174</v>
      </c>
      <c r="F84" s="116">
        <v>1</v>
      </c>
      <c r="G84" s="117"/>
      <c r="H84" s="140">
        <f>IF(VLOOKUP($E84,武器奇术!$A:$R,18,FALSE)="天工",AE84,(AE84+AT84+BI84+BX84+CM84+DB84+DQ84))*(1+J84)*F84*K84*(1+G84)*(1+$G$21*5%)</f>
        <v>12396.3680015501</v>
      </c>
      <c r="I84" s="104">
        <f t="shared" si="42"/>
        <v>0.00142868088992508</v>
      </c>
      <c r="J84" s="104">
        <f>$F$3+VLOOKUP($E84,武器奇术!$A:$R,12,FALSE)+VLOOKUP($E84,武器奇术!$A:$R,14,FALSE)*$G$3+$P84</f>
        <v>0.503</v>
      </c>
      <c r="K84" s="105">
        <f>VLOOKUP($E84,武器奇术!$A:$R,11,FALSE)</f>
        <v>1</v>
      </c>
      <c r="L84" s="119">
        <f>IF(VLOOKUP($E84,武器奇术!$A:$R,15,FALSE)="天工",0%,IF($C$17+VLOOKUP($E84,武器奇术!$A:$R,7,FALSE)&gt;80%,80%,$C$17+VLOOKUP($E84,武器奇术!$A:$R,7,FALSE))+IF($C$19&gt;20%,20%,$C$19))</f>
        <v>0.8703</v>
      </c>
      <c r="M84" s="120">
        <f>IF(VLOOKUP($E84,武器奇术!$A:$R,15,FALSE)="天工",0%,IF($C$18+VLOOKUP($E84,武器奇术!$A:$R,9,FALSE)&gt;40%,40%,$C$18+VLOOKUP($E84,武器奇术!$A:$R,9,FALSE))+IF($C$20&gt;10%,10%,$C$20))</f>
        <v>0.0986</v>
      </c>
      <c r="N84" s="121">
        <f>IF(VLOOKUP($E84,武器奇术!$A:$R,15,FALSE)="天工",100%,MIN($C$16,1))</f>
        <v>1</v>
      </c>
      <c r="O84" s="122" t="str">
        <f>VLOOKUP($E84,武器奇术!$A:$R,16,FALSE)</f>
        <v>伞</v>
      </c>
      <c r="P84" s="123">
        <f t="shared" si="44"/>
        <v>0.17</v>
      </c>
      <c r="Q84" s="110">
        <f>$B$5*(1+VLOOKUP($E84,武器奇术!$A:$R,5,FALSE))*(1+VLOOKUP($E84,武器奇术!$A:$S,19,FALSE)+IF($G$5="飞隼",0.1,0)+IF($G$5="撼天",0.05,0))-$F$9+IF($J$5="√",160,0)</f>
        <v>3324.7</v>
      </c>
      <c r="R84" s="102">
        <f>IF(VLOOKUP($E84,武器奇术!$A:$Z,18,FALSE)="叶龙",(S84-(Q84+S84)*0.5)*($G$15-0.5)*2+(Q84+S84)*0.5,(Q84+S84)*0.5)</f>
        <v>3404.7</v>
      </c>
      <c r="S84" s="102">
        <f>MAX($C$5,$B$5)*(1+VLOOKUP($E84,武器奇术!$A:$R,6,FALSE))*(1+VLOOKUP($E84,武器奇术!$A:$S,19,FALSE)+IF($G$5="飞隼",0.1,0)+IF($G$5="撼天",0.05,0))-$F$9+IF($J$5="√",320,0)</f>
        <v>3484.7</v>
      </c>
      <c r="T84" s="104">
        <f>IF(($D$5+VLOOKUP($E84,武器奇术!$A:$R,13,FALSE)+IF($I$3="√",10,0)-VLOOKUP($F$7,目标属性!$A:$R,5,FALSE))&gt;0,($D$5+VLOOKUP($E84,武器奇术!$A:$R,13,FALSE)+IF($I$3="√",10,0)-VLOOKUP($F$7,目标属性!$A:$R,5,FALSE))/200,($D$5+VLOOKUP($E84,武器奇术!$A:$R,13,FALSE)+IF($I$3="√",10,0)-VLOOKUP($F$7,目标属性!$A:$R,5,FALSE))/100)</f>
        <v>0.2675</v>
      </c>
      <c r="U84" s="111">
        <f>$E$5+IF($G$5="烟柳",IF(VLOOKUP($E84,武器奇术!$A:$T,20,FALSE)=1,0.1,0),0)</f>
        <v>0</v>
      </c>
      <c r="V84" s="102">
        <v>1</v>
      </c>
      <c r="W84" s="103">
        <f>Q84*VLOOKUP($E84,武器奇术!$A:$R,2,FALSE)*(1+T84)*(1+U84)*V84</f>
        <v>2271.37685775</v>
      </c>
      <c r="X84" s="104">
        <f>(1-IF(VLOOKUP($E84,武器奇术!$A:$R,18,FALSE)="叶龙",1,$N84))*(1-$M84)</f>
        <v>0</v>
      </c>
      <c r="Y84" s="103">
        <f>R84*VLOOKUP($E84,武器奇术!$A:$R,2,FALSE)*(1+T84)*(1+U84)*V84*(1+$E$16+VLOOKUP($E84,武器奇术!$A:$R,8,FALSE))</f>
        <v>3823.995716541</v>
      </c>
      <c r="Z84" s="104">
        <f t="shared" si="33"/>
        <v>0.8703</v>
      </c>
      <c r="AA84" s="103">
        <f>S84*VLOOKUP($E84,武器奇术!$A:$R,2,FALSE)*(1+T84)*(1+U84)*V84*(1+$E$17+VLOOKUP($E84,武器奇术!$A:$R,10,FALSE))</f>
        <v>3213.9261779625</v>
      </c>
      <c r="AB84" s="104">
        <f t="shared" si="34"/>
        <v>0.0986</v>
      </c>
      <c r="AC84" s="103">
        <f>R84*VLOOKUP($E84,武器奇术!$A:$R,2,FALSE)*(1+T84)*(1+U84)*V84</f>
        <v>2326.03145775</v>
      </c>
      <c r="AD84" s="104">
        <f t="shared" si="35"/>
        <v>0.0311</v>
      </c>
      <c r="AE84" s="112">
        <f t="shared" si="36"/>
        <v>3717.25617158876</v>
      </c>
      <c r="AF84" s="113">
        <f>VLOOKUP($E84,武器奇术!$A:$R,3,FALSE)*(1+IF(VLOOKUP($E84,武器奇术!$A:$R,15,FALSE)="武器",$E$15,0))</f>
        <v>161.8617</v>
      </c>
      <c r="AG84" s="103">
        <f t="shared" si="1"/>
        <v>161.8617</v>
      </c>
      <c r="AH84" s="103">
        <f>VLOOKUP($E84,武器奇术!$A:$R,3,FALSE)*(1+IF(VLOOKUP($E84,武器奇术!$A:$R,15,FALSE)="武器",$E$15,0))</f>
        <v>161.8617</v>
      </c>
      <c r="AI84" s="104">
        <f>IF(($D$5+VLOOKUP($E84,武器奇术!$A:$R,13,FALSE)+IF($I$3="√",10,0)-VLOOKUP($F$7,目标属性!$A:$R,5,FALSE))&gt;0,($D$5+VLOOKUP($E84,武器奇术!$A:$R,13,FALSE)+IF($I$3="√",10,0)-VLOOKUP($F$7,目标属性!$A:$R,5,FALSE))/200,($D$5+VLOOKUP($E84,武器奇术!$A:$R,13,FALSE)+IF($I$3="√",10,0)-VLOOKUP($F$7,目标属性!$A:$R,5,FALSE))/100)</f>
        <v>0.2675</v>
      </c>
      <c r="AJ84" s="111">
        <f>$E$5+IF($G$5="烟柳",IF(VLOOKUP($E84,武器奇术!$A:$T,20,FALSE)=1,0.1,0),0)</f>
        <v>0</v>
      </c>
      <c r="AK84" s="102">
        <v>1</v>
      </c>
      <c r="AL84" s="103">
        <f t="shared" si="45"/>
        <v>205.15970475</v>
      </c>
      <c r="AM84" s="104">
        <f>(1-IF(VLOOKUP($E84,武器奇术!$A:$R,18,FALSE)="叶龙",1,$N84))*(1-$M84)</f>
        <v>0</v>
      </c>
      <c r="AN84" s="103">
        <f>AG84*(1+AI84)*(1+AJ84)*AK84*(1+$E$16+VLOOKUP($E84,武器奇术!$A:$R,8,FALSE))</f>
        <v>337.282554609</v>
      </c>
      <c r="AO84" s="104">
        <f t="shared" si="2"/>
        <v>0.8703</v>
      </c>
      <c r="AP84" s="103">
        <f>AH84*(1+AI84)*(1+AJ84)*AK84*(1+$E$17+VLOOKUP($E84,武器奇术!$A:$R,10,FALSE))</f>
        <v>276.9656014125</v>
      </c>
      <c r="AQ84" s="104">
        <f t="shared" si="3"/>
        <v>0.0986</v>
      </c>
      <c r="AR84" s="103">
        <f t="shared" si="38"/>
        <v>205.15970475</v>
      </c>
      <c r="AS84" s="104">
        <f t="shared" si="4"/>
        <v>0.0311</v>
      </c>
      <c r="AT84" s="112">
        <f t="shared" si="5"/>
        <v>327.22628239321</v>
      </c>
      <c r="AU84" s="110">
        <f>$B$7*IF($G$5="撼天",1.05,1)+IF(AND(VLOOKUP($E84,武器奇术!$A:$R,15,FALSE)="武器",VLOOKUP($E84,武器奇术!$A:$R,17,FALSE)="鸣金"),$E$3*(1+$E$15),0)</f>
        <v>0</v>
      </c>
      <c r="AV84" s="102">
        <f t="shared" si="6"/>
        <v>0</v>
      </c>
      <c r="AW84" s="102">
        <f>MAX($C$7*IF($G$5="撼天",1.05,1)+IF(AND(VLOOKUP($E84,武器奇术!$A:$R,15,FALSE)="武器",VLOOKUP($E84,武器奇术!$A:$R,17,FALSE)="鸣金"),$E$3*(1+$E$15),0),AU84)</f>
        <v>0</v>
      </c>
      <c r="AX84" s="104">
        <f>IF(($D$7+IF(VLOOKUP($E84,武器奇术!$A:$R,17,FALSE)="鸣金",$D$15,0)-VLOOKUP($F$7,目标属性!$A:$R,6,FALSE))&gt;0,($D$7+IF(VLOOKUP($E84,武器奇术!$A:$R,17,FALSE)="鸣金",$D$15,0)-VLOOKUP($F$7,目标属性!$A:$R,6,FALSE))/200,($D$7+IF(VLOOKUP($E84,武器奇术!$A:$R,17,FALSE)="鸣金",$D$15,0)-VLOOKUP($F$7,目标属性!$A:$R,6,FALSE))/100)</f>
        <v>-0.24</v>
      </c>
      <c r="AY84" s="111">
        <f t="shared" si="7"/>
        <v>0</v>
      </c>
      <c r="AZ84" s="102">
        <v>1</v>
      </c>
      <c r="BA84" s="103">
        <f>AU84*IF(VLOOKUP($E84,武器奇术!$A:$R,17,FALSE)="鸣金",VLOOKUP($E84,武器奇术!$A:$R,4,FALSE),VLOOKUP($E84,武器奇术!$A:$R,2,FALSE))*(1+AX84)*(1+AY84)*AZ84</f>
        <v>0</v>
      </c>
      <c r="BB84" s="104">
        <f>(1-IF(VLOOKUP($E84,武器奇术!$A:$R,18,FALSE)="叶龙",1,$N84))*(1-$M84)</f>
        <v>0</v>
      </c>
      <c r="BC84" s="103">
        <f>AV84*IF(VLOOKUP($E84,武器奇术!$A:$R,17,FALSE)="鸣金",VLOOKUP($E84,武器奇术!$A:$R,4,FALSE),VLOOKUP($E84,武器奇术!$A:$R,2,FALSE))*(1+AX84)*(1+AY84)*AZ84*(1+$E$16+VLOOKUP($E84,武器奇术!$A:$R,8,FALSE))</f>
        <v>0</v>
      </c>
      <c r="BD84" s="104">
        <f t="shared" si="8"/>
        <v>0.8703</v>
      </c>
      <c r="BE84" s="103">
        <f>AW84*IF(VLOOKUP($E84,武器奇术!$A:$R,17,FALSE)="鸣金",VLOOKUP($E84,武器奇术!$A:$R,4,FALSE),VLOOKUP($E84,武器奇术!$A:$R,2,FALSE))*(1+AX84)*(1+AY84)*AZ84*(1+$E$17+VLOOKUP($E84,武器奇术!$A:$R,10,FALSE))</f>
        <v>0</v>
      </c>
      <c r="BF84" s="104">
        <f t="shared" si="9"/>
        <v>0.0986</v>
      </c>
      <c r="BG84" s="103">
        <f>AV84*IF(VLOOKUP($E84,武器奇术!$A:$R,17,FALSE)="鸣金",VLOOKUP($E84,武器奇术!$A:$R,4,FALSE),VLOOKUP($E84,武器奇术!$A:$R,2,FALSE))*(1+AX84)*(1+AY84)*AZ84</f>
        <v>0</v>
      </c>
      <c r="BH84" s="104">
        <f t="shared" si="10"/>
        <v>0.0311</v>
      </c>
      <c r="BI84" s="112">
        <f t="shared" si="11"/>
        <v>0</v>
      </c>
      <c r="BJ84" s="110">
        <f>$B$9*IF($G$5="撼天",1.05,1)+IF(AND(VLOOKUP($E84,武器奇术!$A:$R,15,FALSE)="武器",VLOOKUP($E84,武器奇术!$A:$R,17,FALSE)="裂石"),$E$3*(1+$E$15),0)</f>
        <v>0</v>
      </c>
      <c r="BK84" s="102">
        <f t="shared" si="12"/>
        <v>0</v>
      </c>
      <c r="BL84" s="102">
        <f>MAX($C$9*IF($G$5="撼天",1.05,1)+IF(AND(VLOOKUP($E84,武器奇术!$A:$R,15,FALSE)="武器",VLOOKUP($E84,武器奇术!$A:$R,17,FALSE)="裂石"),$E$3*(1+$E$15),0),BJ84)</f>
        <v>0</v>
      </c>
      <c r="BM84" s="104">
        <f>IF(($D$9+IF(VLOOKUP($E84,武器奇术!$A:$R,17,FALSE)="裂石",$D$15,0)-VLOOKUP($F$7,目标属性!$A:$R,6,FALSE))&gt;0,($D$9+IF(VLOOKUP($E84,武器奇术!$A:$R,17,FALSE)="裂石",$D$15,0)-VLOOKUP($F$7,目标属性!$A:$R,6,FALSE))/200,($D$9+IF(VLOOKUP($E84,武器奇术!$A:$R,17,FALSE)="裂石",$D$15,0)-VLOOKUP($F$7,目标属性!$A:$R,6,FALSE))/100)</f>
        <v>-0.24</v>
      </c>
      <c r="BN84" s="111">
        <f t="shared" si="13"/>
        <v>0</v>
      </c>
      <c r="BO84" s="102">
        <v>1</v>
      </c>
      <c r="BP84" s="103">
        <f>BJ84*IF(VLOOKUP($E84,武器奇术!$A:$R,17,FALSE)="裂石",VLOOKUP($E84,武器奇术!$A:$R,4,FALSE),VLOOKUP($E84,武器奇术!$A:$R,2,FALSE))*(1+BM84)*(1+BN84)*BO84</f>
        <v>0</v>
      </c>
      <c r="BQ84" s="104">
        <f>(1-IF(VLOOKUP($E84,武器奇术!$A:$R,18,FALSE)="叶龙",1,$N84))*(1-$M84)</f>
        <v>0</v>
      </c>
      <c r="BR84" s="103">
        <f>BK84*IF(VLOOKUP($E84,武器奇术!$A:$R,17,FALSE)="裂石",VLOOKUP($E84,武器奇术!$A:$R,4,FALSE),VLOOKUP($E84,武器奇术!$A:$R,2,FALSE))*(1+BM84)*(1+BN84)*BO84*(1+$E$16+VLOOKUP($E84,武器奇术!$A:$R,8,FALSE))</f>
        <v>0</v>
      </c>
      <c r="BS84" s="104">
        <f t="shared" si="14"/>
        <v>0.8703</v>
      </c>
      <c r="BT84" s="103">
        <f>BL84*IF(VLOOKUP($E84,武器奇术!$A:$R,17,FALSE)="裂石",VLOOKUP($E84,武器奇术!$A:$R,4,FALSE),VLOOKUP($E84,武器奇术!$A:$R,2,FALSE))*(1+BM84)*(1+BN84)*BO84*(1+$E$17+VLOOKUP($E84,武器奇术!$A:$R,10,FALSE))</f>
        <v>0</v>
      </c>
      <c r="BU84" s="104">
        <f t="shared" si="15"/>
        <v>0.0986</v>
      </c>
      <c r="BV84" s="103">
        <f>BK84*IF(VLOOKUP($E84,武器奇术!$A:$R,17,FALSE)="裂石",VLOOKUP($E84,武器奇术!$A:$R,4,FALSE),VLOOKUP($E84,武器奇术!$A:$R,2,FALSE))*(1+BM84)*(1+BN84)*BO84</f>
        <v>0</v>
      </c>
      <c r="BW84" s="104">
        <f t="shared" si="16"/>
        <v>0.0311</v>
      </c>
      <c r="BX84" s="112">
        <f t="shared" si="17"/>
        <v>0</v>
      </c>
      <c r="BY84" s="110">
        <f>$B$11*IF($G$5="撼天",1.05,1)+IF(AND(VLOOKUP($E84,武器奇术!$A:$R,15,FALSE)="武器",VLOOKUP($E84,武器奇术!$A:$R,17,FALSE)="牵丝"),$E$3*(1+$E$15),0)</f>
        <v>686.71</v>
      </c>
      <c r="BZ84" s="102">
        <f>IF(VLOOKUP($E84,武器奇术!$A:$Z,18,FALSE)="叶龙",(CA84-(BY84+CA84)*0.5)*($G$15-0.5)*2+(BY84+CA84)*0.5,(BY84+CA84)*0.5)</f>
        <v>1052.21</v>
      </c>
      <c r="CA84" s="102">
        <f>MAX($C$11*IF($G$5="撼天",1.05,1)+IF(AND(VLOOKUP($E84,武器奇术!$A:$R,15,FALSE)="武器",VLOOKUP($E84,武器奇术!$A:$R,17,FALSE)="牵丝"),$E$3*(1+$E$15),0),BY84)</f>
        <v>1417.71</v>
      </c>
      <c r="CB84" s="104">
        <f>IF(($D$11+IF(VLOOKUP($E84,武器奇术!$A:$R,17,FALSE)="牵丝",$D$15,0)-VLOOKUP($F$7,目标属性!$A:$R,6,FALSE))&gt;0,($D$11+IF(VLOOKUP($E84,武器奇术!$A:$R,17,FALSE)="牵丝",$D$15,0)-VLOOKUP($F$7,目标属性!$A:$R,6,FALSE))/200,($D$11+IF(VLOOKUP($E84,武器奇术!$A:$R,17,FALSE)="牵丝",$D$15,0)-VLOOKUP($F$7,目标属性!$A:$R,6,FALSE))/100)</f>
        <v>0.028</v>
      </c>
      <c r="CC84" s="111">
        <f>$E$11+IF($G$5="烟柳",IF(VLOOKUP($E84,武器奇术!$A:$T,20,FALSE)=1,0.1,0),0)</f>
        <v>0.148</v>
      </c>
      <c r="CD84" s="102">
        <v>1</v>
      </c>
      <c r="CE84" s="103">
        <f>BY84*IF(VLOOKUP($E84,武器奇术!$A:$R,17,FALSE)="牵丝",VLOOKUP($E84,武器奇术!$A:$R,4,FALSE),VLOOKUP($E84,武器奇术!$A:$R,2,FALSE))*(1+CB84)*(1+CC84)*CD84</f>
        <v>655.22189082504</v>
      </c>
      <c r="CF84" s="104">
        <f>(1-IF(VLOOKUP($E84,武器奇术!$A:$R,18,FALSE)="叶龙",1,$N84))*(1-$M84)</f>
        <v>0</v>
      </c>
      <c r="CG84" s="124">
        <f>BZ84*IF(VLOOKUP($E84,武器奇术!$A:$R,17,FALSE)="牵丝",VLOOKUP($E84,武器奇术!$A:$R,4,FALSE),VLOOKUP($E84,武器奇术!$A:$R,2,FALSE))*(1+CB84)*(1+CC84)*CD84*(1+$E$16+VLOOKUP($E84,武器奇术!$A:$R,8,FALSE))</f>
        <v>1650.51420006233</v>
      </c>
      <c r="CH84" s="104">
        <f t="shared" si="18"/>
        <v>0.8703</v>
      </c>
      <c r="CI84" s="103">
        <f>CA84*IF(VLOOKUP($E84,武器奇术!$A:$R,17,FALSE)="牵丝",VLOOKUP($E84,武器奇术!$A:$R,4,FALSE),VLOOKUP($E84,武器奇术!$A:$R,2,FALSE))*(1+CB84)*(1+CC84)*CD84*(1+$E$17+VLOOKUP($E84,武器奇术!$A:$R,10,FALSE))</f>
        <v>1826.1489511382</v>
      </c>
      <c r="CJ84" s="104">
        <f t="shared" si="19"/>
        <v>0.0986</v>
      </c>
      <c r="CK84" s="124">
        <f>BZ84*IF(VLOOKUP($E84,武器奇术!$A:$R,17,FALSE)="牵丝",VLOOKUP($E84,武器奇术!$A:$R,4,FALSE),VLOOKUP($E84,武器奇术!$A:$R,2,FALSE))*(1+CB84)*(1+CC84)*CD84</f>
        <v>1003.96240879704</v>
      </c>
      <c r="CL84" s="104">
        <f t="shared" si="20"/>
        <v>0.0311</v>
      </c>
      <c r="CM84" s="112">
        <f t="shared" si="39"/>
        <v>1647.72402581006</v>
      </c>
      <c r="CN84" s="110">
        <f>$B$13*IF($G$5="撼天",1.05,1)+IF(AND(VLOOKUP($E84,武器奇术!$A:$R,15,FALSE)="武器",VLOOKUP($E84,武器奇术!$A:$R,17,FALSE)="破竹"),$E$3*(1+$E$15),0)</f>
        <v>0</v>
      </c>
      <c r="CO84" s="102">
        <f t="shared" si="21"/>
        <v>0</v>
      </c>
      <c r="CP84" s="102">
        <f>MAX($C$13*IF($G$5="撼天",1.05,1)+IF(AND(VLOOKUP($E84,武器奇术!$A:$R,15,FALSE)="武器",VLOOKUP($E84,武器奇术!$A:$R,17,FALSE)="破竹"),$E$3*(1+$E$15),0),CN84)</f>
        <v>0</v>
      </c>
      <c r="CQ84" s="104">
        <f>IF(($D$13+IF(VLOOKUP($E84,武器奇术!$A:$R,17,FALSE)="破竹",$D$15,0)-VLOOKUP($F$7,目标属性!$A:$R,6,FALSE))&gt;0,($D$13+IF(VLOOKUP($E84,武器奇术!$A:$R,17,FALSE)="破竹",$D$15,0)-VLOOKUP($F$7,目标属性!$A:$R,6,FALSE))/200,($D$13+IF(VLOOKUP($E84,武器奇术!$A:$R,17,FALSE)="破竹",$D$15,0)-VLOOKUP($F$7,目标属性!$A:$R,6,FALSE))/100)</f>
        <v>-0.24</v>
      </c>
      <c r="CR84" s="111">
        <f t="shared" si="22"/>
        <v>0</v>
      </c>
      <c r="CS84" s="102">
        <v>1</v>
      </c>
      <c r="CT84" s="103">
        <f>CN84*IF(VLOOKUP($E84,武器奇术!$A:$R,17,FALSE)="破竹",VLOOKUP($E84,武器奇术!$A:$R,4,FALSE),VLOOKUP($E84,武器奇术!$A:$R,2,FALSE))*(1+CQ84)*(1+CR84)*CS84</f>
        <v>0</v>
      </c>
      <c r="CU84" s="104">
        <f>(1-IF(VLOOKUP($E84,武器奇术!$A:$R,18,FALSE)="叶龙",1,$N84))*(1-$M84)</f>
        <v>0</v>
      </c>
      <c r="CV84" s="103">
        <f>CO84*IF(VLOOKUP($E84,武器奇术!$A:$R,17,FALSE)="破竹",VLOOKUP($E84,武器奇术!$A:$R,4,FALSE),VLOOKUP($E84,武器奇术!$A:$R,2,FALSE))*(1+CQ84)*(1+CR84)*CS84*(1+$E$16+VLOOKUP($E84,武器奇术!$A:$R,8,FALSE))</f>
        <v>0</v>
      </c>
      <c r="CW84" s="104">
        <f t="shared" si="23"/>
        <v>0.8703</v>
      </c>
      <c r="CX84" s="103">
        <f>CP84*IF(VLOOKUP($E84,武器奇术!$A:$R,17,FALSE)="破竹",VLOOKUP($E84,武器奇术!$A:$R,4,FALSE),VLOOKUP($E84,武器奇术!$A:$R,2,FALSE))*(1+CQ84)*(1+CR84)*CS84*(1+$E$17+VLOOKUP($E84,武器奇术!$A:$R,10,FALSE))</f>
        <v>0</v>
      </c>
      <c r="CY84" s="104">
        <f t="shared" si="24"/>
        <v>0.0986</v>
      </c>
      <c r="CZ84" s="103">
        <f>CO84*IF(VLOOKUP($E84,武器奇术!$A:$R,17,FALSE)="破竹",VLOOKUP($E84,武器奇术!$A:$R,4,FALSE),VLOOKUP($E84,武器奇术!$A:$R,2,FALSE))*(1+CQ84)*(1+CR84)*CS84</f>
        <v>0</v>
      </c>
      <c r="DA84" s="104">
        <f t="shared" si="25"/>
        <v>0.0311</v>
      </c>
      <c r="DB84" s="112">
        <f t="shared" si="26"/>
        <v>0</v>
      </c>
      <c r="DC84" s="110">
        <f t="shared" si="40"/>
        <v>66</v>
      </c>
      <c r="DD84" s="102">
        <f t="shared" si="27"/>
        <v>125.8</v>
      </c>
      <c r="DE84" s="102">
        <f t="shared" si="41"/>
        <v>185.6</v>
      </c>
      <c r="DF84" s="104">
        <f>IF((IF(VLOOKUP($E84,武器奇术!$A:$R,17,FALSE)="鸣金",$D$7,0)+IF(VLOOKUP($E84,武器奇术!$A:$R,17,FALSE)="裂石",$D$9,0)+IF(VLOOKUP($E84,武器奇术!$A:$R,17,FALSE)="牵丝",$D$11,0)+IF(VLOOKUP($E84,武器奇术!$A:$R,17,FALSE)="破竹",$D$13,0)+$D$15-VLOOKUP($F$7,目标属性!$A:$R,6,FALSE))&gt;0,(IF(VLOOKUP($E84,武器奇术!$A:$R,17,FALSE)="鸣金",$D$7,0)+IF(VLOOKUP($E84,武器奇术!$A:$R,17,FALSE)="裂石",$D$9,0)+IF(VLOOKUP($E84,武器奇术!$A:$R,17,FALSE)="牵丝",$D$11,0)+IF(VLOOKUP($E84,武器奇术!$A:$R,17,FALSE)="破竹",$D$13,0)+$D$15-VLOOKUP($F$7,目标属性!$A:$R,6,FALSE))/200,(IF(VLOOKUP($E84,武器奇术!$A:$R,17,FALSE)="鸣金",$D$7,0)+IF(VLOOKUP($E84,武器奇术!$A:$R,17,FALSE)="裂石",$D$9,0)+IF(VLOOKUP($E84,武器奇术!$A:$R,17,FALSE)="牵丝",$D$11,0)+IF(VLOOKUP($E84,武器奇术!$A:$R,17,FALSE)="破竹",$D$13,0)+$D$15-VLOOKUP($F$7,目标属性!$A:$R,6,FALSE))/100)</f>
        <v>0.028</v>
      </c>
      <c r="DG84" s="111">
        <f>$E$11+IF($G$5="烟柳",IF(VLOOKUP($E84,武器奇术!$A:$T,20,FALSE)=1,0.1,0),0)</f>
        <v>0.148</v>
      </c>
      <c r="DH84" s="102">
        <v>1</v>
      </c>
      <c r="DI84" s="103">
        <f>DC84*IF(VLOOKUP($E84,武器奇术!$A:$R,17,FALSE)="牵丝",VLOOKUP($E84,武器奇术!$A:$R,4,FALSE),VLOOKUP($E84,武器奇术!$A:$R,2,FALSE))*(1+DF84)*(1+DG84)*DH84</f>
        <v>62.973663984</v>
      </c>
      <c r="DJ84" s="104">
        <f>(1-IF(VLOOKUP($E84,武器奇术!$A:$R,18,FALSE)="叶龙",1,$N84))*(1-$M84)</f>
        <v>0</v>
      </c>
      <c r="DK84" s="124">
        <f>DD84*IF(VLOOKUP($E84,武器奇术!$A:$R,17,FALSE)="牵丝",VLOOKUP($E84,武器奇术!$A:$R,4,FALSE),VLOOKUP($E84,武器奇术!$A:$R,2,FALSE))*(1+DF84)*(1+DG84)*DH84*(1+$E$16+VLOOKUP($E84,武器奇术!$A:$R,8,FALSE))</f>
        <v>197.331983508845</v>
      </c>
      <c r="DL84" s="104">
        <f t="shared" si="28"/>
        <v>0.8703</v>
      </c>
      <c r="DM84" s="103">
        <f>DE84*IF(VLOOKUP($E84,武器奇术!$A:$R,17,FALSE)="牵丝",VLOOKUP($E84,武器奇术!$A:$R,4,FALSE),VLOOKUP($E84,武器奇术!$A:$R,2,FALSE))*(1+DF84)*(1+DG84)*DH84*(1+$E$17+VLOOKUP($E84,武器奇术!$A:$R,10,FALSE))</f>
        <v>239.07092799744</v>
      </c>
      <c r="DN84" s="104">
        <f t="shared" si="29"/>
        <v>0.0986</v>
      </c>
      <c r="DO84" s="124">
        <f>DD84*IF(VLOOKUP($E84,武器奇术!$A:$R,17,FALSE)="牵丝",VLOOKUP($E84,武器奇术!$A:$R,4,FALSE),VLOOKUP($E84,武器奇术!$A:$R,2,FALSE))*(1+DF84)*(1+DG84)*DH84</f>
        <v>120.0316201392</v>
      </c>
      <c r="DP84" s="104">
        <f t="shared" si="30"/>
        <v>0.0311</v>
      </c>
      <c r="DQ84" s="112">
        <f t="shared" si="31"/>
        <v>199.043402134624</v>
      </c>
    </row>
    <row r="85" spans="1:121">
      <c r="A85" s="37"/>
      <c r="B85" s="139" t="s">
        <v>175</v>
      </c>
      <c r="C85" s="139">
        <v>1</v>
      </c>
      <c r="D85" s="37"/>
      <c r="E85" s="115" t="s">
        <v>184</v>
      </c>
      <c r="F85" s="116">
        <v>1</v>
      </c>
      <c r="G85" s="117"/>
      <c r="H85" s="140">
        <f>IF(VLOOKUP($E85,武器奇术!$A:$R,18,FALSE)="天工",AE85,(AE85+AT85+BI85+BX85+CM85+DB85+DQ85))*(1+J85)*F85*K85*(1+G85)*(1+$G$21*5%)</f>
        <v>20096.3191950759</v>
      </c>
      <c r="I85" s="104">
        <f t="shared" si="42"/>
        <v>0.00231609994058335</v>
      </c>
      <c r="J85" s="104">
        <f>$F$3+VLOOKUP($E85,武器奇术!$A:$R,12,FALSE)+VLOOKUP($E85,武器奇术!$A:$R,14,FALSE)*$G$3+$P85</f>
        <v>0.417</v>
      </c>
      <c r="K85" s="105">
        <f>VLOOKUP($E85,武器奇术!$A:$R,11,FALSE)</f>
        <v>1</v>
      </c>
      <c r="L85" s="119">
        <f>IF(VLOOKUP($E85,武器奇术!$A:$R,15,FALSE)="天工",0%,IF($C$17+VLOOKUP($E85,武器奇术!$A:$R,7,FALSE)&gt;80%,80%,$C$17+VLOOKUP($E85,武器奇术!$A:$R,7,FALSE))+IF($C$19&gt;20%,20%,$C$19))</f>
        <v>0.8703</v>
      </c>
      <c r="M85" s="120">
        <f>IF(VLOOKUP($E85,武器奇术!$A:$R,15,FALSE)="天工",0%,IF($C$18+VLOOKUP($E85,武器奇术!$A:$R,9,FALSE)&gt;40%,40%,$C$18+VLOOKUP($E85,武器奇术!$A:$R,9,FALSE))+IF($C$20&gt;10%,10%,$C$20))</f>
        <v>0.0986</v>
      </c>
      <c r="N85" s="121">
        <f>IF(VLOOKUP($E85,武器奇术!$A:$R,15,FALSE)="天工",100%,MIN($C$16,1))</f>
        <v>1</v>
      </c>
      <c r="O85" s="122" t="str">
        <f>VLOOKUP($E85,武器奇术!$A:$R,16,FALSE)</f>
        <v>扇</v>
      </c>
      <c r="P85" s="123">
        <f t="shared" si="44"/>
        <v>0.084</v>
      </c>
      <c r="Q85" s="110">
        <f>$B$5*(1+VLOOKUP($E85,武器奇术!$A:$R,5,FALSE))*(1+VLOOKUP($E85,武器奇术!$A:$S,19,FALSE)+IF($G$5="飞隼",0.1,0)+IF($G$5="撼天",0.05,0))-$F$9+IF($J$5="√",160,0)</f>
        <v>3324.7</v>
      </c>
      <c r="R85" s="102">
        <f>IF(VLOOKUP($E85,武器奇术!$A:$Z,18,FALSE)="叶龙",(S85-(Q85+S85)*0.5)*($G$15-0.5)*2+(Q85+S85)*0.5,(Q85+S85)*0.5)</f>
        <v>3404.7</v>
      </c>
      <c r="S85" s="102">
        <f>MAX($C$5,$B$5)*(1+VLOOKUP($E85,武器奇术!$A:$R,6,FALSE))*(1+VLOOKUP($E85,武器奇术!$A:$S,19,FALSE)+IF($G$5="飞隼",0.1,0)+IF($G$5="撼天",0.05,0))-$F$9+IF($J$5="√",320,0)</f>
        <v>3484.7</v>
      </c>
      <c r="T85" s="104">
        <f>IF(($D$5+VLOOKUP($E85,武器奇术!$A:$R,13,FALSE)+IF($I$3="√",10,0)-VLOOKUP($F$7,目标属性!$A:$R,5,FALSE))&gt;0,($D$5+VLOOKUP($E85,武器奇术!$A:$R,13,FALSE)+IF($I$3="√",10,0)-VLOOKUP($F$7,目标属性!$A:$R,5,FALSE))/200,($D$5+VLOOKUP($E85,武器奇术!$A:$R,13,FALSE)+IF($I$3="√",10,0)-VLOOKUP($F$7,目标属性!$A:$R,5,FALSE))/100)</f>
        <v>0.2675</v>
      </c>
      <c r="U85" s="111">
        <f>$E$5+IF($G$5="烟柳",IF(VLOOKUP($E85,武器奇术!$A:$T,20,FALSE)=1,0.1,0),0)</f>
        <v>0</v>
      </c>
      <c r="V85" s="102">
        <v>1</v>
      </c>
      <c r="W85" s="103">
        <f>Q85*VLOOKUP($E85,武器奇术!$A:$R,2,FALSE)*(1+T85)*(1+U85)*V85</f>
        <v>3904.74544785</v>
      </c>
      <c r="X85" s="104">
        <f>(1-IF(VLOOKUP($E85,武器奇术!$A:$R,18,FALSE)="叶龙",1,$N85))*(1-$M85)</f>
        <v>0</v>
      </c>
      <c r="Y85" s="103">
        <f>R85*VLOOKUP($E85,武器奇术!$A:$R,2,FALSE)*(1+T85)*(1+U85)*V85*(1+$E$16+VLOOKUP($E85,武器奇术!$A:$R,8,FALSE))</f>
        <v>6573.8672188254</v>
      </c>
      <c r="Z85" s="104">
        <f t="shared" si="33"/>
        <v>0.8703</v>
      </c>
      <c r="AA85" s="103">
        <f>S85*VLOOKUP($E85,武器奇术!$A:$R,2,FALSE)*(1+T85)*(1+U85)*V85*(1+$E$17+VLOOKUP($E85,武器奇术!$A:$R,10,FALSE))</f>
        <v>5525.0909025975</v>
      </c>
      <c r="AB85" s="104">
        <f t="shared" si="34"/>
        <v>0.0986</v>
      </c>
      <c r="AC85" s="103">
        <f>R85*VLOOKUP($E85,武器奇术!$A:$R,2,FALSE)*(1+T85)*(1+U85)*V85</f>
        <v>3998.70268785</v>
      </c>
      <c r="AD85" s="104">
        <f t="shared" si="35"/>
        <v>0.0311</v>
      </c>
      <c r="AE85" s="112">
        <f t="shared" si="36"/>
        <v>6390.37025713199</v>
      </c>
      <c r="AF85" s="113">
        <f>VLOOKUP($E85,武器奇术!$A:$R,3,FALSE)*(1+IF(VLOOKUP($E85,武器奇术!$A:$R,15,FALSE)="武器",$E$15,0))</f>
        <v>279.5</v>
      </c>
      <c r="AG85" s="103">
        <f t="shared" si="1"/>
        <v>279.5</v>
      </c>
      <c r="AH85" s="103">
        <f>VLOOKUP($E85,武器奇术!$A:$R,3,FALSE)*(1+IF(VLOOKUP($E85,武器奇术!$A:$R,15,FALSE)="武器",$E$15,0))</f>
        <v>279.5</v>
      </c>
      <c r="AI85" s="104">
        <f>IF(($D$5+VLOOKUP($E85,武器奇术!$A:$R,13,FALSE)+IF($I$3="√",10,0)-VLOOKUP($F$7,目标属性!$A:$R,5,FALSE))&gt;0,($D$5+VLOOKUP($E85,武器奇术!$A:$R,13,FALSE)+IF($I$3="√",10,0)-VLOOKUP($F$7,目标属性!$A:$R,5,FALSE))/200,($D$5+VLOOKUP($E85,武器奇术!$A:$R,13,FALSE)+IF($I$3="√",10,0)-VLOOKUP($F$7,目标属性!$A:$R,5,FALSE))/100)</f>
        <v>0.2675</v>
      </c>
      <c r="AJ85" s="111">
        <f>$E$5+IF($G$5="烟柳",IF(VLOOKUP($E85,武器奇术!$A:$T,20,FALSE)=1,0.1,0),0)</f>
        <v>0</v>
      </c>
      <c r="AK85" s="102">
        <v>1</v>
      </c>
      <c r="AL85" s="103">
        <f t="shared" si="45"/>
        <v>354.26625</v>
      </c>
      <c r="AM85" s="104">
        <f>(1-IF(VLOOKUP($E85,武器奇术!$A:$R,18,FALSE)="叶龙",1,$N85))*(1-$M85)</f>
        <v>0</v>
      </c>
      <c r="AN85" s="103">
        <f>AG85*(1+AI85)*(1+AJ85)*AK85*(1+$E$16+VLOOKUP($E85,武器奇术!$A:$R,8,FALSE))</f>
        <v>582.413715</v>
      </c>
      <c r="AO85" s="104">
        <f t="shared" si="2"/>
        <v>0.8703</v>
      </c>
      <c r="AP85" s="103">
        <f>AH85*(1+AI85)*(1+AJ85)*AK85*(1+$E$17+VLOOKUP($E85,武器奇术!$A:$R,10,FALSE))</f>
        <v>478.2594375</v>
      </c>
      <c r="AQ85" s="104">
        <f t="shared" si="3"/>
        <v>0.0986</v>
      </c>
      <c r="AR85" s="103">
        <f t="shared" si="38"/>
        <v>354.26625</v>
      </c>
      <c r="AS85" s="104">
        <f t="shared" si="4"/>
        <v>0.0311</v>
      </c>
      <c r="AT85" s="112">
        <f t="shared" si="5"/>
        <v>565.048717077</v>
      </c>
      <c r="AU85" s="110">
        <f>$B$7*IF($G$5="撼天",1.05,1)+IF(AND(VLOOKUP($E85,武器奇术!$A:$R,15,FALSE)="武器",VLOOKUP($E85,武器奇术!$A:$R,17,FALSE)="鸣金"),$E$3*(1+$E$15),0)</f>
        <v>0</v>
      </c>
      <c r="AV85" s="102">
        <f t="shared" si="6"/>
        <v>0</v>
      </c>
      <c r="AW85" s="102">
        <f>MAX($C$7*IF($G$5="撼天",1.05,1)+IF(AND(VLOOKUP($E85,武器奇术!$A:$R,15,FALSE)="武器",VLOOKUP($E85,武器奇术!$A:$R,17,FALSE)="鸣金"),$E$3*(1+$E$15),0),AU85)</f>
        <v>0</v>
      </c>
      <c r="AX85" s="104">
        <f>IF(($D$7+IF(VLOOKUP($E85,武器奇术!$A:$R,17,FALSE)="鸣金",$D$15,0)-VLOOKUP($F$7,目标属性!$A:$R,6,FALSE))&gt;0,($D$7+IF(VLOOKUP($E85,武器奇术!$A:$R,17,FALSE)="鸣金",$D$15,0)-VLOOKUP($F$7,目标属性!$A:$R,6,FALSE))/200,($D$7+IF(VLOOKUP($E85,武器奇术!$A:$R,17,FALSE)="鸣金",$D$15,0)-VLOOKUP($F$7,目标属性!$A:$R,6,FALSE))/100)</f>
        <v>-0.24</v>
      </c>
      <c r="AY85" s="111">
        <f t="shared" si="7"/>
        <v>0</v>
      </c>
      <c r="AZ85" s="102">
        <v>1</v>
      </c>
      <c r="BA85" s="103">
        <f>AU85*IF(VLOOKUP($E85,武器奇术!$A:$R,17,FALSE)="鸣金",VLOOKUP($E85,武器奇术!$A:$R,4,FALSE),VLOOKUP($E85,武器奇术!$A:$R,2,FALSE))*(1+AX85)*(1+AY85)*AZ85</f>
        <v>0</v>
      </c>
      <c r="BB85" s="104">
        <f>(1-IF(VLOOKUP($E85,武器奇术!$A:$R,18,FALSE)="叶龙",1,$N85))*(1-$M85)</f>
        <v>0</v>
      </c>
      <c r="BC85" s="103">
        <f>AV85*IF(VLOOKUP($E85,武器奇术!$A:$R,17,FALSE)="鸣金",VLOOKUP($E85,武器奇术!$A:$R,4,FALSE),VLOOKUP($E85,武器奇术!$A:$R,2,FALSE))*(1+AX85)*(1+AY85)*AZ85*(1+$E$16+VLOOKUP($E85,武器奇术!$A:$R,8,FALSE))</f>
        <v>0</v>
      </c>
      <c r="BD85" s="104">
        <f t="shared" si="8"/>
        <v>0.8703</v>
      </c>
      <c r="BE85" s="103">
        <f>AW85*IF(VLOOKUP($E85,武器奇术!$A:$R,17,FALSE)="鸣金",VLOOKUP($E85,武器奇术!$A:$R,4,FALSE),VLOOKUP($E85,武器奇术!$A:$R,2,FALSE))*(1+AX85)*(1+AY85)*AZ85*(1+$E$17+VLOOKUP($E85,武器奇术!$A:$R,10,FALSE))</f>
        <v>0</v>
      </c>
      <c r="BF85" s="104">
        <f t="shared" si="9"/>
        <v>0.0986</v>
      </c>
      <c r="BG85" s="103">
        <f>AV85*IF(VLOOKUP($E85,武器奇术!$A:$R,17,FALSE)="鸣金",VLOOKUP($E85,武器奇术!$A:$R,4,FALSE),VLOOKUP($E85,武器奇术!$A:$R,2,FALSE))*(1+AX85)*(1+AY85)*AZ85</f>
        <v>0</v>
      </c>
      <c r="BH85" s="104">
        <f t="shared" si="10"/>
        <v>0.0311</v>
      </c>
      <c r="BI85" s="112">
        <f t="shared" si="11"/>
        <v>0</v>
      </c>
      <c r="BJ85" s="110">
        <f>$B$9*IF($G$5="撼天",1.05,1)+IF(AND(VLOOKUP($E85,武器奇术!$A:$R,15,FALSE)="武器",VLOOKUP($E85,武器奇术!$A:$R,17,FALSE)="裂石"),$E$3*(1+$E$15),0)</f>
        <v>0</v>
      </c>
      <c r="BK85" s="102">
        <f t="shared" si="12"/>
        <v>0</v>
      </c>
      <c r="BL85" s="102">
        <f>MAX($C$9*IF($G$5="撼天",1.05,1)+IF(AND(VLOOKUP($E85,武器奇术!$A:$R,15,FALSE)="武器",VLOOKUP($E85,武器奇术!$A:$R,17,FALSE)="裂石"),$E$3*(1+$E$15),0),BJ85)</f>
        <v>0</v>
      </c>
      <c r="BM85" s="104">
        <f>IF(($D$9+IF(VLOOKUP($E85,武器奇术!$A:$R,17,FALSE)="裂石",$D$15,0)-VLOOKUP($F$7,目标属性!$A:$R,6,FALSE))&gt;0,($D$9+IF(VLOOKUP($E85,武器奇术!$A:$R,17,FALSE)="裂石",$D$15,0)-VLOOKUP($F$7,目标属性!$A:$R,6,FALSE))/200,($D$9+IF(VLOOKUP($E85,武器奇术!$A:$R,17,FALSE)="裂石",$D$15,0)-VLOOKUP($F$7,目标属性!$A:$R,6,FALSE))/100)</f>
        <v>-0.24</v>
      </c>
      <c r="BN85" s="111">
        <f t="shared" si="13"/>
        <v>0</v>
      </c>
      <c r="BO85" s="102">
        <v>1</v>
      </c>
      <c r="BP85" s="103">
        <f>BJ85*IF(VLOOKUP($E85,武器奇术!$A:$R,17,FALSE)="裂石",VLOOKUP($E85,武器奇术!$A:$R,4,FALSE),VLOOKUP($E85,武器奇术!$A:$R,2,FALSE))*(1+BM85)*(1+BN85)*BO85</f>
        <v>0</v>
      </c>
      <c r="BQ85" s="104">
        <f>(1-IF(VLOOKUP($E85,武器奇术!$A:$R,18,FALSE)="叶龙",1,$N85))*(1-$M85)</f>
        <v>0</v>
      </c>
      <c r="BR85" s="103">
        <f>BK85*IF(VLOOKUP($E85,武器奇术!$A:$R,17,FALSE)="裂石",VLOOKUP($E85,武器奇术!$A:$R,4,FALSE),VLOOKUP($E85,武器奇术!$A:$R,2,FALSE))*(1+BM85)*(1+BN85)*BO85*(1+$E$16+VLOOKUP($E85,武器奇术!$A:$R,8,FALSE))</f>
        <v>0</v>
      </c>
      <c r="BS85" s="104">
        <f t="shared" si="14"/>
        <v>0.8703</v>
      </c>
      <c r="BT85" s="103">
        <f>BL85*IF(VLOOKUP($E85,武器奇术!$A:$R,17,FALSE)="裂石",VLOOKUP($E85,武器奇术!$A:$R,4,FALSE),VLOOKUP($E85,武器奇术!$A:$R,2,FALSE))*(1+BM85)*(1+BN85)*BO85*(1+$E$17+VLOOKUP($E85,武器奇术!$A:$R,10,FALSE))</f>
        <v>0</v>
      </c>
      <c r="BU85" s="104">
        <f t="shared" si="15"/>
        <v>0.0986</v>
      </c>
      <c r="BV85" s="103">
        <f>BK85*IF(VLOOKUP($E85,武器奇术!$A:$R,17,FALSE)="裂石",VLOOKUP($E85,武器奇术!$A:$R,4,FALSE),VLOOKUP($E85,武器奇术!$A:$R,2,FALSE))*(1+BM85)*(1+BN85)*BO85</f>
        <v>0</v>
      </c>
      <c r="BW85" s="104">
        <f t="shared" si="16"/>
        <v>0.0311</v>
      </c>
      <c r="BX85" s="112">
        <f t="shared" si="17"/>
        <v>0</v>
      </c>
      <c r="BY85" s="110">
        <f>$B$11*IF($G$5="撼天",1.05,1)+IF(AND(VLOOKUP($E85,武器奇术!$A:$R,15,FALSE)="武器",VLOOKUP($E85,武器奇术!$A:$R,17,FALSE)="牵丝"),$E$3*(1+$E$15),0)</f>
        <v>686.71</v>
      </c>
      <c r="BZ85" s="102">
        <f>IF(VLOOKUP($E85,武器奇术!$A:$Z,18,FALSE)="叶龙",(CA85-(BY85+CA85)*0.5)*($G$15-0.5)*2+(BY85+CA85)*0.5,(BY85+CA85)*0.5)</f>
        <v>1052.21</v>
      </c>
      <c r="CA85" s="102">
        <f>MAX($C$11*IF($G$5="撼天",1.05,1)+IF(AND(VLOOKUP($E85,武器奇术!$A:$R,15,FALSE)="武器",VLOOKUP($E85,武器奇术!$A:$R,17,FALSE)="牵丝"),$E$3*(1+$E$15),0),BY85)</f>
        <v>1417.71</v>
      </c>
      <c r="CB85" s="104">
        <f>IF(($D$11+IF(VLOOKUP($E85,武器奇术!$A:$R,17,FALSE)="牵丝",$D$15,0)-VLOOKUP($F$7,目标属性!$A:$R,6,FALSE))&gt;0,($D$11+IF(VLOOKUP($E85,武器奇术!$A:$R,17,FALSE)="牵丝",$D$15,0)-VLOOKUP($F$7,目标属性!$A:$R,6,FALSE))/200,($D$11+IF(VLOOKUP($E85,武器奇术!$A:$R,17,FALSE)="牵丝",$D$15,0)-VLOOKUP($F$7,目标属性!$A:$R,6,FALSE))/100)</f>
        <v>0.028</v>
      </c>
      <c r="CC85" s="111">
        <f>$E$11+IF($G$5="烟柳",IF(VLOOKUP($E85,武器奇术!$A:$T,20,FALSE)=1,0.1,0),0)</f>
        <v>0.148</v>
      </c>
      <c r="CD85" s="102">
        <v>1</v>
      </c>
      <c r="CE85" s="103">
        <f>BY85*IF(VLOOKUP($E85,武器奇术!$A:$R,17,FALSE)="牵丝",VLOOKUP($E85,武器奇术!$A:$R,4,FALSE),VLOOKUP($E85,武器奇术!$A:$R,2,FALSE))*(1+CB85)*(1+CC85)*CD85</f>
        <v>1126.39815220498</v>
      </c>
      <c r="CF85" s="104">
        <f>(1-IF(VLOOKUP($E85,武器奇术!$A:$R,18,FALSE)="叶龙",1,$N85))*(1-$M85)</f>
        <v>0</v>
      </c>
      <c r="CG85" s="124">
        <f>BZ85*IF(VLOOKUP($E85,武器奇术!$A:$R,17,FALSE)="牵丝",VLOOKUP($E85,武器奇术!$A:$R,4,FALSE),VLOOKUP($E85,武器奇术!$A:$R,2,FALSE))*(1+CB85)*(1+CC85)*CD85*(1+$E$16+VLOOKUP($E85,武器奇术!$A:$R,8,FALSE))</f>
        <v>2837.4145784374</v>
      </c>
      <c r="CH85" s="104">
        <f t="shared" si="18"/>
        <v>0.8703</v>
      </c>
      <c r="CI85" s="103">
        <f>CA85*IF(VLOOKUP($E85,武器奇术!$A:$R,17,FALSE)="牵丝",VLOOKUP($E85,武器奇术!$A:$R,4,FALSE),VLOOKUP($E85,武器奇术!$A:$R,2,FALSE))*(1+CB85)*(1+CC85)*CD85*(1+$E$17+VLOOKUP($E85,武器奇术!$A:$R,10,FALSE))</f>
        <v>3139.34994086208</v>
      </c>
      <c r="CJ85" s="104">
        <f t="shared" si="19"/>
        <v>0.0986</v>
      </c>
      <c r="CK85" s="124">
        <f>BZ85*IF(VLOOKUP($E85,武器奇术!$A:$R,17,FALSE)="牵丝",VLOOKUP($E85,武器奇术!$A:$R,4,FALSE),VLOOKUP($E85,武器奇术!$A:$R,2,FALSE))*(1+CB85)*(1+CC85)*CD85</f>
        <v>1725.92127642178</v>
      </c>
      <c r="CL85" s="104">
        <f t="shared" si="20"/>
        <v>0.0311</v>
      </c>
      <c r="CM85" s="112">
        <f t="shared" si="39"/>
        <v>2832.61796347979</v>
      </c>
      <c r="CN85" s="110">
        <f>$B$13*IF($G$5="撼天",1.05,1)+IF(AND(VLOOKUP($E85,武器奇术!$A:$R,15,FALSE)="武器",VLOOKUP($E85,武器奇术!$A:$R,17,FALSE)="破竹"),$E$3*(1+$E$15),0)</f>
        <v>0</v>
      </c>
      <c r="CO85" s="102">
        <f t="shared" si="21"/>
        <v>0</v>
      </c>
      <c r="CP85" s="102">
        <f>MAX($C$13*IF($G$5="撼天",1.05,1)+IF(AND(VLOOKUP($E85,武器奇术!$A:$R,15,FALSE)="武器",VLOOKUP($E85,武器奇术!$A:$R,17,FALSE)="破竹"),$E$3*(1+$E$15),0),CN85)</f>
        <v>0</v>
      </c>
      <c r="CQ85" s="104">
        <f>IF(($D$13+IF(VLOOKUP($E85,武器奇术!$A:$R,17,FALSE)="破竹",$D$15,0)-VLOOKUP($F$7,目标属性!$A:$R,6,FALSE))&gt;0,($D$13+IF(VLOOKUP($E85,武器奇术!$A:$R,17,FALSE)="破竹",$D$15,0)-VLOOKUP($F$7,目标属性!$A:$R,6,FALSE))/200,($D$13+IF(VLOOKUP($E85,武器奇术!$A:$R,17,FALSE)="破竹",$D$15,0)-VLOOKUP($F$7,目标属性!$A:$R,6,FALSE))/100)</f>
        <v>-0.24</v>
      </c>
      <c r="CR85" s="111">
        <f t="shared" si="22"/>
        <v>0</v>
      </c>
      <c r="CS85" s="102">
        <v>1</v>
      </c>
      <c r="CT85" s="103">
        <f>CN85*IF(VLOOKUP($E85,武器奇术!$A:$R,17,FALSE)="破竹",VLOOKUP($E85,武器奇术!$A:$R,4,FALSE),VLOOKUP($E85,武器奇术!$A:$R,2,FALSE))*(1+CQ85)*(1+CR85)*CS85</f>
        <v>0</v>
      </c>
      <c r="CU85" s="104">
        <f>(1-IF(VLOOKUP($E85,武器奇术!$A:$R,18,FALSE)="叶龙",1,$N85))*(1-$M85)</f>
        <v>0</v>
      </c>
      <c r="CV85" s="103">
        <f>CO85*IF(VLOOKUP($E85,武器奇术!$A:$R,17,FALSE)="破竹",VLOOKUP($E85,武器奇术!$A:$R,4,FALSE),VLOOKUP($E85,武器奇术!$A:$R,2,FALSE))*(1+CQ85)*(1+CR85)*CS85*(1+$E$16+VLOOKUP($E85,武器奇术!$A:$R,8,FALSE))</f>
        <v>0</v>
      </c>
      <c r="CW85" s="104">
        <f t="shared" si="23"/>
        <v>0.8703</v>
      </c>
      <c r="CX85" s="103">
        <f>CP85*IF(VLOOKUP($E85,武器奇术!$A:$R,17,FALSE)="破竹",VLOOKUP($E85,武器奇术!$A:$R,4,FALSE),VLOOKUP($E85,武器奇术!$A:$R,2,FALSE))*(1+CQ85)*(1+CR85)*CS85*(1+$E$17+VLOOKUP($E85,武器奇术!$A:$R,10,FALSE))</f>
        <v>0</v>
      </c>
      <c r="CY85" s="104">
        <f t="shared" si="24"/>
        <v>0.0986</v>
      </c>
      <c r="CZ85" s="103">
        <f>CO85*IF(VLOOKUP($E85,武器奇术!$A:$R,17,FALSE)="破竹",VLOOKUP($E85,武器奇术!$A:$R,4,FALSE),VLOOKUP($E85,武器奇术!$A:$R,2,FALSE))*(1+CQ85)*(1+CR85)*CS85</f>
        <v>0</v>
      </c>
      <c r="DA85" s="104">
        <f t="shared" si="25"/>
        <v>0.0311</v>
      </c>
      <c r="DB85" s="112">
        <f t="shared" si="26"/>
        <v>0</v>
      </c>
      <c r="DC85" s="110">
        <f t="shared" si="40"/>
        <v>66</v>
      </c>
      <c r="DD85" s="102">
        <f t="shared" si="27"/>
        <v>125.8</v>
      </c>
      <c r="DE85" s="102">
        <f t="shared" si="41"/>
        <v>185.6</v>
      </c>
      <c r="DF85" s="104">
        <f>IF((IF(VLOOKUP($E85,武器奇术!$A:$R,17,FALSE)="鸣金",$D$7,0)+IF(VLOOKUP($E85,武器奇术!$A:$R,17,FALSE)="裂石",$D$9,0)+IF(VLOOKUP($E85,武器奇术!$A:$R,17,FALSE)="牵丝",$D$11,0)+IF(VLOOKUP($E85,武器奇术!$A:$R,17,FALSE)="破竹",$D$13,0)+$D$15-VLOOKUP($F$7,目标属性!$A:$R,6,FALSE))&gt;0,(IF(VLOOKUP($E85,武器奇术!$A:$R,17,FALSE)="鸣金",$D$7,0)+IF(VLOOKUP($E85,武器奇术!$A:$R,17,FALSE)="裂石",$D$9,0)+IF(VLOOKUP($E85,武器奇术!$A:$R,17,FALSE)="牵丝",$D$11,0)+IF(VLOOKUP($E85,武器奇术!$A:$R,17,FALSE)="破竹",$D$13,0)+$D$15-VLOOKUP($F$7,目标属性!$A:$R,6,FALSE))/200,(IF(VLOOKUP($E85,武器奇术!$A:$R,17,FALSE)="鸣金",$D$7,0)+IF(VLOOKUP($E85,武器奇术!$A:$R,17,FALSE)="裂石",$D$9,0)+IF(VLOOKUP($E85,武器奇术!$A:$R,17,FALSE)="牵丝",$D$11,0)+IF(VLOOKUP($E85,武器奇术!$A:$R,17,FALSE)="破竹",$D$13,0)+$D$15-VLOOKUP($F$7,目标属性!$A:$R,6,FALSE))/100)</f>
        <v>0.028</v>
      </c>
      <c r="DG85" s="111">
        <f>$E$11+IF($G$5="烟柳",IF(VLOOKUP($E85,武器奇术!$A:$T,20,FALSE)=1,0.1,0),0)</f>
        <v>0.148</v>
      </c>
      <c r="DH85" s="102">
        <v>1</v>
      </c>
      <c r="DI85" s="103">
        <f>DC85*IF(VLOOKUP($E85,武器奇术!$A:$R,17,FALSE)="牵丝",VLOOKUP($E85,武器奇术!$A:$R,4,FALSE),VLOOKUP($E85,武器奇术!$A:$R,2,FALSE))*(1+DF85)*(1+DG85)*DH85</f>
        <v>108.2586216096</v>
      </c>
      <c r="DJ85" s="104">
        <f>(1-IF(VLOOKUP($E85,武器奇术!$A:$R,18,FALSE)="叶龙",1,$N85))*(1-$M85)</f>
        <v>0</v>
      </c>
      <c r="DK85" s="124">
        <f>DD85*IF(VLOOKUP($E85,武器奇术!$A:$R,17,FALSE)="牵丝",VLOOKUP($E85,武器奇术!$A:$R,4,FALSE),VLOOKUP($E85,武器奇术!$A:$R,2,FALSE))*(1+DF85)*(1+DG85)*DH85*(1+$E$16+VLOOKUP($E85,武器奇术!$A:$R,8,FALSE))</f>
        <v>339.235279998693</v>
      </c>
      <c r="DL85" s="104">
        <f t="shared" si="28"/>
        <v>0.8703</v>
      </c>
      <c r="DM85" s="103">
        <f>DE85*IF(VLOOKUP($E85,武器奇术!$A:$R,17,FALSE)="牵丝",VLOOKUP($E85,武器奇术!$A:$R,4,FALSE),VLOOKUP($E85,武器奇术!$A:$R,2,FALSE))*(1+DF85)*(1+DG85)*DH85*(1+$E$17+VLOOKUP($E85,武器奇术!$A:$R,10,FALSE))</f>
        <v>410.989094401536</v>
      </c>
      <c r="DN85" s="104">
        <f t="shared" si="29"/>
        <v>0.0986</v>
      </c>
      <c r="DO85" s="124">
        <f>DD85*IF(VLOOKUP($E85,武器奇术!$A:$R,17,FALSE)="牵丝",VLOOKUP($E85,武器奇术!$A:$R,4,FALSE),VLOOKUP($E85,武器奇术!$A:$R,2,FALSE))*(1+DF85)*(1+DG85)*DH85</f>
        <v>206.34749391648</v>
      </c>
      <c r="DP85" s="104">
        <f t="shared" si="30"/>
        <v>0.0311</v>
      </c>
      <c r="DQ85" s="112">
        <f t="shared" si="31"/>
        <v>342.177395951657</v>
      </c>
    </row>
    <row r="86" spans="1:121">
      <c r="A86" s="37"/>
      <c r="B86" t="s">
        <v>167</v>
      </c>
      <c r="C86">
        <v>1.4</v>
      </c>
      <c r="D86" s="139"/>
      <c r="E86" s="115" t="s">
        <v>185</v>
      </c>
      <c r="F86" s="116">
        <v>1</v>
      </c>
      <c r="G86" s="117"/>
      <c r="H86" s="140">
        <f>IF(VLOOKUP($E86,武器奇术!$A:$R,18,FALSE)="天工",AE86,(AE86+AT86+BI86+BX86+CM86+DB86+DQ86))*(1+J86)*F86*K86*(1+G86)*(1+$G$21*5%)</f>
        <v>55592.4976316463</v>
      </c>
      <c r="I86" s="104">
        <f t="shared" si="42"/>
        <v>0.00640703300995961</v>
      </c>
      <c r="J86" s="104">
        <f>$F$3+VLOOKUP($E86,武器奇术!$A:$R,12,FALSE)+VLOOKUP($E86,武器奇术!$A:$R,14,FALSE)*$G$3+$P86</f>
        <v>0.517</v>
      </c>
      <c r="K86" s="105">
        <f>VLOOKUP($E86,武器奇术!$A:$R,11,FALSE)</f>
        <v>1</v>
      </c>
      <c r="L86" s="119">
        <f>IF(VLOOKUP($E86,武器奇术!$A:$R,15,FALSE)="天工",0%,IF($C$17+VLOOKUP($E86,武器奇术!$A:$R,7,FALSE)&gt;80%,80%,$C$17+VLOOKUP($E86,武器奇术!$A:$R,7,FALSE))+IF($C$19&gt;20%,20%,$C$19))</f>
        <v>0.8703</v>
      </c>
      <c r="M86" s="120">
        <f>IF(VLOOKUP($E86,武器奇术!$A:$R,15,FALSE)="天工",0%,IF($C$18+VLOOKUP($E86,武器奇术!$A:$R,9,FALSE)&gt;40%,40%,$C$18+VLOOKUP($E86,武器奇术!$A:$R,9,FALSE))+IF($C$20&gt;10%,10%,$C$20))</f>
        <v>0.0986</v>
      </c>
      <c r="N86" s="121">
        <f>IF(VLOOKUP($E86,武器奇术!$A:$R,15,FALSE)="天工",100%,MIN($C$16,1))</f>
        <v>1</v>
      </c>
      <c r="O86" s="122" t="str">
        <f>VLOOKUP($E86,武器奇术!$A:$R,16,FALSE)</f>
        <v>扇</v>
      </c>
      <c r="P86" s="123">
        <f t="shared" si="44"/>
        <v>0.084</v>
      </c>
      <c r="Q86" s="110">
        <f>$B$5*(1+VLOOKUP($E86,武器奇术!$A:$R,5,FALSE))*(1+VLOOKUP($E86,武器奇术!$A:$S,19,FALSE)+IF($G$5="飞隼",0.1,0)+IF($G$5="撼天",0.05,0))-$F$9+IF($J$5="√",160,0)</f>
        <v>3324.7</v>
      </c>
      <c r="R86" s="102">
        <f>IF(VLOOKUP($E86,武器奇术!$A:$Z,18,FALSE)="叶龙",(S86-(Q86+S86)*0.5)*($G$15-0.5)*2+(Q86+S86)*0.5,(Q86+S86)*0.5)</f>
        <v>3404.7</v>
      </c>
      <c r="S86" s="102">
        <f>MAX($C$5,$B$5)*(1+VLOOKUP($E86,武器奇术!$A:$R,6,FALSE))*(1+VLOOKUP($E86,武器奇术!$A:$S,19,FALSE)+IF($G$5="飞隼",0.1,0)+IF($G$5="撼天",0.05,0))-$F$9+IF($J$5="√",320,0)</f>
        <v>3484.7</v>
      </c>
      <c r="T86" s="104">
        <f>IF(($D$5+VLOOKUP($E86,武器奇术!$A:$R,13,FALSE)+IF($I$3="√",10,0)-VLOOKUP($F$7,目标属性!$A:$R,5,FALSE))&gt;0,($D$5+VLOOKUP($E86,武器奇术!$A:$R,13,FALSE)+IF($I$3="√",10,0)-VLOOKUP($F$7,目标属性!$A:$R,5,FALSE))/200,($D$5+VLOOKUP($E86,武器奇术!$A:$R,13,FALSE)+IF($I$3="√",10,0)-VLOOKUP($F$7,目标属性!$A:$R,5,FALSE))/100)</f>
        <v>0.2675</v>
      </c>
      <c r="U86" s="111">
        <f>$E$5+IF($G$5="烟柳",IF(VLOOKUP($E86,武器奇术!$A:$T,20,FALSE)=1,0.1,0),0)</f>
        <v>0.1</v>
      </c>
      <c r="V86" s="102">
        <v>1</v>
      </c>
      <c r="W86" s="103">
        <f>Q86*VLOOKUP($E86,武器奇术!$A:$R,2,FALSE)*(1+T86)*(1+U86)*V86</f>
        <v>8386.98951529725</v>
      </c>
      <c r="X86" s="104">
        <f>(1-IF(VLOOKUP($E86,武器奇术!$A:$R,18,FALSE)="叶龙",1,$N86))*(1-$M86)</f>
        <v>0</v>
      </c>
      <c r="Y86" s="103">
        <f>R86*VLOOKUP($E86,武器奇术!$A:$R,2,FALSE)*(1+T86)*(1+U86)*V86*(1+$E$16+VLOOKUP($E86,武器奇术!$A:$R,8,FALSE))</f>
        <v>17211.9551052053</v>
      </c>
      <c r="Z86" s="104">
        <f t="shared" si="33"/>
        <v>0.8703</v>
      </c>
      <c r="AA86" s="103">
        <f>S86*VLOOKUP($E86,武器奇术!$A:$R,2,FALSE)*(1+T86)*(1+U86)*V86*(1+$E$17+VLOOKUP($E86,武器奇术!$A:$R,10,FALSE))</f>
        <v>11867.3240266313</v>
      </c>
      <c r="AB86" s="104">
        <f t="shared" si="34"/>
        <v>0.0986</v>
      </c>
      <c r="AC86" s="103">
        <f>R86*VLOOKUP($E86,武器奇术!$A:$R,2,FALSE)*(1+T86)*(1+U86)*V86</f>
        <v>8588.79995269725</v>
      </c>
      <c r="AD86" s="104">
        <f t="shared" si="35"/>
        <v>0.0311</v>
      </c>
      <c r="AE86" s="112">
        <f t="shared" si="36"/>
        <v>16416.7943556149</v>
      </c>
      <c r="AF86" s="113">
        <f>VLOOKUP($E86,武器奇术!$A:$R,3,FALSE)*(1+IF(VLOOKUP($E86,武器奇术!$A:$R,15,FALSE)="武器",$E$15,0))</f>
        <v>652.21</v>
      </c>
      <c r="AG86" s="103">
        <f t="shared" si="1"/>
        <v>652.21</v>
      </c>
      <c r="AH86" s="103">
        <f>VLOOKUP($E86,武器奇术!$A:$R,3,FALSE)*(1+IF(VLOOKUP($E86,武器奇术!$A:$R,15,FALSE)="武器",$E$15,0))</f>
        <v>652.21</v>
      </c>
      <c r="AI86" s="104">
        <f>IF(($D$5+VLOOKUP($E86,武器奇术!$A:$R,13,FALSE)+IF($I$3="√",10,0)-VLOOKUP($F$7,目标属性!$A:$R,5,FALSE))&gt;0,($D$5+VLOOKUP($E86,武器奇术!$A:$R,13,FALSE)+IF($I$3="√",10,0)-VLOOKUP($F$7,目标属性!$A:$R,5,FALSE))/200,($D$5+VLOOKUP($E86,武器奇术!$A:$R,13,FALSE)+IF($I$3="√",10,0)-VLOOKUP($F$7,目标属性!$A:$R,5,FALSE))/100)</f>
        <v>0.2675</v>
      </c>
      <c r="AJ86" s="111">
        <f>$E$5+IF($G$5="烟柳",IF(VLOOKUP($E86,武器奇术!$A:$T,20,FALSE)=1,0.1,0),0)</f>
        <v>0.1</v>
      </c>
      <c r="AK86" s="102">
        <v>1</v>
      </c>
      <c r="AL86" s="103">
        <f t="shared" si="45"/>
        <v>909.3437925</v>
      </c>
      <c r="AM86" s="104">
        <f>(1-IF(VLOOKUP($E86,武器奇术!$A:$R,18,FALSE)="叶龙",1,$N86))*(1-$M86)</f>
        <v>0</v>
      </c>
      <c r="AN86" s="103">
        <f>AG86*(1+AI86)*(1+AJ86)*AK86*(1+$E$16+VLOOKUP($E86,武器奇术!$A:$R,8,FALSE))</f>
        <v>1822.32496017</v>
      </c>
      <c r="AO86" s="104">
        <f t="shared" si="2"/>
        <v>0.8703</v>
      </c>
      <c r="AP86" s="103">
        <f>AH86*(1+AI86)*(1+AJ86)*AK86*(1+$E$17+VLOOKUP($E86,武器奇术!$A:$R,10,FALSE))</f>
        <v>1227.614119875</v>
      </c>
      <c r="AQ86" s="104">
        <f t="shared" si="3"/>
        <v>0.0986</v>
      </c>
      <c r="AR86" s="103">
        <f t="shared" si="38"/>
        <v>909.3437925</v>
      </c>
      <c r="AS86" s="104">
        <f t="shared" si="4"/>
        <v>0.0311</v>
      </c>
      <c r="AT86" s="112">
        <f t="shared" si="5"/>
        <v>1735.29275700238</v>
      </c>
      <c r="AU86" s="110">
        <f>$B$7*IF($G$5="撼天",1.05,1)+IF(AND(VLOOKUP($E86,武器奇术!$A:$R,15,FALSE)="武器",VLOOKUP($E86,武器奇术!$A:$R,17,FALSE)="鸣金"),$E$3*(1+$E$15),0)</f>
        <v>0</v>
      </c>
      <c r="AV86" s="102">
        <f t="shared" si="6"/>
        <v>0</v>
      </c>
      <c r="AW86" s="102">
        <f>MAX($C$7*IF($G$5="撼天",1.05,1)+IF(AND(VLOOKUP($E86,武器奇术!$A:$R,15,FALSE)="武器",VLOOKUP($E86,武器奇术!$A:$R,17,FALSE)="鸣金"),$E$3*(1+$E$15),0),AU86)</f>
        <v>0</v>
      </c>
      <c r="AX86" s="104">
        <f>IF(($D$7+IF(VLOOKUP($E86,武器奇术!$A:$R,17,FALSE)="鸣金",$D$15,0)-VLOOKUP($F$7,目标属性!$A:$R,6,FALSE))&gt;0,($D$7+IF(VLOOKUP($E86,武器奇术!$A:$R,17,FALSE)="鸣金",$D$15,0)-VLOOKUP($F$7,目标属性!$A:$R,6,FALSE))/200,($D$7+IF(VLOOKUP($E86,武器奇术!$A:$R,17,FALSE)="鸣金",$D$15,0)-VLOOKUP($F$7,目标属性!$A:$R,6,FALSE))/100)</f>
        <v>-0.24</v>
      </c>
      <c r="AY86" s="111">
        <f t="shared" si="7"/>
        <v>0</v>
      </c>
      <c r="AZ86" s="102">
        <v>1</v>
      </c>
      <c r="BA86" s="103">
        <f>AU86*IF(VLOOKUP($E86,武器奇术!$A:$R,17,FALSE)="鸣金",VLOOKUP($E86,武器奇术!$A:$R,4,FALSE),VLOOKUP($E86,武器奇术!$A:$R,2,FALSE))*(1+AX86)*(1+AY86)*AZ86</f>
        <v>0</v>
      </c>
      <c r="BB86" s="104">
        <f>(1-IF(VLOOKUP($E86,武器奇术!$A:$R,18,FALSE)="叶龙",1,$N86))*(1-$M86)</f>
        <v>0</v>
      </c>
      <c r="BC86" s="103">
        <f>AV86*IF(VLOOKUP($E86,武器奇术!$A:$R,17,FALSE)="鸣金",VLOOKUP($E86,武器奇术!$A:$R,4,FALSE),VLOOKUP($E86,武器奇术!$A:$R,2,FALSE))*(1+AX86)*(1+AY86)*AZ86*(1+$E$16+VLOOKUP($E86,武器奇术!$A:$R,8,FALSE))</f>
        <v>0</v>
      </c>
      <c r="BD86" s="104">
        <f t="shared" si="8"/>
        <v>0.8703</v>
      </c>
      <c r="BE86" s="103">
        <f>AW86*IF(VLOOKUP($E86,武器奇术!$A:$R,17,FALSE)="鸣金",VLOOKUP($E86,武器奇术!$A:$R,4,FALSE),VLOOKUP($E86,武器奇术!$A:$R,2,FALSE))*(1+AX86)*(1+AY86)*AZ86*(1+$E$17+VLOOKUP($E86,武器奇术!$A:$R,10,FALSE))</f>
        <v>0</v>
      </c>
      <c r="BF86" s="104">
        <f t="shared" si="9"/>
        <v>0.0986</v>
      </c>
      <c r="BG86" s="103">
        <f>AV86*IF(VLOOKUP($E86,武器奇术!$A:$R,17,FALSE)="鸣金",VLOOKUP($E86,武器奇术!$A:$R,4,FALSE),VLOOKUP($E86,武器奇术!$A:$R,2,FALSE))*(1+AX86)*(1+AY86)*AZ86</f>
        <v>0</v>
      </c>
      <c r="BH86" s="104">
        <f t="shared" si="10"/>
        <v>0.0311</v>
      </c>
      <c r="BI86" s="112">
        <f t="shared" si="11"/>
        <v>0</v>
      </c>
      <c r="BJ86" s="110">
        <f>$B$9*IF($G$5="撼天",1.05,1)+IF(AND(VLOOKUP($E86,武器奇术!$A:$R,15,FALSE)="武器",VLOOKUP($E86,武器奇术!$A:$R,17,FALSE)="裂石"),$E$3*(1+$E$15),0)</f>
        <v>0</v>
      </c>
      <c r="BK86" s="102">
        <f t="shared" si="12"/>
        <v>0</v>
      </c>
      <c r="BL86" s="102">
        <f>MAX($C$9*IF($G$5="撼天",1.05,1)+IF(AND(VLOOKUP($E86,武器奇术!$A:$R,15,FALSE)="武器",VLOOKUP($E86,武器奇术!$A:$R,17,FALSE)="裂石"),$E$3*(1+$E$15),0),BJ86)</f>
        <v>0</v>
      </c>
      <c r="BM86" s="104">
        <f>IF(($D$9+IF(VLOOKUP($E86,武器奇术!$A:$R,17,FALSE)="裂石",$D$15,0)-VLOOKUP($F$7,目标属性!$A:$R,6,FALSE))&gt;0,($D$9+IF(VLOOKUP($E86,武器奇术!$A:$R,17,FALSE)="裂石",$D$15,0)-VLOOKUP($F$7,目标属性!$A:$R,6,FALSE))/200,($D$9+IF(VLOOKUP($E86,武器奇术!$A:$R,17,FALSE)="裂石",$D$15,0)-VLOOKUP($F$7,目标属性!$A:$R,6,FALSE))/100)</f>
        <v>-0.24</v>
      </c>
      <c r="BN86" s="111">
        <f t="shared" si="13"/>
        <v>0</v>
      </c>
      <c r="BO86" s="102">
        <v>1</v>
      </c>
      <c r="BP86" s="103">
        <f>BJ86*IF(VLOOKUP($E86,武器奇术!$A:$R,17,FALSE)="裂石",VLOOKUP($E86,武器奇术!$A:$R,4,FALSE),VLOOKUP($E86,武器奇术!$A:$R,2,FALSE))*(1+BM86)*(1+BN86)*BO86</f>
        <v>0</v>
      </c>
      <c r="BQ86" s="104">
        <f>(1-IF(VLOOKUP($E86,武器奇术!$A:$R,18,FALSE)="叶龙",1,$N86))*(1-$M86)</f>
        <v>0</v>
      </c>
      <c r="BR86" s="103">
        <f>BK86*IF(VLOOKUP($E86,武器奇术!$A:$R,17,FALSE)="裂石",VLOOKUP($E86,武器奇术!$A:$R,4,FALSE),VLOOKUP($E86,武器奇术!$A:$R,2,FALSE))*(1+BM86)*(1+BN86)*BO86*(1+$E$16+VLOOKUP($E86,武器奇术!$A:$R,8,FALSE))</f>
        <v>0</v>
      </c>
      <c r="BS86" s="104">
        <f t="shared" si="14"/>
        <v>0.8703</v>
      </c>
      <c r="BT86" s="103">
        <f>BL86*IF(VLOOKUP($E86,武器奇术!$A:$R,17,FALSE)="裂石",VLOOKUP($E86,武器奇术!$A:$R,4,FALSE),VLOOKUP($E86,武器奇术!$A:$R,2,FALSE))*(1+BM86)*(1+BN86)*BO86*(1+$E$17+VLOOKUP($E86,武器奇术!$A:$R,10,FALSE))</f>
        <v>0</v>
      </c>
      <c r="BU86" s="104">
        <f t="shared" si="15"/>
        <v>0.0986</v>
      </c>
      <c r="BV86" s="103">
        <f>BK86*IF(VLOOKUP($E86,武器奇术!$A:$R,17,FALSE)="裂石",VLOOKUP($E86,武器奇术!$A:$R,4,FALSE),VLOOKUP($E86,武器奇术!$A:$R,2,FALSE))*(1+BM86)*(1+BN86)*BO86</f>
        <v>0</v>
      </c>
      <c r="BW86" s="104">
        <f t="shared" si="16"/>
        <v>0.0311</v>
      </c>
      <c r="BX86" s="112">
        <f t="shared" si="17"/>
        <v>0</v>
      </c>
      <c r="BY86" s="110">
        <f>$B$11*IF($G$5="撼天",1.05,1)+IF(AND(VLOOKUP($E86,武器奇术!$A:$R,15,FALSE)="武器",VLOOKUP($E86,武器奇术!$A:$R,17,FALSE)="牵丝"),$E$3*(1+$E$15),0)</f>
        <v>686.71</v>
      </c>
      <c r="BZ86" s="102">
        <f>IF(VLOOKUP($E86,武器奇术!$A:$Z,18,FALSE)="叶龙",(CA86-(BY86+CA86)*0.5)*($G$15-0.5)*2+(BY86+CA86)*0.5,(BY86+CA86)*0.5)</f>
        <v>1052.21</v>
      </c>
      <c r="CA86" s="102">
        <f>MAX($C$11*IF($G$5="撼天",1.05,1)+IF(AND(VLOOKUP($E86,武器奇术!$A:$R,15,FALSE)="武器",VLOOKUP($E86,武器奇术!$A:$R,17,FALSE)="牵丝"),$E$3*(1+$E$15),0),BY86)</f>
        <v>1417.71</v>
      </c>
      <c r="CB86" s="104">
        <f>IF(($D$11+IF(VLOOKUP($E86,武器奇术!$A:$R,17,FALSE)="牵丝",$D$15,0)-VLOOKUP($F$7,目标属性!$A:$R,6,FALSE))&gt;0,($D$11+IF(VLOOKUP($E86,武器奇术!$A:$R,17,FALSE)="牵丝",$D$15,0)-VLOOKUP($F$7,目标属性!$A:$R,6,FALSE))/200,($D$11+IF(VLOOKUP($E86,武器奇术!$A:$R,17,FALSE)="牵丝",$D$15,0)-VLOOKUP($F$7,目标属性!$A:$R,6,FALSE))/100)</f>
        <v>0.028</v>
      </c>
      <c r="CC86" s="111">
        <f>$E$11+IF($G$5="烟柳",IF(VLOOKUP($E86,武器奇术!$A:$T,20,FALSE)=1,0.1,0),0)</f>
        <v>0.248</v>
      </c>
      <c r="CD86" s="102">
        <v>1</v>
      </c>
      <c r="CE86" s="103">
        <f>BY86*IF(VLOOKUP($E86,武器奇术!$A:$R,17,FALSE)="牵丝",VLOOKUP($E86,武器奇术!$A:$R,4,FALSE),VLOOKUP($E86,武器奇术!$A:$R,2,FALSE))*(1+CB86)*(1+CC86)*CD86</f>
        <v>2390.903845202</v>
      </c>
      <c r="CF86" s="104">
        <f>(1-IF(VLOOKUP($E86,武器奇术!$A:$R,18,FALSE)="叶龙",1,$N86))*(1-$M86)</f>
        <v>0</v>
      </c>
      <c r="CG86" s="124">
        <f>BZ86*IF(VLOOKUP($E86,武器奇术!$A:$R,17,FALSE)="牵丝",VLOOKUP($E86,武器奇术!$A:$R,4,FALSE),VLOOKUP($E86,武器奇术!$A:$R,2,FALSE))*(1+CB86)*(1+CC86)*CD86*(1+$E$16+VLOOKUP($E86,武器奇术!$A:$R,8,FALSE))</f>
        <v>7341.56893253313</v>
      </c>
      <c r="CH86" s="104">
        <f t="shared" si="18"/>
        <v>0.8703</v>
      </c>
      <c r="CI86" s="103">
        <f>CA86*IF(VLOOKUP($E86,武器奇术!$A:$R,17,FALSE)="牵丝",VLOOKUP($E86,武器奇术!$A:$R,4,FALSE),VLOOKUP($E86,武器奇术!$A:$R,2,FALSE))*(1+CB86)*(1+CC86)*CD86*(1+$E$17+VLOOKUP($E86,武器奇术!$A:$R,10,FALSE))</f>
        <v>6663.61519712074</v>
      </c>
      <c r="CJ86" s="104">
        <f t="shared" si="19"/>
        <v>0.0986</v>
      </c>
      <c r="CK86" s="124">
        <f>BZ86*IF(VLOOKUP($E86,武器奇术!$A:$R,17,FALSE)="牵丝",VLOOKUP($E86,武器奇术!$A:$R,4,FALSE),VLOOKUP($E86,武器奇术!$A:$R,2,FALSE))*(1+CB86)*(1+CC86)*CD86</f>
        <v>3663.45755116424</v>
      </c>
      <c r="CL86" s="104">
        <f t="shared" si="20"/>
        <v>0.0311</v>
      </c>
      <c r="CM86" s="112">
        <f t="shared" si="39"/>
        <v>7160.3334302609</v>
      </c>
      <c r="CN86" s="110">
        <f>$B$13*IF($G$5="撼天",1.05,1)+IF(AND(VLOOKUP($E86,武器奇术!$A:$R,15,FALSE)="武器",VLOOKUP($E86,武器奇术!$A:$R,17,FALSE)="破竹"),$E$3*(1+$E$15),0)</f>
        <v>0</v>
      </c>
      <c r="CO86" s="102">
        <f t="shared" si="21"/>
        <v>0</v>
      </c>
      <c r="CP86" s="102">
        <f>MAX($C$13*IF($G$5="撼天",1.05,1)+IF(AND(VLOOKUP($E86,武器奇术!$A:$R,15,FALSE)="武器",VLOOKUP($E86,武器奇术!$A:$R,17,FALSE)="破竹"),$E$3*(1+$E$15),0),CN86)</f>
        <v>0</v>
      </c>
      <c r="CQ86" s="104">
        <f>IF(($D$13+IF(VLOOKUP($E86,武器奇术!$A:$R,17,FALSE)="破竹",$D$15,0)-VLOOKUP($F$7,目标属性!$A:$R,6,FALSE))&gt;0,($D$13+IF(VLOOKUP($E86,武器奇术!$A:$R,17,FALSE)="破竹",$D$15,0)-VLOOKUP($F$7,目标属性!$A:$R,6,FALSE))/200,($D$13+IF(VLOOKUP($E86,武器奇术!$A:$R,17,FALSE)="破竹",$D$15,0)-VLOOKUP($F$7,目标属性!$A:$R,6,FALSE))/100)</f>
        <v>-0.24</v>
      </c>
      <c r="CR86" s="111">
        <f t="shared" si="22"/>
        <v>0</v>
      </c>
      <c r="CS86" s="102">
        <v>1</v>
      </c>
      <c r="CT86" s="103">
        <f>CN86*IF(VLOOKUP($E86,武器奇术!$A:$R,17,FALSE)="破竹",VLOOKUP($E86,武器奇术!$A:$R,4,FALSE),VLOOKUP($E86,武器奇术!$A:$R,2,FALSE))*(1+CQ86)*(1+CR86)*CS86</f>
        <v>0</v>
      </c>
      <c r="CU86" s="104">
        <f>(1-IF(VLOOKUP($E86,武器奇术!$A:$R,18,FALSE)="叶龙",1,$N86))*(1-$M86)</f>
        <v>0</v>
      </c>
      <c r="CV86" s="103">
        <f>CO86*IF(VLOOKUP($E86,武器奇术!$A:$R,17,FALSE)="破竹",VLOOKUP($E86,武器奇术!$A:$R,4,FALSE),VLOOKUP($E86,武器奇术!$A:$R,2,FALSE))*(1+CQ86)*(1+CR86)*CS86*(1+$E$16+VLOOKUP($E86,武器奇术!$A:$R,8,FALSE))</f>
        <v>0</v>
      </c>
      <c r="CW86" s="104">
        <f t="shared" si="23"/>
        <v>0.8703</v>
      </c>
      <c r="CX86" s="103">
        <f>CP86*IF(VLOOKUP($E86,武器奇术!$A:$R,17,FALSE)="破竹",VLOOKUP($E86,武器奇术!$A:$R,4,FALSE),VLOOKUP($E86,武器奇术!$A:$R,2,FALSE))*(1+CQ86)*(1+CR86)*CS86*(1+$E$17+VLOOKUP($E86,武器奇术!$A:$R,10,FALSE))</f>
        <v>0</v>
      </c>
      <c r="CY86" s="104">
        <f t="shared" si="24"/>
        <v>0.0986</v>
      </c>
      <c r="CZ86" s="103">
        <f>CO86*IF(VLOOKUP($E86,武器奇术!$A:$R,17,FALSE)="破竹",VLOOKUP($E86,武器奇术!$A:$R,4,FALSE),VLOOKUP($E86,武器奇术!$A:$R,2,FALSE))*(1+CQ86)*(1+CR86)*CS86</f>
        <v>0</v>
      </c>
      <c r="DA86" s="104">
        <f t="shared" si="25"/>
        <v>0.0311</v>
      </c>
      <c r="DB86" s="112">
        <f t="shared" si="26"/>
        <v>0</v>
      </c>
      <c r="DC86" s="110">
        <f t="shared" si="40"/>
        <v>66</v>
      </c>
      <c r="DD86" s="102">
        <f t="shared" si="27"/>
        <v>125.8</v>
      </c>
      <c r="DE86" s="102">
        <f t="shared" si="41"/>
        <v>185.6</v>
      </c>
      <c r="DF86" s="104">
        <f>IF((IF(VLOOKUP($E86,武器奇术!$A:$R,17,FALSE)="鸣金",$D$7,0)+IF(VLOOKUP($E86,武器奇术!$A:$R,17,FALSE)="裂石",$D$9,0)+IF(VLOOKUP($E86,武器奇术!$A:$R,17,FALSE)="牵丝",$D$11,0)+IF(VLOOKUP($E86,武器奇术!$A:$R,17,FALSE)="破竹",$D$13,0)+$D$15-VLOOKUP($F$7,目标属性!$A:$R,6,FALSE))&gt;0,(IF(VLOOKUP($E86,武器奇术!$A:$R,17,FALSE)="鸣金",$D$7,0)+IF(VLOOKUP($E86,武器奇术!$A:$R,17,FALSE)="裂石",$D$9,0)+IF(VLOOKUP($E86,武器奇术!$A:$R,17,FALSE)="牵丝",$D$11,0)+IF(VLOOKUP($E86,武器奇术!$A:$R,17,FALSE)="破竹",$D$13,0)+$D$15-VLOOKUP($F$7,目标属性!$A:$R,6,FALSE))/200,(IF(VLOOKUP($E86,武器奇术!$A:$R,17,FALSE)="鸣金",$D$7,0)+IF(VLOOKUP($E86,武器奇术!$A:$R,17,FALSE)="裂石",$D$9,0)+IF(VLOOKUP($E86,武器奇术!$A:$R,17,FALSE)="牵丝",$D$11,0)+IF(VLOOKUP($E86,武器奇术!$A:$R,17,FALSE)="破竹",$D$13,0)+$D$15-VLOOKUP($F$7,目标属性!$A:$R,6,FALSE))/100)</f>
        <v>0.028</v>
      </c>
      <c r="DG86" s="111">
        <f>$E$11+IF($G$5="烟柳",IF(VLOOKUP($E86,武器奇术!$A:$T,20,FALSE)=1,0.1,0),0)</f>
        <v>0.248</v>
      </c>
      <c r="DH86" s="102">
        <v>1</v>
      </c>
      <c r="DI86" s="103">
        <f>DC86*IF(VLOOKUP($E86,武器奇术!$A:$R,17,FALSE)="牵丝",VLOOKUP($E86,武器奇术!$A:$R,4,FALSE),VLOOKUP($E86,武器奇术!$A:$R,2,FALSE))*(1+DF86)*(1+DG86)*DH86</f>
        <v>229.79081968128</v>
      </c>
      <c r="DJ86" s="104">
        <f>(1-IF(VLOOKUP($E86,武器奇术!$A:$R,18,FALSE)="叶龙",1,$N86))*(1-$M86)</f>
        <v>0</v>
      </c>
      <c r="DK86" s="124">
        <f>DD86*IF(VLOOKUP($E86,武器奇术!$A:$R,17,FALSE)="牵丝",VLOOKUP($E86,武器奇术!$A:$R,4,FALSE),VLOOKUP($E86,武器奇术!$A:$R,2,FALSE))*(1+DF86)*(1+DG86)*DH86*(1+$E$16+VLOOKUP($E86,武器奇术!$A:$R,8,FALSE))</f>
        <v>877.742438973843</v>
      </c>
      <c r="DL86" s="104">
        <f t="shared" si="28"/>
        <v>0.8703</v>
      </c>
      <c r="DM86" s="103">
        <f>DE86*IF(VLOOKUP($E86,武器奇术!$A:$R,17,FALSE)="牵丝",VLOOKUP($E86,武器奇术!$A:$R,4,FALSE),VLOOKUP($E86,武器奇术!$A:$R,2,FALSE))*(1+DF86)*(1+DG86)*DH86*(1+$E$17+VLOOKUP($E86,武器奇术!$A:$R,10,FALSE))</f>
        <v>872.369511808205</v>
      </c>
      <c r="DN86" s="104">
        <f t="shared" si="29"/>
        <v>0.0986</v>
      </c>
      <c r="DO86" s="124">
        <f>DD86*IF(VLOOKUP($E86,武器奇术!$A:$R,17,FALSE)="牵丝",VLOOKUP($E86,武器奇术!$A:$R,4,FALSE),VLOOKUP($E86,武器奇术!$A:$R,2,FALSE))*(1+DF86)*(1+DG86)*DH86</f>
        <v>437.995229028864</v>
      </c>
      <c r="DP86" s="104">
        <f t="shared" si="30"/>
        <v>0.0311</v>
      </c>
      <c r="DQ86" s="112">
        <f t="shared" si="31"/>
        <v>863.536530126023</v>
      </c>
    </row>
    <row r="87" spans="1:121">
      <c r="A87" s="37"/>
      <c r="B87" s="139" t="s">
        <v>176</v>
      </c>
      <c r="C87" s="139">
        <v>2.5</v>
      </c>
      <c r="D87" s="139"/>
      <c r="E87" s="115" t="s">
        <v>186</v>
      </c>
      <c r="F87" s="116">
        <v>1</v>
      </c>
      <c r="G87" s="117"/>
      <c r="H87" s="140">
        <f>IF(VLOOKUP($E87,武器奇术!$A:$R,18,FALSE)="天工",AE87,(AE87+AT87+BI87+BX87+CM87+DB87+DQ87))*(1+J87)*F87*K87*(1+G87)*(1+$G$21*5%)</f>
        <v>103246.803717359</v>
      </c>
      <c r="I87" s="104">
        <f t="shared" si="42"/>
        <v>0.011899189778683</v>
      </c>
      <c r="J87" s="104">
        <f>$F$3+VLOOKUP($E87,武器奇术!$A:$R,12,FALSE)+VLOOKUP($E87,武器奇术!$A:$R,14,FALSE)*$G$3+$P87</f>
        <v>0.907</v>
      </c>
      <c r="K87" s="105">
        <f>VLOOKUP($E87,武器奇术!$A:$R,11,FALSE)</f>
        <v>1</v>
      </c>
      <c r="L87" s="119">
        <f>IF(VLOOKUP($E87,武器奇术!$A:$R,15,FALSE)="天工",0%,IF($C$17+VLOOKUP($E87,武器奇术!$A:$R,7,FALSE)&gt;80%,80%,$C$17+VLOOKUP($E87,武器奇术!$A:$R,7,FALSE))+IF($C$19&gt;20%,20%,$C$19))</f>
        <v>0.8703</v>
      </c>
      <c r="M87" s="120">
        <f>IF(VLOOKUP($E87,武器奇术!$A:$R,15,FALSE)="天工",0%,IF($C$18+VLOOKUP($E87,武器奇术!$A:$R,9,FALSE)&gt;40%,40%,$C$18+VLOOKUP($E87,武器奇术!$A:$R,9,FALSE))+IF($C$20&gt;10%,10%,$C$20))</f>
        <v>0.0986</v>
      </c>
      <c r="N87" s="121">
        <f>IF(VLOOKUP($E87,武器奇术!$A:$R,15,FALSE)="天工",100%,MIN($C$16,1))</f>
        <v>1</v>
      </c>
      <c r="O87" s="122" t="str">
        <f>VLOOKUP($E87,武器奇术!$A:$R,16,FALSE)</f>
        <v>扇</v>
      </c>
      <c r="P87" s="123">
        <f t="shared" si="44"/>
        <v>0.084</v>
      </c>
      <c r="Q87" s="110">
        <f>$B$5*(1+VLOOKUP($E87,武器奇术!$A:$R,5,FALSE))*(1+VLOOKUP($E87,武器奇术!$A:$S,19,FALSE)+IF($G$5="飞隼",0.1,0)+IF($G$5="撼天",0.05,0))-$F$9+IF($J$5="√",160,0)</f>
        <v>3081.85</v>
      </c>
      <c r="R87" s="102">
        <f>IF(VLOOKUP($E87,武器奇术!$A:$Z,18,FALSE)="叶龙",(S87-(Q87+S87)*0.5)*($G$15-0.5)*2+(Q87+S87)*0.5,(Q87+S87)*0.5)</f>
        <v>3161.85</v>
      </c>
      <c r="S87" s="102">
        <f>MAX($C$5,$B$5)*(1+VLOOKUP($E87,武器奇术!$A:$R,6,FALSE))*(1+VLOOKUP($E87,武器奇术!$A:$S,19,FALSE)+IF($G$5="飞隼",0.1,0)+IF($G$5="撼天",0.05,0))-$F$9+IF($J$5="√",320,0)</f>
        <v>3241.85</v>
      </c>
      <c r="T87" s="104">
        <f>IF(($D$5+VLOOKUP($E87,武器奇术!$A:$R,13,FALSE)+IF($I$3="√",10,0)-VLOOKUP($F$7,目标属性!$A:$R,5,FALSE))&gt;0,($D$5+VLOOKUP($E87,武器奇术!$A:$R,13,FALSE)+IF($I$3="√",10,0)-VLOOKUP($F$7,目标属性!$A:$R,5,FALSE))/200,($D$5+VLOOKUP($E87,武器奇术!$A:$R,13,FALSE)+IF($I$3="√",10,0)-VLOOKUP($F$7,目标属性!$A:$R,5,FALSE))/100)</f>
        <v>0.2925</v>
      </c>
      <c r="U87" s="111">
        <f>$E$5+IF($G$5="烟柳",IF(VLOOKUP($E87,武器奇术!$A:$T,20,FALSE)=1,0.1,0),0)</f>
        <v>0.1</v>
      </c>
      <c r="V87" s="102">
        <v>1</v>
      </c>
      <c r="W87" s="103">
        <f>Q87*VLOOKUP($E87,武器奇术!$A:$R,2,FALSE)*(1+T87)*(1+U87)*V87</f>
        <v>12099.3184914278</v>
      </c>
      <c r="X87" s="104">
        <f>(1-IF(VLOOKUP($E87,武器奇术!$A:$R,18,FALSE)="叶龙",1,$N87))*(1-$M87)</f>
        <v>0</v>
      </c>
      <c r="Y87" s="103">
        <f>R87*VLOOKUP($E87,武器奇术!$A:$R,2,FALSE)*(1+T87)*(1+U87)*V87*(1+$E$16+VLOOKUP($E87,武器奇术!$A:$R,8,FALSE))</f>
        <v>24876.449296666</v>
      </c>
      <c r="Z87" s="104">
        <f t="shared" si="33"/>
        <v>0.8703</v>
      </c>
      <c r="AA87" s="103">
        <f>S87*VLOOKUP($E87,武器奇术!$A:$R,2,FALSE)*(1+T87)*(1+U87)*V87*(1+$E$17+VLOOKUP($E87,武器奇术!$A:$R,10,FALSE))</f>
        <v>17182.0942386675</v>
      </c>
      <c r="AB87" s="104">
        <f t="shared" si="34"/>
        <v>0.0986</v>
      </c>
      <c r="AC87" s="103">
        <f>R87*VLOOKUP($E87,武器奇术!$A:$R,2,FALSE)*(1+T87)*(1+U87)*V87</f>
        <v>12413.3978526277</v>
      </c>
      <c r="AD87" s="104">
        <f t="shared" si="35"/>
        <v>0.0311</v>
      </c>
      <c r="AE87" s="112">
        <f t="shared" si="36"/>
        <v>23730.1849880378</v>
      </c>
      <c r="AF87" s="113">
        <f>VLOOKUP($E87,武器奇术!$A:$R,3,FALSE)*(1+IF(VLOOKUP($E87,武器奇术!$A:$R,15,FALSE)="武器",$E$15,0))</f>
        <v>993.395</v>
      </c>
      <c r="AG87" s="103">
        <f t="shared" si="1"/>
        <v>993.395</v>
      </c>
      <c r="AH87" s="103">
        <f>VLOOKUP($E87,武器奇术!$A:$R,3,FALSE)*(1+IF(VLOOKUP($E87,武器奇术!$A:$R,15,FALSE)="武器",$E$15,0))</f>
        <v>993.395</v>
      </c>
      <c r="AI87" s="104">
        <f>IF(($D$5+VLOOKUP($E87,武器奇术!$A:$R,13,FALSE)+IF($I$3="√",10,0)-VLOOKUP($F$7,目标属性!$A:$R,5,FALSE))&gt;0,($D$5+VLOOKUP($E87,武器奇术!$A:$R,13,FALSE)+IF($I$3="√",10,0)-VLOOKUP($F$7,目标属性!$A:$R,5,FALSE))/200,($D$5+VLOOKUP($E87,武器奇术!$A:$R,13,FALSE)+IF($I$3="√",10,0)-VLOOKUP($F$7,目标属性!$A:$R,5,FALSE))/100)</f>
        <v>0.2925</v>
      </c>
      <c r="AJ87" s="111">
        <f>$E$5+IF($G$5="烟柳",IF(VLOOKUP($E87,武器奇术!$A:$T,20,FALSE)=1,0.1,0),0)</f>
        <v>0.1</v>
      </c>
      <c r="AK87" s="102">
        <v>1</v>
      </c>
      <c r="AL87" s="103">
        <f t="shared" si="45"/>
        <v>1412.35934125</v>
      </c>
      <c r="AM87" s="104">
        <f>(1-IF(VLOOKUP($E87,武器奇术!$A:$R,18,FALSE)="叶龙",1,$N87))*(1-$M87)</f>
        <v>0</v>
      </c>
      <c r="AN87" s="103">
        <f>AG87*(1+AI87)*(1+AJ87)*AK87*(1+$E$16+VLOOKUP($E87,武器奇术!$A:$R,8,FALSE))</f>
        <v>2830.368119865</v>
      </c>
      <c r="AO87" s="104">
        <f t="shared" si="2"/>
        <v>0.8703</v>
      </c>
      <c r="AP87" s="103">
        <f>AH87*(1+AI87)*(1+AJ87)*AK87*(1+$E$17+VLOOKUP($E87,武器奇术!$A:$R,10,FALSE))</f>
        <v>1906.6851106875</v>
      </c>
      <c r="AQ87" s="104">
        <f t="shared" si="3"/>
        <v>0.0986</v>
      </c>
      <c r="AR87" s="103">
        <f t="shared" si="38"/>
        <v>1412.35934125</v>
      </c>
      <c r="AS87" s="104">
        <f t="shared" si="4"/>
        <v>0.0311</v>
      </c>
      <c r="AT87" s="112">
        <f t="shared" si="5"/>
        <v>2695.19290214517</v>
      </c>
      <c r="AU87" s="110">
        <f>$B$7*IF($G$5="撼天",1.05,1)+IF(AND(VLOOKUP($E87,武器奇术!$A:$R,15,FALSE)="武器",VLOOKUP($E87,武器奇术!$A:$R,17,FALSE)="鸣金"),$E$3*(1+$E$15),0)</f>
        <v>0</v>
      </c>
      <c r="AV87" s="102">
        <f t="shared" si="6"/>
        <v>0</v>
      </c>
      <c r="AW87" s="102">
        <f>MAX($C$7*IF($G$5="撼天",1.05,1)+IF(AND(VLOOKUP($E87,武器奇术!$A:$R,15,FALSE)="武器",VLOOKUP($E87,武器奇术!$A:$R,17,FALSE)="鸣金"),$E$3*(1+$E$15),0),AU87)</f>
        <v>0</v>
      </c>
      <c r="AX87" s="104">
        <f>IF(($D$7+IF(VLOOKUP($E87,武器奇术!$A:$R,17,FALSE)="鸣金",$D$15,0)-VLOOKUP($F$7,目标属性!$A:$R,6,FALSE))&gt;0,($D$7+IF(VLOOKUP($E87,武器奇术!$A:$R,17,FALSE)="鸣金",$D$15,0)-VLOOKUP($F$7,目标属性!$A:$R,6,FALSE))/200,($D$7+IF(VLOOKUP($E87,武器奇术!$A:$R,17,FALSE)="鸣金",$D$15,0)-VLOOKUP($F$7,目标属性!$A:$R,6,FALSE))/100)</f>
        <v>-0.24</v>
      </c>
      <c r="AY87" s="111">
        <f t="shared" si="7"/>
        <v>0</v>
      </c>
      <c r="AZ87" s="102">
        <v>1</v>
      </c>
      <c r="BA87" s="103">
        <f>AU87*IF(VLOOKUP($E87,武器奇术!$A:$R,17,FALSE)="鸣金",VLOOKUP($E87,武器奇术!$A:$R,4,FALSE),VLOOKUP($E87,武器奇术!$A:$R,2,FALSE))*(1+AX87)*(1+AY87)*AZ87</f>
        <v>0</v>
      </c>
      <c r="BB87" s="104">
        <f>(1-IF(VLOOKUP($E87,武器奇术!$A:$R,18,FALSE)="叶龙",1,$N87))*(1-$M87)</f>
        <v>0</v>
      </c>
      <c r="BC87" s="103">
        <f>AV87*IF(VLOOKUP($E87,武器奇术!$A:$R,17,FALSE)="鸣金",VLOOKUP($E87,武器奇术!$A:$R,4,FALSE),VLOOKUP($E87,武器奇术!$A:$R,2,FALSE))*(1+AX87)*(1+AY87)*AZ87*(1+$E$16+VLOOKUP($E87,武器奇术!$A:$R,8,FALSE))</f>
        <v>0</v>
      </c>
      <c r="BD87" s="104">
        <f t="shared" si="8"/>
        <v>0.8703</v>
      </c>
      <c r="BE87" s="103">
        <f>AW87*IF(VLOOKUP($E87,武器奇术!$A:$R,17,FALSE)="鸣金",VLOOKUP($E87,武器奇术!$A:$R,4,FALSE),VLOOKUP($E87,武器奇术!$A:$R,2,FALSE))*(1+AX87)*(1+AY87)*AZ87*(1+$E$17+VLOOKUP($E87,武器奇术!$A:$R,10,FALSE))</f>
        <v>0</v>
      </c>
      <c r="BF87" s="104">
        <f t="shared" si="9"/>
        <v>0.0986</v>
      </c>
      <c r="BG87" s="103">
        <f>AV87*IF(VLOOKUP($E87,武器奇术!$A:$R,17,FALSE)="鸣金",VLOOKUP($E87,武器奇术!$A:$R,4,FALSE),VLOOKUP($E87,武器奇术!$A:$R,2,FALSE))*(1+AX87)*(1+AY87)*AZ87</f>
        <v>0</v>
      </c>
      <c r="BH87" s="104">
        <f t="shared" si="10"/>
        <v>0.0311</v>
      </c>
      <c r="BI87" s="112">
        <f t="shared" si="11"/>
        <v>0</v>
      </c>
      <c r="BJ87" s="110">
        <f>$B$9*IF($G$5="撼天",1.05,1)+IF(AND(VLOOKUP($E87,武器奇术!$A:$R,15,FALSE)="武器",VLOOKUP($E87,武器奇术!$A:$R,17,FALSE)="裂石"),$E$3*(1+$E$15),0)</f>
        <v>0</v>
      </c>
      <c r="BK87" s="102">
        <f t="shared" si="12"/>
        <v>0</v>
      </c>
      <c r="BL87" s="102">
        <f>MAX($C$9*IF($G$5="撼天",1.05,1)+IF(AND(VLOOKUP($E87,武器奇术!$A:$R,15,FALSE)="武器",VLOOKUP($E87,武器奇术!$A:$R,17,FALSE)="裂石"),$E$3*(1+$E$15),0),BJ87)</f>
        <v>0</v>
      </c>
      <c r="BM87" s="104">
        <f>IF(($D$9+IF(VLOOKUP($E87,武器奇术!$A:$R,17,FALSE)="裂石",$D$15,0)-VLOOKUP($F$7,目标属性!$A:$R,6,FALSE))&gt;0,($D$9+IF(VLOOKUP($E87,武器奇术!$A:$R,17,FALSE)="裂石",$D$15,0)-VLOOKUP($F$7,目标属性!$A:$R,6,FALSE))/200,($D$9+IF(VLOOKUP($E87,武器奇术!$A:$R,17,FALSE)="裂石",$D$15,0)-VLOOKUP($F$7,目标属性!$A:$R,6,FALSE))/100)</f>
        <v>-0.24</v>
      </c>
      <c r="BN87" s="111">
        <f t="shared" si="13"/>
        <v>0</v>
      </c>
      <c r="BO87" s="102">
        <v>1</v>
      </c>
      <c r="BP87" s="103">
        <f>BJ87*IF(VLOOKUP($E87,武器奇术!$A:$R,17,FALSE)="裂石",VLOOKUP($E87,武器奇术!$A:$R,4,FALSE),VLOOKUP($E87,武器奇术!$A:$R,2,FALSE))*(1+BM87)*(1+BN87)*BO87</f>
        <v>0</v>
      </c>
      <c r="BQ87" s="104">
        <f>(1-IF(VLOOKUP($E87,武器奇术!$A:$R,18,FALSE)="叶龙",1,$N87))*(1-$M87)</f>
        <v>0</v>
      </c>
      <c r="BR87" s="103">
        <f>BK87*IF(VLOOKUP($E87,武器奇术!$A:$R,17,FALSE)="裂石",VLOOKUP($E87,武器奇术!$A:$R,4,FALSE),VLOOKUP($E87,武器奇术!$A:$R,2,FALSE))*(1+BM87)*(1+BN87)*BO87*(1+$E$16+VLOOKUP($E87,武器奇术!$A:$R,8,FALSE))</f>
        <v>0</v>
      </c>
      <c r="BS87" s="104">
        <f t="shared" si="14"/>
        <v>0.8703</v>
      </c>
      <c r="BT87" s="103">
        <f>BL87*IF(VLOOKUP($E87,武器奇术!$A:$R,17,FALSE)="裂石",VLOOKUP($E87,武器奇术!$A:$R,4,FALSE),VLOOKUP($E87,武器奇术!$A:$R,2,FALSE))*(1+BM87)*(1+BN87)*BO87*(1+$E$17+VLOOKUP($E87,武器奇术!$A:$R,10,FALSE))</f>
        <v>0</v>
      </c>
      <c r="BU87" s="104">
        <f t="shared" si="15"/>
        <v>0.0986</v>
      </c>
      <c r="BV87" s="103">
        <f>BK87*IF(VLOOKUP($E87,武器奇术!$A:$R,17,FALSE)="裂石",VLOOKUP($E87,武器奇术!$A:$R,4,FALSE),VLOOKUP($E87,武器奇术!$A:$R,2,FALSE))*(1+BM87)*(1+BN87)*BO87</f>
        <v>0</v>
      </c>
      <c r="BW87" s="104">
        <f t="shared" si="16"/>
        <v>0.0311</v>
      </c>
      <c r="BX87" s="112">
        <f t="shared" si="17"/>
        <v>0</v>
      </c>
      <c r="BY87" s="110">
        <f>$B$11*IF($G$5="撼天",1.05,1)+IF(AND(VLOOKUP($E87,武器奇术!$A:$R,15,FALSE)="武器",VLOOKUP($E87,武器奇术!$A:$R,17,FALSE)="牵丝"),$E$3*(1+$E$15),0)</f>
        <v>686.71</v>
      </c>
      <c r="BZ87" s="102">
        <f>IF(VLOOKUP($E87,武器奇术!$A:$Z,18,FALSE)="叶龙",(CA87-(BY87+CA87)*0.5)*($G$15-0.5)*2+(BY87+CA87)*0.5,(BY87+CA87)*0.5)</f>
        <v>1052.21</v>
      </c>
      <c r="CA87" s="102">
        <f>MAX($C$11*IF($G$5="撼天",1.05,1)+IF(AND(VLOOKUP($E87,武器奇术!$A:$R,15,FALSE)="武器",VLOOKUP($E87,武器奇术!$A:$R,17,FALSE)="牵丝"),$E$3*(1+$E$15),0),BY87)</f>
        <v>1417.71</v>
      </c>
      <c r="CB87" s="104">
        <f>IF(($D$11+IF(VLOOKUP($E87,武器奇术!$A:$R,17,FALSE)="牵丝",$D$15,0)-VLOOKUP($F$7,目标属性!$A:$R,6,FALSE))&gt;0,($D$11+IF(VLOOKUP($E87,武器奇术!$A:$R,17,FALSE)="牵丝",$D$15,0)-VLOOKUP($F$7,目标属性!$A:$R,6,FALSE))/200,($D$11+IF(VLOOKUP($E87,武器奇术!$A:$R,17,FALSE)="牵丝",$D$15,0)-VLOOKUP($F$7,目标属性!$A:$R,6,FALSE))/100)</f>
        <v>0.028</v>
      </c>
      <c r="CC87" s="111">
        <f>$E$11+IF($G$5="烟柳",IF(VLOOKUP($E87,武器奇术!$A:$T,20,FALSE)=1,0.1,0),0)</f>
        <v>0.248</v>
      </c>
      <c r="CD87" s="102">
        <v>1</v>
      </c>
      <c r="CE87" s="103">
        <f>BY87*IF(VLOOKUP($E87,武器奇术!$A:$R,17,FALSE)="牵丝",VLOOKUP($E87,武器奇术!$A:$R,4,FALSE),VLOOKUP($E87,武器奇术!$A:$R,2,FALSE))*(1+CB87)*(1+CC87)*CD87</f>
        <v>3649.20705503528</v>
      </c>
      <c r="CF87" s="104">
        <f>(1-IF(VLOOKUP($E87,武器奇术!$A:$R,18,FALSE)="叶龙",1,$N87))*(1-$M87)</f>
        <v>0</v>
      </c>
      <c r="CG87" s="124">
        <f>BZ87*IF(VLOOKUP($E87,武器奇术!$A:$R,17,FALSE)="牵丝",VLOOKUP($E87,武器奇术!$A:$R,4,FALSE),VLOOKUP($E87,武器奇术!$A:$R,2,FALSE))*(1+CB87)*(1+CC87)*CD87*(1+$E$16+VLOOKUP($E87,武器奇术!$A:$R,8,FALSE))</f>
        <v>11205.3461277378</v>
      </c>
      <c r="CH87" s="104">
        <f t="shared" si="18"/>
        <v>0.8703</v>
      </c>
      <c r="CI87" s="103">
        <f>CA87*IF(VLOOKUP($E87,武器奇术!$A:$R,17,FALSE)="牵丝",VLOOKUP($E87,武器奇术!$A:$R,4,FALSE),VLOOKUP($E87,武器奇术!$A:$R,2,FALSE))*(1+CB87)*(1+CC87)*CD87*(1+$E$17+VLOOKUP($E87,武器奇术!$A:$R,10,FALSE))</f>
        <v>10170.5937016965</v>
      </c>
      <c r="CJ87" s="104">
        <f t="shared" si="19"/>
        <v>0.0986</v>
      </c>
      <c r="CK87" s="124">
        <f>BZ87*IF(VLOOKUP($E87,武器奇术!$A:$R,17,FALSE)="牵丝",VLOOKUP($E87,武器奇术!$A:$R,4,FALSE),VLOOKUP($E87,武器奇术!$A:$R,2,FALSE))*(1+CB87)*(1+CC87)*CD87</f>
        <v>5591.49008370152</v>
      </c>
      <c r="CL87" s="104">
        <f t="shared" si="20"/>
        <v>0.0311</v>
      </c>
      <c r="CM87" s="112">
        <f t="shared" si="39"/>
        <v>10928.7286155606</v>
      </c>
      <c r="CN87" s="110">
        <f>$B$13*IF($G$5="撼天",1.05,1)+IF(AND(VLOOKUP($E87,武器奇术!$A:$R,15,FALSE)="武器",VLOOKUP($E87,武器奇术!$A:$R,17,FALSE)="破竹"),$E$3*(1+$E$15),0)</f>
        <v>0</v>
      </c>
      <c r="CO87" s="102">
        <f t="shared" si="21"/>
        <v>0</v>
      </c>
      <c r="CP87" s="102">
        <f>MAX($C$13*IF($G$5="撼天",1.05,1)+IF(AND(VLOOKUP($E87,武器奇术!$A:$R,15,FALSE)="武器",VLOOKUP($E87,武器奇术!$A:$R,17,FALSE)="破竹"),$E$3*(1+$E$15),0),CN87)</f>
        <v>0</v>
      </c>
      <c r="CQ87" s="104">
        <f>IF(($D$13+IF(VLOOKUP($E87,武器奇术!$A:$R,17,FALSE)="破竹",$D$15,0)-VLOOKUP($F$7,目标属性!$A:$R,6,FALSE))&gt;0,($D$13+IF(VLOOKUP($E87,武器奇术!$A:$R,17,FALSE)="破竹",$D$15,0)-VLOOKUP($F$7,目标属性!$A:$R,6,FALSE))/200,($D$13+IF(VLOOKUP($E87,武器奇术!$A:$R,17,FALSE)="破竹",$D$15,0)-VLOOKUP($F$7,目标属性!$A:$R,6,FALSE))/100)</f>
        <v>-0.24</v>
      </c>
      <c r="CR87" s="111">
        <f t="shared" si="22"/>
        <v>0</v>
      </c>
      <c r="CS87" s="102">
        <v>1</v>
      </c>
      <c r="CT87" s="103">
        <f>CN87*IF(VLOOKUP($E87,武器奇术!$A:$R,17,FALSE)="破竹",VLOOKUP($E87,武器奇术!$A:$R,4,FALSE),VLOOKUP($E87,武器奇术!$A:$R,2,FALSE))*(1+CQ87)*(1+CR87)*CS87</f>
        <v>0</v>
      </c>
      <c r="CU87" s="104">
        <f>(1-IF(VLOOKUP($E87,武器奇术!$A:$R,18,FALSE)="叶龙",1,$N87))*(1-$M87)</f>
        <v>0</v>
      </c>
      <c r="CV87" s="103">
        <f>CO87*IF(VLOOKUP($E87,武器奇术!$A:$R,17,FALSE)="破竹",VLOOKUP($E87,武器奇术!$A:$R,4,FALSE),VLOOKUP($E87,武器奇术!$A:$R,2,FALSE))*(1+CQ87)*(1+CR87)*CS87*(1+$E$16+VLOOKUP($E87,武器奇术!$A:$R,8,FALSE))</f>
        <v>0</v>
      </c>
      <c r="CW87" s="104">
        <f t="shared" si="23"/>
        <v>0.8703</v>
      </c>
      <c r="CX87" s="103">
        <f>CP87*IF(VLOOKUP($E87,武器奇术!$A:$R,17,FALSE)="破竹",VLOOKUP($E87,武器奇术!$A:$R,4,FALSE),VLOOKUP($E87,武器奇术!$A:$R,2,FALSE))*(1+CQ87)*(1+CR87)*CS87*(1+$E$17+VLOOKUP($E87,武器奇术!$A:$R,10,FALSE))</f>
        <v>0</v>
      </c>
      <c r="CY87" s="104">
        <f t="shared" si="24"/>
        <v>0.0986</v>
      </c>
      <c r="CZ87" s="103">
        <f>CO87*IF(VLOOKUP($E87,武器奇术!$A:$R,17,FALSE)="破竹",VLOOKUP($E87,武器奇术!$A:$R,4,FALSE),VLOOKUP($E87,武器奇术!$A:$R,2,FALSE))*(1+CQ87)*(1+CR87)*CS87</f>
        <v>0</v>
      </c>
      <c r="DA87" s="104">
        <f t="shared" si="25"/>
        <v>0.0311</v>
      </c>
      <c r="DB87" s="112">
        <f t="shared" si="26"/>
        <v>0</v>
      </c>
      <c r="DC87" s="110">
        <f t="shared" si="40"/>
        <v>66</v>
      </c>
      <c r="DD87" s="102">
        <f t="shared" si="27"/>
        <v>125.8</v>
      </c>
      <c r="DE87" s="102">
        <f t="shared" si="41"/>
        <v>185.6</v>
      </c>
      <c r="DF87" s="104">
        <f>IF((IF(VLOOKUP($E87,武器奇术!$A:$R,17,FALSE)="鸣金",$D$7,0)+IF(VLOOKUP($E87,武器奇术!$A:$R,17,FALSE)="裂石",$D$9,0)+IF(VLOOKUP($E87,武器奇术!$A:$R,17,FALSE)="牵丝",$D$11,0)+IF(VLOOKUP($E87,武器奇术!$A:$R,17,FALSE)="破竹",$D$13,0)+$D$15-VLOOKUP($F$7,目标属性!$A:$R,6,FALSE))&gt;0,(IF(VLOOKUP($E87,武器奇术!$A:$R,17,FALSE)="鸣金",$D$7,0)+IF(VLOOKUP($E87,武器奇术!$A:$R,17,FALSE)="裂石",$D$9,0)+IF(VLOOKUP($E87,武器奇术!$A:$R,17,FALSE)="牵丝",$D$11,0)+IF(VLOOKUP($E87,武器奇术!$A:$R,17,FALSE)="破竹",$D$13,0)+$D$15-VLOOKUP($F$7,目标属性!$A:$R,6,FALSE))/200,(IF(VLOOKUP($E87,武器奇术!$A:$R,17,FALSE)="鸣金",$D$7,0)+IF(VLOOKUP($E87,武器奇术!$A:$R,17,FALSE)="裂石",$D$9,0)+IF(VLOOKUP($E87,武器奇术!$A:$R,17,FALSE)="牵丝",$D$11,0)+IF(VLOOKUP($E87,武器奇术!$A:$R,17,FALSE)="破竹",$D$13,0)+$D$15-VLOOKUP($F$7,目标属性!$A:$R,6,FALSE))/100)</f>
        <v>0.028</v>
      </c>
      <c r="DG87" s="111">
        <f>$E$11+IF($G$5="烟柳",IF(VLOOKUP($E87,武器奇术!$A:$T,20,FALSE)=1,0.1,0),0)</f>
        <v>0.248</v>
      </c>
      <c r="DH87" s="102">
        <v>1</v>
      </c>
      <c r="DI87" s="103">
        <f>DC87*IF(VLOOKUP($E87,武器奇术!$A:$R,17,FALSE)="牵丝",VLOOKUP($E87,武器奇术!$A:$R,4,FALSE),VLOOKUP($E87,武器奇术!$A:$R,2,FALSE))*(1+DF87)*(1+DG87)*DH87</f>
        <v>350.72689436928</v>
      </c>
      <c r="DJ87" s="104">
        <f>(1-IF(VLOOKUP($E87,武器奇术!$A:$R,18,FALSE)="叶龙",1,$N87))*(1-$M87)</f>
        <v>0</v>
      </c>
      <c r="DK87" s="124">
        <f>DD87*IF(VLOOKUP($E87,武器奇术!$A:$R,17,FALSE)="牵丝",VLOOKUP($E87,武器奇术!$A:$R,4,FALSE),VLOOKUP($E87,武器奇术!$A:$R,2,FALSE))*(1+DF87)*(1+DG87)*DH87*(1+$E$16+VLOOKUP($E87,武器奇术!$A:$R,8,FALSE))</f>
        <v>1339.6874605539</v>
      </c>
      <c r="DL87" s="104">
        <f t="shared" si="28"/>
        <v>0.8703</v>
      </c>
      <c r="DM87" s="103">
        <f>DE87*IF(VLOOKUP($E87,武器奇术!$A:$R,17,FALSE)="牵丝",VLOOKUP($E87,武器奇术!$A:$R,4,FALSE),VLOOKUP($E87,武器奇术!$A:$R,2,FALSE))*(1+DF87)*(1+DG87)*DH87*(1+$E$17+VLOOKUP($E87,武器奇术!$A:$R,10,FALSE))</f>
        <v>1331.48682807829</v>
      </c>
      <c r="DN87" s="104">
        <f t="shared" si="29"/>
        <v>0.0986</v>
      </c>
      <c r="DO87" s="124">
        <f>DD87*IF(VLOOKUP($E87,武器奇术!$A:$R,17,FALSE)="牵丝",VLOOKUP($E87,武器奇术!$A:$R,4,FALSE),VLOOKUP($E87,武器奇术!$A:$R,2,FALSE))*(1+DF87)*(1+DG87)*DH87</f>
        <v>668.506716843264</v>
      </c>
      <c r="DP87" s="104">
        <f t="shared" si="30"/>
        <v>0.0311</v>
      </c>
      <c r="DQ87" s="112">
        <f t="shared" si="31"/>
        <v>1318.0051570624</v>
      </c>
    </row>
    <row r="88" spans="1:121">
      <c r="A88" s="37"/>
      <c r="B88" t="s">
        <v>156</v>
      </c>
      <c r="C88">
        <v>0.1</v>
      </c>
      <c r="D88" s="139"/>
      <c r="E88" s="115" t="s">
        <v>170</v>
      </c>
      <c r="F88" s="116">
        <v>10</v>
      </c>
      <c r="G88" s="117">
        <f>$E$23</f>
        <v>0.32</v>
      </c>
      <c r="H88" s="140">
        <f>IF(VLOOKUP($E88,武器奇术!$A:$R,18,FALSE)="天工",AE88,(AE88+AT88+BI88+BX88+CM88+DB88+DQ88))*(1+J88)*F88*K88*(1+G88)*(1+$G$21*5%)</f>
        <v>669454.823269609</v>
      </c>
      <c r="I88" s="104">
        <f t="shared" si="42"/>
        <v>0.0771546401779833</v>
      </c>
      <c r="J88" s="104">
        <f>$F$3+VLOOKUP($E88,武器奇术!$A:$R,12,FALSE)+VLOOKUP($E88,武器奇术!$A:$R,14,FALSE)*$G$3+$P88</f>
        <v>1.103</v>
      </c>
      <c r="K88" s="105">
        <f>VLOOKUP($E88,武器奇术!$A:$R,11,FALSE)</f>
        <v>1</v>
      </c>
      <c r="L88" s="119">
        <f>IF(VLOOKUP($E88,武器奇术!$A:$R,15,FALSE)="天工",0%,IF($C$17+VLOOKUP($E88,武器奇术!$A:$R,7,FALSE)&gt;80%,80%,$C$17+VLOOKUP($E88,武器奇术!$A:$R,7,FALSE))+IF($C$19&gt;20%,20%,$C$19))</f>
        <v>0.8703</v>
      </c>
      <c r="M88" s="120">
        <f>IF(VLOOKUP($E88,武器奇术!$A:$R,15,FALSE)="天工",0%,IF($C$18+VLOOKUP($E88,武器奇术!$A:$R,9,FALSE)&gt;40%,40%,$C$18+VLOOKUP($E88,武器奇术!$A:$R,9,FALSE))+IF($C$20&gt;10%,10%,$C$20))</f>
        <v>0.0986</v>
      </c>
      <c r="N88" s="121">
        <f>IF(VLOOKUP($E88,武器奇术!$A:$R,15,FALSE)="天工",100%,MIN($C$16,1))</f>
        <v>1</v>
      </c>
      <c r="O88" s="122" t="str">
        <f>VLOOKUP($E88,武器奇术!$A:$R,16,FALSE)</f>
        <v>伞</v>
      </c>
      <c r="P88" s="123">
        <f t="shared" si="44"/>
        <v>0.17</v>
      </c>
      <c r="Q88" s="110">
        <f>$B$5*(1+VLOOKUP($E88,武器奇术!$A:$R,5,FALSE))*(1+VLOOKUP($E88,武器奇术!$A:$S,19,FALSE)+IF($G$5="飞隼",0.1,0)+IF($G$5="撼天",0.05,0))-$F$9+IF($J$5="√",160,0)</f>
        <v>3324.7</v>
      </c>
      <c r="R88" s="102">
        <f>IF(VLOOKUP($E88,武器奇术!$A:$Z,18,FALSE)="叶龙",(S88-(Q88+S88)*0.5)*($G$15-0.5)*2+(Q88+S88)*0.5,(Q88+S88)*0.5)</f>
        <v>3404.7</v>
      </c>
      <c r="S88" s="102">
        <f>MAX($C$5,$B$5)*(1+VLOOKUP($E88,武器奇术!$A:$R,6,FALSE))*(1+VLOOKUP($E88,武器奇术!$A:$S,19,FALSE)+IF($G$5="飞隼",0.1,0)+IF($G$5="撼天",0.05,0))-$F$9+IF($J$5="√",320,0)</f>
        <v>3484.7</v>
      </c>
      <c r="T88" s="104">
        <f>IF(($D$5+VLOOKUP($E88,武器奇术!$A:$R,13,FALSE)+IF($I$3="√",10,0)-VLOOKUP($F$7,目标属性!$A:$R,5,FALSE))&gt;0,($D$5+VLOOKUP($E88,武器奇术!$A:$R,13,FALSE)+IF($I$3="√",10,0)-VLOOKUP($F$7,目标属性!$A:$R,5,FALSE))/200,($D$5+VLOOKUP($E88,武器奇术!$A:$R,13,FALSE)+IF($I$3="√",10,0)-VLOOKUP($F$7,目标属性!$A:$R,5,FALSE))/100)</f>
        <v>0.2925</v>
      </c>
      <c r="U88" s="111">
        <f>$E$5+IF($G$5="烟柳",IF(VLOOKUP($E88,武器奇术!$A:$T,20,FALSE)=1,0.1,0),0)</f>
        <v>0.1</v>
      </c>
      <c r="V88" s="102">
        <v>1</v>
      </c>
      <c r="W88" s="103">
        <f>Q88*VLOOKUP($E88,武器奇术!$A:$R,2,FALSE)*(1+T88)*(1+U88)*V88</f>
        <v>5553.88565422487</v>
      </c>
      <c r="X88" s="104">
        <f>(1-IF(VLOOKUP($E88,武器奇术!$A:$R,18,FALSE)="叶龙",1,$N88))*(1-$M88)</f>
        <v>0</v>
      </c>
      <c r="Y88" s="103">
        <f>R88*VLOOKUP($E88,武器奇术!$A:$R,2,FALSE)*(1+T88)*(1+U88)*V88*(1+$E$16+VLOOKUP($E88,武器奇术!$A:$R,8,FALSE))</f>
        <v>11397.8001719934</v>
      </c>
      <c r="Z88" s="104">
        <f t="shared" si="33"/>
        <v>0.8703</v>
      </c>
      <c r="AA88" s="103">
        <f>S88*VLOOKUP($E88,武器奇术!$A:$R,2,FALSE)*(1+T88)*(1+U88)*V88*(1+$E$17+VLOOKUP($E88,武器奇术!$A:$R,10,FALSE))</f>
        <v>7858.57196379358</v>
      </c>
      <c r="AB88" s="104">
        <f t="shared" si="34"/>
        <v>0.0986</v>
      </c>
      <c r="AC88" s="103">
        <f>R88*VLOOKUP($E88,武器奇术!$A:$R,2,FALSE)*(1+T88)*(1+U88)*V88</f>
        <v>5687.52503592487</v>
      </c>
      <c r="AD88" s="104">
        <f t="shared" si="35"/>
        <v>0.0311</v>
      </c>
      <c r="AE88" s="112">
        <f t="shared" si="36"/>
        <v>10871.2427139332</v>
      </c>
      <c r="AF88" s="113">
        <f>VLOOKUP($E88,武器奇术!$A:$R,3,FALSE)*(1+IF(VLOOKUP($E88,武器奇术!$A:$R,15,FALSE)="武器",$E$15,0))</f>
        <v>421.59</v>
      </c>
      <c r="AG88" s="103">
        <f t="shared" si="1"/>
        <v>421.59</v>
      </c>
      <c r="AH88" s="103">
        <f>VLOOKUP($E88,武器奇术!$A:$R,3,FALSE)*(1+IF(VLOOKUP($E88,武器奇术!$A:$R,15,FALSE)="武器",$E$15,0))</f>
        <v>421.59</v>
      </c>
      <c r="AI88" s="104">
        <f>IF(($D$5+VLOOKUP($E88,武器奇术!$A:$R,13,FALSE)+IF($I$3="√",10,0)-VLOOKUP($F$7,目标属性!$A:$R,5,FALSE))&gt;0,($D$5+VLOOKUP($E88,武器奇术!$A:$R,13,FALSE)+IF($I$3="√",10,0)-VLOOKUP($F$7,目标属性!$A:$R,5,FALSE))/200,($D$5+VLOOKUP($E88,武器奇术!$A:$R,13,FALSE)+IF($I$3="√",10,0)-VLOOKUP($F$7,目标属性!$A:$R,5,FALSE))/100)</f>
        <v>0.2925</v>
      </c>
      <c r="AJ88" s="111">
        <f>$E$5+IF($G$5="烟柳",IF(VLOOKUP($E88,武器奇术!$A:$T,20,FALSE)=1,0.1,0),0)</f>
        <v>0.1</v>
      </c>
      <c r="AK88" s="102">
        <v>1</v>
      </c>
      <c r="AL88" s="103">
        <f t="shared" si="45"/>
        <v>599.3955825</v>
      </c>
      <c r="AM88" s="104">
        <f>(1-IF(VLOOKUP($E88,武器奇术!$A:$R,18,FALSE)="叶龙",1,$N88))*(1-$M88)</f>
        <v>0</v>
      </c>
      <c r="AN88" s="103">
        <f>AG88*(1+AI88)*(1+AJ88)*AK88*(1+$E$16+VLOOKUP($E88,武器奇术!$A:$R,8,FALSE))</f>
        <v>1201.18874733</v>
      </c>
      <c r="AO88" s="104">
        <f t="shared" si="2"/>
        <v>0.8703</v>
      </c>
      <c r="AP88" s="103">
        <f>AH88*(1+AI88)*(1+AJ88)*AK88*(1+$E$17+VLOOKUP($E88,武器奇术!$A:$R,10,FALSE))</f>
        <v>809.184036375</v>
      </c>
      <c r="AQ88" s="104">
        <f t="shared" si="3"/>
        <v>0.0986</v>
      </c>
      <c r="AR88" s="103">
        <f t="shared" si="38"/>
        <v>599.3955825</v>
      </c>
      <c r="AS88" s="104">
        <f t="shared" si="4"/>
        <v>0.0311</v>
      </c>
      <c r="AT88" s="112">
        <f t="shared" si="5"/>
        <v>1143.82131540362</v>
      </c>
      <c r="AU88" s="110">
        <f>$B$7*IF($G$5="撼天",1.05,1)+IF(AND(VLOOKUP($E88,武器奇术!$A:$R,15,FALSE)="武器",VLOOKUP($E88,武器奇术!$A:$R,17,FALSE)="鸣金"),$E$3*(1+$E$15),0)</f>
        <v>0</v>
      </c>
      <c r="AV88" s="102">
        <f t="shared" si="6"/>
        <v>0</v>
      </c>
      <c r="AW88" s="102">
        <f>MAX($C$7*IF($G$5="撼天",1.05,1)+IF(AND(VLOOKUP($E88,武器奇术!$A:$R,15,FALSE)="武器",VLOOKUP($E88,武器奇术!$A:$R,17,FALSE)="鸣金"),$E$3*(1+$E$15),0),AU88)</f>
        <v>0</v>
      </c>
      <c r="AX88" s="104">
        <f>IF(($D$7+IF(VLOOKUP($E88,武器奇术!$A:$R,17,FALSE)="鸣金",$D$15,0)-VLOOKUP($F$7,目标属性!$A:$R,6,FALSE))&gt;0,($D$7+IF(VLOOKUP($E88,武器奇术!$A:$R,17,FALSE)="鸣金",$D$15,0)-VLOOKUP($F$7,目标属性!$A:$R,6,FALSE))/200,($D$7+IF(VLOOKUP($E88,武器奇术!$A:$R,17,FALSE)="鸣金",$D$15,0)-VLOOKUP($F$7,目标属性!$A:$R,6,FALSE))/100)</f>
        <v>-0.24</v>
      </c>
      <c r="AY88" s="111">
        <f t="shared" si="7"/>
        <v>0</v>
      </c>
      <c r="AZ88" s="102">
        <v>1</v>
      </c>
      <c r="BA88" s="103">
        <f>AU88*IF(VLOOKUP($E88,武器奇术!$A:$R,17,FALSE)="鸣金",VLOOKUP($E88,武器奇术!$A:$R,4,FALSE),VLOOKUP($E88,武器奇术!$A:$R,2,FALSE))*(1+AX88)*(1+AY88)*AZ88</f>
        <v>0</v>
      </c>
      <c r="BB88" s="104">
        <f>(1-IF(VLOOKUP($E88,武器奇术!$A:$R,18,FALSE)="叶龙",1,$N88))*(1-$M88)</f>
        <v>0</v>
      </c>
      <c r="BC88" s="103">
        <f>AV88*IF(VLOOKUP($E88,武器奇术!$A:$R,17,FALSE)="鸣金",VLOOKUP($E88,武器奇术!$A:$R,4,FALSE),VLOOKUP($E88,武器奇术!$A:$R,2,FALSE))*(1+AX88)*(1+AY88)*AZ88*(1+$E$16+VLOOKUP($E88,武器奇术!$A:$R,8,FALSE))</f>
        <v>0</v>
      </c>
      <c r="BD88" s="104">
        <f t="shared" si="8"/>
        <v>0.8703</v>
      </c>
      <c r="BE88" s="103">
        <f>AW88*IF(VLOOKUP($E88,武器奇术!$A:$R,17,FALSE)="鸣金",VLOOKUP($E88,武器奇术!$A:$R,4,FALSE),VLOOKUP($E88,武器奇术!$A:$R,2,FALSE))*(1+AX88)*(1+AY88)*AZ88*(1+$E$17+VLOOKUP($E88,武器奇术!$A:$R,10,FALSE))</f>
        <v>0</v>
      </c>
      <c r="BF88" s="104">
        <f t="shared" si="9"/>
        <v>0.0986</v>
      </c>
      <c r="BG88" s="103">
        <f>AV88*IF(VLOOKUP($E88,武器奇术!$A:$R,17,FALSE)="鸣金",VLOOKUP($E88,武器奇术!$A:$R,4,FALSE),VLOOKUP($E88,武器奇术!$A:$R,2,FALSE))*(1+AX88)*(1+AY88)*AZ88</f>
        <v>0</v>
      </c>
      <c r="BH88" s="104">
        <f t="shared" si="10"/>
        <v>0.0311</v>
      </c>
      <c r="BI88" s="112">
        <f t="shared" si="11"/>
        <v>0</v>
      </c>
      <c r="BJ88" s="110">
        <f>$B$9*IF($G$5="撼天",1.05,1)+IF(AND(VLOOKUP($E88,武器奇术!$A:$R,15,FALSE)="武器",VLOOKUP($E88,武器奇术!$A:$R,17,FALSE)="裂石"),$E$3*(1+$E$15),0)</f>
        <v>0</v>
      </c>
      <c r="BK88" s="102">
        <f t="shared" si="12"/>
        <v>0</v>
      </c>
      <c r="BL88" s="102">
        <f>MAX($C$9*IF($G$5="撼天",1.05,1)+IF(AND(VLOOKUP($E88,武器奇术!$A:$R,15,FALSE)="武器",VLOOKUP($E88,武器奇术!$A:$R,17,FALSE)="裂石"),$E$3*(1+$E$15),0),BJ88)</f>
        <v>0</v>
      </c>
      <c r="BM88" s="104">
        <f>IF(($D$9+IF(VLOOKUP($E88,武器奇术!$A:$R,17,FALSE)="裂石",$D$15,0)-VLOOKUP($F$7,目标属性!$A:$R,6,FALSE))&gt;0,($D$9+IF(VLOOKUP($E88,武器奇术!$A:$R,17,FALSE)="裂石",$D$15,0)-VLOOKUP($F$7,目标属性!$A:$R,6,FALSE))/200,($D$9+IF(VLOOKUP($E88,武器奇术!$A:$R,17,FALSE)="裂石",$D$15,0)-VLOOKUP($F$7,目标属性!$A:$R,6,FALSE))/100)</f>
        <v>-0.24</v>
      </c>
      <c r="BN88" s="111">
        <f t="shared" si="13"/>
        <v>0</v>
      </c>
      <c r="BO88" s="102">
        <v>1</v>
      </c>
      <c r="BP88" s="103">
        <f>BJ88*IF(VLOOKUP($E88,武器奇术!$A:$R,17,FALSE)="裂石",VLOOKUP($E88,武器奇术!$A:$R,4,FALSE),VLOOKUP($E88,武器奇术!$A:$R,2,FALSE))*(1+BM88)*(1+BN88)*BO88</f>
        <v>0</v>
      </c>
      <c r="BQ88" s="104">
        <f>(1-IF(VLOOKUP($E88,武器奇术!$A:$R,18,FALSE)="叶龙",1,$N88))*(1-$M88)</f>
        <v>0</v>
      </c>
      <c r="BR88" s="103">
        <f>BK88*IF(VLOOKUP($E88,武器奇术!$A:$R,17,FALSE)="裂石",VLOOKUP($E88,武器奇术!$A:$R,4,FALSE),VLOOKUP($E88,武器奇术!$A:$R,2,FALSE))*(1+BM88)*(1+BN88)*BO88*(1+$E$16+VLOOKUP($E88,武器奇术!$A:$R,8,FALSE))</f>
        <v>0</v>
      </c>
      <c r="BS88" s="104">
        <f t="shared" si="14"/>
        <v>0.8703</v>
      </c>
      <c r="BT88" s="103">
        <f>BL88*IF(VLOOKUP($E88,武器奇术!$A:$R,17,FALSE)="裂石",VLOOKUP($E88,武器奇术!$A:$R,4,FALSE),VLOOKUP($E88,武器奇术!$A:$R,2,FALSE))*(1+BM88)*(1+BN88)*BO88*(1+$E$17+VLOOKUP($E88,武器奇术!$A:$R,10,FALSE))</f>
        <v>0</v>
      </c>
      <c r="BU88" s="104">
        <f t="shared" si="15"/>
        <v>0.0986</v>
      </c>
      <c r="BV88" s="103">
        <f>BK88*IF(VLOOKUP($E88,武器奇术!$A:$R,17,FALSE)="裂石",VLOOKUP($E88,武器奇术!$A:$R,4,FALSE),VLOOKUP($E88,武器奇术!$A:$R,2,FALSE))*(1+BM88)*(1+BN88)*BO88</f>
        <v>0</v>
      </c>
      <c r="BW88" s="104">
        <f t="shared" si="16"/>
        <v>0.0311</v>
      </c>
      <c r="BX88" s="112">
        <f t="shared" si="17"/>
        <v>0</v>
      </c>
      <c r="BY88" s="110">
        <f>$B$11*IF($G$5="撼天",1.05,1)+IF(AND(VLOOKUP($E88,武器奇术!$A:$R,15,FALSE)="武器",VLOOKUP($E88,武器奇术!$A:$R,17,FALSE)="牵丝"),$E$3*(1+$E$15),0)</f>
        <v>686.71</v>
      </c>
      <c r="BZ88" s="102">
        <f>IF(VLOOKUP($E88,武器奇术!$A:$Z,18,FALSE)="叶龙",(CA88-(BY88+CA88)*0.5)*($G$15-0.5)*2+(BY88+CA88)*0.5,(BY88+CA88)*0.5)</f>
        <v>1052.21</v>
      </c>
      <c r="CA88" s="102">
        <f>MAX($C$11*IF($G$5="撼天",1.05,1)+IF(AND(VLOOKUP($E88,武器奇术!$A:$R,15,FALSE)="武器",VLOOKUP($E88,武器奇术!$A:$R,17,FALSE)="牵丝"),$E$3*(1+$E$15),0),BY88)</f>
        <v>1417.71</v>
      </c>
      <c r="CB88" s="104">
        <f>IF(($D$11+IF(VLOOKUP($E88,武器奇术!$A:$R,17,FALSE)="牵丝",$D$15,0)-VLOOKUP($F$7,目标属性!$A:$R,6,FALSE))&gt;0,($D$11+IF(VLOOKUP($E88,武器奇术!$A:$R,17,FALSE)="牵丝",$D$15,0)-VLOOKUP($F$7,目标属性!$A:$R,6,FALSE))/200,($D$11+IF(VLOOKUP($E88,武器奇术!$A:$R,17,FALSE)="牵丝",$D$15,0)-VLOOKUP($F$7,目标属性!$A:$R,6,FALSE))/100)</f>
        <v>0.028</v>
      </c>
      <c r="CC88" s="111">
        <f>$E$11+IF($G$5="烟柳",IF(VLOOKUP($E88,武器奇术!$A:$T,20,FALSE)=1,0.1,0),0)</f>
        <v>0.248</v>
      </c>
      <c r="CD88" s="102">
        <v>1</v>
      </c>
      <c r="CE88" s="103">
        <f>BY88*IF(VLOOKUP($E88,武器奇术!$A:$R,17,FALSE)="牵丝",VLOOKUP($E88,武器奇术!$A:$R,4,FALSE),VLOOKUP($E88,武器奇术!$A:$R,2,FALSE))*(1+CB88)*(1+CC88)*CD88</f>
        <v>1552.67083453872</v>
      </c>
      <c r="CF88" s="104">
        <f>(1-IF(VLOOKUP($E88,武器奇术!$A:$R,18,FALSE)="叶龙",1,$N88))*(1-$M88)</f>
        <v>0</v>
      </c>
      <c r="CG88" s="124">
        <f>BZ88*IF(VLOOKUP($E88,武器奇术!$A:$R,17,FALSE)="牵丝",VLOOKUP($E88,武器奇术!$A:$R,4,FALSE),VLOOKUP($E88,武器奇术!$A:$R,2,FALSE))*(1+CB88)*(1+CC88)*CD88*(1+$E$16+VLOOKUP($E88,武器奇术!$A:$R,8,FALSE))</f>
        <v>4767.66975977518</v>
      </c>
      <c r="CH88" s="104">
        <f t="shared" si="18"/>
        <v>0.8703</v>
      </c>
      <c r="CI88" s="103">
        <f>CA88*IF(VLOOKUP($E88,武器奇术!$A:$R,17,FALSE)="牵丝",VLOOKUP($E88,武器奇术!$A:$R,4,FALSE),VLOOKUP($E88,武器奇术!$A:$R,2,FALSE))*(1+CB88)*(1+CC88)*CD88*(1+$E$17+VLOOKUP($E88,武器奇术!$A:$R,10,FALSE))</f>
        <v>4327.40153474647</v>
      </c>
      <c r="CJ88" s="104">
        <f t="shared" si="19"/>
        <v>0.0986</v>
      </c>
      <c r="CK88" s="124">
        <f>BZ88*IF(VLOOKUP($E88,武器奇术!$A:$R,17,FALSE)="牵丝",VLOOKUP($E88,武器奇术!$A:$R,4,FALSE),VLOOKUP($E88,武器奇术!$A:$R,2,FALSE))*(1+CB88)*(1+CC88)*CD88</f>
        <v>2379.07672643472</v>
      </c>
      <c r="CL88" s="104">
        <f t="shared" si="20"/>
        <v>0.0311</v>
      </c>
      <c r="CM88" s="112">
        <f t="shared" si="39"/>
        <v>4649.97406945046</v>
      </c>
      <c r="CN88" s="110">
        <f>$B$13*IF($G$5="撼天",1.05,1)+IF(AND(VLOOKUP($E88,武器奇术!$A:$R,15,FALSE)="武器",VLOOKUP($E88,武器奇术!$A:$R,17,FALSE)="破竹"),$E$3*(1+$E$15),0)</f>
        <v>0</v>
      </c>
      <c r="CO88" s="102">
        <f t="shared" si="21"/>
        <v>0</v>
      </c>
      <c r="CP88" s="102">
        <f>MAX($C$13*IF($G$5="撼天",1.05,1)+IF(AND(VLOOKUP($E88,武器奇术!$A:$R,15,FALSE)="武器",VLOOKUP($E88,武器奇术!$A:$R,17,FALSE)="破竹"),$E$3*(1+$E$15),0),CN88)</f>
        <v>0</v>
      </c>
      <c r="CQ88" s="104">
        <f>IF(($D$13+IF(VLOOKUP($E88,武器奇术!$A:$R,17,FALSE)="破竹",$D$15,0)-VLOOKUP($F$7,目标属性!$A:$R,6,FALSE))&gt;0,($D$13+IF(VLOOKUP($E88,武器奇术!$A:$R,17,FALSE)="破竹",$D$15,0)-VLOOKUP($F$7,目标属性!$A:$R,6,FALSE))/200,($D$13+IF(VLOOKUP($E88,武器奇术!$A:$R,17,FALSE)="破竹",$D$15,0)-VLOOKUP($F$7,目标属性!$A:$R,6,FALSE))/100)</f>
        <v>-0.24</v>
      </c>
      <c r="CR88" s="111">
        <f t="shared" si="22"/>
        <v>0</v>
      </c>
      <c r="CS88" s="102">
        <v>1</v>
      </c>
      <c r="CT88" s="103">
        <f>CN88*IF(VLOOKUP($E88,武器奇术!$A:$R,17,FALSE)="破竹",VLOOKUP($E88,武器奇术!$A:$R,4,FALSE),VLOOKUP($E88,武器奇术!$A:$R,2,FALSE))*(1+CQ88)*(1+CR88)*CS88</f>
        <v>0</v>
      </c>
      <c r="CU88" s="104">
        <f>(1-IF(VLOOKUP($E88,武器奇术!$A:$R,18,FALSE)="叶龙",1,$N88))*(1-$M88)</f>
        <v>0</v>
      </c>
      <c r="CV88" s="103">
        <f>CO88*IF(VLOOKUP($E88,武器奇术!$A:$R,17,FALSE)="破竹",VLOOKUP($E88,武器奇术!$A:$R,4,FALSE),VLOOKUP($E88,武器奇术!$A:$R,2,FALSE))*(1+CQ88)*(1+CR88)*CS88*(1+$E$16+VLOOKUP($E88,武器奇术!$A:$R,8,FALSE))</f>
        <v>0</v>
      </c>
      <c r="CW88" s="104">
        <f t="shared" si="23"/>
        <v>0.8703</v>
      </c>
      <c r="CX88" s="103">
        <f>CP88*IF(VLOOKUP($E88,武器奇术!$A:$R,17,FALSE)="破竹",VLOOKUP($E88,武器奇术!$A:$R,4,FALSE),VLOOKUP($E88,武器奇术!$A:$R,2,FALSE))*(1+CQ88)*(1+CR88)*CS88*(1+$E$17+VLOOKUP($E88,武器奇术!$A:$R,10,FALSE))</f>
        <v>0</v>
      </c>
      <c r="CY88" s="104">
        <f t="shared" si="24"/>
        <v>0.0986</v>
      </c>
      <c r="CZ88" s="103">
        <f>CO88*IF(VLOOKUP($E88,武器奇术!$A:$R,17,FALSE)="破竹",VLOOKUP($E88,武器奇术!$A:$R,4,FALSE),VLOOKUP($E88,武器奇术!$A:$R,2,FALSE))*(1+CQ88)*(1+CR88)*CS88</f>
        <v>0</v>
      </c>
      <c r="DA88" s="104">
        <f t="shared" si="25"/>
        <v>0.0311</v>
      </c>
      <c r="DB88" s="112">
        <f t="shared" si="26"/>
        <v>0</v>
      </c>
      <c r="DC88" s="110">
        <f t="shared" si="40"/>
        <v>66</v>
      </c>
      <c r="DD88" s="102">
        <f t="shared" si="27"/>
        <v>125.8</v>
      </c>
      <c r="DE88" s="102">
        <f t="shared" si="41"/>
        <v>185.6</v>
      </c>
      <c r="DF88" s="104">
        <f>IF((IF(VLOOKUP($E88,武器奇术!$A:$R,17,FALSE)="鸣金",$D$7,0)+IF(VLOOKUP($E88,武器奇术!$A:$R,17,FALSE)="裂石",$D$9,0)+IF(VLOOKUP($E88,武器奇术!$A:$R,17,FALSE)="牵丝",$D$11,0)+IF(VLOOKUP($E88,武器奇术!$A:$R,17,FALSE)="破竹",$D$13,0)+$D$15-VLOOKUP($F$7,目标属性!$A:$R,6,FALSE))&gt;0,(IF(VLOOKUP($E88,武器奇术!$A:$R,17,FALSE)="鸣金",$D$7,0)+IF(VLOOKUP($E88,武器奇术!$A:$R,17,FALSE)="裂石",$D$9,0)+IF(VLOOKUP($E88,武器奇术!$A:$R,17,FALSE)="牵丝",$D$11,0)+IF(VLOOKUP($E88,武器奇术!$A:$R,17,FALSE)="破竹",$D$13,0)+$D$15-VLOOKUP($F$7,目标属性!$A:$R,6,FALSE))/200,(IF(VLOOKUP($E88,武器奇术!$A:$R,17,FALSE)="鸣金",$D$7,0)+IF(VLOOKUP($E88,武器奇术!$A:$R,17,FALSE)="裂石",$D$9,0)+IF(VLOOKUP($E88,武器奇术!$A:$R,17,FALSE)="牵丝",$D$11,0)+IF(VLOOKUP($E88,武器奇术!$A:$R,17,FALSE)="破竹",$D$13,0)+$D$15-VLOOKUP($F$7,目标属性!$A:$R,6,FALSE))/100)</f>
        <v>0.028</v>
      </c>
      <c r="DG88" s="111">
        <f>$E$11+IF($G$5="烟柳",IF(VLOOKUP($E88,武器奇术!$A:$T,20,FALSE)=1,0.1,0),0)</f>
        <v>0.248</v>
      </c>
      <c r="DH88" s="102">
        <v>1</v>
      </c>
      <c r="DI88" s="103">
        <f>DC88*IF(VLOOKUP($E88,武器奇术!$A:$R,17,FALSE)="牵丝",VLOOKUP($E88,武器奇术!$A:$R,4,FALSE),VLOOKUP($E88,武器奇术!$A:$R,2,FALSE))*(1+DF88)*(1+DG88)*DH88</f>
        <v>149.227876512</v>
      </c>
      <c r="DJ88" s="104">
        <f>(1-IF(VLOOKUP($E88,武器奇术!$A:$R,18,FALSE)="叶龙",1,$N88))*(1-$M88)</f>
        <v>0</v>
      </c>
      <c r="DK88" s="124">
        <f>DD88*IF(VLOOKUP($E88,武器奇术!$A:$R,17,FALSE)="牵丝",VLOOKUP($E88,武器奇术!$A:$R,4,FALSE),VLOOKUP($E88,武器奇术!$A:$R,2,FALSE))*(1+DF88)*(1+DG88)*DH88*(1+$E$16+VLOOKUP($E88,武器奇术!$A:$R,8,FALSE))</f>
        <v>570.012502998182</v>
      </c>
      <c r="DL88" s="104">
        <f t="shared" si="28"/>
        <v>0.8703</v>
      </c>
      <c r="DM88" s="103">
        <f>DE88*IF(VLOOKUP($E88,武器奇术!$A:$R,17,FALSE)="牵丝",VLOOKUP($E88,武器奇术!$A:$R,4,FALSE),VLOOKUP($E88,武器奇术!$A:$R,2,FALSE))*(1+DF88)*(1+DG88)*DH88*(1+$E$17+VLOOKUP($E88,武器奇术!$A:$R,10,FALSE))</f>
        <v>566.52328392192</v>
      </c>
      <c r="DN88" s="104">
        <f t="shared" si="29"/>
        <v>0.0986</v>
      </c>
      <c r="DO88" s="124">
        <f>DD88*IF(VLOOKUP($E88,武器奇术!$A:$R,17,FALSE)="牵丝",VLOOKUP($E88,武器奇术!$A:$R,4,FALSE),VLOOKUP($E88,武器奇术!$A:$R,2,FALSE))*(1+DF88)*(1+DG88)*DH88</f>
        <v>284.4373767456</v>
      </c>
      <c r="DP88" s="104">
        <f t="shared" si="30"/>
        <v>0.0311</v>
      </c>
      <c r="DQ88" s="112">
        <f t="shared" si="31"/>
        <v>560.787079570808</v>
      </c>
    </row>
    <row r="89" spans="1:121">
      <c r="A89" s="37"/>
      <c r="B89" t="s">
        <v>152</v>
      </c>
      <c r="C89">
        <v>1.25</v>
      </c>
      <c r="D89" s="139"/>
      <c r="E89" s="115" t="s">
        <v>144</v>
      </c>
      <c r="F89" s="116">
        <v>1</v>
      </c>
      <c r="G89" s="117"/>
      <c r="H89" s="140">
        <f>IF(VLOOKUP($E89,武器奇术!$A:$R,18,FALSE)="天工",AE89,(AE89+AT89+BI89+BX89+CM89+DB89+DQ89))*(1+J89)*F89*K89*(1+G89)*(1+$G$21*5%)</f>
        <v>101015.434678772</v>
      </c>
      <c r="I89" s="104">
        <f t="shared" si="42"/>
        <v>0.0116420245909924</v>
      </c>
      <c r="J89" s="104">
        <f>$F$3+VLOOKUP($E89,武器奇术!$A:$R,12,FALSE)+VLOOKUP($E89,武器奇术!$A:$R,14,FALSE)*$G$3+$P89</f>
        <v>1.103</v>
      </c>
      <c r="K89" s="105">
        <f>VLOOKUP($E89,武器奇术!$A:$R,11,FALSE)</f>
        <v>1</v>
      </c>
      <c r="L89" s="119">
        <f>IF(VLOOKUP($E89,武器奇术!$A:$R,15,FALSE)="天工",0%,IF($C$17+VLOOKUP($E89,武器奇术!$A:$R,7,FALSE)&gt;80%,80%,$C$17+VLOOKUP($E89,武器奇术!$A:$R,7,FALSE))+IF($C$19&gt;20%,20%,$C$19))</f>
        <v>0.8703</v>
      </c>
      <c r="M89" s="120">
        <f>IF(VLOOKUP($E89,武器奇术!$A:$R,15,FALSE)="天工",0%,IF($C$18+VLOOKUP($E89,武器奇术!$A:$R,9,FALSE)&gt;40%,40%,$C$18+VLOOKUP($E89,武器奇术!$A:$R,9,FALSE))+IF($C$20&gt;10%,10%,$C$20))</f>
        <v>0.0986</v>
      </c>
      <c r="N89" s="121">
        <f>IF(VLOOKUP($E89,武器奇术!$A:$R,15,FALSE)="天工",100%,MIN($C$16,1))</f>
        <v>1</v>
      </c>
      <c r="O89" s="122" t="str">
        <f>VLOOKUP($E89,武器奇术!$A:$R,16,FALSE)</f>
        <v>伞</v>
      </c>
      <c r="P89" s="123">
        <f t="shared" si="44"/>
        <v>0.17</v>
      </c>
      <c r="Q89" s="110">
        <f>$B$5*(1+VLOOKUP($E89,武器奇术!$A:$R,5,FALSE))*(1+VLOOKUP($E89,武器奇术!$A:$S,19,FALSE)+IF($G$5="飞隼",0.1,0)+IF($G$5="撼天",0.05,0))-$F$9+IF($J$5="√",160,0)</f>
        <v>3324.7</v>
      </c>
      <c r="R89" s="102">
        <f>IF(VLOOKUP($E89,武器奇术!$A:$Z,18,FALSE)="叶龙",(S89-(Q89+S89)*0.5)*($G$15-0.5)*2+(Q89+S89)*0.5,(Q89+S89)*0.5)</f>
        <v>3404.7</v>
      </c>
      <c r="S89" s="102">
        <f>MAX($C$5,$B$5)*(1+VLOOKUP($E89,武器奇术!$A:$R,6,FALSE))*(1+VLOOKUP($E89,武器奇术!$A:$S,19,FALSE)+IF($G$5="飞隼",0.1,0)+IF($G$5="撼天",0.05,0))-$F$9+IF($J$5="√",320,0)</f>
        <v>3484.7</v>
      </c>
      <c r="T89" s="104">
        <f>IF(($D$5+VLOOKUP($E89,武器奇术!$A:$R,13,FALSE)+IF($I$3="√",10,0)-VLOOKUP($F$7,目标属性!$A:$R,5,FALSE))&gt;0,($D$5+VLOOKUP($E89,武器奇术!$A:$R,13,FALSE)+IF($I$3="√",10,0)-VLOOKUP($F$7,目标属性!$A:$R,5,FALSE))/200,($D$5+VLOOKUP($E89,武器奇术!$A:$R,13,FALSE)+IF($I$3="√",10,0)-VLOOKUP($F$7,目标属性!$A:$R,5,FALSE))/100)</f>
        <v>0.2925</v>
      </c>
      <c r="U89" s="111">
        <f>$E$5+IF($G$5="烟柳",IF(VLOOKUP($E89,武器奇术!$A:$T,20,FALSE)=1,0.1,0),0)</f>
        <v>0.1</v>
      </c>
      <c r="V89" s="102">
        <v>1</v>
      </c>
      <c r="W89" s="103">
        <f>Q89*VLOOKUP($E89,武器奇术!$A:$R,2,FALSE)*(1+T89)*(1+U89)*V89</f>
        <v>11059.5097388325</v>
      </c>
      <c r="X89" s="104">
        <f>(1-IF(VLOOKUP($E89,武器奇术!$A:$R,18,FALSE)="叶龙",1,$N89))*(1-$M89)</f>
        <v>0</v>
      </c>
      <c r="Y89" s="103">
        <f>R89*VLOOKUP($E89,武器奇术!$A:$R,2,FALSE)*(1+T89)*(1+U89)*V89*(1+$E$16+VLOOKUP($E89,武器奇术!$A:$R,8,FALSE))</f>
        <v>22696.5569425323</v>
      </c>
      <c r="Z89" s="104">
        <f t="shared" si="33"/>
        <v>0.8703</v>
      </c>
      <c r="AA89" s="103">
        <f>S89*VLOOKUP($E89,武器奇术!$A:$R,2,FALSE)*(1+T89)*(1+U89)*V89*(1+$E$17+VLOOKUP($E89,武器奇术!$A:$R,10,FALSE))</f>
        <v>15648.8553380239</v>
      </c>
      <c r="AB89" s="104">
        <f t="shared" si="34"/>
        <v>0.0986</v>
      </c>
      <c r="AC89" s="103">
        <f>R89*VLOOKUP($E89,武器奇术!$A:$R,2,FALSE)*(1+T89)*(1+U89)*V89</f>
        <v>11325.6272168325</v>
      </c>
      <c r="AD89" s="104">
        <f t="shared" si="35"/>
        <v>0.0311</v>
      </c>
      <c r="AE89" s="112">
        <f t="shared" si="36"/>
        <v>21648.0176498585</v>
      </c>
      <c r="AF89" s="113">
        <f>VLOOKUP($E89,武器奇术!$A:$R,3,FALSE)*(1+IF(VLOOKUP($E89,武器奇术!$A:$R,15,FALSE)="武器",$E$15,0))</f>
        <v>842.4</v>
      </c>
      <c r="AG89" s="103">
        <f t="shared" si="1"/>
        <v>842.4</v>
      </c>
      <c r="AH89" s="103">
        <f>VLOOKUP($E89,武器奇术!$A:$R,3,FALSE)*(1+IF(VLOOKUP($E89,武器奇术!$A:$R,15,FALSE)="武器",$E$15,0))</f>
        <v>842.4</v>
      </c>
      <c r="AI89" s="104">
        <f>IF(($D$5+VLOOKUP($E89,武器奇术!$A:$R,13,FALSE)+IF($I$3="√",10,0)-VLOOKUP($F$7,目标属性!$A:$R,5,FALSE))&gt;0,($D$5+VLOOKUP($E89,武器奇术!$A:$R,13,FALSE)+IF($I$3="√",10,0)-VLOOKUP($F$7,目标属性!$A:$R,5,FALSE))/200,($D$5+VLOOKUP($E89,武器奇术!$A:$R,13,FALSE)+IF($I$3="√",10,0)-VLOOKUP($F$7,目标属性!$A:$R,5,FALSE))/100)</f>
        <v>0.2925</v>
      </c>
      <c r="AJ89" s="111">
        <f>$E$5+IF($G$5="烟柳",IF(VLOOKUP($E89,武器奇术!$A:$T,20,FALSE)=1,0.1,0),0)</f>
        <v>0.1</v>
      </c>
      <c r="AK89" s="102">
        <v>1</v>
      </c>
      <c r="AL89" s="103">
        <f t="shared" si="45"/>
        <v>1197.6822</v>
      </c>
      <c r="AM89" s="104">
        <f>(1-IF(VLOOKUP($E89,武器奇术!$A:$R,18,FALSE)="叶龙",1,$N89))*(1-$M89)</f>
        <v>0</v>
      </c>
      <c r="AN89" s="103">
        <f>AG89*(1+AI89)*(1+AJ89)*AK89*(1+$E$16+VLOOKUP($E89,武器奇术!$A:$R,8,FALSE))</f>
        <v>2400.1551288</v>
      </c>
      <c r="AO89" s="104">
        <f t="shared" si="2"/>
        <v>0.8703</v>
      </c>
      <c r="AP89" s="103">
        <f>AH89*(1+AI89)*(1+AJ89)*AK89*(1+$E$17+VLOOKUP($E89,武器奇术!$A:$R,10,FALSE))</f>
        <v>1616.87097</v>
      </c>
      <c r="AQ89" s="104">
        <f t="shared" si="3"/>
        <v>0.0986</v>
      </c>
      <c r="AR89" s="103">
        <f t="shared" si="38"/>
        <v>1197.6822</v>
      </c>
      <c r="AS89" s="104">
        <f t="shared" si="4"/>
        <v>0.0311</v>
      </c>
      <c r="AT89" s="112">
        <f t="shared" si="5"/>
        <v>2285.52640265664</v>
      </c>
      <c r="AU89" s="110">
        <f>$B$7*IF($G$5="撼天",1.05,1)+IF(AND(VLOOKUP($E89,武器奇术!$A:$R,15,FALSE)="武器",VLOOKUP($E89,武器奇术!$A:$R,17,FALSE)="鸣金"),$E$3*(1+$E$15),0)</f>
        <v>0</v>
      </c>
      <c r="AV89" s="102">
        <f t="shared" si="6"/>
        <v>0</v>
      </c>
      <c r="AW89" s="102">
        <f>MAX($C$7*IF($G$5="撼天",1.05,1)+IF(AND(VLOOKUP($E89,武器奇术!$A:$R,15,FALSE)="武器",VLOOKUP($E89,武器奇术!$A:$R,17,FALSE)="鸣金"),$E$3*(1+$E$15),0),AU89)</f>
        <v>0</v>
      </c>
      <c r="AX89" s="104">
        <f>IF(($D$7+IF(VLOOKUP($E89,武器奇术!$A:$R,17,FALSE)="鸣金",$D$15,0)-VLOOKUP($F$7,目标属性!$A:$R,6,FALSE))&gt;0,($D$7+IF(VLOOKUP($E89,武器奇术!$A:$R,17,FALSE)="鸣金",$D$15,0)-VLOOKUP($F$7,目标属性!$A:$R,6,FALSE))/200,($D$7+IF(VLOOKUP($E89,武器奇术!$A:$R,17,FALSE)="鸣金",$D$15,0)-VLOOKUP($F$7,目标属性!$A:$R,6,FALSE))/100)</f>
        <v>-0.24</v>
      </c>
      <c r="AY89" s="111">
        <f t="shared" si="7"/>
        <v>0</v>
      </c>
      <c r="AZ89" s="102">
        <v>1</v>
      </c>
      <c r="BA89" s="103">
        <f>AU89*IF(VLOOKUP($E89,武器奇术!$A:$R,17,FALSE)="鸣金",VLOOKUP($E89,武器奇术!$A:$R,4,FALSE),VLOOKUP($E89,武器奇术!$A:$R,2,FALSE))*(1+AX89)*(1+AY89)*AZ89</f>
        <v>0</v>
      </c>
      <c r="BB89" s="104">
        <f>(1-IF(VLOOKUP($E89,武器奇术!$A:$R,18,FALSE)="叶龙",1,$N89))*(1-$M89)</f>
        <v>0</v>
      </c>
      <c r="BC89" s="103">
        <f>AV89*IF(VLOOKUP($E89,武器奇术!$A:$R,17,FALSE)="鸣金",VLOOKUP($E89,武器奇术!$A:$R,4,FALSE),VLOOKUP($E89,武器奇术!$A:$R,2,FALSE))*(1+AX89)*(1+AY89)*AZ89*(1+$E$16+VLOOKUP($E89,武器奇术!$A:$R,8,FALSE))</f>
        <v>0</v>
      </c>
      <c r="BD89" s="104">
        <f t="shared" si="8"/>
        <v>0.8703</v>
      </c>
      <c r="BE89" s="103">
        <f>AW89*IF(VLOOKUP($E89,武器奇术!$A:$R,17,FALSE)="鸣金",VLOOKUP($E89,武器奇术!$A:$R,4,FALSE),VLOOKUP($E89,武器奇术!$A:$R,2,FALSE))*(1+AX89)*(1+AY89)*AZ89*(1+$E$17+VLOOKUP($E89,武器奇术!$A:$R,10,FALSE))</f>
        <v>0</v>
      </c>
      <c r="BF89" s="104">
        <f t="shared" si="9"/>
        <v>0.0986</v>
      </c>
      <c r="BG89" s="103">
        <f>AV89*IF(VLOOKUP($E89,武器奇术!$A:$R,17,FALSE)="鸣金",VLOOKUP($E89,武器奇术!$A:$R,4,FALSE),VLOOKUP($E89,武器奇术!$A:$R,2,FALSE))*(1+AX89)*(1+AY89)*AZ89</f>
        <v>0</v>
      </c>
      <c r="BH89" s="104">
        <f t="shared" si="10"/>
        <v>0.0311</v>
      </c>
      <c r="BI89" s="112">
        <f t="shared" si="11"/>
        <v>0</v>
      </c>
      <c r="BJ89" s="110">
        <f>$B$9*IF($G$5="撼天",1.05,1)+IF(AND(VLOOKUP($E89,武器奇术!$A:$R,15,FALSE)="武器",VLOOKUP($E89,武器奇术!$A:$R,17,FALSE)="裂石"),$E$3*(1+$E$15),0)</f>
        <v>0</v>
      </c>
      <c r="BK89" s="102">
        <f t="shared" si="12"/>
        <v>0</v>
      </c>
      <c r="BL89" s="102">
        <f>MAX($C$9*IF($G$5="撼天",1.05,1)+IF(AND(VLOOKUP($E89,武器奇术!$A:$R,15,FALSE)="武器",VLOOKUP($E89,武器奇术!$A:$R,17,FALSE)="裂石"),$E$3*(1+$E$15),0),BJ89)</f>
        <v>0</v>
      </c>
      <c r="BM89" s="104">
        <f>IF(($D$9+IF(VLOOKUP($E89,武器奇术!$A:$R,17,FALSE)="裂石",$D$15,0)-VLOOKUP($F$7,目标属性!$A:$R,6,FALSE))&gt;0,($D$9+IF(VLOOKUP($E89,武器奇术!$A:$R,17,FALSE)="裂石",$D$15,0)-VLOOKUP($F$7,目标属性!$A:$R,6,FALSE))/200,($D$9+IF(VLOOKUP($E89,武器奇术!$A:$R,17,FALSE)="裂石",$D$15,0)-VLOOKUP($F$7,目标属性!$A:$R,6,FALSE))/100)</f>
        <v>-0.24</v>
      </c>
      <c r="BN89" s="111">
        <f t="shared" si="13"/>
        <v>0</v>
      </c>
      <c r="BO89" s="102">
        <v>1</v>
      </c>
      <c r="BP89" s="103">
        <f>BJ89*IF(VLOOKUP($E89,武器奇术!$A:$R,17,FALSE)="裂石",VLOOKUP($E89,武器奇术!$A:$R,4,FALSE),VLOOKUP($E89,武器奇术!$A:$R,2,FALSE))*(1+BM89)*(1+BN89)*BO89</f>
        <v>0</v>
      </c>
      <c r="BQ89" s="104">
        <f>(1-IF(VLOOKUP($E89,武器奇术!$A:$R,18,FALSE)="叶龙",1,$N89))*(1-$M89)</f>
        <v>0</v>
      </c>
      <c r="BR89" s="103">
        <f>BK89*IF(VLOOKUP($E89,武器奇术!$A:$R,17,FALSE)="裂石",VLOOKUP($E89,武器奇术!$A:$R,4,FALSE),VLOOKUP($E89,武器奇术!$A:$R,2,FALSE))*(1+BM89)*(1+BN89)*BO89*(1+$E$16+VLOOKUP($E89,武器奇术!$A:$R,8,FALSE))</f>
        <v>0</v>
      </c>
      <c r="BS89" s="104">
        <f t="shared" si="14"/>
        <v>0.8703</v>
      </c>
      <c r="BT89" s="103">
        <f>BL89*IF(VLOOKUP($E89,武器奇术!$A:$R,17,FALSE)="裂石",VLOOKUP($E89,武器奇术!$A:$R,4,FALSE),VLOOKUP($E89,武器奇术!$A:$R,2,FALSE))*(1+BM89)*(1+BN89)*BO89*(1+$E$17+VLOOKUP($E89,武器奇术!$A:$R,10,FALSE))</f>
        <v>0</v>
      </c>
      <c r="BU89" s="104">
        <f t="shared" si="15"/>
        <v>0.0986</v>
      </c>
      <c r="BV89" s="103">
        <f>BK89*IF(VLOOKUP($E89,武器奇术!$A:$R,17,FALSE)="裂石",VLOOKUP($E89,武器奇术!$A:$R,4,FALSE),VLOOKUP($E89,武器奇术!$A:$R,2,FALSE))*(1+BM89)*(1+BN89)*BO89</f>
        <v>0</v>
      </c>
      <c r="BW89" s="104">
        <f t="shared" si="16"/>
        <v>0.0311</v>
      </c>
      <c r="BX89" s="112">
        <f t="shared" si="17"/>
        <v>0</v>
      </c>
      <c r="BY89" s="110">
        <f>$B$11*IF($G$5="撼天",1.05,1)+IF(AND(VLOOKUP($E89,武器奇术!$A:$R,15,FALSE)="武器",VLOOKUP($E89,武器奇术!$A:$R,17,FALSE)="牵丝"),$E$3*(1+$E$15),0)</f>
        <v>686.71</v>
      </c>
      <c r="BZ89" s="102">
        <f>IF(VLOOKUP($E89,武器奇术!$A:$Z,18,FALSE)="叶龙",(CA89-(BY89+CA89)*0.5)*($G$15-0.5)*2+(BY89+CA89)*0.5,(BY89+CA89)*0.5)</f>
        <v>1052.21</v>
      </c>
      <c r="CA89" s="102">
        <f>MAX($C$11*IF($G$5="撼天",1.05,1)+IF(AND(VLOOKUP($E89,武器奇术!$A:$R,15,FALSE)="武器",VLOOKUP($E89,武器奇术!$A:$R,17,FALSE)="牵丝"),$E$3*(1+$E$15),0),BY89)</f>
        <v>1417.71</v>
      </c>
      <c r="CB89" s="104">
        <f>IF(($D$11+IF(VLOOKUP($E89,武器奇术!$A:$R,17,FALSE)="牵丝",$D$15,0)-VLOOKUP($F$7,目标属性!$A:$R,6,FALSE))&gt;0,($D$11+IF(VLOOKUP($E89,武器奇术!$A:$R,17,FALSE)="牵丝",$D$15,0)-VLOOKUP($F$7,目标属性!$A:$R,6,FALSE))/200,($D$11+IF(VLOOKUP($E89,武器奇术!$A:$R,17,FALSE)="牵丝",$D$15,0)-VLOOKUP($F$7,目标属性!$A:$R,6,FALSE))/100)</f>
        <v>0.028</v>
      </c>
      <c r="CC89" s="111">
        <f>$E$11+IF($G$5="烟柳",IF(VLOOKUP($E89,武器奇术!$A:$T,20,FALSE)=1,0.1,0),0)</f>
        <v>0.248</v>
      </c>
      <c r="CD89" s="102">
        <v>1</v>
      </c>
      <c r="CE89" s="103">
        <f>BY89*IF(VLOOKUP($E89,武器奇术!$A:$R,17,FALSE)="牵丝",VLOOKUP($E89,武器奇术!$A:$R,4,FALSE),VLOOKUP($E89,武器奇术!$A:$R,2,FALSE))*(1+CB89)*(1+CC89)*CD89</f>
        <v>3091.90625934528</v>
      </c>
      <c r="CF89" s="104">
        <f>(1-IF(VLOOKUP($E89,武器奇术!$A:$R,18,FALSE)="叶龙",1,$N89))*(1-$M89)</f>
        <v>0</v>
      </c>
      <c r="CG89" s="124">
        <f>BZ89*IF(VLOOKUP($E89,武器奇术!$A:$R,17,FALSE)="牵丝",VLOOKUP($E89,武器奇术!$A:$R,4,FALSE),VLOOKUP($E89,武器奇术!$A:$R,2,FALSE))*(1+CB89)*(1+CC89)*CD89*(1+$E$16+VLOOKUP($E89,武器奇术!$A:$R,8,FALSE))</f>
        <v>9494.08441559316</v>
      </c>
      <c r="CH89" s="104">
        <f t="shared" si="18"/>
        <v>0.8703</v>
      </c>
      <c r="CI89" s="103">
        <f>CA89*IF(VLOOKUP($E89,武器奇术!$A:$R,17,FALSE)="牵丝",VLOOKUP($E89,武器奇术!$A:$R,4,FALSE),VLOOKUP($E89,武器奇术!$A:$R,2,FALSE))*(1+CB89)*(1+CC89)*CD89*(1+$E$17+VLOOKUP($E89,武器奇术!$A:$R,10,FALSE))</f>
        <v>8617.35764873693</v>
      </c>
      <c r="CJ89" s="104">
        <f t="shared" si="19"/>
        <v>0.0986</v>
      </c>
      <c r="CK89" s="124">
        <f>BZ89*IF(VLOOKUP($E89,武器奇术!$A:$R,17,FALSE)="牵丝",VLOOKUP($E89,武器奇术!$A:$R,4,FALSE),VLOOKUP($E89,武器奇术!$A:$R,2,FALSE))*(1+CB89)*(1+CC89)*CD89</f>
        <v>4737.56707364928</v>
      </c>
      <c r="CL89" s="104">
        <f t="shared" si="20"/>
        <v>0.0311</v>
      </c>
      <c r="CM89" s="112">
        <f t="shared" si="39"/>
        <v>9259.71146704668</v>
      </c>
      <c r="CN89" s="110">
        <f>$B$13*IF($G$5="撼天",1.05,1)+IF(AND(VLOOKUP($E89,武器奇术!$A:$R,15,FALSE)="武器",VLOOKUP($E89,武器奇术!$A:$R,17,FALSE)="破竹"),$E$3*(1+$E$15),0)</f>
        <v>0</v>
      </c>
      <c r="CO89" s="102">
        <f t="shared" si="21"/>
        <v>0</v>
      </c>
      <c r="CP89" s="102">
        <f>MAX($C$13*IF($G$5="撼天",1.05,1)+IF(AND(VLOOKUP($E89,武器奇术!$A:$R,15,FALSE)="武器",VLOOKUP($E89,武器奇术!$A:$R,17,FALSE)="破竹"),$E$3*(1+$E$15),0),CN89)</f>
        <v>0</v>
      </c>
      <c r="CQ89" s="104">
        <f>IF(($D$13+IF(VLOOKUP($E89,武器奇术!$A:$R,17,FALSE)="破竹",$D$15,0)-VLOOKUP($F$7,目标属性!$A:$R,6,FALSE))&gt;0,($D$13+IF(VLOOKUP($E89,武器奇术!$A:$R,17,FALSE)="破竹",$D$15,0)-VLOOKUP($F$7,目标属性!$A:$R,6,FALSE))/200,($D$13+IF(VLOOKUP($E89,武器奇术!$A:$R,17,FALSE)="破竹",$D$15,0)-VLOOKUP($F$7,目标属性!$A:$R,6,FALSE))/100)</f>
        <v>-0.24</v>
      </c>
      <c r="CR89" s="111">
        <f t="shared" si="22"/>
        <v>0</v>
      </c>
      <c r="CS89" s="102">
        <v>1</v>
      </c>
      <c r="CT89" s="103">
        <f>CN89*IF(VLOOKUP($E89,武器奇术!$A:$R,17,FALSE)="破竹",VLOOKUP($E89,武器奇术!$A:$R,4,FALSE),VLOOKUP($E89,武器奇术!$A:$R,2,FALSE))*(1+CQ89)*(1+CR89)*CS89</f>
        <v>0</v>
      </c>
      <c r="CU89" s="104">
        <f>(1-IF(VLOOKUP($E89,武器奇术!$A:$R,18,FALSE)="叶龙",1,$N89))*(1-$M89)</f>
        <v>0</v>
      </c>
      <c r="CV89" s="103">
        <f>CO89*IF(VLOOKUP($E89,武器奇术!$A:$R,17,FALSE)="破竹",VLOOKUP($E89,武器奇术!$A:$R,4,FALSE),VLOOKUP($E89,武器奇术!$A:$R,2,FALSE))*(1+CQ89)*(1+CR89)*CS89*(1+$E$16+VLOOKUP($E89,武器奇术!$A:$R,8,FALSE))</f>
        <v>0</v>
      </c>
      <c r="CW89" s="104">
        <f t="shared" si="23"/>
        <v>0.8703</v>
      </c>
      <c r="CX89" s="103">
        <f>CP89*IF(VLOOKUP($E89,武器奇术!$A:$R,17,FALSE)="破竹",VLOOKUP($E89,武器奇术!$A:$R,4,FALSE),VLOOKUP($E89,武器奇术!$A:$R,2,FALSE))*(1+CQ89)*(1+CR89)*CS89*(1+$E$17+VLOOKUP($E89,武器奇术!$A:$R,10,FALSE))</f>
        <v>0</v>
      </c>
      <c r="CY89" s="104">
        <f t="shared" si="24"/>
        <v>0.0986</v>
      </c>
      <c r="CZ89" s="103">
        <f>CO89*IF(VLOOKUP($E89,武器奇术!$A:$R,17,FALSE)="破竹",VLOOKUP($E89,武器奇术!$A:$R,4,FALSE),VLOOKUP($E89,武器奇术!$A:$R,2,FALSE))*(1+CQ89)*(1+CR89)*CS89</f>
        <v>0</v>
      </c>
      <c r="DA89" s="104">
        <f t="shared" si="25"/>
        <v>0.0311</v>
      </c>
      <c r="DB89" s="112">
        <f t="shared" si="26"/>
        <v>0</v>
      </c>
      <c r="DC89" s="110">
        <f t="shared" si="40"/>
        <v>66</v>
      </c>
      <c r="DD89" s="102">
        <f t="shared" si="27"/>
        <v>125.8</v>
      </c>
      <c r="DE89" s="102">
        <f t="shared" si="41"/>
        <v>185.6</v>
      </c>
      <c r="DF89" s="104">
        <f>IF((IF(VLOOKUP($E89,武器奇术!$A:$R,17,FALSE)="鸣金",$D$7,0)+IF(VLOOKUP($E89,武器奇术!$A:$R,17,FALSE)="裂石",$D$9,0)+IF(VLOOKUP($E89,武器奇术!$A:$R,17,FALSE)="牵丝",$D$11,0)+IF(VLOOKUP($E89,武器奇术!$A:$R,17,FALSE)="破竹",$D$13,0)+$D$15-VLOOKUP($F$7,目标属性!$A:$R,6,FALSE))&gt;0,(IF(VLOOKUP($E89,武器奇术!$A:$R,17,FALSE)="鸣金",$D$7,0)+IF(VLOOKUP($E89,武器奇术!$A:$R,17,FALSE)="裂石",$D$9,0)+IF(VLOOKUP($E89,武器奇术!$A:$R,17,FALSE)="牵丝",$D$11,0)+IF(VLOOKUP($E89,武器奇术!$A:$R,17,FALSE)="破竹",$D$13,0)+$D$15-VLOOKUP($F$7,目标属性!$A:$R,6,FALSE))/200,(IF(VLOOKUP($E89,武器奇术!$A:$R,17,FALSE)="鸣金",$D$7,0)+IF(VLOOKUP($E89,武器奇术!$A:$R,17,FALSE)="裂石",$D$9,0)+IF(VLOOKUP($E89,武器奇术!$A:$R,17,FALSE)="牵丝",$D$11,0)+IF(VLOOKUP($E89,武器奇术!$A:$R,17,FALSE)="破竹",$D$13,0)+$D$15-VLOOKUP($F$7,目标属性!$A:$R,6,FALSE))/100)</f>
        <v>0.028</v>
      </c>
      <c r="DG89" s="111">
        <f>$E$11+IF($G$5="烟柳",IF(VLOOKUP($E89,武器奇术!$A:$T,20,FALSE)=1,0.1,0),0)</f>
        <v>0.248</v>
      </c>
      <c r="DH89" s="102">
        <v>1</v>
      </c>
      <c r="DI89" s="103">
        <f>DC89*IF(VLOOKUP($E89,武器奇术!$A:$R,17,FALSE)="牵丝",VLOOKUP($E89,武器奇术!$A:$R,4,FALSE),VLOOKUP($E89,武器奇术!$A:$R,2,FALSE))*(1+DF89)*(1+DG89)*DH89</f>
        <v>297.164469888</v>
      </c>
      <c r="DJ89" s="104">
        <f>(1-IF(VLOOKUP($E89,武器奇术!$A:$R,18,FALSE)="叶龙",1,$N89))*(1-$M89)</f>
        <v>0</v>
      </c>
      <c r="DK89" s="124">
        <f>DD89*IF(VLOOKUP($E89,武器奇术!$A:$R,17,FALSE)="牵丝",VLOOKUP($E89,武器奇术!$A:$R,4,FALSE),VLOOKUP($E89,武器奇术!$A:$R,2,FALSE))*(1+DF89)*(1+DG89)*DH89*(1+$E$16+VLOOKUP($E89,武器奇术!$A:$R,8,FALSE))</f>
        <v>1135.0926331071</v>
      </c>
      <c r="DL89" s="104">
        <f t="shared" si="28"/>
        <v>0.8703</v>
      </c>
      <c r="DM89" s="103">
        <f>DE89*IF(VLOOKUP($E89,武器奇术!$A:$R,17,FALSE)="牵丝",VLOOKUP($E89,武器奇术!$A:$R,4,FALSE),VLOOKUP($E89,武器奇术!$A:$R,2,FALSE))*(1+DF89)*(1+DG89)*DH89*(1+$E$17+VLOOKUP($E89,武器奇术!$A:$R,10,FALSE))</f>
        <v>1128.14438750208</v>
      </c>
      <c r="DN89" s="104">
        <f t="shared" si="29"/>
        <v>0.0986</v>
      </c>
      <c r="DO89" s="124">
        <f>DD89*IF(VLOOKUP($E89,武器奇术!$A:$R,17,FALSE)="牵丝",VLOOKUP($E89,武器奇术!$A:$R,4,FALSE),VLOOKUP($E89,武器奇术!$A:$R,2,FALSE))*(1+DF89)*(1+DG89)*DH89</f>
        <v>566.4134895744</v>
      </c>
      <c r="DP89" s="104">
        <f t="shared" si="30"/>
        <v>0.0311</v>
      </c>
      <c r="DQ89" s="112">
        <f t="shared" si="31"/>
        <v>1116.72161472658</v>
      </c>
    </row>
    <row r="90" spans="1:121">
      <c r="A90" s="37"/>
      <c r="B90" t="s">
        <v>165</v>
      </c>
      <c r="C90" s="141">
        <v>1.3</v>
      </c>
      <c r="E90" s="115" t="s">
        <v>155</v>
      </c>
      <c r="F90" s="116">
        <v>1</v>
      </c>
      <c r="G90" s="117"/>
      <c r="H90" s="140">
        <f>IF(VLOOKUP($E90,武器奇术!$A:$R,18,FALSE)="天工",AE90,(AE90+AT90+BI90+BX90+CM90+DB90+DQ90))*(1+J90)*F90*K90*(1+G90)*(1+$G$21*5%)</f>
        <v>125733.341444304</v>
      </c>
      <c r="I90" s="104">
        <f t="shared" si="42"/>
        <v>0.0144907623043653</v>
      </c>
      <c r="J90" s="104">
        <f>$F$3+VLOOKUP($E90,武器奇术!$A:$R,12,FALSE)+VLOOKUP($E90,武器奇术!$A:$R,14,FALSE)*$G$3+$P90</f>
        <v>1.203</v>
      </c>
      <c r="K90" s="105">
        <f>VLOOKUP($E90,武器奇术!$A:$R,11,FALSE)</f>
        <v>1</v>
      </c>
      <c r="L90" s="119">
        <f>IF(VLOOKUP($E90,武器奇术!$A:$R,15,FALSE)="天工",0%,IF($C$17+VLOOKUP($E90,武器奇术!$A:$R,7,FALSE)&gt;80%,80%,$C$17+VLOOKUP($E90,武器奇术!$A:$R,7,FALSE))+IF($C$19&gt;20%,20%,$C$19))</f>
        <v>0.8703</v>
      </c>
      <c r="M90" s="120">
        <f>IF(VLOOKUP($E90,武器奇术!$A:$R,15,FALSE)="天工",0%,IF($C$18+VLOOKUP($E90,武器奇术!$A:$R,9,FALSE)&gt;40%,40%,$C$18+VLOOKUP($E90,武器奇术!$A:$R,9,FALSE))+IF($C$20&gt;10%,10%,$C$20))</f>
        <v>0.0986</v>
      </c>
      <c r="N90" s="121">
        <f>IF(VLOOKUP($E90,武器奇术!$A:$R,15,FALSE)="天工",100%,MIN($C$16,1))</f>
        <v>1</v>
      </c>
      <c r="O90" s="122" t="str">
        <f>VLOOKUP($E90,武器奇术!$A:$R,16,FALSE)</f>
        <v>伞</v>
      </c>
      <c r="P90" s="123">
        <f t="shared" si="44"/>
        <v>0.17</v>
      </c>
      <c r="Q90" s="110">
        <f>$B$5*(1+VLOOKUP($E90,武器奇术!$A:$R,5,FALSE))*(1+VLOOKUP($E90,武器奇术!$A:$S,19,FALSE)+IF($G$5="飞隼",0.1,0)+IF($G$5="撼天",0.05,0))-$F$9+IF($J$5="√",160,0)</f>
        <v>3324.7</v>
      </c>
      <c r="R90" s="102">
        <f>IF(VLOOKUP($E90,武器奇术!$A:$Z,18,FALSE)="叶龙",(S90-(Q90+S90)*0.5)*($G$15-0.5)*2+(Q90+S90)*0.5,(Q90+S90)*0.5)</f>
        <v>3404.7</v>
      </c>
      <c r="S90" s="102">
        <f>MAX($C$5,$B$5)*(1+VLOOKUP($E90,武器奇术!$A:$R,6,FALSE))*(1+VLOOKUP($E90,武器奇术!$A:$S,19,FALSE)+IF($G$5="飞隼",0.1,0)+IF($G$5="撼天",0.05,0))-$F$9+IF($J$5="√",320,0)</f>
        <v>3484.7</v>
      </c>
      <c r="T90" s="104">
        <f>IF(($D$5+VLOOKUP($E90,武器奇术!$A:$R,13,FALSE)+IF($I$3="√",10,0)-VLOOKUP($F$7,目标属性!$A:$R,5,FALSE))&gt;0,($D$5+VLOOKUP($E90,武器奇术!$A:$R,13,FALSE)+IF($I$3="√",10,0)-VLOOKUP($F$7,目标属性!$A:$R,5,FALSE))/200,($D$5+VLOOKUP($E90,武器奇术!$A:$R,13,FALSE)+IF($I$3="√",10,0)-VLOOKUP($F$7,目标属性!$A:$R,5,FALSE))/100)</f>
        <v>0.4175</v>
      </c>
      <c r="U90" s="111">
        <f>$E$5+IF($G$5="烟柳",IF(VLOOKUP($E90,武器奇术!$A:$T,20,FALSE)=1,0.1,0),0)</f>
        <v>0.1</v>
      </c>
      <c r="V90" s="102">
        <v>1</v>
      </c>
      <c r="W90" s="103">
        <f>Q90*VLOOKUP($E90,武器奇术!$A:$R,2,FALSE)*(1+T90)*(1+U90)*V90</f>
        <v>12129.0948199575</v>
      </c>
      <c r="X90" s="104">
        <f>(1-IF(VLOOKUP($E90,武器奇术!$A:$R,18,FALSE)="叶龙",1,$N90))*(1-$M90)</f>
        <v>0</v>
      </c>
      <c r="Y90" s="103">
        <f>R90*VLOOKUP($E90,武器奇术!$A:$R,2,FALSE)*(1+T90)*(1+U90)*V90*(1+$E$16+VLOOKUP($E90,武器奇术!$A:$R,8,FALSE))</f>
        <v>27996.8190413962</v>
      </c>
      <c r="Z90" s="104">
        <f t="shared" si="33"/>
        <v>0.8703</v>
      </c>
      <c r="AA90" s="103">
        <f>S90*VLOOKUP($E90,武器奇术!$A:$R,2,FALSE)*(1+T90)*(1+U90)*V90*(1+$E$17+VLOOKUP($E90,武器奇术!$A:$R,10,FALSE))</f>
        <v>17162.2842875426</v>
      </c>
      <c r="AB90" s="104">
        <f t="shared" si="34"/>
        <v>0.0986</v>
      </c>
      <c r="AC90" s="103">
        <f>R90*VLOOKUP($E90,武器奇术!$A:$R,2,FALSE)*(1+T90)*(1+U90)*V90</f>
        <v>12420.9489979575</v>
      </c>
      <c r="AD90" s="104">
        <f t="shared" si="35"/>
        <v>0.0311</v>
      </c>
      <c r="AE90" s="112">
        <f t="shared" si="36"/>
        <v>26444.1243563153</v>
      </c>
      <c r="AF90" s="113">
        <f>VLOOKUP($E90,武器奇术!$A:$R,3,FALSE)*(1+IF(VLOOKUP($E90,武器奇术!$A:$R,15,FALSE)="武器",$E$15,0))</f>
        <v>842.4</v>
      </c>
      <c r="AG90" s="103">
        <f t="shared" si="1"/>
        <v>842.4</v>
      </c>
      <c r="AH90" s="103">
        <f>VLOOKUP($E90,武器奇术!$A:$R,3,FALSE)*(1+IF(VLOOKUP($E90,武器奇术!$A:$R,15,FALSE)="武器",$E$15,0))</f>
        <v>842.4</v>
      </c>
      <c r="AI90" s="104">
        <f>IF(($D$5+VLOOKUP($E90,武器奇术!$A:$R,13,FALSE)+IF($I$3="√",10,0)-VLOOKUP($F$7,目标属性!$A:$R,5,FALSE))&gt;0,($D$5+VLOOKUP($E90,武器奇术!$A:$R,13,FALSE)+IF($I$3="√",10,0)-VLOOKUP($F$7,目标属性!$A:$R,5,FALSE))/200,($D$5+VLOOKUP($E90,武器奇术!$A:$R,13,FALSE)+IF($I$3="√",10,0)-VLOOKUP($F$7,目标属性!$A:$R,5,FALSE))/100)</f>
        <v>0.4175</v>
      </c>
      <c r="AJ90" s="111">
        <f>$E$5+IF($G$5="烟柳",IF(VLOOKUP($E90,武器奇术!$A:$T,20,FALSE)=1,0.1,0),0)</f>
        <v>0.1</v>
      </c>
      <c r="AK90" s="102">
        <v>1</v>
      </c>
      <c r="AL90" s="103">
        <f t="shared" si="45"/>
        <v>1313.5122</v>
      </c>
      <c r="AM90" s="104">
        <f>(1-IF(VLOOKUP($E90,武器奇术!$A:$R,18,FALSE)="叶龙",1,$N90))*(1-$M90)</f>
        <v>0</v>
      </c>
      <c r="AN90" s="103">
        <f>AG90*(1+AI90)*(1+AJ90)*AK90*(1+$E$16+VLOOKUP($E90,武器奇术!$A:$R,8,FALSE))</f>
        <v>2960.6564988</v>
      </c>
      <c r="AO90" s="104">
        <f t="shared" si="2"/>
        <v>0.8703</v>
      </c>
      <c r="AP90" s="103">
        <f>AH90*(1+AI90)*(1+AJ90)*AK90*(1+$E$17+VLOOKUP($E90,武器奇术!$A:$R,10,FALSE))</f>
        <v>1773.24147</v>
      </c>
      <c r="AQ90" s="104">
        <f t="shared" si="3"/>
        <v>0.0986</v>
      </c>
      <c r="AR90" s="103">
        <f t="shared" si="38"/>
        <v>1313.5122</v>
      </c>
      <c r="AS90" s="104">
        <f t="shared" si="4"/>
        <v>0.0311</v>
      </c>
      <c r="AT90" s="112">
        <f t="shared" si="5"/>
        <v>2792.35118926764</v>
      </c>
      <c r="AU90" s="110">
        <f>$B$7*IF($G$5="撼天",1.05,1)+IF(AND(VLOOKUP($E90,武器奇术!$A:$R,15,FALSE)="武器",VLOOKUP($E90,武器奇术!$A:$R,17,FALSE)="鸣金"),$E$3*(1+$E$15),0)</f>
        <v>0</v>
      </c>
      <c r="AV90" s="102">
        <f t="shared" si="6"/>
        <v>0</v>
      </c>
      <c r="AW90" s="102">
        <f>MAX($C$7*IF($G$5="撼天",1.05,1)+IF(AND(VLOOKUP($E90,武器奇术!$A:$R,15,FALSE)="武器",VLOOKUP($E90,武器奇术!$A:$R,17,FALSE)="鸣金"),$E$3*(1+$E$15),0),AU90)</f>
        <v>0</v>
      </c>
      <c r="AX90" s="104">
        <f>IF(($D$7+IF(VLOOKUP($E90,武器奇术!$A:$R,17,FALSE)="鸣金",$D$15,0)-VLOOKUP($F$7,目标属性!$A:$R,6,FALSE))&gt;0,($D$7+IF(VLOOKUP($E90,武器奇术!$A:$R,17,FALSE)="鸣金",$D$15,0)-VLOOKUP($F$7,目标属性!$A:$R,6,FALSE))/200,($D$7+IF(VLOOKUP($E90,武器奇术!$A:$R,17,FALSE)="鸣金",$D$15,0)-VLOOKUP($F$7,目标属性!$A:$R,6,FALSE))/100)</f>
        <v>-0.24</v>
      </c>
      <c r="AY90" s="111">
        <f t="shared" si="7"/>
        <v>0</v>
      </c>
      <c r="AZ90" s="102">
        <v>1</v>
      </c>
      <c r="BA90" s="103">
        <f>AU90*IF(VLOOKUP($E90,武器奇术!$A:$R,17,FALSE)="鸣金",VLOOKUP($E90,武器奇术!$A:$R,4,FALSE),VLOOKUP($E90,武器奇术!$A:$R,2,FALSE))*(1+AX90)*(1+AY90)*AZ90</f>
        <v>0</v>
      </c>
      <c r="BB90" s="104">
        <f>(1-IF(VLOOKUP($E90,武器奇术!$A:$R,18,FALSE)="叶龙",1,$N90))*(1-$M90)</f>
        <v>0</v>
      </c>
      <c r="BC90" s="103">
        <f>AV90*IF(VLOOKUP($E90,武器奇术!$A:$R,17,FALSE)="鸣金",VLOOKUP($E90,武器奇术!$A:$R,4,FALSE),VLOOKUP($E90,武器奇术!$A:$R,2,FALSE))*(1+AX90)*(1+AY90)*AZ90*(1+$E$16+VLOOKUP($E90,武器奇术!$A:$R,8,FALSE))</f>
        <v>0</v>
      </c>
      <c r="BD90" s="104">
        <f t="shared" si="8"/>
        <v>0.8703</v>
      </c>
      <c r="BE90" s="103">
        <f>AW90*IF(VLOOKUP($E90,武器奇术!$A:$R,17,FALSE)="鸣金",VLOOKUP($E90,武器奇术!$A:$R,4,FALSE),VLOOKUP($E90,武器奇术!$A:$R,2,FALSE))*(1+AX90)*(1+AY90)*AZ90*(1+$E$17+VLOOKUP($E90,武器奇术!$A:$R,10,FALSE))</f>
        <v>0</v>
      </c>
      <c r="BF90" s="104">
        <f t="shared" si="9"/>
        <v>0.0986</v>
      </c>
      <c r="BG90" s="103">
        <f>AV90*IF(VLOOKUP($E90,武器奇术!$A:$R,17,FALSE)="鸣金",VLOOKUP($E90,武器奇术!$A:$R,4,FALSE),VLOOKUP($E90,武器奇术!$A:$R,2,FALSE))*(1+AX90)*(1+AY90)*AZ90</f>
        <v>0</v>
      </c>
      <c r="BH90" s="104">
        <f t="shared" si="10"/>
        <v>0.0311</v>
      </c>
      <c r="BI90" s="112">
        <f t="shared" si="11"/>
        <v>0</v>
      </c>
      <c r="BJ90" s="110">
        <f>$B$9*IF($G$5="撼天",1.05,1)+IF(AND(VLOOKUP($E90,武器奇术!$A:$R,15,FALSE)="武器",VLOOKUP($E90,武器奇术!$A:$R,17,FALSE)="裂石"),$E$3*(1+$E$15),0)</f>
        <v>0</v>
      </c>
      <c r="BK90" s="102">
        <f t="shared" si="12"/>
        <v>0</v>
      </c>
      <c r="BL90" s="102">
        <f>MAX($C$9*IF($G$5="撼天",1.05,1)+IF(AND(VLOOKUP($E90,武器奇术!$A:$R,15,FALSE)="武器",VLOOKUP($E90,武器奇术!$A:$R,17,FALSE)="裂石"),$E$3*(1+$E$15),0),BJ90)</f>
        <v>0</v>
      </c>
      <c r="BM90" s="104">
        <f>IF(($D$9+IF(VLOOKUP($E90,武器奇术!$A:$R,17,FALSE)="裂石",$D$15,0)-VLOOKUP($F$7,目标属性!$A:$R,6,FALSE))&gt;0,($D$9+IF(VLOOKUP($E90,武器奇术!$A:$R,17,FALSE)="裂石",$D$15,0)-VLOOKUP($F$7,目标属性!$A:$R,6,FALSE))/200,($D$9+IF(VLOOKUP($E90,武器奇术!$A:$R,17,FALSE)="裂石",$D$15,0)-VLOOKUP($F$7,目标属性!$A:$R,6,FALSE))/100)</f>
        <v>-0.24</v>
      </c>
      <c r="BN90" s="111">
        <f t="shared" si="13"/>
        <v>0</v>
      </c>
      <c r="BO90" s="102">
        <v>1</v>
      </c>
      <c r="BP90" s="103">
        <f>BJ90*IF(VLOOKUP($E90,武器奇术!$A:$R,17,FALSE)="裂石",VLOOKUP($E90,武器奇术!$A:$R,4,FALSE),VLOOKUP($E90,武器奇术!$A:$R,2,FALSE))*(1+BM90)*(1+BN90)*BO90</f>
        <v>0</v>
      </c>
      <c r="BQ90" s="104">
        <f>(1-IF(VLOOKUP($E90,武器奇术!$A:$R,18,FALSE)="叶龙",1,$N90))*(1-$M90)</f>
        <v>0</v>
      </c>
      <c r="BR90" s="103">
        <f>BK90*IF(VLOOKUP($E90,武器奇术!$A:$R,17,FALSE)="裂石",VLOOKUP($E90,武器奇术!$A:$R,4,FALSE),VLOOKUP($E90,武器奇术!$A:$R,2,FALSE))*(1+BM90)*(1+BN90)*BO90*(1+$E$16+VLOOKUP($E90,武器奇术!$A:$R,8,FALSE))</f>
        <v>0</v>
      </c>
      <c r="BS90" s="104">
        <f t="shared" si="14"/>
        <v>0.8703</v>
      </c>
      <c r="BT90" s="103">
        <f>BL90*IF(VLOOKUP($E90,武器奇术!$A:$R,17,FALSE)="裂石",VLOOKUP($E90,武器奇术!$A:$R,4,FALSE),VLOOKUP($E90,武器奇术!$A:$R,2,FALSE))*(1+BM90)*(1+BN90)*BO90*(1+$E$17+VLOOKUP($E90,武器奇术!$A:$R,10,FALSE))</f>
        <v>0</v>
      </c>
      <c r="BU90" s="104">
        <f t="shared" si="15"/>
        <v>0.0986</v>
      </c>
      <c r="BV90" s="103">
        <f>BK90*IF(VLOOKUP($E90,武器奇术!$A:$R,17,FALSE)="裂石",VLOOKUP($E90,武器奇术!$A:$R,4,FALSE),VLOOKUP($E90,武器奇术!$A:$R,2,FALSE))*(1+BM90)*(1+BN90)*BO90</f>
        <v>0</v>
      </c>
      <c r="BW90" s="104">
        <f t="shared" si="16"/>
        <v>0.0311</v>
      </c>
      <c r="BX90" s="112">
        <f t="shared" si="17"/>
        <v>0</v>
      </c>
      <c r="BY90" s="110">
        <f>$B$11*IF($G$5="撼天",1.05,1)+IF(AND(VLOOKUP($E90,武器奇术!$A:$R,15,FALSE)="武器",VLOOKUP($E90,武器奇术!$A:$R,17,FALSE)="牵丝"),$E$3*(1+$E$15),0)</f>
        <v>686.71</v>
      </c>
      <c r="BZ90" s="102">
        <f>IF(VLOOKUP($E90,武器奇术!$A:$Z,18,FALSE)="叶龙",(CA90-(BY90+CA90)*0.5)*($G$15-0.5)*2+(BY90+CA90)*0.5,(BY90+CA90)*0.5)</f>
        <v>1052.21</v>
      </c>
      <c r="CA90" s="102">
        <f>MAX($C$11*IF($G$5="撼天",1.05,1)+IF(AND(VLOOKUP($E90,武器奇术!$A:$R,15,FALSE)="武器",VLOOKUP($E90,武器奇术!$A:$R,17,FALSE)="牵丝"),$E$3*(1+$E$15),0),BY90)</f>
        <v>1417.71</v>
      </c>
      <c r="CB90" s="104">
        <f>IF(($D$11+IF(VLOOKUP($E90,武器奇术!$A:$R,17,FALSE)="牵丝",$D$15,0)-VLOOKUP($F$7,目标属性!$A:$R,6,FALSE))&gt;0,($D$11+IF(VLOOKUP($E90,武器奇术!$A:$R,17,FALSE)="牵丝",$D$15,0)-VLOOKUP($F$7,目标属性!$A:$R,6,FALSE))/200,($D$11+IF(VLOOKUP($E90,武器奇术!$A:$R,17,FALSE)="牵丝",$D$15,0)-VLOOKUP($F$7,目标属性!$A:$R,6,FALSE))/100)</f>
        <v>0.028</v>
      </c>
      <c r="CC90" s="111">
        <f>$E$11+IF($G$5="烟柳",IF(VLOOKUP($E90,武器奇术!$A:$T,20,FALSE)=1,0.1,0),0)</f>
        <v>0.248</v>
      </c>
      <c r="CD90" s="102">
        <v>1</v>
      </c>
      <c r="CE90" s="103">
        <f>BY90*IF(VLOOKUP($E90,武器奇术!$A:$R,17,FALSE)="牵丝",VLOOKUP($E90,武器奇术!$A:$R,4,FALSE),VLOOKUP($E90,武器奇术!$A:$R,2,FALSE))*(1+CB90)*(1+CC90)*CD90</f>
        <v>3091.90625934528</v>
      </c>
      <c r="CF90" s="104">
        <f>(1-IF(VLOOKUP($E90,武器奇术!$A:$R,18,FALSE)="叶龙",1,$N90))*(1-$M90)</f>
        <v>0</v>
      </c>
      <c r="CG90" s="124">
        <f>BZ90*IF(VLOOKUP($E90,武器奇术!$A:$R,17,FALSE)="牵丝",VLOOKUP($E90,武器奇术!$A:$R,4,FALSE),VLOOKUP($E90,武器奇术!$A:$R,2,FALSE))*(1+CB90)*(1+CC90)*CD90*(1+$E$16+VLOOKUP($E90,武器奇术!$A:$R,8,FALSE))</f>
        <v>10678.4761840055</v>
      </c>
      <c r="CH90" s="104">
        <f t="shared" si="18"/>
        <v>0.8703</v>
      </c>
      <c r="CI90" s="103">
        <f>CA90*IF(VLOOKUP($E90,武器奇术!$A:$R,17,FALSE)="牵丝",VLOOKUP($E90,武器奇术!$A:$R,4,FALSE),VLOOKUP($E90,武器奇术!$A:$R,2,FALSE))*(1+CB90)*(1+CC90)*CD90*(1+$E$17+VLOOKUP($E90,武器奇术!$A:$R,10,FALSE))</f>
        <v>8617.35764873693</v>
      </c>
      <c r="CJ90" s="104">
        <f t="shared" si="19"/>
        <v>0.0986</v>
      </c>
      <c r="CK90" s="124">
        <f>BZ90*IF(VLOOKUP($E90,武器奇术!$A:$R,17,FALSE)="牵丝",VLOOKUP($E90,武器奇术!$A:$R,4,FALSE),VLOOKUP($E90,武器奇术!$A:$R,2,FALSE))*(1+CB90)*(1+CC90)*CD90</f>
        <v>4737.56707364928</v>
      </c>
      <c r="CL90" s="104">
        <f t="shared" si="20"/>
        <v>0.0311</v>
      </c>
      <c r="CM90" s="112">
        <f t="shared" si="39"/>
        <v>10290.4876230959</v>
      </c>
      <c r="CN90" s="110">
        <f>$B$13*IF($G$5="撼天",1.05,1)+IF(AND(VLOOKUP($E90,武器奇术!$A:$R,15,FALSE)="武器",VLOOKUP($E90,武器奇术!$A:$R,17,FALSE)="破竹"),$E$3*(1+$E$15),0)</f>
        <v>0</v>
      </c>
      <c r="CO90" s="102">
        <f t="shared" si="21"/>
        <v>0</v>
      </c>
      <c r="CP90" s="102">
        <f>MAX($C$13*IF($G$5="撼天",1.05,1)+IF(AND(VLOOKUP($E90,武器奇术!$A:$R,15,FALSE)="武器",VLOOKUP($E90,武器奇术!$A:$R,17,FALSE)="破竹"),$E$3*(1+$E$15),0),CN90)</f>
        <v>0</v>
      </c>
      <c r="CQ90" s="104">
        <f>IF(($D$13+IF(VLOOKUP($E90,武器奇术!$A:$R,17,FALSE)="破竹",$D$15,0)-VLOOKUP($F$7,目标属性!$A:$R,6,FALSE))&gt;0,($D$13+IF(VLOOKUP($E90,武器奇术!$A:$R,17,FALSE)="破竹",$D$15,0)-VLOOKUP($F$7,目标属性!$A:$R,6,FALSE))/200,($D$13+IF(VLOOKUP($E90,武器奇术!$A:$R,17,FALSE)="破竹",$D$15,0)-VLOOKUP($F$7,目标属性!$A:$R,6,FALSE))/100)</f>
        <v>-0.24</v>
      </c>
      <c r="CR90" s="111">
        <f t="shared" si="22"/>
        <v>0</v>
      </c>
      <c r="CS90" s="102">
        <v>1</v>
      </c>
      <c r="CT90" s="103">
        <f>CN90*IF(VLOOKUP($E90,武器奇术!$A:$R,17,FALSE)="破竹",VLOOKUP($E90,武器奇术!$A:$R,4,FALSE),VLOOKUP($E90,武器奇术!$A:$R,2,FALSE))*(1+CQ90)*(1+CR90)*CS90</f>
        <v>0</v>
      </c>
      <c r="CU90" s="104">
        <f>(1-IF(VLOOKUP($E90,武器奇术!$A:$R,18,FALSE)="叶龙",1,$N90))*(1-$M90)</f>
        <v>0</v>
      </c>
      <c r="CV90" s="103">
        <f>CO90*IF(VLOOKUP($E90,武器奇术!$A:$R,17,FALSE)="破竹",VLOOKUP($E90,武器奇术!$A:$R,4,FALSE),VLOOKUP($E90,武器奇术!$A:$R,2,FALSE))*(1+CQ90)*(1+CR90)*CS90*(1+$E$16+VLOOKUP($E90,武器奇术!$A:$R,8,FALSE))</f>
        <v>0</v>
      </c>
      <c r="CW90" s="104">
        <f t="shared" si="23"/>
        <v>0.8703</v>
      </c>
      <c r="CX90" s="103">
        <f>CP90*IF(VLOOKUP($E90,武器奇术!$A:$R,17,FALSE)="破竹",VLOOKUP($E90,武器奇术!$A:$R,4,FALSE),VLOOKUP($E90,武器奇术!$A:$R,2,FALSE))*(1+CQ90)*(1+CR90)*CS90*(1+$E$17+VLOOKUP($E90,武器奇术!$A:$R,10,FALSE))</f>
        <v>0</v>
      </c>
      <c r="CY90" s="104">
        <f t="shared" si="24"/>
        <v>0.0986</v>
      </c>
      <c r="CZ90" s="103">
        <f>CO90*IF(VLOOKUP($E90,武器奇术!$A:$R,17,FALSE)="破竹",VLOOKUP($E90,武器奇术!$A:$R,4,FALSE),VLOOKUP($E90,武器奇术!$A:$R,2,FALSE))*(1+CQ90)*(1+CR90)*CS90</f>
        <v>0</v>
      </c>
      <c r="DA90" s="104">
        <f t="shared" si="25"/>
        <v>0.0311</v>
      </c>
      <c r="DB90" s="112">
        <f t="shared" si="26"/>
        <v>0</v>
      </c>
      <c r="DC90" s="110">
        <f t="shared" si="40"/>
        <v>66</v>
      </c>
      <c r="DD90" s="102">
        <f t="shared" si="27"/>
        <v>125.8</v>
      </c>
      <c r="DE90" s="102">
        <f t="shared" si="41"/>
        <v>185.6</v>
      </c>
      <c r="DF90" s="104">
        <f>IF((IF(VLOOKUP($E90,武器奇术!$A:$R,17,FALSE)="鸣金",$D$7,0)+IF(VLOOKUP($E90,武器奇术!$A:$R,17,FALSE)="裂石",$D$9,0)+IF(VLOOKUP($E90,武器奇术!$A:$R,17,FALSE)="牵丝",$D$11,0)+IF(VLOOKUP($E90,武器奇术!$A:$R,17,FALSE)="破竹",$D$13,0)+$D$15-VLOOKUP($F$7,目标属性!$A:$R,6,FALSE))&gt;0,(IF(VLOOKUP($E90,武器奇术!$A:$R,17,FALSE)="鸣金",$D$7,0)+IF(VLOOKUP($E90,武器奇术!$A:$R,17,FALSE)="裂石",$D$9,0)+IF(VLOOKUP($E90,武器奇术!$A:$R,17,FALSE)="牵丝",$D$11,0)+IF(VLOOKUP($E90,武器奇术!$A:$R,17,FALSE)="破竹",$D$13,0)+$D$15-VLOOKUP($F$7,目标属性!$A:$R,6,FALSE))/200,(IF(VLOOKUP($E90,武器奇术!$A:$R,17,FALSE)="鸣金",$D$7,0)+IF(VLOOKUP($E90,武器奇术!$A:$R,17,FALSE)="裂石",$D$9,0)+IF(VLOOKUP($E90,武器奇术!$A:$R,17,FALSE)="牵丝",$D$11,0)+IF(VLOOKUP($E90,武器奇术!$A:$R,17,FALSE)="破竹",$D$13,0)+$D$15-VLOOKUP($F$7,目标属性!$A:$R,6,FALSE))/100)</f>
        <v>0.028</v>
      </c>
      <c r="DG90" s="111">
        <f>$E$11+IF($G$5="烟柳",IF(VLOOKUP($E90,武器奇术!$A:$T,20,FALSE)=1,0.1,0),0)</f>
        <v>0.248</v>
      </c>
      <c r="DH90" s="102">
        <v>1</v>
      </c>
      <c r="DI90" s="103">
        <f>DC90*IF(VLOOKUP($E90,武器奇术!$A:$R,17,FALSE)="牵丝",VLOOKUP($E90,武器奇术!$A:$R,4,FALSE),VLOOKUP($E90,武器奇术!$A:$R,2,FALSE))*(1+DF90)*(1+DG90)*DH90</f>
        <v>297.164469888</v>
      </c>
      <c r="DJ90" s="104">
        <f>(1-IF(VLOOKUP($E90,武器奇术!$A:$R,18,FALSE)="叶龙",1,$N90))*(1-$M90)</f>
        <v>0</v>
      </c>
      <c r="DK90" s="124">
        <f>DD90*IF(VLOOKUP($E90,武器奇术!$A:$R,17,FALSE)="牵丝",VLOOKUP($E90,武器奇术!$A:$R,4,FALSE),VLOOKUP($E90,武器奇术!$A:$R,2,FALSE))*(1+DF90)*(1+DG90)*DH90*(1+$E$16+VLOOKUP($E90,武器奇术!$A:$R,8,FALSE))</f>
        <v>1276.6960055007</v>
      </c>
      <c r="DL90" s="104">
        <f t="shared" si="28"/>
        <v>0.8703</v>
      </c>
      <c r="DM90" s="103">
        <f>DE90*IF(VLOOKUP($E90,武器奇术!$A:$R,17,FALSE)="牵丝",VLOOKUP($E90,武器奇术!$A:$R,4,FALSE),VLOOKUP($E90,武器奇术!$A:$R,2,FALSE))*(1+DF90)*(1+DG90)*DH90*(1+$E$17+VLOOKUP($E90,武器奇术!$A:$R,10,FALSE))</f>
        <v>1128.14438750208</v>
      </c>
      <c r="DN90" s="104">
        <f t="shared" si="29"/>
        <v>0.0986</v>
      </c>
      <c r="DO90" s="124">
        <f>DD90*IF(VLOOKUP($E90,武器奇术!$A:$R,17,FALSE)="牵丝",VLOOKUP($E90,武器奇术!$A:$R,4,FALSE),VLOOKUP($E90,武器奇术!$A:$R,2,FALSE))*(1+DF90)*(1+DG90)*DH90</f>
        <v>566.4134895744</v>
      </c>
      <c r="DP90" s="104">
        <f t="shared" si="30"/>
        <v>0.0311</v>
      </c>
      <c r="DQ90" s="112">
        <f t="shared" si="31"/>
        <v>1239.95902972073</v>
      </c>
    </row>
    <row r="91" spans="1:121">
      <c r="A91" s="37"/>
      <c r="B91" t="s">
        <v>154</v>
      </c>
      <c r="C91" s="141">
        <v>1.16</v>
      </c>
      <c r="E91" s="115" t="s">
        <v>159</v>
      </c>
      <c r="F91" s="116">
        <v>1</v>
      </c>
      <c r="G91" s="117"/>
      <c r="H91" s="140">
        <f>IF(VLOOKUP($E91,武器奇术!$A:$R,18,FALSE)="天工",AE91,(AE91+AT91+BI91+BX91+CM91+DB91+DQ91))*(1+J91)*F91*K91*(1+G91)*(1+$G$21*5%)</f>
        <v>16022.921406799</v>
      </c>
      <c r="I91" s="104">
        <f t="shared" si="42"/>
        <v>0.00184664101709491</v>
      </c>
      <c r="J91" s="104">
        <f>$F$3+VLOOKUP($E91,武器奇术!$A:$R,12,FALSE)+VLOOKUP($E91,武器奇术!$A:$R,14,FALSE)*$G$3+$P91</f>
        <v>0.603</v>
      </c>
      <c r="K91" s="105">
        <f>VLOOKUP($E91,武器奇术!$A:$R,11,FALSE)</f>
        <v>1</v>
      </c>
      <c r="L91" s="119">
        <f>IF(VLOOKUP($E91,武器奇术!$A:$R,15,FALSE)="天工",0%,IF($C$17+VLOOKUP($E91,武器奇术!$A:$R,7,FALSE)&gt;80%,80%,$C$17+VLOOKUP($E91,武器奇术!$A:$R,7,FALSE))+IF($C$19&gt;20%,20%,$C$19))</f>
        <v>0.8703</v>
      </c>
      <c r="M91" s="120">
        <f>IF(VLOOKUP($E91,武器奇术!$A:$R,15,FALSE)="天工",0%,IF($C$18+VLOOKUP($E91,武器奇术!$A:$R,9,FALSE)&gt;40%,40%,$C$18+VLOOKUP($E91,武器奇术!$A:$R,9,FALSE))+IF($C$20&gt;10%,10%,$C$20))</f>
        <v>0.0986</v>
      </c>
      <c r="N91" s="121">
        <f>IF(VLOOKUP($E91,武器奇术!$A:$R,15,FALSE)="天工",100%,MIN($C$16,1))</f>
        <v>1</v>
      </c>
      <c r="O91" s="122" t="str">
        <f>VLOOKUP($E91,武器奇术!$A:$R,16,FALSE)</f>
        <v>伞</v>
      </c>
      <c r="P91" s="123">
        <f t="shared" si="44"/>
        <v>0.17</v>
      </c>
      <c r="Q91" s="110">
        <f>$B$5*(1+VLOOKUP($E91,武器奇术!$A:$R,5,FALSE))*(1+VLOOKUP($E91,武器奇术!$A:$S,19,FALSE)+IF($G$5="飞隼",0.1,0)+IF($G$5="撼天",0.05,0))-$F$9+IF($J$5="√",160,0)</f>
        <v>3324.7</v>
      </c>
      <c r="R91" s="102">
        <f>IF(VLOOKUP($E91,武器奇术!$A:$Z,18,FALSE)="叶龙",(S91-(Q91+S91)*0.5)*($G$15-0.5)*2+(Q91+S91)*0.5,(Q91+S91)*0.5)</f>
        <v>3404.7</v>
      </c>
      <c r="S91" s="102">
        <f>MAX($C$5,$B$5)*(1+VLOOKUP($E91,武器奇术!$A:$R,6,FALSE))*(1+VLOOKUP($E91,武器奇术!$A:$S,19,FALSE)+IF($G$5="飞隼",0.1,0)+IF($G$5="撼天",0.05,0))-$F$9+IF($J$5="√",320,0)</f>
        <v>3484.7</v>
      </c>
      <c r="T91" s="104">
        <f>IF(($D$5+VLOOKUP($E91,武器奇术!$A:$R,13,FALSE)+IF($I$3="√",10,0)-VLOOKUP($F$7,目标属性!$A:$R,5,FALSE))&gt;0,($D$5+VLOOKUP($E91,武器奇术!$A:$R,13,FALSE)+IF($I$3="√",10,0)-VLOOKUP($F$7,目标属性!$A:$R,5,FALSE))/200,($D$5+VLOOKUP($E91,武器奇术!$A:$R,13,FALSE)+IF($I$3="√",10,0)-VLOOKUP($F$7,目标属性!$A:$R,5,FALSE))/100)</f>
        <v>0.3925</v>
      </c>
      <c r="U91" s="111">
        <f>$E$5+IF($G$5="烟柳",IF(VLOOKUP($E91,武器奇术!$A:$T,20,FALSE)=1,0.1,0),0)</f>
        <v>0</v>
      </c>
      <c r="V91" s="102">
        <v>1</v>
      </c>
      <c r="W91" s="103">
        <f>Q91*VLOOKUP($E91,武器奇术!$A:$R,2,FALSE)*(1+T91)*(1+U91)*V91</f>
        <v>2495.37852025</v>
      </c>
      <c r="X91" s="104">
        <f>(1-IF(VLOOKUP($E91,武器奇术!$A:$R,18,FALSE)="叶龙",1,$N91))*(1-$M91)</f>
        <v>0</v>
      </c>
      <c r="Y91" s="103">
        <f>R91*VLOOKUP($E91,武器奇术!$A:$R,2,FALSE)*(1+T91)*(1+U91)*V91*(1+$E$16+VLOOKUP($E91,武器奇术!$A:$R,8,FALSE))</f>
        <v>4839.9713897535</v>
      </c>
      <c r="Z91" s="104">
        <f t="shared" si="33"/>
        <v>0.8703</v>
      </c>
      <c r="AA91" s="103">
        <f>S91*VLOOKUP($E91,武器奇术!$A:$R,2,FALSE)*(1+T91)*(1+U91)*V91*(1+$E$17+VLOOKUP($E91,武器奇术!$A:$R,10,FALSE))</f>
        <v>3530.8814223375</v>
      </c>
      <c r="AB91" s="104">
        <f t="shared" si="34"/>
        <v>0.0986</v>
      </c>
      <c r="AC91" s="103">
        <f>R91*VLOOKUP($E91,武器奇术!$A:$R,2,FALSE)*(1+T91)*(1+U91)*V91</f>
        <v>2555.42312025</v>
      </c>
      <c r="AD91" s="104">
        <f t="shared" si="35"/>
        <v>0.0311</v>
      </c>
      <c r="AE91" s="112">
        <f t="shared" si="36"/>
        <v>4639.84566778472</v>
      </c>
      <c r="AF91" s="113">
        <f>VLOOKUP($E91,武器奇术!$A:$R,3,FALSE)*(1+IF(VLOOKUP($E91,武器奇术!$A:$R,15,FALSE)="武器",$E$15,0))</f>
        <v>161.8617</v>
      </c>
      <c r="AG91" s="103">
        <f t="shared" si="1"/>
        <v>161.8617</v>
      </c>
      <c r="AH91" s="103">
        <f>VLOOKUP($E91,武器奇术!$A:$R,3,FALSE)*(1+IF(VLOOKUP($E91,武器奇术!$A:$R,15,FALSE)="武器",$E$15,0))</f>
        <v>161.8617</v>
      </c>
      <c r="AI91" s="104">
        <f>IF(($D$5+VLOOKUP($E91,武器奇术!$A:$R,13,FALSE)+IF($I$3="√",10,0)-VLOOKUP($F$7,目标属性!$A:$R,5,FALSE))&gt;0,($D$5+VLOOKUP($E91,武器奇术!$A:$R,13,FALSE)+IF($I$3="√",10,0)-VLOOKUP($F$7,目标属性!$A:$R,5,FALSE))/200,($D$5+VLOOKUP($E91,武器奇术!$A:$R,13,FALSE)+IF($I$3="√",10,0)-VLOOKUP($F$7,目标属性!$A:$R,5,FALSE))/100)</f>
        <v>0.3925</v>
      </c>
      <c r="AJ91" s="111">
        <f>$E$5+IF($G$5="烟柳",IF(VLOOKUP($E91,武器奇术!$A:$T,20,FALSE)=1,0.1,0),0)</f>
        <v>0</v>
      </c>
      <c r="AK91" s="102">
        <v>1</v>
      </c>
      <c r="AL91" s="103">
        <f t="shared" si="45"/>
        <v>225.39241725</v>
      </c>
      <c r="AM91" s="104">
        <f>(1-IF(VLOOKUP($E91,武器奇术!$A:$R,18,FALSE)="叶龙",1,$N91))*(1-$M91)</f>
        <v>0</v>
      </c>
      <c r="AN91" s="103">
        <f>AG91*(1+AI91)*(1+AJ91)*AK91*(1+$E$16+VLOOKUP($E91,武器奇术!$A:$R,8,FALSE))</f>
        <v>426.8932382715</v>
      </c>
      <c r="AO91" s="104">
        <f t="shared" si="2"/>
        <v>0.8703</v>
      </c>
      <c r="AP91" s="103">
        <f>AH91*(1+AI91)*(1+AJ91)*AK91*(1+$E$17+VLOOKUP($E91,武器奇术!$A:$R,10,FALSE))</f>
        <v>304.2797632875</v>
      </c>
      <c r="AQ91" s="104">
        <f t="shared" si="3"/>
        <v>0.0986</v>
      </c>
      <c r="AR91" s="103">
        <f t="shared" si="38"/>
        <v>225.39241725</v>
      </c>
      <c r="AS91" s="104">
        <f t="shared" si="4"/>
        <v>0.0311</v>
      </c>
      <c r="AT91" s="112">
        <f t="shared" si="5"/>
        <v>408.536874104309</v>
      </c>
      <c r="AU91" s="110">
        <f>$B$7*IF($G$5="撼天",1.05,1)+IF(AND(VLOOKUP($E91,武器奇术!$A:$R,15,FALSE)="武器",VLOOKUP($E91,武器奇术!$A:$R,17,FALSE)="鸣金"),$E$3*(1+$E$15),0)</f>
        <v>0</v>
      </c>
      <c r="AV91" s="102">
        <f t="shared" si="6"/>
        <v>0</v>
      </c>
      <c r="AW91" s="102">
        <f>MAX($C$7*IF($G$5="撼天",1.05,1)+IF(AND(VLOOKUP($E91,武器奇术!$A:$R,15,FALSE)="武器",VLOOKUP($E91,武器奇术!$A:$R,17,FALSE)="鸣金"),$E$3*(1+$E$15),0),AU91)</f>
        <v>0</v>
      </c>
      <c r="AX91" s="104">
        <f>IF(($D$7+IF(VLOOKUP($E91,武器奇术!$A:$R,17,FALSE)="鸣金",$D$15,0)-VLOOKUP($F$7,目标属性!$A:$R,6,FALSE))&gt;0,($D$7+IF(VLOOKUP($E91,武器奇术!$A:$R,17,FALSE)="鸣金",$D$15,0)-VLOOKUP($F$7,目标属性!$A:$R,6,FALSE))/200,($D$7+IF(VLOOKUP($E91,武器奇术!$A:$R,17,FALSE)="鸣金",$D$15,0)-VLOOKUP($F$7,目标属性!$A:$R,6,FALSE))/100)</f>
        <v>-0.24</v>
      </c>
      <c r="AY91" s="111">
        <f t="shared" si="7"/>
        <v>0</v>
      </c>
      <c r="AZ91" s="102">
        <v>1</v>
      </c>
      <c r="BA91" s="103">
        <f>AU91*IF(VLOOKUP($E91,武器奇术!$A:$R,17,FALSE)="鸣金",VLOOKUP($E91,武器奇术!$A:$R,4,FALSE),VLOOKUP($E91,武器奇术!$A:$R,2,FALSE))*(1+AX91)*(1+AY91)*AZ91</f>
        <v>0</v>
      </c>
      <c r="BB91" s="104">
        <f>(1-IF(VLOOKUP($E91,武器奇术!$A:$R,18,FALSE)="叶龙",1,$N91))*(1-$M91)</f>
        <v>0</v>
      </c>
      <c r="BC91" s="103">
        <f>AV91*IF(VLOOKUP($E91,武器奇术!$A:$R,17,FALSE)="鸣金",VLOOKUP($E91,武器奇术!$A:$R,4,FALSE),VLOOKUP($E91,武器奇术!$A:$R,2,FALSE))*(1+AX91)*(1+AY91)*AZ91*(1+$E$16+VLOOKUP($E91,武器奇术!$A:$R,8,FALSE))</f>
        <v>0</v>
      </c>
      <c r="BD91" s="104">
        <f t="shared" si="8"/>
        <v>0.8703</v>
      </c>
      <c r="BE91" s="103">
        <f>AW91*IF(VLOOKUP($E91,武器奇术!$A:$R,17,FALSE)="鸣金",VLOOKUP($E91,武器奇术!$A:$R,4,FALSE),VLOOKUP($E91,武器奇术!$A:$R,2,FALSE))*(1+AX91)*(1+AY91)*AZ91*(1+$E$17+VLOOKUP($E91,武器奇术!$A:$R,10,FALSE))</f>
        <v>0</v>
      </c>
      <c r="BF91" s="104">
        <f t="shared" si="9"/>
        <v>0.0986</v>
      </c>
      <c r="BG91" s="103">
        <f>AV91*IF(VLOOKUP($E91,武器奇术!$A:$R,17,FALSE)="鸣金",VLOOKUP($E91,武器奇术!$A:$R,4,FALSE),VLOOKUP($E91,武器奇术!$A:$R,2,FALSE))*(1+AX91)*(1+AY91)*AZ91</f>
        <v>0</v>
      </c>
      <c r="BH91" s="104">
        <f t="shared" si="10"/>
        <v>0.0311</v>
      </c>
      <c r="BI91" s="112">
        <f t="shared" si="11"/>
        <v>0</v>
      </c>
      <c r="BJ91" s="110">
        <f>$B$9*IF($G$5="撼天",1.05,1)+IF(AND(VLOOKUP($E91,武器奇术!$A:$R,15,FALSE)="武器",VLOOKUP($E91,武器奇术!$A:$R,17,FALSE)="裂石"),$E$3*(1+$E$15),0)</f>
        <v>0</v>
      </c>
      <c r="BK91" s="102">
        <f t="shared" si="12"/>
        <v>0</v>
      </c>
      <c r="BL91" s="102">
        <f>MAX($C$9*IF($G$5="撼天",1.05,1)+IF(AND(VLOOKUP($E91,武器奇术!$A:$R,15,FALSE)="武器",VLOOKUP($E91,武器奇术!$A:$R,17,FALSE)="裂石"),$E$3*(1+$E$15),0),BJ91)</f>
        <v>0</v>
      </c>
      <c r="BM91" s="104">
        <f>IF(($D$9+IF(VLOOKUP($E91,武器奇术!$A:$R,17,FALSE)="裂石",$D$15,0)-VLOOKUP($F$7,目标属性!$A:$R,6,FALSE))&gt;0,($D$9+IF(VLOOKUP($E91,武器奇术!$A:$R,17,FALSE)="裂石",$D$15,0)-VLOOKUP($F$7,目标属性!$A:$R,6,FALSE))/200,($D$9+IF(VLOOKUP($E91,武器奇术!$A:$R,17,FALSE)="裂石",$D$15,0)-VLOOKUP($F$7,目标属性!$A:$R,6,FALSE))/100)</f>
        <v>-0.24</v>
      </c>
      <c r="BN91" s="111">
        <f t="shared" si="13"/>
        <v>0</v>
      </c>
      <c r="BO91" s="102">
        <v>1</v>
      </c>
      <c r="BP91" s="103">
        <f>BJ91*IF(VLOOKUP($E91,武器奇术!$A:$R,17,FALSE)="裂石",VLOOKUP($E91,武器奇术!$A:$R,4,FALSE),VLOOKUP($E91,武器奇术!$A:$R,2,FALSE))*(1+BM91)*(1+BN91)*BO91</f>
        <v>0</v>
      </c>
      <c r="BQ91" s="104">
        <f>(1-IF(VLOOKUP($E91,武器奇术!$A:$R,18,FALSE)="叶龙",1,$N91))*(1-$M91)</f>
        <v>0</v>
      </c>
      <c r="BR91" s="103">
        <f>BK91*IF(VLOOKUP($E91,武器奇术!$A:$R,17,FALSE)="裂石",VLOOKUP($E91,武器奇术!$A:$R,4,FALSE),VLOOKUP($E91,武器奇术!$A:$R,2,FALSE))*(1+BM91)*(1+BN91)*BO91*(1+$E$16+VLOOKUP($E91,武器奇术!$A:$R,8,FALSE))</f>
        <v>0</v>
      </c>
      <c r="BS91" s="104">
        <f t="shared" si="14"/>
        <v>0.8703</v>
      </c>
      <c r="BT91" s="103">
        <f>BL91*IF(VLOOKUP($E91,武器奇术!$A:$R,17,FALSE)="裂石",VLOOKUP($E91,武器奇术!$A:$R,4,FALSE),VLOOKUP($E91,武器奇术!$A:$R,2,FALSE))*(1+BM91)*(1+BN91)*BO91*(1+$E$17+VLOOKUP($E91,武器奇术!$A:$R,10,FALSE))</f>
        <v>0</v>
      </c>
      <c r="BU91" s="104">
        <f t="shared" si="15"/>
        <v>0.0986</v>
      </c>
      <c r="BV91" s="103">
        <f>BK91*IF(VLOOKUP($E91,武器奇术!$A:$R,17,FALSE)="裂石",VLOOKUP($E91,武器奇术!$A:$R,4,FALSE),VLOOKUP($E91,武器奇术!$A:$R,2,FALSE))*(1+BM91)*(1+BN91)*BO91</f>
        <v>0</v>
      </c>
      <c r="BW91" s="104">
        <f t="shared" si="16"/>
        <v>0.0311</v>
      </c>
      <c r="BX91" s="112">
        <f t="shared" si="17"/>
        <v>0</v>
      </c>
      <c r="BY91" s="110">
        <f>$B$11*IF($G$5="撼天",1.05,1)+IF(AND(VLOOKUP($E91,武器奇术!$A:$R,15,FALSE)="武器",VLOOKUP($E91,武器奇术!$A:$R,17,FALSE)="牵丝"),$E$3*(1+$E$15),0)</f>
        <v>686.71</v>
      </c>
      <c r="BZ91" s="102">
        <f>IF(VLOOKUP($E91,武器奇术!$A:$Z,18,FALSE)="叶龙",(CA91-(BY91+CA91)*0.5)*($G$15-0.5)*2+(BY91+CA91)*0.5,(BY91+CA91)*0.5)</f>
        <v>1052.21</v>
      </c>
      <c r="CA91" s="102">
        <f>MAX($C$11*IF($G$5="撼天",1.05,1)+IF(AND(VLOOKUP($E91,武器奇术!$A:$R,15,FALSE)="武器",VLOOKUP($E91,武器奇术!$A:$R,17,FALSE)="牵丝"),$E$3*(1+$E$15),0),BY91)</f>
        <v>1417.71</v>
      </c>
      <c r="CB91" s="104">
        <f>IF(($D$11+IF(VLOOKUP($E91,武器奇术!$A:$R,17,FALSE)="牵丝",$D$15,0)-VLOOKUP($F$7,目标属性!$A:$R,6,FALSE))&gt;0,($D$11+IF(VLOOKUP($E91,武器奇术!$A:$R,17,FALSE)="牵丝",$D$15,0)-VLOOKUP($F$7,目标属性!$A:$R,6,FALSE))/200,($D$11+IF(VLOOKUP($E91,武器奇术!$A:$R,17,FALSE)="牵丝",$D$15,0)-VLOOKUP($F$7,目标属性!$A:$R,6,FALSE))/100)</f>
        <v>0.028</v>
      </c>
      <c r="CC91" s="111">
        <f>$E$11+IF($G$5="烟柳",IF(VLOOKUP($E91,武器奇术!$A:$T,20,FALSE)=1,0.1,0),0)</f>
        <v>0.148</v>
      </c>
      <c r="CD91" s="102">
        <v>1</v>
      </c>
      <c r="CE91" s="103">
        <f>BY91*IF(VLOOKUP($E91,武器奇术!$A:$R,17,FALSE)="牵丝",VLOOKUP($E91,武器奇术!$A:$R,4,FALSE),VLOOKUP($E91,武器奇术!$A:$R,2,FALSE))*(1+CB91)*(1+CC91)*CD91</f>
        <v>655.22189082504</v>
      </c>
      <c r="CF91" s="104">
        <f>(1-IF(VLOOKUP($E91,武器奇术!$A:$R,18,FALSE)="叶龙",1,$N91))*(1-$M91)</f>
        <v>0</v>
      </c>
      <c r="CG91" s="124">
        <f>BZ91*IF(VLOOKUP($E91,武器奇术!$A:$R,17,FALSE)="牵丝",VLOOKUP($E91,武器奇术!$A:$R,4,FALSE),VLOOKUP($E91,武器奇术!$A:$R,2,FALSE))*(1+CB91)*(1+CC91)*CD91*(1+$E$16+VLOOKUP($E91,武器奇术!$A:$R,8,FALSE))</f>
        <v>1901.50480226159</v>
      </c>
      <c r="CH91" s="104">
        <f t="shared" si="18"/>
        <v>0.8703</v>
      </c>
      <c r="CI91" s="103">
        <f>CA91*IF(VLOOKUP($E91,武器奇术!$A:$R,17,FALSE)="牵丝",VLOOKUP($E91,武器奇术!$A:$R,4,FALSE),VLOOKUP($E91,武器奇术!$A:$R,2,FALSE))*(1+CB91)*(1+CC91)*CD91*(1+$E$17+VLOOKUP($E91,武器奇术!$A:$R,10,FALSE))</f>
        <v>1826.1489511382</v>
      </c>
      <c r="CJ91" s="104">
        <f t="shared" si="19"/>
        <v>0.0986</v>
      </c>
      <c r="CK91" s="124">
        <f>BZ91*IF(VLOOKUP($E91,武器奇术!$A:$R,17,FALSE)="牵丝",VLOOKUP($E91,武器奇术!$A:$R,4,FALSE),VLOOKUP($E91,武器奇术!$A:$R,2,FALSE))*(1+CB91)*(1+CC91)*CD91</f>
        <v>1003.96240879704</v>
      </c>
      <c r="CL91" s="104">
        <f t="shared" si="20"/>
        <v>0.0311</v>
      </c>
      <c r="CM91" s="112">
        <f t="shared" si="39"/>
        <v>1866.16114690408</v>
      </c>
      <c r="CN91" s="110">
        <f>$B$13*IF($G$5="撼天",1.05,1)+IF(AND(VLOOKUP($E91,武器奇术!$A:$R,15,FALSE)="武器",VLOOKUP($E91,武器奇术!$A:$R,17,FALSE)="破竹"),$E$3*(1+$E$15),0)</f>
        <v>0</v>
      </c>
      <c r="CO91" s="102">
        <f t="shared" si="21"/>
        <v>0</v>
      </c>
      <c r="CP91" s="102">
        <f>MAX($C$13*IF($G$5="撼天",1.05,1)+IF(AND(VLOOKUP($E91,武器奇术!$A:$R,15,FALSE)="武器",VLOOKUP($E91,武器奇术!$A:$R,17,FALSE)="破竹"),$E$3*(1+$E$15),0),CN91)</f>
        <v>0</v>
      </c>
      <c r="CQ91" s="104">
        <f>IF(($D$13+IF(VLOOKUP($E91,武器奇术!$A:$R,17,FALSE)="破竹",$D$15,0)-VLOOKUP($F$7,目标属性!$A:$R,6,FALSE))&gt;0,($D$13+IF(VLOOKUP($E91,武器奇术!$A:$R,17,FALSE)="破竹",$D$15,0)-VLOOKUP($F$7,目标属性!$A:$R,6,FALSE))/200,($D$13+IF(VLOOKUP($E91,武器奇术!$A:$R,17,FALSE)="破竹",$D$15,0)-VLOOKUP($F$7,目标属性!$A:$R,6,FALSE))/100)</f>
        <v>-0.24</v>
      </c>
      <c r="CR91" s="111">
        <f t="shared" si="22"/>
        <v>0</v>
      </c>
      <c r="CS91" s="102">
        <v>1</v>
      </c>
      <c r="CT91" s="103">
        <f>CN91*IF(VLOOKUP($E91,武器奇术!$A:$R,17,FALSE)="破竹",VLOOKUP($E91,武器奇术!$A:$R,4,FALSE),VLOOKUP($E91,武器奇术!$A:$R,2,FALSE))*(1+CQ91)*(1+CR91)*CS91</f>
        <v>0</v>
      </c>
      <c r="CU91" s="104">
        <f>(1-IF(VLOOKUP($E91,武器奇术!$A:$R,18,FALSE)="叶龙",1,$N91))*(1-$M91)</f>
        <v>0</v>
      </c>
      <c r="CV91" s="103">
        <f>CO91*IF(VLOOKUP($E91,武器奇术!$A:$R,17,FALSE)="破竹",VLOOKUP($E91,武器奇术!$A:$R,4,FALSE),VLOOKUP($E91,武器奇术!$A:$R,2,FALSE))*(1+CQ91)*(1+CR91)*CS91*(1+$E$16+VLOOKUP($E91,武器奇术!$A:$R,8,FALSE))</f>
        <v>0</v>
      </c>
      <c r="CW91" s="104">
        <f t="shared" si="23"/>
        <v>0.8703</v>
      </c>
      <c r="CX91" s="103">
        <f>CP91*IF(VLOOKUP($E91,武器奇术!$A:$R,17,FALSE)="破竹",VLOOKUP($E91,武器奇术!$A:$R,4,FALSE),VLOOKUP($E91,武器奇术!$A:$R,2,FALSE))*(1+CQ91)*(1+CR91)*CS91*(1+$E$17+VLOOKUP($E91,武器奇术!$A:$R,10,FALSE))</f>
        <v>0</v>
      </c>
      <c r="CY91" s="104">
        <f t="shared" si="24"/>
        <v>0.0986</v>
      </c>
      <c r="CZ91" s="103">
        <f>CO91*IF(VLOOKUP($E91,武器奇术!$A:$R,17,FALSE)="破竹",VLOOKUP($E91,武器奇术!$A:$R,4,FALSE),VLOOKUP($E91,武器奇术!$A:$R,2,FALSE))*(1+CQ91)*(1+CR91)*CS91</f>
        <v>0</v>
      </c>
      <c r="DA91" s="104">
        <f t="shared" si="25"/>
        <v>0.0311</v>
      </c>
      <c r="DB91" s="112">
        <f t="shared" si="26"/>
        <v>0</v>
      </c>
      <c r="DC91" s="110">
        <f t="shared" si="40"/>
        <v>66</v>
      </c>
      <c r="DD91" s="102">
        <f t="shared" si="27"/>
        <v>125.8</v>
      </c>
      <c r="DE91" s="102">
        <f t="shared" si="41"/>
        <v>185.6</v>
      </c>
      <c r="DF91" s="104">
        <f>IF((IF(VLOOKUP($E91,武器奇术!$A:$R,17,FALSE)="鸣金",$D$7,0)+IF(VLOOKUP($E91,武器奇术!$A:$R,17,FALSE)="裂石",$D$9,0)+IF(VLOOKUP($E91,武器奇术!$A:$R,17,FALSE)="牵丝",$D$11,0)+IF(VLOOKUP($E91,武器奇术!$A:$R,17,FALSE)="破竹",$D$13,0)+$D$15-VLOOKUP($F$7,目标属性!$A:$R,6,FALSE))&gt;0,(IF(VLOOKUP($E91,武器奇术!$A:$R,17,FALSE)="鸣金",$D$7,0)+IF(VLOOKUP($E91,武器奇术!$A:$R,17,FALSE)="裂石",$D$9,0)+IF(VLOOKUP($E91,武器奇术!$A:$R,17,FALSE)="牵丝",$D$11,0)+IF(VLOOKUP($E91,武器奇术!$A:$R,17,FALSE)="破竹",$D$13,0)+$D$15-VLOOKUP($F$7,目标属性!$A:$R,6,FALSE))/200,(IF(VLOOKUP($E91,武器奇术!$A:$R,17,FALSE)="鸣金",$D$7,0)+IF(VLOOKUP($E91,武器奇术!$A:$R,17,FALSE)="裂石",$D$9,0)+IF(VLOOKUP($E91,武器奇术!$A:$R,17,FALSE)="牵丝",$D$11,0)+IF(VLOOKUP($E91,武器奇术!$A:$R,17,FALSE)="破竹",$D$13,0)+$D$15-VLOOKUP($F$7,目标属性!$A:$R,6,FALSE))/100)</f>
        <v>0.028</v>
      </c>
      <c r="DG91" s="111">
        <f>$E$11+IF($G$5="烟柳",IF(VLOOKUP($E91,武器奇术!$A:$T,20,FALSE)=1,0.1,0),0)</f>
        <v>0.148</v>
      </c>
      <c r="DH91" s="102">
        <v>1</v>
      </c>
      <c r="DI91" s="103">
        <f>DC91*IF(VLOOKUP($E91,武器奇术!$A:$R,17,FALSE)="牵丝",VLOOKUP($E91,武器奇术!$A:$R,4,FALSE),VLOOKUP($E91,武器奇术!$A:$R,2,FALSE))*(1+DF91)*(1+DG91)*DH91</f>
        <v>62.973663984</v>
      </c>
      <c r="DJ91" s="104">
        <f>(1-IF(VLOOKUP($E91,武器奇术!$A:$R,18,FALSE)="叶龙",1,$N91))*(1-$M91)</f>
        <v>0</v>
      </c>
      <c r="DK91" s="124">
        <f>DD91*IF(VLOOKUP($E91,武器奇术!$A:$R,17,FALSE)="牵丝",VLOOKUP($E91,武器奇术!$A:$R,4,FALSE),VLOOKUP($E91,武器奇术!$A:$R,2,FALSE))*(1+DF91)*(1+DG91)*DH91*(1+$E$16+VLOOKUP($E91,武器奇术!$A:$R,8,FALSE))</f>
        <v>227.339888543645</v>
      </c>
      <c r="DL91" s="104">
        <f t="shared" si="28"/>
        <v>0.8703</v>
      </c>
      <c r="DM91" s="103">
        <f>DE91*IF(VLOOKUP($E91,武器奇术!$A:$R,17,FALSE)="牵丝",VLOOKUP($E91,武器奇术!$A:$R,4,FALSE),VLOOKUP($E91,武器奇术!$A:$R,2,FALSE))*(1+DF91)*(1+DG91)*DH91*(1+$E$17+VLOOKUP($E91,武器奇术!$A:$R,10,FALSE))</f>
        <v>239.07092799744</v>
      </c>
      <c r="DN91" s="104">
        <f t="shared" si="29"/>
        <v>0.0986</v>
      </c>
      <c r="DO91" s="124">
        <f>DD91*IF(VLOOKUP($E91,武器奇术!$A:$R,17,FALSE)="牵丝",VLOOKUP($E91,武器奇术!$A:$R,4,FALSE),VLOOKUP($E91,武器奇术!$A:$R,2,FALSE))*(1+DF91)*(1+DG91)*DH91</f>
        <v>120.0316201392</v>
      </c>
      <c r="DP91" s="104">
        <f t="shared" si="30"/>
        <v>0.0311</v>
      </c>
      <c r="DQ91" s="112">
        <f t="shared" si="31"/>
        <v>225.159281886411</v>
      </c>
    </row>
    <row r="92" spans="1:121">
      <c r="B92" t="s">
        <v>156</v>
      </c>
      <c r="C92">
        <v>0.1</v>
      </c>
      <c r="E92" s="115" t="s">
        <v>164</v>
      </c>
      <c r="F92" s="116">
        <v>10</v>
      </c>
      <c r="G92" s="117">
        <f>$E$23</f>
        <v>0.32</v>
      </c>
      <c r="H92" s="140">
        <f>IF(VLOOKUP($E92,武器奇术!$A:$R,18,FALSE)="天工",AE92,(AE92+AT92+BI92+BX92+CM92+DB92+DQ92))*(1+J92)*F92*K92*(1+G92)*(1+$G$21*5%)</f>
        <v>833261.572843392</v>
      </c>
      <c r="I92" s="104">
        <f t="shared" si="42"/>
        <v>0.096033361165255</v>
      </c>
      <c r="J92" s="104">
        <f>$F$3+VLOOKUP($E92,武器奇术!$A:$R,12,FALSE)+VLOOKUP($E92,武器奇术!$A:$R,14,FALSE)*$G$3+$P92</f>
        <v>1.203</v>
      </c>
      <c r="K92" s="105">
        <f>VLOOKUP($E92,武器奇术!$A:$R,11,FALSE)</f>
        <v>1</v>
      </c>
      <c r="L92" s="119">
        <f>IF(VLOOKUP($E92,武器奇术!$A:$R,15,FALSE)="天工",0%,IF($C$17+VLOOKUP($E92,武器奇术!$A:$R,7,FALSE)&gt;80%,80%,$C$17+VLOOKUP($E92,武器奇术!$A:$R,7,FALSE))+IF($C$19&gt;20%,20%,$C$19))</f>
        <v>0.8703</v>
      </c>
      <c r="M92" s="120">
        <f>IF(VLOOKUP($E92,武器奇术!$A:$R,15,FALSE)="天工",0%,IF($C$18+VLOOKUP($E92,武器奇术!$A:$R,9,FALSE)&gt;40%,40%,$C$18+VLOOKUP($E92,武器奇术!$A:$R,9,FALSE))+IF($C$20&gt;10%,10%,$C$20))</f>
        <v>0.0986</v>
      </c>
      <c r="N92" s="121">
        <f>IF(VLOOKUP($E92,武器奇术!$A:$R,15,FALSE)="天工",100%,MIN($C$16,1))</f>
        <v>1</v>
      </c>
      <c r="O92" s="122" t="str">
        <f>VLOOKUP($E92,武器奇术!$A:$R,16,FALSE)</f>
        <v>伞</v>
      </c>
      <c r="P92" s="123">
        <f t="shared" si="44"/>
        <v>0.17</v>
      </c>
      <c r="Q92" s="110">
        <f>$B$5*(1+VLOOKUP($E92,武器奇术!$A:$R,5,FALSE))*(1+VLOOKUP($E92,武器奇术!$A:$S,19,FALSE)+IF($G$5="飞隼",0.1,0)+IF($G$5="撼天",0.05,0))-$F$9+IF($J$5="√",160,0)</f>
        <v>3324.7</v>
      </c>
      <c r="R92" s="102">
        <f>IF(VLOOKUP($E92,武器奇术!$A:$Z,18,FALSE)="叶龙",(S92-(Q92+S92)*0.5)*($G$15-0.5)*2+(Q92+S92)*0.5,(Q92+S92)*0.5)</f>
        <v>3404.7</v>
      </c>
      <c r="S92" s="102">
        <f>MAX($C$5,$B$5)*(1+VLOOKUP($E92,武器奇术!$A:$R,6,FALSE))*(1+VLOOKUP($E92,武器奇术!$A:$S,19,FALSE)+IF($G$5="飞隼",0.1,0)+IF($G$5="撼天",0.05,0))-$F$9+IF($J$5="√",320,0)</f>
        <v>3484.7</v>
      </c>
      <c r="T92" s="104">
        <f>IF(($D$5+VLOOKUP($E92,武器奇术!$A:$R,13,FALSE)+IF($I$3="√",10,0)-VLOOKUP($F$7,目标属性!$A:$R,5,FALSE))&gt;0,($D$5+VLOOKUP($E92,武器奇术!$A:$R,13,FALSE)+IF($I$3="√",10,0)-VLOOKUP($F$7,目标属性!$A:$R,5,FALSE))/200,($D$5+VLOOKUP($E92,武器奇术!$A:$R,13,FALSE)+IF($I$3="√",10,0)-VLOOKUP($F$7,目标属性!$A:$R,5,FALSE))/100)</f>
        <v>0.4175</v>
      </c>
      <c r="U92" s="111">
        <f>$E$5+IF($G$5="烟柳",IF(VLOOKUP($E92,武器奇术!$A:$T,20,FALSE)=1,0.1,0),0)</f>
        <v>0.1</v>
      </c>
      <c r="V92" s="102">
        <v>1</v>
      </c>
      <c r="W92" s="103">
        <f>Q92*VLOOKUP($E92,武器奇术!$A:$R,2,FALSE)*(1+T92)*(1+U92)*V92</f>
        <v>6091.01192639362</v>
      </c>
      <c r="X92" s="104">
        <f>(1-IF(VLOOKUP($E92,武器奇术!$A:$R,18,FALSE)="叶龙",1,$N92))*(1-$M92)</f>
        <v>0</v>
      </c>
      <c r="Y92" s="103">
        <f>R92*VLOOKUP($E92,武器奇术!$A:$R,2,FALSE)*(1+T92)*(1+U92)*V92*(1+$E$16+VLOOKUP($E92,武器奇术!$A:$R,8,FALSE))</f>
        <v>14059.495882713</v>
      </c>
      <c r="Z92" s="104">
        <f t="shared" si="33"/>
        <v>0.8703</v>
      </c>
      <c r="AA92" s="103">
        <f>S92*VLOOKUP($E92,武器奇术!$A:$R,2,FALSE)*(1+T92)*(1+U92)*V92*(1+$E$17+VLOOKUP($E92,武器奇术!$A:$R,10,FALSE))</f>
        <v>8618.58859472139</v>
      </c>
      <c r="AB92" s="104">
        <f t="shared" si="34"/>
        <v>0.0986</v>
      </c>
      <c r="AC92" s="103">
        <f>R92*VLOOKUP($E92,武器奇术!$A:$R,2,FALSE)*(1+T92)*(1+U92)*V92</f>
        <v>6237.57581309363</v>
      </c>
      <c r="AD92" s="104">
        <f t="shared" si="35"/>
        <v>0.0311</v>
      </c>
      <c r="AE92" s="112">
        <f t="shared" si="36"/>
        <v>13279.7607099519</v>
      </c>
      <c r="AF92" s="113">
        <f>VLOOKUP($E92,武器奇术!$A:$R,3,FALSE)*(1+IF(VLOOKUP($E92,武器奇术!$A:$R,15,FALSE)="武器",$E$15,0))</f>
        <v>421.59</v>
      </c>
      <c r="AG92" s="103">
        <f t="shared" si="1"/>
        <v>421.59</v>
      </c>
      <c r="AH92" s="103">
        <f>VLOOKUP($E92,武器奇术!$A:$R,3,FALSE)*(1+IF(VLOOKUP($E92,武器奇术!$A:$R,15,FALSE)="武器",$E$15,0))</f>
        <v>421.59</v>
      </c>
      <c r="AI92" s="104">
        <f>IF(($D$5+VLOOKUP($E92,武器奇术!$A:$R,13,FALSE)+IF($I$3="√",10,0)-VLOOKUP($F$7,目标属性!$A:$R,5,FALSE))&gt;0,($D$5+VLOOKUP($E92,武器奇术!$A:$R,13,FALSE)+IF($I$3="√",10,0)-VLOOKUP($F$7,目标属性!$A:$R,5,FALSE))/200,($D$5+VLOOKUP($E92,武器奇术!$A:$R,13,FALSE)+IF($I$3="√",10,0)-VLOOKUP($F$7,目标属性!$A:$R,5,FALSE))/100)</f>
        <v>0.4175</v>
      </c>
      <c r="AJ92" s="111">
        <f>$E$5+IF($G$5="烟柳",IF(VLOOKUP($E92,武器奇术!$A:$T,20,FALSE)=1,0.1,0),0)</f>
        <v>0.1</v>
      </c>
      <c r="AK92" s="102">
        <v>1</v>
      </c>
      <c r="AL92" s="103">
        <f t="shared" si="45"/>
        <v>657.3642075</v>
      </c>
      <c r="AM92" s="104">
        <f>(1-IF(VLOOKUP($E92,武器奇术!$A:$R,18,FALSE)="叶龙",1,$N92))*(1-$M92)</f>
        <v>0</v>
      </c>
      <c r="AN92" s="103">
        <f>AG92*(1+AI92)*(1+AJ92)*AK92*(1+$E$16+VLOOKUP($E92,武器奇术!$A:$R,8,FALSE))</f>
        <v>1481.698923705</v>
      </c>
      <c r="AO92" s="104">
        <f t="shared" si="2"/>
        <v>0.8703</v>
      </c>
      <c r="AP92" s="103">
        <f>AH92*(1+AI92)*(1+AJ92)*AK92*(1+$E$17+VLOOKUP($E92,武器奇术!$A:$R,10,FALSE))</f>
        <v>887.441680125</v>
      </c>
      <c r="AQ92" s="104">
        <f t="shared" si="3"/>
        <v>0.0986</v>
      </c>
      <c r="AR92" s="103">
        <f t="shared" si="38"/>
        <v>657.3642075</v>
      </c>
      <c r="AS92" s="104">
        <f t="shared" si="4"/>
        <v>0.0311</v>
      </c>
      <c r="AT92" s="112">
        <f t="shared" si="5"/>
        <v>1397.46834981404</v>
      </c>
      <c r="AU92" s="110">
        <f>$B$7*IF($G$5="撼天",1.05,1)+IF(AND(VLOOKUP($E92,武器奇术!$A:$R,15,FALSE)="武器",VLOOKUP($E92,武器奇术!$A:$R,17,FALSE)="鸣金"),$E$3*(1+$E$15),0)</f>
        <v>0</v>
      </c>
      <c r="AV92" s="102">
        <f t="shared" si="6"/>
        <v>0</v>
      </c>
      <c r="AW92" s="102">
        <f>MAX($C$7*IF($G$5="撼天",1.05,1)+IF(AND(VLOOKUP($E92,武器奇术!$A:$R,15,FALSE)="武器",VLOOKUP($E92,武器奇术!$A:$R,17,FALSE)="鸣金"),$E$3*(1+$E$15),0),AU92)</f>
        <v>0</v>
      </c>
      <c r="AX92" s="104">
        <f>IF(($D$7+IF(VLOOKUP($E92,武器奇术!$A:$R,17,FALSE)="鸣金",$D$15,0)-VLOOKUP($F$7,目标属性!$A:$R,6,FALSE))&gt;0,($D$7+IF(VLOOKUP($E92,武器奇术!$A:$R,17,FALSE)="鸣金",$D$15,0)-VLOOKUP($F$7,目标属性!$A:$R,6,FALSE))/200,($D$7+IF(VLOOKUP($E92,武器奇术!$A:$R,17,FALSE)="鸣金",$D$15,0)-VLOOKUP($F$7,目标属性!$A:$R,6,FALSE))/100)</f>
        <v>-0.24</v>
      </c>
      <c r="AY92" s="111">
        <f t="shared" si="7"/>
        <v>0</v>
      </c>
      <c r="AZ92" s="102">
        <v>1</v>
      </c>
      <c r="BA92" s="103">
        <f>AU92*IF(VLOOKUP($E92,武器奇术!$A:$R,17,FALSE)="鸣金",VLOOKUP($E92,武器奇术!$A:$R,4,FALSE),VLOOKUP($E92,武器奇术!$A:$R,2,FALSE))*(1+AX92)*(1+AY92)*AZ92</f>
        <v>0</v>
      </c>
      <c r="BB92" s="104">
        <f>(1-IF(VLOOKUP($E92,武器奇术!$A:$R,18,FALSE)="叶龙",1,$N92))*(1-$M92)</f>
        <v>0</v>
      </c>
      <c r="BC92" s="103">
        <f>AV92*IF(VLOOKUP($E92,武器奇术!$A:$R,17,FALSE)="鸣金",VLOOKUP($E92,武器奇术!$A:$R,4,FALSE),VLOOKUP($E92,武器奇术!$A:$R,2,FALSE))*(1+AX92)*(1+AY92)*AZ92*(1+$E$16+VLOOKUP($E92,武器奇术!$A:$R,8,FALSE))</f>
        <v>0</v>
      </c>
      <c r="BD92" s="104">
        <f t="shared" si="8"/>
        <v>0.8703</v>
      </c>
      <c r="BE92" s="103">
        <f>AW92*IF(VLOOKUP($E92,武器奇术!$A:$R,17,FALSE)="鸣金",VLOOKUP($E92,武器奇术!$A:$R,4,FALSE),VLOOKUP($E92,武器奇术!$A:$R,2,FALSE))*(1+AX92)*(1+AY92)*AZ92*(1+$E$17+VLOOKUP($E92,武器奇术!$A:$R,10,FALSE))</f>
        <v>0</v>
      </c>
      <c r="BF92" s="104">
        <f t="shared" si="9"/>
        <v>0.0986</v>
      </c>
      <c r="BG92" s="103">
        <f>AV92*IF(VLOOKUP($E92,武器奇术!$A:$R,17,FALSE)="鸣金",VLOOKUP($E92,武器奇术!$A:$R,4,FALSE),VLOOKUP($E92,武器奇术!$A:$R,2,FALSE))*(1+AX92)*(1+AY92)*AZ92</f>
        <v>0</v>
      </c>
      <c r="BH92" s="104">
        <f t="shared" si="10"/>
        <v>0.0311</v>
      </c>
      <c r="BI92" s="112">
        <f t="shared" si="11"/>
        <v>0</v>
      </c>
      <c r="BJ92" s="110">
        <f>$B$9*IF($G$5="撼天",1.05,1)+IF(AND(VLOOKUP($E92,武器奇术!$A:$R,15,FALSE)="武器",VLOOKUP($E92,武器奇术!$A:$R,17,FALSE)="裂石"),$E$3*(1+$E$15),0)</f>
        <v>0</v>
      </c>
      <c r="BK92" s="102">
        <f t="shared" si="12"/>
        <v>0</v>
      </c>
      <c r="BL92" s="102">
        <f>MAX($C$9*IF($G$5="撼天",1.05,1)+IF(AND(VLOOKUP($E92,武器奇术!$A:$R,15,FALSE)="武器",VLOOKUP($E92,武器奇术!$A:$R,17,FALSE)="裂石"),$E$3*(1+$E$15),0),BJ92)</f>
        <v>0</v>
      </c>
      <c r="BM92" s="104">
        <f>IF(($D$9+IF(VLOOKUP($E92,武器奇术!$A:$R,17,FALSE)="裂石",$D$15,0)-VLOOKUP($F$7,目标属性!$A:$R,6,FALSE))&gt;0,($D$9+IF(VLOOKUP($E92,武器奇术!$A:$R,17,FALSE)="裂石",$D$15,0)-VLOOKUP($F$7,目标属性!$A:$R,6,FALSE))/200,($D$9+IF(VLOOKUP($E92,武器奇术!$A:$R,17,FALSE)="裂石",$D$15,0)-VLOOKUP($F$7,目标属性!$A:$R,6,FALSE))/100)</f>
        <v>-0.24</v>
      </c>
      <c r="BN92" s="111">
        <f t="shared" si="13"/>
        <v>0</v>
      </c>
      <c r="BO92" s="102">
        <v>1</v>
      </c>
      <c r="BP92" s="103">
        <f>BJ92*IF(VLOOKUP($E92,武器奇术!$A:$R,17,FALSE)="裂石",VLOOKUP($E92,武器奇术!$A:$R,4,FALSE),VLOOKUP($E92,武器奇术!$A:$R,2,FALSE))*(1+BM92)*(1+BN92)*BO92</f>
        <v>0</v>
      </c>
      <c r="BQ92" s="104">
        <f>(1-IF(VLOOKUP($E92,武器奇术!$A:$R,18,FALSE)="叶龙",1,$N92))*(1-$M92)</f>
        <v>0</v>
      </c>
      <c r="BR92" s="103">
        <f>BK92*IF(VLOOKUP($E92,武器奇术!$A:$R,17,FALSE)="裂石",VLOOKUP($E92,武器奇术!$A:$R,4,FALSE),VLOOKUP($E92,武器奇术!$A:$R,2,FALSE))*(1+BM92)*(1+BN92)*BO92*(1+$E$16+VLOOKUP($E92,武器奇术!$A:$R,8,FALSE))</f>
        <v>0</v>
      </c>
      <c r="BS92" s="104">
        <f t="shared" si="14"/>
        <v>0.8703</v>
      </c>
      <c r="BT92" s="103">
        <f>BL92*IF(VLOOKUP($E92,武器奇术!$A:$R,17,FALSE)="裂石",VLOOKUP($E92,武器奇术!$A:$R,4,FALSE),VLOOKUP($E92,武器奇术!$A:$R,2,FALSE))*(1+BM92)*(1+BN92)*BO92*(1+$E$17+VLOOKUP($E92,武器奇术!$A:$R,10,FALSE))</f>
        <v>0</v>
      </c>
      <c r="BU92" s="104">
        <f t="shared" si="15"/>
        <v>0.0986</v>
      </c>
      <c r="BV92" s="103">
        <f>BK92*IF(VLOOKUP($E92,武器奇术!$A:$R,17,FALSE)="裂石",VLOOKUP($E92,武器奇术!$A:$R,4,FALSE),VLOOKUP($E92,武器奇术!$A:$R,2,FALSE))*(1+BM92)*(1+BN92)*BO92</f>
        <v>0</v>
      </c>
      <c r="BW92" s="104">
        <f t="shared" si="16"/>
        <v>0.0311</v>
      </c>
      <c r="BX92" s="112">
        <f t="shared" si="17"/>
        <v>0</v>
      </c>
      <c r="BY92" s="110">
        <f>$B$11*IF($G$5="撼天",1.05,1)+IF(AND(VLOOKUP($E92,武器奇术!$A:$R,15,FALSE)="武器",VLOOKUP($E92,武器奇术!$A:$R,17,FALSE)="牵丝"),$E$3*(1+$E$15),0)</f>
        <v>686.71</v>
      </c>
      <c r="BZ92" s="102">
        <f>IF(VLOOKUP($E92,武器奇术!$A:$Z,18,FALSE)="叶龙",(CA92-(BY92+CA92)*0.5)*($G$15-0.5)*2+(BY92+CA92)*0.5,(BY92+CA92)*0.5)</f>
        <v>1052.21</v>
      </c>
      <c r="CA92" s="102">
        <f>MAX($C$11*IF($G$5="撼天",1.05,1)+IF(AND(VLOOKUP($E92,武器奇术!$A:$R,15,FALSE)="武器",VLOOKUP($E92,武器奇术!$A:$R,17,FALSE)="牵丝"),$E$3*(1+$E$15),0),BY92)</f>
        <v>1417.71</v>
      </c>
      <c r="CB92" s="104">
        <f>IF(($D$11+IF(VLOOKUP($E92,武器奇术!$A:$R,17,FALSE)="牵丝",$D$15,0)-VLOOKUP($F$7,目标属性!$A:$R,6,FALSE))&gt;0,($D$11+IF(VLOOKUP($E92,武器奇术!$A:$R,17,FALSE)="牵丝",$D$15,0)-VLOOKUP($F$7,目标属性!$A:$R,6,FALSE))/200,($D$11+IF(VLOOKUP($E92,武器奇术!$A:$R,17,FALSE)="牵丝",$D$15,0)-VLOOKUP($F$7,目标属性!$A:$R,6,FALSE))/100)</f>
        <v>0.028</v>
      </c>
      <c r="CC92" s="111">
        <f>$E$11+IF($G$5="烟柳",IF(VLOOKUP($E92,武器奇术!$A:$T,20,FALSE)=1,0.1,0),0)</f>
        <v>0.248</v>
      </c>
      <c r="CD92" s="102">
        <v>1</v>
      </c>
      <c r="CE92" s="103">
        <f>BY92*IF(VLOOKUP($E92,武器奇术!$A:$R,17,FALSE)="牵丝",VLOOKUP($E92,武器奇术!$A:$R,4,FALSE),VLOOKUP($E92,武器奇术!$A:$R,2,FALSE))*(1+CB92)*(1+CC92)*CD92</f>
        <v>1552.67083453872</v>
      </c>
      <c r="CF92" s="104">
        <f>(1-IF(VLOOKUP($E92,武器奇术!$A:$R,18,FALSE)="叶龙",1,$N92))*(1-$M92)</f>
        <v>0</v>
      </c>
      <c r="CG92" s="124">
        <f>BZ92*IF(VLOOKUP($E92,武器奇术!$A:$R,17,FALSE)="牵丝",VLOOKUP($E92,武器奇术!$A:$R,4,FALSE),VLOOKUP($E92,武器奇术!$A:$R,2,FALSE))*(1+CB92)*(1+CC92)*CD92*(1+$E$16+VLOOKUP($E92,武器奇术!$A:$R,8,FALSE))</f>
        <v>5362.43894138386</v>
      </c>
      <c r="CH92" s="104">
        <f t="shared" si="18"/>
        <v>0.8703</v>
      </c>
      <c r="CI92" s="103">
        <f>CA92*IF(VLOOKUP($E92,武器奇术!$A:$R,17,FALSE)="牵丝",VLOOKUP($E92,武器奇术!$A:$R,4,FALSE),VLOOKUP($E92,武器奇术!$A:$R,2,FALSE))*(1+CB92)*(1+CC92)*CD92*(1+$E$17+VLOOKUP($E92,武器奇术!$A:$R,10,FALSE))</f>
        <v>4327.40153474647</v>
      </c>
      <c r="CJ92" s="104">
        <f t="shared" si="19"/>
        <v>0.0986</v>
      </c>
      <c r="CK92" s="124">
        <f>BZ92*IF(VLOOKUP($E92,武器奇术!$A:$R,17,FALSE)="牵丝",VLOOKUP($E92,武器奇术!$A:$R,4,FALSE),VLOOKUP($E92,武器奇术!$A:$R,2,FALSE))*(1+CB92)*(1+CC92)*CD92</f>
        <v>2379.07672643472</v>
      </c>
      <c r="CL92" s="104">
        <f t="shared" si="20"/>
        <v>0.0311</v>
      </c>
      <c r="CM92" s="112">
        <f t="shared" si="39"/>
        <v>5167.60168820449</v>
      </c>
      <c r="CN92" s="110">
        <f>$B$13*IF($G$5="撼天",1.05,1)+IF(AND(VLOOKUP($E92,武器奇术!$A:$R,15,FALSE)="武器",VLOOKUP($E92,武器奇术!$A:$R,17,FALSE)="破竹"),$E$3*(1+$E$15),0)</f>
        <v>0</v>
      </c>
      <c r="CO92" s="102">
        <f t="shared" si="21"/>
        <v>0</v>
      </c>
      <c r="CP92" s="102">
        <f>MAX($C$13*IF($G$5="撼天",1.05,1)+IF(AND(VLOOKUP($E92,武器奇术!$A:$R,15,FALSE)="武器",VLOOKUP($E92,武器奇术!$A:$R,17,FALSE)="破竹"),$E$3*(1+$E$15),0),CN92)</f>
        <v>0</v>
      </c>
      <c r="CQ92" s="104">
        <f>IF(($D$13+IF(VLOOKUP($E92,武器奇术!$A:$R,17,FALSE)="破竹",$D$15,0)-VLOOKUP($F$7,目标属性!$A:$R,6,FALSE))&gt;0,($D$13+IF(VLOOKUP($E92,武器奇术!$A:$R,17,FALSE)="破竹",$D$15,0)-VLOOKUP($F$7,目标属性!$A:$R,6,FALSE))/200,($D$13+IF(VLOOKUP($E92,武器奇术!$A:$R,17,FALSE)="破竹",$D$15,0)-VLOOKUP($F$7,目标属性!$A:$R,6,FALSE))/100)</f>
        <v>-0.24</v>
      </c>
      <c r="CR92" s="111">
        <f t="shared" si="22"/>
        <v>0</v>
      </c>
      <c r="CS92" s="102">
        <v>1</v>
      </c>
      <c r="CT92" s="103">
        <f>CN92*IF(VLOOKUP($E92,武器奇术!$A:$R,17,FALSE)="破竹",VLOOKUP($E92,武器奇术!$A:$R,4,FALSE),VLOOKUP($E92,武器奇术!$A:$R,2,FALSE))*(1+CQ92)*(1+CR92)*CS92</f>
        <v>0</v>
      </c>
      <c r="CU92" s="104">
        <f>(1-IF(VLOOKUP($E92,武器奇术!$A:$R,18,FALSE)="叶龙",1,$N92))*(1-$M92)</f>
        <v>0</v>
      </c>
      <c r="CV92" s="103">
        <f>CO92*IF(VLOOKUP($E92,武器奇术!$A:$R,17,FALSE)="破竹",VLOOKUP($E92,武器奇术!$A:$R,4,FALSE),VLOOKUP($E92,武器奇术!$A:$R,2,FALSE))*(1+CQ92)*(1+CR92)*CS92*(1+$E$16+VLOOKUP($E92,武器奇术!$A:$R,8,FALSE))</f>
        <v>0</v>
      </c>
      <c r="CW92" s="104">
        <f t="shared" si="23"/>
        <v>0.8703</v>
      </c>
      <c r="CX92" s="103">
        <f>CP92*IF(VLOOKUP($E92,武器奇术!$A:$R,17,FALSE)="破竹",VLOOKUP($E92,武器奇术!$A:$R,4,FALSE),VLOOKUP($E92,武器奇术!$A:$R,2,FALSE))*(1+CQ92)*(1+CR92)*CS92*(1+$E$17+VLOOKUP($E92,武器奇术!$A:$R,10,FALSE))</f>
        <v>0</v>
      </c>
      <c r="CY92" s="104">
        <f t="shared" si="24"/>
        <v>0.0986</v>
      </c>
      <c r="CZ92" s="103">
        <f>CO92*IF(VLOOKUP($E92,武器奇术!$A:$R,17,FALSE)="破竹",VLOOKUP($E92,武器奇术!$A:$R,4,FALSE),VLOOKUP($E92,武器奇术!$A:$R,2,FALSE))*(1+CQ92)*(1+CR92)*CS92</f>
        <v>0</v>
      </c>
      <c r="DA92" s="104">
        <f t="shared" si="25"/>
        <v>0.0311</v>
      </c>
      <c r="DB92" s="112">
        <f t="shared" si="26"/>
        <v>0</v>
      </c>
      <c r="DC92" s="110">
        <f t="shared" si="40"/>
        <v>66</v>
      </c>
      <c r="DD92" s="102">
        <f t="shared" si="27"/>
        <v>125.8</v>
      </c>
      <c r="DE92" s="102">
        <f t="shared" si="41"/>
        <v>185.6</v>
      </c>
      <c r="DF92" s="104">
        <f>IF((IF(VLOOKUP($E92,武器奇术!$A:$R,17,FALSE)="鸣金",$D$7,0)+IF(VLOOKUP($E92,武器奇术!$A:$R,17,FALSE)="裂石",$D$9,0)+IF(VLOOKUP($E92,武器奇术!$A:$R,17,FALSE)="牵丝",$D$11,0)+IF(VLOOKUP($E92,武器奇术!$A:$R,17,FALSE)="破竹",$D$13,0)+$D$15-VLOOKUP($F$7,目标属性!$A:$R,6,FALSE))&gt;0,(IF(VLOOKUP($E92,武器奇术!$A:$R,17,FALSE)="鸣金",$D$7,0)+IF(VLOOKUP($E92,武器奇术!$A:$R,17,FALSE)="裂石",$D$9,0)+IF(VLOOKUP($E92,武器奇术!$A:$R,17,FALSE)="牵丝",$D$11,0)+IF(VLOOKUP($E92,武器奇术!$A:$R,17,FALSE)="破竹",$D$13,0)+$D$15-VLOOKUP($F$7,目标属性!$A:$R,6,FALSE))/200,(IF(VLOOKUP($E92,武器奇术!$A:$R,17,FALSE)="鸣金",$D$7,0)+IF(VLOOKUP($E92,武器奇术!$A:$R,17,FALSE)="裂石",$D$9,0)+IF(VLOOKUP($E92,武器奇术!$A:$R,17,FALSE)="牵丝",$D$11,0)+IF(VLOOKUP($E92,武器奇术!$A:$R,17,FALSE)="破竹",$D$13,0)+$D$15-VLOOKUP($F$7,目标属性!$A:$R,6,FALSE))/100)</f>
        <v>0.028</v>
      </c>
      <c r="DG92" s="111">
        <f>$E$11+IF($G$5="烟柳",IF(VLOOKUP($E92,武器奇术!$A:$T,20,FALSE)=1,0.1,0),0)</f>
        <v>0.248</v>
      </c>
      <c r="DH92" s="102">
        <v>1</v>
      </c>
      <c r="DI92" s="103">
        <f>DC92*IF(VLOOKUP($E92,武器奇术!$A:$R,17,FALSE)="牵丝",VLOOKUP($E92,武器奇术!$A:$R,4,FALSE),VLOOKUP($E92,武器奇术!$A:$R,2,FALSE))*(1+DF92)*(1+DG92)*DH92</f>
        <v>149.227876512</v>
      </c>
      <c r="DJ92" s="104">
        <f>(1-IF(VLOOKUP($E92,武器奇术!$A:$R,18,FALSE)="叶龙",1,$N92))*(1-$M92)</f>
        <v>0</v>
      </c>
      <c r="DK92" s="124">
        <f>DD92*IF(VLOOKUP($E92,武器奇术!$A:$R,17,FALSE)="牵丝",VLOOKUP($E92,武器奇术!$A:$R,4,FALSE),VLOOKUP($E92,武器奇术!$A:$R,2,FALSE))*(1+DF92)*(1+DG92)*DH92*(1+$E$16+VLOOKUP($E92,武器奇术!$A:$R,8,FALSE))</f>
        <v>641.121847184582</v>
      </c>
      <c r="DL92" s="104">
        <f t="shared" si="28"/>
        <v>0.8703</v>
      </c>
      <c r="DM92" s="103">
        <f>DE92*IF(VLOOKUP($E92,武器奇术!$A:$R,17,FALSE)="牵丝",VLOOKUP($E92,武器奇术!$A:$R,4,FALSE),VLOOKUP($E92,武器奇术!$A:$R,2,FALSE))*(1+DF92)*(1+DG92)*DH92*(1+$E$17+VLOOKUP($E92,武器奇术!$A:$R,10,FALSE))</f>
        <v>566.52328392192</v>
      </c>
      <c r="DN92" s="104">
        <f t="shared" si="29"/>
        <v>0.0986</v>
      </c>
      <c r="DO92" s="124">
        <f>DD92*IF(VLOOKUP($E92,武器奇术!$A:$R,17,FALSE)="牵丝",VLOOKUP($E92,武器奇术!$A:$R,4,FALSE),VLOOKUP($E92,武器奇术!$A:$R,2,FALSE))*(1+DF92)*(1+DG92)*DH92</f>
        <v>284.4373767456</v>
      </c>
      <c r="DP92" s="104">
        <f t="shared" si="30"/>
        <v>0.0311</v>
      </c>
      <c r="DQ92" s="112">
        <f t="shared" si="31"/>
        <v>622.673541816231</v>
      </c>
    </row>
    <row r="93" spans="1:121">
      <c r="B93" t="s">
        <v>162</v>
      </c>
      <c r="C93">
        <v>1.5</v>
      </c>
      <c r="E93" s="115" t="s">
        <v>187</v>
      </c>
      <c r="F93" s="116">
        <v>1</v>
      </c>
      <c r="G93" s="117"/>
      <c r="H93" s="140">
        <f>IF(VLOOKUP($E93,武器奇术!$A:$R,18,FALSE)="天工",AE93,(AE93+AT93+BI93+BX93+CM93+DB93+DQ93))*(1+J93)*F93*K93*(1+G93)*(1+$G$21*5%)</f>
        <v>893926.12903659</v>
      </c>
      <c r="I93" s="104">
        <f t="shared" si="42"/>
        <v>0.10302494871075</v>
      </c>
      <c r="J93" s="104">
        <f>$F$3+VLOOKUP($E93,武器奇术!$A:$R,12,FALSE)+VLOOKUP($E93,武器奇术!$A:$R,14,FALSE)*$G$3+$P93</f>
        <v>1.058</v>
      </c>
      <c r="K93" s="105">
        <f>VLOOKUP($E93,武器奇术!$A:$R,11,FALSE)</f>
        <v>1</v>
      </c>
      <c r="L93" s="119">
        <f>IF(VLOOKUP($E93,武器奇术!$A:$R,15,FALSE)="天工",0%,IF($C$17+VLOOKUP($E93,武器奇术!$A:$R,7,FALSE)&gt;80%,80%,$C$17+VLOOKUP($E93,武器奇术!$A:$R,7,FALSE))+IF($C$19&gt;20%,20%,$C$19))</f>
        <v>0.8703</v>
      </c>
      <c r="M93" s="120">
        <f>IF(VLOOKUP($E93,武器奇术!$A:$R,15,FALSE)="天工",0%,IF($C$18+VLOOKUP($E93,武器奇术!$A:$R,9,FALSE)&gt;40%,40%,$C$18+VLOOKUP($E93,武器奇术!$A:$R,9,FALSE))+IF($C$20&gt;10%,10%,$C$20))</f>
        <v>0.0986</v>
      </c>
      <c r="N93" s="121">
        <f>IF(VLOOKUP($E93,武器奇术!$A:$R,15,FALSE)="天工",100%,MIN($C$16,1))</f>
        <v>1</v>
      </c>
      <c r="O93" s="122" t="str">
        <f>VLOOKUP($E93,武器奇术!$A:$R,16,FALSE)</f>
        <v>单体奇术</v>
      </c>
      <c r="P93" s="123">
        <f t="shared" si="44"/>
        <v>0</v>
      </c>
      <c r="Q93" s="110">
        <f>$B$5*(1+VLOOKUP($E93,武器奇术!$A:$R,5,FALSE))*(1+VLOOKUP($E93,武器奇术!$A:$S,19,FALSE)+IF($G$5="飞隼",0.1,0)+IF($G$5="撼天",0.05,0))-$F$9+IF($J$5="√",160,0)</f>
        <v>3324.7</v>
      </c>
      <c r="R93" s="102">
        <f>IF(VLOOKUP($E93,武器奇术!$A:$Z,18,FALSE)="叶龙",(S93-(Q93+S93)*0.5)*($G$15-0.5)*2+(Q93+S93)*0.5,(Q93+S93)*0.5)</f>
        <v>3404.7</v>
      </c>
      <c r="S93" s="102">
        <f>MAX($C$5,$B$5)*(1+VLOOKUP($E93,武器奇术!$A:$R,6,FALSE))*(1+VLOOKUP($E93,武器奇术!$A:$S,19,FALSE)+IF($G$5="飞隼",0.1,0)+IF($G$5="撼天",0.05,0))-$F$9+IF($J$5="√",320,0)</f>
        <v>3484.7</v>
      </c>
      <c r="T93" s="104">
        <f>IF(($D$5+VLOOKUP($E93,武器奇术!$A:$R,13,FALSE)+IF($I$3="√",10,0)-VLOOKUP($F$7,目标属性!$A:$R,5,FALSE))&gt;0,($D$5+VLOOKUP($E93,武器奇术!$A:$R,13,FALSE)+IF($I$3="√",10,0)-VLOOKUP($F$7,目标属性!$A:$R,5,FALSE))/200,($D$5+VLOOKUP($E93,武器奇术!$A:$R,13,FALSE)+IF($I$3="√",10,0)-VLOOKUP($F$7,目标属性!$A:$R,5,FALSE))/100)</f>
        <v>0.3925</v>
      </c>
      <c r="U93" s="111">
        <f>$E$5+IF($G$5="烟柳",IF(VLOOKUP($E93,武器奇术!$A:$T,20,FALSE)=1,0.1,0),0)</f>
        <v>0</v>
      </c>
      <c r="V93" s="102">
        <v>1</v>
      </c>
      <c r="W93" s="103">
        <f>Q93*VLOOKUP($E93,武器奇术!$A:$R,2,FALSE)*(1+T93)*(1+U93)*V93</f>
        <v>116661.797682853</v>
      </c>
      <c r="X93" s="104">
        <f>(1-IF(VLOOKUP($E93,武器奇术!$A:$R,18,FALSE)="叶龙",1,$N93))*(1-$M93)</f>
        <v>0</v>
      </c>
      <c r="Y93" s="103">
        <f>R93*VLOOKUP($E93,武器奇术!$A:$R,2,FALSE)*(1+T93)*(1+U93)*V93*(1+$E$16+VLOOKUP($E93,武器奇术!$A:$R,8,FALSE))</f>
        <v>226274.19386685</v>
      </c>
      <c r="Z93" s="104">
        <f t="shared" si="33"/>
        <v>0.8703</v>
      </c>
      <c r="AA93" s="103">
        <f>S93*VLOOKUP($E93,武器奇术!$A:$R,2,FALSE)*(1+T93)*(1+U93)*V93*(1+$E$17+VLOOKUP($E93,武器奇术!$A:$R,10,FALSE))</f>
        <v>165072.741787332</v>
      </c>
      <c r="AB93" s="104">
        <f t="shared" si="34"/>
        <v>0.0986</v>
      </c>
      <c r="AC93" s="103">
        <f>R93*VLOOKUP($E93,武器奇术!$A:$R,2,FALSE)*(1+T93)*(1+U93)*V93</f>
        <v>119468.951355253</v>
      </c>
      <c r="AD93" s="104">
        <f t="shared" si="35"/>
        <v>0.0311</v>
      </c>
      <c r="AE93" s="112">
        <f t="shared" si="36"/>
        <v>216918.087649699</v>
      </c>
      <c r="AF93" s="113">
        <f>VLOOKUP($E93,武器奇术!$A:$R,3,FALSE)*(1+IF(VLOOKUP($E93,武器奇术!$A:$R,15,FALSE)="武器",$E$15,0))</f>
        <v>4521.44</v>
      </c>
      <c r="AG93" s="103">
        <f t="shared" si="1"/>
        <v>4521.44</v>
      </c>
      <c r="AH93" s="103">
        <f>VLOOKUP($E93,武器奇术!$A:$R,3,FALSE)*(1+IF(VLOOKUP($E93,武器奇术!$A:$R,15,FALSE)="武器",$E$15,0))</f>
        <v>4521.44</v>
      </c>
      <c r="AI93" s="104">
        <f>IF(($D$5+VLOOKUP($E93,武器奇术!$A:$R,13,FALSE)+IF($I$3="√",10,0)-VLOOKUP($F$7,目标属性!$A:$R,5,FALSE))&gt;0,($D$5+VLOOKUP($E93,武器奇术!$A:$R,13,FALSE)+IF($I$3="√",10,0)-VLOOKUP($F$7,目标属性!$A:$R,5,FALSE))/200,($D$5+VLOOKUP($E93,武器奇术!$A:$R,13,FALSE)+IF($I$3="√",10,0)-VLOOKUP($F$7,目标属性!$A:$R,5,FALSE))/100)</f>
        <v>0.3925</v>
      </c>
      <c r="AJ93" s="111">
        <f>$E$5+IF($G$5="烟柳",IF(VLOOKUP($E93,武器奇术!$A:$T,20,FALSE)=1,0.1,0),0)</f>
        <v>0</v>
      </c>
      <c r="AK93" s="102">
        <v>1</v>
      </c>
      <c r="AL93" s="103">
        <f t="shared" si="45"/>
        <v>6296.1052</v>
      </c>
      <c r="AM93" s="104">
        <f>(1-IF(VLOOKUP($E93,武器奇术!$A:$R,18,FALSE)="叶龙",1,$N93))*(1-$M93)</f>
        <v>0</v>
      </c>
      <c r="AN93" s="103">
        <f>AG93*(1+AI93)*(1+AJ93)*AK93*(1+$E$16+VLOOKUP($E93,武器奇术!$A:$R,8,FALSE))</f>
        <v>11924.8232488</v>
      </c>
      <c r="AO93" s="104">
        <f t="shared" si="2"/>
        <v>0.8703</v>
      </c>
      <c r="AP93" s="103">
        <f>AH93*(1+AI93)*(1+AJ93)*AK93*(1+$E$17+VLOOKUP($E93,武器奇术!$A:$R,10,FALSE))</f>
        <v>8499.74202</v>
      </c>
      <c r="AQ93" s="104">
        <f t="shared" si="3"/>
        <v>0.0986</v>
      </c>
      <c r="AR93" s="103">
        <f t="shared" si="38"/>
        <v>6296.1052</v>
      </c>
      <c r="AS93" s="104">
        <f t="shared" si="4"/>
        <v>0.0311</v>
      </c>
      <c r="AT93" s="112">
        <f t="shared" si="5"/>
        <v>11412.0571083226</v>
      </c>
      <c r="AU93" s="110">
        <f>$B$7*IF($G$5="撼天",1.05,1)+IF(AND(VLOOKUP($E93,武器奇术!$A:$R,15,FALSE)="武器",VLOOKUP($E93,武器奇术!$A:$R,17,FALSE)="鸣金"),$E$3*(1+$E$15),0)</f>
        <v>0</v>
      </c>
      <c r="AV93" s="102">
        <f t="shared" si="6"/>
        <v>0</v>
      </c>
      <c r="AW93" s="102">
        <f>MAX($C$7*IF($G$5="撼天",1.05,1)+IF(AND(VLOOKUP($E93,武器奇术!$A:$R,15,FALSE)="武器",VLOOKUP($E93,武器奇术!$A:$R,17,FALSE)="鸣金"),$E$3*(1+$E$15),0),AU93)</f>
        <v>0</v>
      </c>
      <c r="AX93" s="104">
        <f>IF(($D$7+IF(VLOOKUP($E93,武器奇术!$A:$R,17,FALSE)="鸣金",$D$15,0)-VLOOKUP($F$7,目标属性!$A:$R,6,FALSE))&gt;0,($D$7+IF(VLOOKUP($E93,武器奇术!$A:$R,17,FALSE)="鸣金",$D$15,0)-VLOOKUP($F$7,目标属性!$A:$R,6,FALSE))/200,($D$7+IF(VLOOKUP($E93,武器奇术!$A:$R,17,FALSE)="鸣金",$D$15,0)-VLOOKUP($F$7,目标属性!$A:$R,6,FALSE))/100)</f>
        <v>-0.24</v>
      </c>
      <c r="AY93" s="111">
        <f t="shared" si="7"/>
        <v>0</v>
      </c>
      <c r="AZ93" s="102">
        <v>1</v>
      </c>
      <c r="BA93" s="103">
        <f>AU93*IF(VLOOKUP($E93,武器奇术!$A:$R,17,FALSE)="鸣金",VLOOKUP($E93,武器奇术!$A:$R,4,FALSE),VLOOKUP($E93,武器奇术!$A:$R,2,FALSE))*(1+AX93)*(1+AY93)*AZ93</f>
        <v>0</v>
      </c>
      <c r="BB93" s="104">
        <f>(1-IF(VLOOKUP($E93,武器奇术!$A:$R,18,FALSE)="叶龙",1,$N93))*(1-$M93)</f>
        <v>0</v>
      </c>
      <c r="BC93" s="103">
        <f>AV93*IF(VLOOKUP($E93,武器奇术!$A:$R,17,FALSE)="鸣金",VLOOKUP($E93,武器奇术!$A:$R,4,FALSE),VLOOKUP($E93,武器奇术!$A:$R,2,FALSE))*(1+AX93)*(1+AY93)*AZ93*(1+$E$16+VLOOKUP($E93,武器奇术!$A:$R,8,FALSE))</f>
        <v>0</v>
      </c>
      <c r="BD93" s="104">
        <f t="shared" si="8"/>
        <v>0.8703</v>
      </c>
      <c r="BE93" s="103">
        <f>AW93*IF(VLOOKUP($E93,武器奇术!$A:$R,17,FALSE)="鸣金",VLOOKUP($E93,武器奇术!$A:$R,4,FALSE),VLOOKUP($E93,武器奇术!$A:$R,2,FALSE))*(1+AX93)*(1+AY93)*AZ93*(1+$E$17+VLOOKUP($E93,武器奇术!$A:$R,10,FALSE))</f>
        <v>0</v>
      </c>
      <c r="BF93" s="104">
        <f t="shared" si="9"/>
        <v>0.0986</v>
      </c>
      <c r="BG93" s="103">
        <f>AV93*IF(VLOOKUP($E93,武器奇术!$A:$R,17,FALSE)="鸣金",VLOOKUP($E93,武器奇术!$A:$R,4,FALSE),VLOOKUP($E93,武器奇术!$A:$R,2,FALSE))*(1+AX93)*(1+AY93)*AZ93</f>
        <v>0</v>
      </c>
      <c r="BH93" s="104">
        <f t="shared" si="10"/>
        <v>0.0311</v>
      </c>
      <c r="BI93" s="112">
        <f t="shared" si="11"/>
        <v>0</v>
      </c>
      <c r="BJ93" s="110">
        <f>$B$9*IF($G$5="撼天",1.05,1)+IF(AND(VLOOKUP($E93,武器奇术!$A:$R,15,FALSE)="武器",VLOOKUP($E93,武器奇术!$A:$R,17,FALSE)="裂石"),$E$3*(1+$E$15),0)</f>
        <v>0</v>
      </c>
      <c r="BK93" s="102">
        <f t="shared" si="12"/>
        <v>0</v>
      </c>
      <c r="BL93" s="102">
        <f>MAX($C$9*IF($G$5="撼天",1.05,1)+IF(AND(VLOOKUP($E93,武器奇术!$A:$R,15,FALSE)="武器",VLOOKUP($E93,武器奇术!$A:$R,17,FALSE)="裂石"),$E$3*(1+$E$15),0),BJ93)</f>
        <v>0</v>
      </c>
      <c r="BM93" s="104">
        <f>IF(($D$9+IF(VLOOKUP($E93,武器奇术!$A:$R,17,FALSE)="裂石",$D$15,0)-VLOOKUP($F$7,目标属性!$A:$R,6,FALSE))&gt;0,($D$9+IF(VLOOKUP($E93,武器奇术!$A:$R,17,FALSE)="裂石",$D$15,0)-VLOOKUP($F$7,目标属性!$A:$R,6,FALSE))/200,($D$9+IF(VLOOKUP($E93,武器奇术!$A:$R,17,FALSE)="裂石",$D$15,0)-VLOOKUP($F$7,目标属性!$A:$R,6,FALSE))/100)</f>
        <v>-0.24</v>
      </c>
      <c r="BN93" s="111">
        <f t="shared" si="13"/>
        <v>0</v>
      </c>
      <c r="BO93" s="102">
        <v>1</v>
      </c>
      <c r="BP93" s="103">
        <f>BJ93*IF(VLOOKUP($E93,武器奇术!$A:$R,17,FALSE)="裂石",VLOOKUP($E93,武器奇术!$A:$R,4,FALSE),VLOOKUP($E93,武器奇术!$A:$R,2,FALSE))*(1+BM93)*(1+BN93)*BO93</f>
        <v>0</v>
      </c>
      <c r="BQ93" s="104">
        <f>(1-IF(VLOOKUP($E93,武器奇术!$A:$R,18,FALSE)="叶龙",1,$N93))*(1-$M93)</f>
        <v>0</v>
      </c>
      <c r="BR93" s="103">
        <f>BK93*IF(VLOOKUP($E93,武器奇术!$A:$R,17,FALSE)="裂石",VLOOKUP($E93,武器奇术!$A:$R,4,FALSE),VLOOKUP($E93,武器奇术!$A:$R,2,FALSE))*(1+BM93)*(1+BN93)*BO93*(1+$E$16+VLOOKUP($E93,武器奇术!$A:$R,8,FALSE))</f>
        <v>0</v>
      </c>
      <c r="BS93" s="104">
        <f t="shared" si="14"/>
        <v>0.8703</v>
      </c>
      <c r="BT93" s="103">
        <f>BL93*IF(VLOOKUP($E93,武器奇术!$A:$R,17,FALSE)="裂石",VLOOKUP($E93,武器奇术!$A:$R,4,FALSE),VLOOKUP($E93,武器奇术!$A:$R,2,FALSE))*(1+BM93)*(1+BN93)*BO93*(1+$E$17+VLOOKUP($E93,武器奇术!$A:$R,10,FALSE))</f>
        <v>0</v>
      </c>
      <c r="BU93" s="104">
        <f t="shared" si="15"/>
        <v>0.0986</v>
      </c>
      <c r="BV93" s="103">
        <f>BK93*IF(VLOOKUP($E93,武器奇术!$A:$R,17,FALSE)="裂石",VLOOKUP($E93,武器奇术!$A:$R,4,FALSE),VLOOKUP($E93,武器奇术!$A:$R,2,FALSE))*(1+BM93)*(1+BN93)*BO93</f>
        <v>0</v>
      </c>
      <c r="BW93" s="104">
        <f t="shared" si="16"/>
        <v>0.0311</v>
      </c>
      <c r="BX93" s="112">
        <f t="shared" si="17"/>
        <v>0</v>
      </c>
      <c r="BY93" s="110">
        <f>$B$11*IF($G$5="撼天",1.05,1)+IF(AND(VLOOKUP($E93,武器奇术!$A:$R,15,FALSE)="武器",VLOOKUP($E93,武器奇术!$A:$R,17,FALSE)="牵丝"),$E$3*(1+$E$15),0)</f>
        <v>490.8</v>
      </c>
      <c r="BZ93" s="102">
        <f>IF(VLOOKUP($E93,武器奇术!$A:$Z,18,FALSE)="叶龙",(CA93-(BY93+CA93)*0.5)*($G$15-0.5)*2+(BY93+CA93)*0.5,(BY93+CA93)*0.5)</f>
        <v>856.3</v>
      </c>
      <c r="CA93" s="102">
        <f>MAX($C$11*IF($G$5="撼天",1.05,1)+IF(AND(VLOOKUP($E93,武器奇术!$A:$R,15,FALSE)="武器",VLOOKUP($E93,武器奇术!$A:$R,17,FALSE)="牵丝"),$E$3*(1+$E$15),0),BY93)</f>
        <v>1221.8</v>
      </c>
      <c r="CB93" s="104">
        <f>IF(($D$11+IF(VLOOKUP($E93,武器奇术!$A:$R,17,FALSE)="牵丝",$D$15,0)-VLOOKUP($F$7,目标属性!$A:$R,6,FALSE))&gt;0,($D$11+IF(VLOOKUP($E93,武器奇术!$A:$R,17,FALSE)="牵丝",$D$15,0)-VLOOKUP($F$7,目标属性!$A:$R,6,FALSE))/200,($D$11+IF(VLOOKUP($E93,武器奇术!$A:$R,17,FALSE)="牵丝",$D$15,0)-VLOOKUP($F$7,目标属性!$A:$R,6,FALSE))/100)</f>
        <v>0.028</v>
      </c>
      <c r="CC93" s="111">
        <f>$E$11+IF($G$5="烟柳",IF(VLOOKUP($E93,武器奇术!$A:$T,20,FALSE)=1,0.1,0),0)</f>
        <v>0.148</v>
      </c>
      <c r="CD93" s="102">
        <v>1</v>
      </c>
      <c r="CE93" s="103">
        <f>BY93*IF(VLOOKUP($E93,武器奇术!$A:$R,17,FALSE)="牵丝",VLOOKUP($E93,武器奇术!$A:$R,4,FALSE),VLOOKUP($E93,武器奇术!$A:$R,2,FALSE))*(1+CB93)*(1+CC93)*CD93</f>
        <v>21893.3294783975</v>
      </c>
      <c r="CF93" s="104">
        <f>(1-IF(VLOOKUP($E93,武器奇术!$A:$R,18,FALSE)="叶龙",1,$N93))*(1-$M93)</f>
        <v>0</v>
      </c>
      <c r="CG93" s="124">
        <f>BZ93*IF(VLOOKUP($E93,武器奇术!$A:$R,17,FALSE)="牵丝",VLOOKUP($E93,武器奇术!$A:$R,4,FALSE),VLOOKUP($E93,武器奇术!$A:$R,2,FALSE))*(1+CB93)*(1+CC93)*CD93*(1+$E$16+VLOOKUP($E93,武器奇术!$A:$R,8,FALSE))</f>
        <v>72345.7756994178</v>
      </c>
      <c r="CH93" s="104">
        <f t="shared" si="18"/>
        <v>0.8703</v>
      </c>
      <c r="CI93" s="103">
        <f>CA93*IF(VLOOKUP($E93,武器奇术!$A:$R,17,FALSE)="牵丝",VLOOKUP($E93,武器奇术!$A:$R,4,FALSE),VLOOKUP($E93,武器奇术!$A:$R,2,FALSE))*(1+CB93)*(1+CC93)*CD93*(1+$E$17+VLOOKUP($E93,武器奇术!$A:$R,10,FALSE))</f>
        <v>73576.8427904506</v>
      </c>
      <c r="CJ93" s="104">
        <f t="shared" si="19"/>
        <v>0.0986</v>
      </c>
      <c r="CK93" s="124">
        <f>BZ93*IF(VLOOKUP($E93,武器奇术!$A:$R,17,FALSE)="牵丝",VLOOKUP($E93,武器奇术!$A:$R,4,FALSE),VLOOKUP($E93,武器奇术!$A:$R,2,FALSE))*(1+CB93)*(1+CC93)*CD93</f>
        <v>38197.3472541805</v>
      </c>
      <c r="CL93" s="104">
        <f t="shared" si="20"/>
        <v>0.0311</v>
      </c>
      <c r="CM93" s="112">
        <f t="shared" si="39"/>
        <v>71405.1427899468</v>
      </c>
      <c r="CN93" s="110">
        <f>$B$13*IF($G$5="撼天",1.05,1)+IF(AND(VLOOKUP($E93,武器奇术!$A:$R,15,FALSE)="武器",VLOOKUP($E93,武器奇术!$A:$R,17,FALSE)="破竹"),$E$3*(1+$E$15),0)</f>
        <v>0</v>
      </c>
      <c r="CO93" s="102">
        <f t="shared" si="21"/>
        <v>0</v>
      </c>
      <c r="CP93" s="102">
        <f>MAX($C$13*IF($G$5="撼天",1.05,1)+IF(AND(VLOOKUP($E93,武器奇术!$A:$R,15,FALSE)="武器",VLOOKUP($E93,武器奇术!$A:$R,17,FALSE)="破竹"),$E$3*(1+$E$15),0),CN93)</f>
        <v>0</v>
      </c>
      <c r="CQ93" s="104">
        <f>IF(($D$13+IF(VLOOKUP($E93,武器奇术!$A:$R,17,FALSE)="破竹",$D$15,0)-VLOOKUP($F$7,目标属性!$A:$R,6,FALSE))&gt;0,($D$13+IF(VLOOKUP($E93,武器奇术!$A:$R,17,FALSE)="破竹",$D$15,0)-VLOOKUP($F$7,目标属性!$A:$R,6,FALSE))/200,($D$13+IF(VLOOKUP($E93,武器奇术!$A:$R,17,FALSE)="破竹",$D$15,0)-VLOOKUP($F$7,目标属性!$A:$R,6,FALSE))/100)</f>
        <v>-0.24</v>
      </c>
      <c r="CR93" s="111">
        <f t="shared" si="22"/>
        <v>0</v>
      </c>
      <c r="CS93" s="102">
        <v>1</v>
      </c>
      <c r="CT93" s="103">
        <f>CN93*IF(VLOOKUP($E93,武器奇术!$A:$R,17,FALSE)="破竹",VLOOKUP($E93,武器奇术!$A:$R,4,FALSE),VLOOKUP($E93,武器奇术!$A:$R,2,FALSE))*(1+CQ93)*(1+CR93)*CS93</f>
        <v>0</v>
      </c>
      <c r="CU93" s="104">
        <f>(1-IF(VLOOKUP($E93,武器奇术!$A:$R,18,FALSE)="叶龙",1,$N93))*(1-$M93)</f>
        <v>0</v>
      </c>
      <c r="CV93" s="103">
        <f>CO93*IF(VLOOKUP($E93,武器奇术!$A:$R,17,FALSE)="破竹",VLOOKUP($E93,武器奇术!$A:$R,4,FALSE),VLOOKUP($E93,武器奇术!$A:$R,2,FALSE))*(1+CQ93)*(1+CR93)*CS93*(1+$E$16+VLOOKUP($E93,武器奇术!$A:$R,8,FALSE))</f>
        <v>0</v>
      </c>
      <c r="CW93" s="104">
        <f t="shared" si="23"/>
        <v>0.8703</v>
      </c>
      <c r="CX93" s="103">
        <f>CP93*IF(VLOOKUP($E93,武器奇术!$A:$R,17,FALSE)="破竹",VLOOKUP($E93,武器奇术!$A:$R,4,FALSE),VLOOKUP($E93,武器奇术!$A:$R,2,FALSE))*(1+CQ93)*(1+CR93)*CS93*(1+$E$17+VLOOKUP($E93,武器奇术!$A:$R,10,FALSE))</f>
        <v>0</v>
      </c>
      <c r="CY93" s="104">
        <f t="shared" si="24"/>
        <v>0.0986</v>
      </c>
      <c r="CZ93" s="103">
        <f>CO93*IF(VLOOKUP($E93,武器奇术!$A:$R,17,FALSE)="破竹",VLOOKUP($E93,武器奇术!$A:$R,4,FALSE),VLOOKUP($E93,武器奇术!$A:$R,2,FALSE))*(1+CQ93)*(1+CR93)*CS93</f>
        <v>0</v>
      </c>
      <c r="DA93" s="104">
        <f t="shared" si="25"/>
        <v>0.0311</v>
      </c>
      <c r="DB93" s="112">
        <f t="shared" si="26"/>
        <v>0</v>
      </c>
      <c r="DC93" s="110">
        <f t="shared" si="40"/>
        <v>66</v>
      </c>
      <c r="DD93" s="102">
        <f t="shared" si="27"/>
        <v>125.8</v>
      </c>
      <c r="DE93" s="102">
        <f t="shared" si="41"/>
        <v>185.6</v>
      </c>
      <c r="DF93" s="104">
        <f>IF((IF(VLOOKUP($E93,武器奇术!$A:$R,17,FALSE)="鸣金",$D$7,0)+IF(VLOOKUP($E93,武器奇术!$A:$R,17,FALSE)="裂石",$D$9,0)+IF(VLOOKUP($E93,武器奇术!$A:$R,17,FALSE)="牵丝",$D$11,0)+IF(VLOOKUP($E93,武器奇术!$A:$R,17,FALSE)="破竹",$D$13,0)+$D$15-VLOOKUP($F$7,目标属性!$A:$R,6,FALSE))&gt;0,(IF(VLOOKUP($E93,武器奇术!$A:$R,17,FALSE)="鸣金",$D$7,0)+IF(VLOOKUP($E93,武器奇术!$A:$R,17,FALSE)="裂石",$D$9,0)+IF(VLOOKUP($E93,武器奇术!$A:$R,17,FALSE)="牵丝",$D$11,0)+IF(VLOOKUP($E93,武器奇术!$A:$R,17,FALSE)="破竹",$D$13,0)+$D$15-VLOOKUP($F$7,目标属性!$A:$R,6,FALSE))/200,(IF(VLOOKUP($E93,武器奇术!$A:$R,17,FALSE)="鸣金",$D$7,0)+IF(VLOOKUP($E93,武器奇术!$A:$R,17,FALSE)="裂石",$D$9,0)+IF(VLOOKUP($E93,武器奇术!$A:$R,17,FALSE)="牵丝",$D$11,0)+IF(VLOOKUP($E93,武器奇术!$A:$R,17,FALSE)="破竹",$D$13,0)+$D$15-VLOOKUP($F$7,目标属性!$A:$R,6,FALSE))/100)</f>
        <v>0.028</v>
      </c>
      <c r="DG93" s="111">
        <f>$E$11+IF($G$5="烟柳",IF(VLOOKUP($E93,武器奇术!$A:$T,20,FALSE)=1,0.1,0),0)</f>
        <v>0.148</v>
      </c>
      <c r="DH93" s="102">
        <v>1</v>
      </c>
      <c r="DI93" s="103">
        <f>DC93*IF(VLOOKUP($E93,武器奇术!$A:$R,17,FALSE)="牵丝",VLOOKUP($E93,武器奇术!$A:$R,4,FALSE),VLOOKUP($E93,武器奇术!$A:$R,2,FALSE))*(1+DF93)*(1+DG93)*DH93</f>
        <v>2944.0907611537</v>
      </c>
      <c r="DJ93" s="104">
        <f>(1-IF(VLOOKUP($E93,武器奇术!$A:$R,18,FALSE)="叶龙",1,$N93))*(1-$M93)</f>
        <v>0</v>
      </c>
      <c r="DK93" s="124">
        <f>DD93*IF(VLOOKUP($E93,武器奇术!$A:$R,17,FALSE)="牵丝",VLOOKUP($E93,武器奇术!$A:$R,4,FALSE),VLOOKUP($E93,武器奇术!$A:$R,2,FALSE))*(1+DF93)*(1+DG93)*DH93*(1+$E$16+VLOOKUP($E93,武器奇术!$A:$R,8,FALSE))</f>
        <v>10628.3996064309</v>
      </c>
      <c r="DL93" s="104">
        <f t="shared" si="28"/>
        <v>0.8703</v>
      </c>
      <c r="DM93" s="103">
        <f>DE93*IF(VLOOKUP($E93,武器奇术!$A:$R,17,FALSE)="牵丝",VLOOKUP($E93,武器奇术!$A:$R,4,FALSE),VLOOKUP($E93,武器奇术!$A:$R,2,FALSE))*(1+DF93)*(1+DG93)*DH93*(1+$E$17+VLOOKUP($E93,武器奇术!$A:$R,10,FALSE))</f>
        <v>11176.839107798</v>
      </c>
      <c r="DN93" s="104">
        <f t="shared" si="29"/>
        <v>0.0986</v>
      </c>
      <c r="DO93" s="124">
        <f>DD93*IF(VLOOKUP($E93,武器奇术!$A:$R,17,FALSE)="牵丝",VLOOKUP($E93,武器奇术!$A:$R,4,FALSE),VLOOKUP($E93,武器奇术!$A:$R,2,FALSE))*(1+DF93)*(1+DG93)*DH93</f>
        <v>5611.61542050205</v>
      </c>
      <c r="DP93" s="104">
        <f t="shared" si="30"/>
        <v>0.0311</v>
      </c>
      <c r="DQ93" s="112">
        <f t="shared" si="31"/>
        <v>10526.4537530833</v>
      </c>
    </row>
    <row r="94" spans="1:121">
      <c r="B94" s="139" t="s">
        <v>175</v>
      </c>
      <c r="C94" s="139">
        <v>1</v>
      </c>
      <c r="E94" s="115" t="s">
        <v>92</v>
      </c>
      <c r="F94" s="116">
        <v>1</v>
      </c>
      <c r="G94" s="117"/>
      <c r="H94" s="103">
        <f>IF(VLOOKUP($E94,武器奇术!$A:$R,18,FALSE)="天工",AE94,(AE94+AT94+BI94+BX94+CM94+DB94+DQ94))*(1+J94)*F94*K94*(1+G94)</f>
        <v>0</v>
      </c>
      <c r="I94" s="104">
        <f t="shared" si="42"/>
        <v>0</v>
      </c>
      <c r="J94" s="104">
        <f>$F$3+VLOOKUP($E94,武器奇术!$A:$R,12,FALSE)+VLOOKUP($E94,武器奇术!$A:$R,14,FALSE)*$G$3+$P94</f>
        <v>0.303</v>
      </c>
      <c r="K94" s="105">
        <f>VLOOKUP($E94,武器奇术!$A:$R,11,FALSE)</f>
        <v>1</v>
      </c>
      <c r="L94" s="119">
        <f>IF(VLOOKUP($E94,武器奇术!$A:$R,15,FALSE)="天工",0%,IF($C$17+VLOOKUP($E94,武器奇术!$A:$R,7,FALSE)&gt;80%,80%,$C$17+VLOOKUP($E94,武器奇术!$A:$R,7,FALSE))+IF($C$19&gt;20%,20%,$C$19))</f>
        <v>0.8703</v>
      </c>
      <c r="M94" s="120">
        <f>IF(VLOOKUP($E94,武器奇术!$A:$R,15,FALSE)="天工",0%,IF($C$18+VLOOKUP($E94,武器奇术!$A:$R,9,FALSE)&gt;40%,40%,$C$18+VLOOKUP($E94,武器奇术!$A:$R,9,FALSE))+IF($C$20&gt;10%,10%,$C$20))</f>
        <v>0.0986</v>
      </c>
      <c r="N94" s="121">
        <f>IF(VLOOKUP($E94,武器奇术!$A:$R,15,FALSE)="天工",100%,MIN($C$16,1))</f>
        <v>1</v>
      </c>
      <c r="O94" s="122" t="str">
        <f>VLOOKUP($E94,武器奇术!$A:$R,16,FALSE)</f>
        <v>N/A</v>
      </c>
      <c r="P94" s="123">
        <f t="shared" si="44"/>
        <v>0</v>
      </c>
      <c r="Q94" s="110">
        <f>$B$5*(1+VLOOKUP($E94,武器奇术!$A:$R,5,FALSE))*(1+VLOOKUP($E94,武器奇术!$A:$S,19,FALSE)+IF($G$5="飞隼",0.1,0)+IF($G$5="撼天",0.05,0))-$F$9+IF($J$5="√",160,0)</f>
        <v>2839</v>
      </c>
      <c r="R94" s="102">
        <f>IF(VLOOKUP($E94,武器奇术!$A:$Z,18,FALSE)="叶龙",(S94-(Q94+S94)*0.5)*($G$15-0.5)*2+(Q94+S94)*0.5,(Q94+S94)*0.5)</f>
        <v>2919</v>
      </c>
      <c r="S94" s="102">
        <f>MAX($C$5,$B$5)*(1+VLOOKUP($E94,武器奇术!$A:$R,6,FALSE))*(1+VLOOKUP($E94,武器奇术!$A:$S,19,FALSE)+IF($G$5="飞隼",0.1,0)+IF($G$5="撼天",0.05,0))-$F$9+IF($J$5="√",320,0)</f>
        <v>2999</v>
      </c>
      <c r="T94" s="104">
        <f>IF(($D$5+VLOOKUP($E94,武器奇术!$A:$R,13,FALSE)+IF($I$3="√",10,0)-VLOOKUP($F$7,目标属性!$A:$R,5,FALSE))&gt;0,($D$5+VLOOKUP($E94,武器奇术!$A:$R,13,FALSE)+IF($I$3="√",10,0)-VLOOKUP($F$7,目标属性!$A:$R,5,FALSE))/200,($D$5+VLOOKUP($E94,武器奇术!$A:$R,13,FALSE)+IF($I$3="√",10,0)-VLOOKUP($F$7,目标属性!$A:$R,5,FALSE))/100)</f>
        <v>0.2675</v>
      </c>
      <c r="U94" s="111">
        <f>$E$5+IF($G$5="烟柳",IF(VLOOKUP($E94,武器奇术!$A:$T,20,FALSE)=1,0.1,0),0)</f>
        <v>0</v>
      </c>
      <c r="V94" s="102">
        <v>1</v>
      </c>
      <c r="W94" s="103">
        <f>Q94*VLOOKUP($E94,武器奇术!$A:$R,2,FALSE)*(1+T94)*(1+U94)*V94</f>
        <v>0</v>
      </c>
      <c r="X94" s="104">
        <f>(1-IF(VLOOKUP($E94,武器奇术!$A:$R,18,FALSE)="叶龙",1,$N94))*(1-$M94)</f>
        <v>0</v>
      </c>
      <c r="Y94" s="103">
        <f>R94*VLOOKUP($E94,武器奇术!$A:$R,2,FALSE)*(1+T94)*(1+U94)*V94*(1+$E$16+VLOOKUP($E94,武器奇术!$A:$R,8,FALSE))</f>
        <v>0</v>
      </c>
      <c r="Z94" s="104">
        <f t="shared" si="33"/>
        <v>0.8703</v>
      </c>
      <c r="AA94" s="103">
        <f>S94*VLOOKUP($E94,武器奇术!$A:$R,2,FALSE)*(1+T94)*(1+U94)*V94*(1+$E$17+VLOOKUP($E94,武器奇术!$A:$R,10,FALSE))</f>
        <v>0</v>
      </c>
      <c r="AB94" s="104">
        <f t="shared" si="34"/>
        <v>0.0986</v>
      </c>
      <c r="AC94" s="103">
        <f>R94*VLOOKUP($E94,武器奇术!$A:$R,2,FALSE)*(1+T94)*(1+U94)*V94</f>
        <v>0</v>
      </c>
      <c r="AD94" s="104">
        <f t="shared" si="35"/>
        <v>0.0311</v>
      </c>
      <c r="AE94" s="112">
        <f t="shared" ref="AE94:AE103" si="48">W94*X94+Y94*Z94+AA94*AB94+AC94*AD94</f>
        <v>0</v>
      </c>
      <c r="AF94" s="113">
        <f>VLOOKUP($E94,武器奇术!$A:$R,3,FALSE)*(1+IF(VLOOKUP($E94,武器奇术!$A:$R,15,FALSE)="武器",$E$15,0))</f>
        <v>0</v>
      </c>
      <c r="AG94" s="103">
        <f t="shared" ref="AG94:AG103" si="49">(AF94+AH94)/2</f>
        <v>0</v>
      </c>
      <c r="AH94" s="103">
        <f>VLOOKUP($E94,武器奇术!$A:$R,3,FALSE)*(1+IF(VLOOKUP($E94,武器奇术!$A:$R,15,FALSE)="武器",$E$15,0))</f>
        <v>0</v>
      </c>
      <c r="AI94" s="104">
        <f>IF(($D$5+VLOOKUP($E94,武器奇术!$A:$R,13,FALSE)+IF($I$3="√",10,0)-VLOOKUP($F$7,目标属性!$A:$R,5,FALSE))&gt;0,($D$5+VLOOKUP($E94,武器奇术!$A:$R,13,FALSE)+IF($I$3="√",10,0)-VLOOKUP($F$7,目标属性!$A:$R,5,FALSE))/200,($D$5+VLOOKUP($E94,武器奇术!$A:$R,13,FALSE)+IF($I$3="√",10,0)-VLOOKUP($F$7,目标属性!$A:$R,5,FALSE))/100)</f>
        <v>0.2675</v>
      </c>
      <c r="AJ94" s="111">
        <f>$E$5+IF($G$5="烟柳",IF(VLOOKUP($E94,武器奇术!$A:$T,20,FALSE)=1,0.1,0),0)</f>
        <v>0</v>
      </c>
      <c r="AK94" s="102">
        <v>1</v>
      </c>
      <c r="AL94" s="103">
        <f t="shared" si="45"/>
        <v>0</v>
      </c>
      <c r="AM94" s="104">
        <f>(1-IF(VLOOKUP($E94,武器奇术!$A:$R,18,FALSE)="叶龙",1,$N94))*(1-$M94)</f>
        <v>0</v>
      </c>
      <c r="AN94" s="103">
        <f>AG94*(1+AI94)*(1+AJ94)*AK94*(1+$E$16+VLOOKUP($E94,武器奇术!$A:$R,8,FALSE))</f>
        <v>0</v>
      </c>
      <c r="AO94" s="104">
        <f t="shared" ref="AO94:AO103" si="50">IF($L94+$M94&lt;=100%,$N94*$L94,$N94*(1-$M94))</f>
        <v>0.8703</v>
      </c>
      <c r="AP94" s="103">
        <f>AH94*(1+AI94)*(1+AJ94)*AK94*(1+$E$17+VLOOKUP($E94,武器奇术!$A:$R,10,FALSE))</f>
        <v>0</v>
      </c>
      <c r="AQ94" s="104">
        <f t="shared" ref="AQ94:AQ103" si="51">$M94</f>
        <v>0.0986</v>
      </c>
      <c r="AR94" s="103">
        <f t="shared" si="38"/>
        <v>0</v>
      </c>
      <c r="AS94" s="104">
        <f t="shared" ref="AS94:AS103" si="52">MAX((1-AM94-AO94-AQ94),0)</f>
        <v>0.0311</v>
      </c>
      <c r="AT94" s="112">
        <f t="shared" ref="AT94:AT103" si="53">AL94*AM94+AN94*AO94+AP94*AQ94+AR94*AS94</f>
        <v>0</v>
      </c>
      <c r="AU94" s="110">
        <f>$B$7*IF($G$5="撼天",1.05,1)+IF(AND(VLOOKUP($E94,武器奇术!$A:$R,15,FALSE)="武器",VLOOKUP($E94,武器奇术!$A:$R,17,FALSE)="鸣金"),$E$3*(1+$E$15),0)</f>
        <v>0</v>
      </c>
      <c r="AV94" s="102">
        <f t="shared" ref="AV94:AV103" si="54">(AU94+AW94)/2</f>
        <v>0</v>
      </c>
      <c r="AW94" s="102">
        <f>MAX($C$7*IF($G$5="撼天",1.05,1)+IF(AND(VLOOKUP($E94,武器奇术!$A:$R,15,FALSE)="武器",VLOOKUP($E94,武器奇术!$A:$R,17,FALSE)="鸣金"),$E$3*(1+$E$15),0),AU94)</f>
        <v>0</v>
      </c>
      <c r="AX94" s="104">
        <f>IF(($D$7+IF(VLOOKUP($E94,武器奇术!$A:$R,17,FALSE)="鸣金",$D$15,0)-VLOOKUP($F$7,目标属性!$A:$R,6,FALSE))&gt;0,($D$7+IF(VLOOKUP($E94,武器奇术!$A:$R,17,FALSE)="鸣金",$D$15,0)-VLOOKUP($F$7,目标属性!$A:$R,6,FALSE))/200,($D$7+IF(VLOOKUP($E94,武器奇术!$A:$R,17,FALSE)="鸣金",$D$15,0)-VLOOKUP($F$7,目标属性!$A:$R,6,FALSE))/100)</f>
        <v>-0.24</v>
      </c>
      <c r="AY94" s="111">
        <f t="shared" ref="AY94:AY103" si="55">$E$7</f>
        <v>0</v>
      </c>
      <c r="AZ94" s="102">
        <v>1</v>
      </c>
      <c r="BA94" s="103">
        <f>AU94*IF(VLOOKUP($E94,武器奇术!$A:$R,17,FALSE)="鸣金",VLOOKUP($E94,武器奇术!$A:$R,4,FALSE),VLOOKUP($E94,武器奇术!$A:$R,2,FALSE))*(1+AX94)*(1+AY94)*AZ94</f>
        <v>0</v>
      </c>
      <c r="BB94" s="104">
        <f>(1-IF(VLOOKUP($E94,武器奇术!$A:$R,18,FALSE)="叶龙",1,$N94))*(1-$M94)</f>
        <v>0</v>
      </c>
      <c r="BC94" s="103">
        <f>AV94*IF(VLOOKUP($E94,武器奇术!$A:$R,17,FALSE)="鸣金",VLOOKUP($E94,武器奇术!$A:$R,4,FALSE),VLOOKUP($E94,武器奇术!$A:$R,2,FALSE))*(1+AX94)*(1+AY94)*AZ94*(1+$E$16+VLOOKUP($E94,武器奇术!$A:$R,8,FALSE))</f>
        <v>0</v>
      </c>
      <c r="BD94" s="104">
        <f t="shared" ref="BD94:BD103" si="56">IF($L94+$M94&lt;=100%,$N94*$L94,$N94*(1-$M94))</f>
        <v>0.8703</v>
      </c>
      <c r="BE94" s="103">
        <f>AW94*IF(VLOOKUP($E94,武器奇术!$A:$R,17,FALSE)="鸣金",VLOOKUP($E94,武器奇术!$A:$R,4,FALSE),VLOOKUP($E94,武器奇术!$A:$R,2,FALSE))*(1+AX94)*(1+AY94)*AZ94*(1+$E$17+VLOOKUP($E94,武器奇术!$A:$R,10,FALSE))</f>
        <v>0</v>
      </c>
      <c r="BF94" s="104">
        <f t="shared" ref="BF94:BF103" si="57">$M94</f>
        <v>0.0986</v>
      </c>
      <c r="BG94" s="103">
        <f>AV94*IF(VLOOKUP($E94,武器奇术!$A:$R,17,FALSE)="鸣金",VLOOKUP($E94,武器奇术!$A:$R,4,FALSE),VLOOKUP($E94,武器奇术!$A:$R,2,FALSE))*(1+AX94)*(1+AY94)*AZ94</f>
        <v>0</v>
      </c>
      <c r="BH94" s="104">
        <f t="shared" ref="BH94:BH103" si="58">MAX((1-BB94-BD94-BF94),0)</f>
        <v>0.0311</v>
      </c>
      <c r="BI94" s="112">
        <f t="shared" ref="BI94:BI103" si="59">BA94*BB94+BC94*BD94+BE94*BF94+BG94*BH94</f>
        <v>0</v>
      </c>
      <c r="BJ94" s="110">
        <f>$B$9*IF($G$5="撼天",1.05,1)+IF(AND(VLOOKUP($E94,武器奇术!$A:$R,15,FALSE)="武器",VLOOKUP($E94,武器奇术!$A:$R,17,FALSE)="裂石"),$E$3*(1+$E$15),0)</f>
        <v>0</v>
      </c>
      <c r="BK94" s="102">
        <f t="shared" ref="BK94:BK103" si="60">(BJ94+BL94)/2</f>
        <v>0</v>
      </c>
      <c r="BL94" s="102">
        <f>MAX($C$9*IF($G$5="撼天",1.05,1)+IF(AND(VLOOKUP($E94,武器奇术!$A:$R,15,FALSE)="武器",VLOOKUP($E94,武器奇术!$A:$R,17,FALSE)="裂石"),$E$3*(1+$E$15),0),BJ94)</f>
        <v>0</v>
      </c>
      <c r="BM94" s="104">
        <f>IF(($D$9+IF(VLOOKUP($E94,武器奇术!$A:$R,17,FALSE)="裂石",$D$15,0)-VLOOKUP($F$7,目标属性!$A:$R,6,FALSE))&gt;0,($D$9+IF(VLOOKUP($E94,武器奇术!$A:$R,17,FALSE)="裂石",$D$15,0)-VLOOKUP($F$7,目标属性!$A:$R,6,FALSE))/200,($D$9+IF(VLOOKUP($E94,武器奇术!$A:$R,17,FALSE)="裂石",$D$15,0)-VLOOKUP($F$7,目标属性!$A:$R,6,FALSE))/100)</f>
        <v>-0.24</v>
      </c>
      <c r="BN94" s="111">
        <f t="shared" ref="BN94:BN103" si="61">$E$9</f>
        <v>0</v>
      </c>
      <c r="BO94" s="102">
        <v>1</v>
      </c>
      <c r="BP94" s="103">
        <f>BJ94*IF(VLOOKUP($E94,武器奇术!$A:$R,17,FALSE)="裂石",VLOOKUP($E94,武器奇术!$A:$R,4,FALSE),VLOOKUP($E94,武器奇术!$A:$R,2,FALSE))*(1+BM94)*(1+BN94)*BO94</f>
        <v>0</v>
      </c>
      <c r="BQ94" s="104">
        <f>(1-IF(VLOOKUP($E94,武器奇术!$A:$R,18,FALSE)="叶龙",1,$N94))*(1-$M94)</f>
        <v>0</v>
      </c>
      <c r="BR94" s="103">
        <f>BK94*IF(VLOOKUP($E94,武器奇术!$A:$R,17,FALSE)="裂石",VLOOKUP($E94,武器奇术!$A:$R,4,FALSE),VLOOKUP($E94,武器奇术!$A:$R,2,FALSE))*(1+BM94)*(1+BN94)*BO94*(1+$E$16+VLOOKUP($E94,武器奇术!$A:$R,8,FALSE))</f>
        <v>0</v>
      </c>
      <c r="BS94" s="104">
        <f t="shared" ref="BS94:BS103" si="62">IF($L94+$M94&lt;=100%,$N94*$L94,$N94*(1-$M94))</f>
        <v>0.8703</v>
      </c>
      <c r="BT94" s="103">
        <f>BL94*IF(VLOOKUP($E94,武器奇术!$A:$R,17,FALSE)="裂石",VLOOKUP($E94,武器奇术!$A:$R,4,FALSE),VLOOKUP($E94,武器奇术!$A:$R,2,FALSE))*(1+BM94)*(1+BN94)*BO94*(1+$E$17+VLOOKUP($E94,武器奇术!$A:$R,10,FALSE))</f>
        <v>0</v>
      </c>
      <c r="BU94" s="104">
        <f t="shared" ref="BU94:BU103" si="63">$M94</f>
        <v>0.0986</v>
      </c>
      <c r="BV94" s="103">
        <f>BK94*IF(VLOOKUP($E94,武器奇术!$A:$R,17,FALSE)="裂石",VLOOKUP($E94,武器奇术!$A:$R,4,FALSE),VLOOKUP($E94,武器奇术!$A:$R,2,FALSE))*(1+BM94)*(1+BN94)*BO94</f>
        <v>0</v>
      </c>
      <c r="BW94" s="104">
        <f t="shared" ref="BW94:BW103" si="64">MAX((1-BQ94-BS94-BU94),0)</f>
        <v>0.0311</v>
      </c>
      <c r="BX94" s="112">
        <f t="shared" ref="BX94:BX103" si="65">BP94*BQ94+BR94*BS94+BT94*BU94+BV94*BW94</f>
        <v>0</v>
      </c>
      <c r="BY94" s="110">
        <f>$B$11*IF($G$5="撼天",1.05,1)+IF(AND(VLOOKUP($E94,武器奇术!$A:$R,15,FALSE)="武器",VLOOKUP($E94,武器奇术!$A:$R,17,FALSE)="牵丝"),$E$3*(1+$E$15),0)</f>
        <v>490.8</v>
      </c>
      <c r="BZ94" s="102">
        <f>IF(VLOOKUP($E94,武器奇术!$A:$Z,18,FALSE)="叶龙",(CA94-(BY94+CA94)*0.5)*($G$15-0.5)*2+(BY94+CA94)*0.5,(BY94+CA94)*0.5)</f>
        <v>856.3</v>
      </c>
      <c r="CA94" s="102">
        <f>MAX($C$11*IF($G$5="撼天",1.05,1)+IF(AND(VLOOKUP($E94,武器奇术!$A:$R,15,FALSE)="武器",VLOOKUP($E94,武器奇术!$A:$R,17,FALSE)="牵丝"),$E$3*(1+$E$15),0),BY94)</f>
        <v>1221.8</v>
      </c>
      <c r="CB94" s="104">
        <f>IF(($D$11+IF(VLOOKUP($E94,武器奇术!$A:$R,17,FALSE)="牵丝",$D$15,0)-VLOOKUP($F$7,目标属性!$A:$R,6,FALSE))&gt;0,($D$11+IF(VLOOKUP($E94,武器奇术!$A:$R,17,FALSE)="牵丝",$D$15,0)-VLOOKUP($F$7,目标属性!$A:$R,6,FALSE))/200,($D$11+IF(VLOOKUP($E94,武器奇术!$A:$R,17,FALSE)="牵丝",$D$15,0)-VLOOKUP($F$7,目标属性!$A:$R,6,FALSE))/100)</f>
        <v>0.028</v>
      </c>
      <c r="CC94" s="111">
        <f>$E$11+IF($G$5="烟柳",IF(VLOOKUP($E94,武器奇术!$A:$T,20,FALSE)=1,0.1,0),0)</f>
        <v>0.148</v>
      </c>
      <c r="CD94" s="102">
        <v>1</v>
      </c>
      <c r="CE94" s="103">
        <f>BY94*IF(VLOOKUP($E94,武器奇术!$A:$R,17,FALSE)="牵丝",VLOOKUP($E94,武器奇术!$A:$R,4,FALSE),VLOOKUP($E94,武器奇术!$A:$R,2,FALSE))*(1+CB94)*(1+CC94)*CD94</f>
        <v>0</v>
      </c>
      <c r="CF94" s="104">
        <f>(1-IF(VLOOKUP($E94,武器奇术!$A:$R,18,FALSE)="叶龙",1,$N94))*(1-$M94)</f>
        <v>0</v>
      </c>
      <c r="CG94" s="124">
        <f>BZ94*IF(VLOOKUP($E94,武器奇术!$A:$R,17,FALSE)="牵丝",VLOOKUP($E94,武器奇术!$A:$R,4,FALSE),VLOOKUP($E94,武器奇术!$A:$R,2,FALSE))*(1+CB94)*(1+CC94)*CD94*(1+$E$16+VLOOKUP($E94,武器奇术!$A:$R,8,FALSE))</f>
        <v>0</v>
      </c>
      <c r="CH94" s="104">
        <f t="shared" ref="CH94:CH103" si="66">IF($L94+$M94&lt;=100%,$N94*$L94,$N94*(1-$M94))</f>
        <v>0.8703</v>
      </c>
      <c r="CI94" s="103">
        <f>CA94*IF(VLOOKUP($E94,武器奇术!$A:$R,17,FALSE)="牵丝",VLOOKUP($E94,武器奇术!$A:$R,4,FALSE),VLOOKUP($E94,武器奇术!$A:$R,2,FALSE))*(1+CB94)*(1+CC94)*CD94*(1+$E$17+VLOOKUP($E94,武器奇术!$A:$R,10,FALSE))</f>
        <v>0</v>
      </c>
      <c r="CJ94" s="104">
        <f t="shared" ref="CJ94:CJ103" si="67">$M94</f>
        <v>0.0986</v>
      </c>
      <c r="CK94" s="124">
        <f>BZ94*IF(VLOOKUP($E94,武器奇术!$A:$R,17,FALSE)="牵丝",VLOOKUP($E94,武器奇术!$A:$R,4,FALSE),VLOOKUP($E94,武器奇术!$A:$R,2,FALSE))*(1+CB94)*(1+CC94)*CD94</f>
        <v>0</v>
      </c>
      <c r="CL94" s="104">
        <f t="shared" ref="CL94:CL103" si="68">MAX((1-CF94-CH94-CJ94),0)</f>
        <v>0.0311</v>
      </c>
      <c r="CM94" s="112">
        <f t="shared" si="39"/>
        <v>0</v>
      </c>
      <c r="CN94" s="110">
        <f>$B$13*IF($G$5="撼天",1.05,1)+IF(AND(VLOOKUP($E94,武器奇术!$A:$R,15,FALSE)="武器",VLOOKUP($E94,武器奇术!$A:$R,17,FALSE)="破竹"),$E$3*(1+$E$15),0)</f>
        <v>0</v>
      </c>
      <c r="CO94" s="102">
        <f t="shared" ref="CO94:CO103" si="69">(CN94+CP94)/2</f>
        <v>0</v>
      </c>
      <c r="CP94" s="102">
        <f>MAX($C$13*IF($G$5="撼天",1.05,1)+IF(AND(VLOOKUP($E94,武器奇术!$A:$R,15,FALSE)="武器",VLOOKUP($E94,武器奇术!$A:$R,17,FALSE)="破竹"),$E$3*(1+$E$15),0),CN94)</f>
        <v>0</v>
      </c>
      <c r="CQ94" s="104">
        <f>IF(($D$13+IF(VLOOKUP($E94,武器奇术!$A:$R,17,FALSE)="破竹",$D$15,0)-VLOOKUP($F$7,目标属性!$A:$R,6,FALSE))&gt;0,($D$13+IF(VLOOKUP($E94,武器奇术!$A:$R,17,FALSE)="破竹",$D$15,0)-VLOOKUP($F$7,目标属性!$A:$R,6,FALSE))/200,($D$13+IF(VLOOKUP($E94,武器奇术!$A:$R,17,FALSE)="破竹",$D$15,0)-VLOOKUP($F$7,目标属性!$A:$R,6,FALSE))/100)</f>
        <v>-0.24</v>
      </c>
      <c r="CR94" s="111">
        <f t="shared" ref="CR94:CR103" si="70">$E$13</f>
        <v>0</v>
      </c>
      <c r="CS94" s="102">
        <v>1</v>
      </c>
      <c r="CT94" s="103">
        <f>CN94*IF(VLOOKUP($E94,武器奇术!$A:$R,17,FALSE)="破竹",VLOOKUP($E94,武器奇术!$A:$R,4,FALSE),VLOOKUP($E94,武器奇术!$A:$R,2,FALSE))*(1+CQ94)*(1+CR94)*CS94</f>
        <v>0</v>
      </c>
      <c r="CU94" s="104">
        <f>(1-IF(VLOOKUP($E94,武器奇术!$A:$R,18,FALSE)="叶龙",1,$N94))*(1-$M94)</f>
        <v>0</v>
      </c>
      <c r="CV94" s="103">
        <f>CO94*IF(VLOOKUP($E94,武器奇术!$A:$R,17,FALSE)="破竹",VLOOKUP($E94,武器奇术!$A:$R,4,FALSE),VLOOKUP($E94,武器奇术!$A:$R,2,FALSE))*(1+CQ94)*(1+CR94)*CS94*(1+$E$16+VLOOKUP($E94,武器奇术!$A:$R,8,FALSE))</f>
        <v>0</v>
      </c>
      <c r="CW94" s="104">
        <f t="shared" ref="CW94:CW103" si="71">IF($L94+$M94&lt;=100%,$N94*$L94,$N94*(1-$M94))</f>
        <v>0.8703</v>
      </c>
      <c r="CX94" s="103">
        <f>CP94*IF(VLOOKUP($E94,武器奇术!$A:$R,17,FALSE)="破竹",VLOOKUP($E94,武器奇术!$A:$R,4,FALSE),VLOOKUP($E94,武器奇术!$A:$R,2,FALSE))*(1+CQ94)*(1+CR94)*CS94*(1+$E$17+VLOOKUP($E94,武器奇术!$A:$R,10,FALSE))</f>
        <v>0</v>
      </c>
      <c r="CY94" s="104">
        <f t="shared" ref="CY94:CY103" si="72">$M94</f>
        <v>0.0986</v>
      </c>
      <c r="CZ94" s="103">
        <f>CO94*IF(VLOOKUP($E94,武器奇术!$A:$R,17,FALSE)="破竹",VLOOKUP($E94,武器奇术!$A:$R,4,FALSE),VLOOKUP($E94,武器奇术!$A:$R,2,FALSE))*(1+CQ94)*(1+CR94)*CS94</f>
        <v>0</v>
      </c>
      <c r="DA94" s="104">
        <f t="shared" ref="DA94:DA103" si="73">MAX((1-CU94-CW94-CY94),0)</f>
        <v>0.0311</v>
      </c>
      <c r="DB94" s="112">
        <f t="shared" ref="DB94:DB103" si="74">CT94*CU94+CV94*CW94+CX94*CY94+CZ94*DA94</f>
        <v>0</v>
      </c>
      <c r="DC94" s="110">
        <f t="shared" si="40"/>
        <v>66</v>
      </c>
      <c r="DD94" s="102">
        <f t="shared" ref="DD94:DD103" si="75">(DC94+DE94)/2</f>
        <v>125.8</v>
      </c>
      <c r="DE94" s="102">
        <f t="shared" si="41"/>
        <v>185.6</v>
      </c>
      <c r="DF94" s="104">
        <f>IF((IF(VLOOKUP($E94,武器奇术!$A:$R,17,FALSE)="鸣金",$D$7,0)+IF(VLOOKUP($E94,武器奇术!$A:$R,17,FALSE)="裂石",$D$9,0)+IF(VLOOKUP($E94,武器奇术!$A:$R,17,FALSE)="牵丝",$D$11,0)+IF(VLOOKUP($E94,武器奇术!$A:$R,17,FALSE)="破竹",$D$13,0)+$D$15-VLOOKUP($F$7,目标属性!$A:$R,6,FALSE))&gt;0,(IF(VLOOKUP($E94,武器奇术!$A:$R,17,FALSE)="鸣金",$D$7,0)+IF(VLOOKUP($E94,武器奇术!$A:$R,17,FALSE)="裂石",$D$9,0)+IF(VLOOKUP($E94,武器奇术!$A:$R,17,FALSE)="牵丝",$D$11,0)+IF(VLOOKUP($E94,武器奇术!$A:$R,17,FALSE)="破竹",$D$13,0)+$D$15-VLOOKUP($F$7,目标属性!$A:$R,6,FALSE))/200,(IF(VLOOKUP($E94,武器奇术!$A:$R,17,FALSE)="鸣金",$D$7,0)+IF(VLOOKUP($E94,武器奇术!$A:$R,17,FALSE)="裂石",$D$9,0)+IF(VLOOKUP($E94,武器奇术!$A:$R,17,FALSE)="牵丝",$D$11,0)+IF(VLOOKUP($E94,武器奇术!$A:$R,17,FALSE)="破竹",$D$13,0)+$D$15-VLOOKUP($F$7,目标属性!$A:$R,6,FALSE))/100)</f>
        <v>0.028</v>
      </c>
      <c r="DG94" s="111">
        <f>$E$11+IF($G$5="烟柳",IF(VLOOKUP($E94,武器奇术!$A:$T,20,FALSE)=1,0.1,0),0)</f>
        <v>0.148</v>
      </c>
      <c r="DH94" s="102">
        <v>1</v>
      </c>
      <c r="DI94" s="103">
        <f>DC94*IF(VLOOKUP($E94,武器奇术!$A:$R,17,FALSE)="牵丝",VLOOKUP($E94,武器奇术!$A:$R,4,FALSE),VLOOKUP($E94,武器奇术!$A:$R,2,FALSE))*(1+DF94)*(1+DG94)*DH94</f>
        <v>0</v>
      </c>
      <c r="DJ94" s="104">
        <f>(1-IF(VLOOKUP($E94,武器奇术!$A:$R,18,FALSE)="叶龙",1,$N94))*(1-$M94)</f>
        <v>0</v>
      </c>
      <c r="DK94" s="124">
        <f>DD94*IF(VLOOKUP($E94,武器奇术!$A:$R,17,FALSE)="牵丝",VLOOKUP($E94,武器奇术!$A:$R,4,FALSE),VLOOKUP($E94,武器奇术!$A:$R,2,FALSE))*(1+DF94)*(1+DG94)*DH94*(1+$E$16+VLOOKUP($E94,武器奇术!$A:$R,8,FALSE))</f>
        <v>0</v>
      </c>
      <c r="DL94" s="104">
        <f t="shared" ref="DL94:DL103" si="76">IF($L94+$M94&lt;=100%,$N94*$L94,$N94*(1-$M94))</f>
        <v>0.8703</v>
      </c>
      <c r="DM94" s="103">
        <f>DE94*IF(VLOOKUP($E94,武器奇术!$A:$R,17,FALSE)="牵丝",VLOOKUP($E94,武器奇术!$A:$R,4,FALSE),VLOOKUP($E94,武器奇术!$A:$R,2,FALSE))*(1+DF94)*(1+DG94)*DH94*(1+$E$17+VLOOKUP($E94,武器奇术!$A:$R,10,FALSE))</f>
        <v>0</v>
      </c>
      <c r="DN94" s="104">
        <f t="shared" ref="DN94:DN103" si="77">$M94</f>
        <v>0.0986</v>
      </c>
      <c r="DO94" s="124">
        <f>DD94*IF(VLOOKUP($E94,武器奇术!$A:$R,17,FALSE)="牵丝",VLOOKUP($E94,武器奇术!$A:$R,4,FALSE),VLOOKUP($E94,武器奇术!$A:$R,2,FALSE))*(1+DF94)*(1+DG94)*DH94</f>
        <v>0</v>
      </c>
      <c r="DP94" s="104">
        <f t="shared" ref="DP94:DP103" si="78">MAX((1-DJ94-DL94-DN94),0)</f>
        <v>0.0311</v>
      </c>
      <c r="DQ94" s="112">
        <f t="shared" ref="DQ94:DQ103" si="79">DI94*DJ94+DK94*DL94+DM94*DN94+DO94*DP94</f>
        <v>0</v>
      </c>
    </row>
    <row r="95" spans="1:121">
      <c r="B95" s="139" t="s">
        <v>176</v>
      </c>
      <c r="C95" s="139">
        <v>2.5</v>
      </c>
      <c r="E95" s="115" t="s">
        <v>92</v>
      </c>
      <c r="F95" s="116">
        <v>1</v>
      </c>
      <c r="G95" s="117"/>
      <c r="H95" s="103">
        <f>IF(VLOOKUP($E95,武器奇术!$A:$R,18,FALSE)="天工",AE95,(AE95+AT95+BI95+BX95+CM95+DB95+DQ95))*(1+J95)*F95*K95*(1+G95)</f>
        <v>0</v>
      </c>
      <c r="I95" s="104">
        <f t="shared" si="42"/>
        <v>0</v>
      </c>
      <c r="J95" s="104">
        <f>$F$3+VLOOKUP($E95,武器奇术!$A:$R,12,FALSE)+VLOOKUP($E95,武器奇术!$A:$R,14,FALSE)*$G$3+$P95</f>
        <v>0.303</v>
      </c>
      <c r="K95" s="105">
        <f>VLOOKUP($E95,武器奇术!$A:$R,11,FALSE)</f>
        <v>1</v>
      </c>
      <c r="L95" s="119">
        <f>IF(VLOOKUP($E95,武器奇术!$A:$R,15,FALSE)="天工",0%,IF($C$17+VLOOKUP($E95,武器奇术!$A:$R,7,FALSE)&gt;80%,80%,$C$17+VLOOKUP($E95,武器奇术!$A:$R,7,FALSE))+IF($C$19&gt;20%,20%,$C$19))</f>
        <v>0.8703</v>
      </c>
      <c r="M95" s="120">
        <f>IF(VLOOKUP($E95,武器奇术!$A:$R,15,FALSE)="天工",0%,IF($C$18+VLOOKUP($E95,武器奇术!$A:$R,9,FALSE)&gt;40%,40%,$C$18+VLOOKUP($E95,武器奇术!$A:$R,9,FALSE))+IF($C$20&gt;10%,10%,$C$20))</f>
        <v>0.0986</v>
      </c>
      <c r="N95" s="121">
        <f>IF(VLOOKUP($E95,武器奇术!$A:$R,15,FALSE)="天工",100%,MIN($C$16,1))</f>
        <v>1</v>
      </c>
      <c r="O95" s="122" t="str">
        <f>VLOOKUP($E95,武器奇术!$A:$R,16,FALSE)</f>
        <v>N/A</v>
      </c>
      <c r="P95" s="123">
        <f t="shared" si="44"/>
        <v>0</v>
      </c>
      <c r="Q95" s="110">
        <f>$B$5*(1+VLOOKUP($E95,武器奇术!$A:$R,5,FALSE))*(1+VLOOKUP($E95,武器奇术!$A:$S,19,FALSE)+IF($G$5="飞隼",0.1,0)+IF($G$5="撼天",0.05,0))-$F$9+IF($J$5="√",160,0)</f>
        <v>2839</v>
      </c>
      <c r="R95" s="102">
        <f>IF(VLOOKUP($E95,武器奇术!$A:$Z,18,FALSE)="叶龙",(S95-(Q95+S95)*0.5)*($G$15-0.5)*2+(Q95+S95)*0.5,(Q95+S95)*0.5)</f>
        <v>2919</v>
      </c>
      <c r="S95" s="102">
        <f>MAX($C$5,$B$5)*(1+VLOOKUP($E95,武器奇术!$A:$R,6,FALSE))*(1+VLOOKUP($E95,武器奇术!$A:$S,19,FALSE)+IF($G$5="飞隼",0.1,0)+IF($G$5="撼天",0.05,0))-$F$9+IF($J$5="√",320,0)</f>
        <v>2999</v>
      </c>
      <c r="T95" s="104">
        <f>IF(($D$5+VLOOKUP($E95,武器奇术!$A:$R,13,FALSE)+IF($I$3="√",10,0)-VLOOKUP($F$7,目标属性!$A:$R,5,FALSE))&gt;0,($D$5+VLOOKUP($E95,武器奇术!$A:$R,13,FALSE)+IF($I$3="√",10,0)-VLOOKUP($F$7,目标属性!$A:$R,5,FALSE))/200,($D$5+VLOOKUP($E95,武器奇术!$A:$R,13,FALSE)+IF($I$3="√",10,0)-VLOOKUP($F$7,目标属性!$A:$R,5,FALSE))/100)</f>
        <v>0.2675</v>
      </c>
      <c r="U95" s="111">
        <f>$E$5+IF($G$5="烟柳",IF(VLOOKUP($E95,武器奇术!$A:$T,20,FALSE)=1,0.1,0),0)</f>
        <v>0</v>
      </c>
      <c r="V95" s="102">
        <v>1</v>
      </c>
      <c r="W95" s="103">
        <f>Q95*VLOOKUP($E95,武器奇术!$A:$R,2,FALSE)*(1+T95)*(1+U95)*V95</f>
        <v>0</v>
      </c>
      <c r="X95" s="104">
        <f>(1-IF(VLOOKUP($E95,武器奇术!$A:$R,18,FALSE)="叶龙",1,$N95))*(1-$M95)</f>
        <v>0</v>
      </c>
      <c r="Y95" s="103">
        <f>R95*VLOOKUP($E95,武器奇术!$A:$R,2,FALSE)*(1+T95)*(1+U95)*V95*(1+$E$16+VLOOKUP($E95,武器奇术!$A:$R,8,FALSE))</f>
        <v>0</v>
      </c>
      <c r="Z95" s="104">
        <f t="shared" ref="Z95:Z103" si="80">IF($L95+$M95&lt;=100%,$N95*$L95,$N95*(1-$M95))</f>
        <v>0.8703</v>
      </c>
      <c r="AA95" s="103">
        <f>S95*VLOOKUP($E95,武器奇术!$A:$R,2,FALSE)*(1+T95)*(1+U95)*V95*(1+$E$17+VLOOKUP($E95,武器奇术!$A:$R,10,FALSE))</f>
        <v>0</v>
      </c>
      <c r="AB95" s="104">
        <f t="shared" ref="AB95:AB103" si="81">$M95</f>
        <v>0.0986</v>
      </c>
      <c r="AC95" s="103">
        <f>R95*VLOOKUP($E95,武器奇术!$A:$R,2,FALSE)*(1+T95)*(1+U95)*V95</f>
        <v>0</v>
      </c>
      <c r="AD95" s="104">
        <f t="shared" ref="AD95:AD103" si="82">MAX((1-X95-Z95-AB95),0)</f>
        <v>0.0311</v>
      </c>
      <c r="AE95" s="112">
        <f t="shared" si="48"/>
        <v>0</v>
      </c>
      <c r="AF95" s="113">
        <f>VLOOKUP($E95,武器奇术!$A:$R,3,FALSE)*(1+IF(VLOOKUP($E95,武器奇术!$A:$R,15,FALSE)="武器",$E$15,0))</f>
        <v>0</v>
      </c>
      <c r="AG95" s="103">
        <f t="shared" si="49"/>
        <v>0</v>
      </c>
      <c r="AH95" s="103">
        <f>VLOOKUP($E95,武器奇术!$A:$R,3,FALSE)*(1+IF(VLOOKUP($E95,武器奇术!$A:$R,15,FALSE)="武器",$E$15,0))</f>
        <v>0</v>
      </c>
      <c r="AI95" s="104">
        <f>IF(($D$5+VLOOKUP($E95,武器奇术!$A:$R,13,FALSE)+IF($I$3="√",10,0)-VLOOKUP($F$7,目标属性!$A:$R,5,FALSE))&gt;0,($D$5+VLOOKUP($E95,武器奇术!$A:$R,13,FALSE)+IF($I$3="√",10,0)-VLOOKUP($F$7,目标属性!$A:$R,5,FALSE))/200,($D$5+VLOOKUP($E95,武器奇术!$A:$R,13,FALSE)+IF($I$3="√",10,0)-VLOOKUP($F$7,目标属性!$A:$R,5,FALSE))/100)</f>
        <v>0.2675</v>
      </c>
      <c r="AJ95" s="111">
        <f>$E$5+IF($G$5="烟柳",IF(VLOOKUP($E95,武器奇术!$A:$T,20,FALSE)=1,0.1,0),0)</f>
        <v>0</v>
      </c>
      <c r="AK95" s="102">
        <v>1</v>
      </c>
      <c r="AL95" s="103">
        <f t="shared" si="45"/>
        <v>0</v>
      </c>
      <c r="AM95" s="104">
        <f>(1-IF(VLOOKUP($E95,武器奇术!$A:$R,18,FALSE)="叶龙",1,$N95))*(1-$M95)</f>
        <v>0</v>
      </c>
      <c r="AN95" s="103">
        <f>AG95*(1+AI95)*(1+AJ95)*AK95*(1+$E$16+VLOOKUP($E95,武器奇术!$A:$R,8,FALSE))</f>
        <v>0</v>
      </c>
      <c r="AO95" s="104">
        <f t="shared" si="50"/>
        <v>0.8703</v>
      </c>
      <c r="AP95" s="103">
        <f>AH95*(1+AI95)*(1+AJ95)*AK95*(1+$E$17+VLOOKUP($E95,武器奇术!$A:$R,10,FALSE))</f>
        <v>0</v>
      </c>
      <c r="AQ95" s="104">
        <f t="shared" si="51"/>
        <v>0.0986</v>
      </c>
      <c r="AR95" s="103">
        <f t="shared" ref="AR95:AR103" si="83">AG95*(1+AI95)*(1+AJ95)*AK95</f>
        <v>0</v>
      </c>
      <c r="AS95" s="104">
        <f t="shared" si="52"/>
        <v>0.0311</v>
      </c>
      <c r="AT95" s="112">
        <f t="shared" si="53"/>
        <v>0</v>
      </c>
      <c r="AU95" s="110">
        <f>$B$7*IF($G$5="撼天",1.05,1)+IF(AND(VLOOKUP($E95,武器奇术!$A:$R,15,FALSE)="武器",VLOOKUP($E95,武器奇术!$A:$R,17,FALSE)="鸣金"),$E$3*(1+$E$15),0)</f>
        <v>0</v>
      </c>
      <c r="AV95" s="102">
        <f t="shared" si="54"/>
        <v>0</v>
      </c>
      <c r="AW95" s="102">
        <f>MAX($C$7*IF($G$5="撼天",1.05,1)+IF(AND(VLOOKUP($E95,武器奇术!$A:$R,15,FALSE)="武器",VLOOKUP($E95,武器奇术!$A:$R,17,FALSE)="鸣金"),$E$3*(1+$E$15),0),AU95)</f>
        <v>0</v>
      </c>
      <c r="AX95" s="104">
        <f>IF(($D$7+IF(VLOOKUP($E95,武器奇术!$A:$R,17,FALSE)="鸣金",$D$15,0)-VLOOKUP($F$7,目标属性!$A:$R,6,FALSE))&gt;0,($D$7+IF(VLOOKUP($E95,武器奇术!$A:$R,17,FALSE)="鸣金",$D$15,0)-VLOOKUP($F$7,目标属性!$A:$R,6,FALSE))/200,($D$7+IF(VLOOKUP($E95,武器奇术!$A:$R,17,FALSE)="鸣金",$D$15,0)-VLOOKUP($F$7,目标属性!$A:$R,6,FALSE))/100)</f>
        <v>-0.24</v>
      </c>
      <c r="AY95" s="111">
        <f t="shared" si="55"/>
        <v>0</v>
      </c>
      <c r="AZ95" s="102">
        <v>1</v>
      </c>
      <c r="BA95" s="103">
        <f>AU95*IF(VLOOKUP($E95,武器奇术!$A:$R,17,FALSE)="鸣金",VLOOKUP($E95,武器奇术!$A:$R,4,FALSE),VLOOKUP($E95,武器奇术!$A:$R,2,FALSE))*(1+AX95)*(1+AY95)*AZ95</f>
        <v>0</v>
      </c>
      <c r="BB95" s="104">
        <f>(1-IF(VLOOKUP($E95,武器奇术!$A:$R,18,FALSE)="叶龙",1,$N95))*(1-$M95)</f>
        <v>0</v>
      </c>
      <c r="BC95" s="103">
        <f>AV95*IF(VLOOKUP($E95,武器奇术!$A:$R,17,FALSE)="鸣金",VLOOKUP($E95,武器奇术!$A:$R,4,FALSE),VLOOKUP($E95,武器奇术!$A:$R,2,FALSE))*(1+AX95)*(1+AY95)*AZ95*(1+$E$16+VLOOKUP($E95,武器奇术!$A:$R,8,FALSE))</f>
        <v>0</v>
      </c>
      <c r="BD95" s="104">
        <f t="shared" si="56"/>
        <v>0.8703</v>
      </c>
      <c r="BE95" s="103">
        <f>AW95*IF(VLOOKUP($E95,武器奇术!$A:$R,17,FALSE)="鸣金",VLOOKUP($E95,武器奇术!$A:$R,4,FALSE),VLOOKUP($E95,武器奇术!$A:$R,2,FALSE))*(1+AX95)*(1+AY95)*AZ95*(1+$E$17+VLOOKUP($E95,武器奇术!$A:$R,10,FALSE))</f>
        <v>0</v>
      </c>
      <c r="BF95" s="104">
        <f t="shared" si="57"/>
        <v>0.0986</v>
      </c>
      <c r="BG95" s="103">
        <f>AV95*IF(VLOOKUP($E95,武器奇术!$A:$R,17,FALSE)="鸣金",VLOOKUP($E95,武器奇术!$A:$R,4,FALSE),VLOOKUP($E95,武器奇术!$A:$R,2,FALSE))*(1+AX95)*(1+AY95)*AZ95</f>
        <v>0</v>
      </c>
      <c r="BH95" s="104">
        <f t="shared" si="58"/>
        <v>0.0311</v>
      </c>
      <c r="BI95" s="112">
        <f t="shared" si="59"/>
        <v>0</v>
      </c>
      <c r="BJ95" s="110">
        <f>$B$9*IF($G$5="撼天",1.05,1)+IF(AND(VLOOKUP($E95,武器奇术!$A:$R,15,FALSE)="武器",VLOOKUP($E95,武器奇术!$A:$R,17,FALSE)="裂石"),$E$3*(1+$E$15),0)</f>
        <v>0</v>
      </c>
      <c r="BK95" s="102">
        <f t="shared" si="60"/>
        <v>0</v>
      </c>
      <c r="BL95" s="102">
        <f>MAX($C$9*IF($G$5="撼天",1.05,1)+IF(AND(VLOOKUP($E95,武器奇术!$A:$R,15,FALSE)="武器",VLOOKUP($E95,武器奇术!$A:$R,17,FALSE)="裂石"),$E$3*(1+$E$15),0),BJ95)</f>
        <v>0</v>
      </c>
      <c r="BM95" s="104">
        <f>IF(($D$9+IF(VLOOKUP($E95,武器奇术!$A:$R,17,FALSE)="裂石",$D$15,0)-VLOOKUP($F$7,目标属性!$A:$R,6,FALSE))&gt;0,($D$9+IF(VLOOKUP($E95,武器奇术!$A:$R,17,FALSE)="裂石",$D$15,0)-VLOOKUP($F$7,目标属性!$A:$R,6,FALSE))/200,($D$9+IF(VLOOKUP($E95,武器奇术!$A:$R,17,FALSE)="裂石",$D$15,0)-VLOOKUP($F$7,目标属性!$A:$R,6,FALSE))/100)</f>
        <v>-0.24</v>
      </c>
      <c r="BN95" s="111">
        <f t="shared" si="61"/>
        <v>0</v>
      </c>
      <c r="BO95" s="102">
        <v>1</v>
      </c>
      <c r="BP95" s="103">
        <f>BJ95*IF(VLOOKUP($E95,武器奇术!$A:$R,17,FALSE)="裂石",VLOOKUP($E95,武器奇术!$A:$R,4,FALSE),VLOOKUP($E95,武器奇术!$A:$R,2,FALSE))*(1+BM95)*(1+BN95)*BO95</f>
        <v>0</v>
      </c>
      <c r="BQ95" s="104">
        <f>(1-IF(VLOOKUP($E95,武器奇术!$A:$R,18,FALSE)="叶龙",1,$N95))*(1-$M95)</f>
        <v>0</v>
      </c>
      <c r="BR95" s="103">
        <f>BK95*IF(VLOOKUP($E95,武器奇术!$A:$R,17,FALSE)="裂石",VLOOKUP($E95,武器奇术!$A:$R,4,FALSE),VLOOKUP($E95,武器奇术!$A:$R,2,FALSE))*(1+BM95)*(1+BN95)*BO95*(1+$E$16+VLOOKUP($E95,武器奇术!$A:$R,8,FALSE))</f>
        <v>0</v>
      </c>
      <c r="BS95" s="104">
        <f t="shared" si="62"/>
        <v>0.8703</v>
      </c>
      <c r="BT95" s="103">
        <f>BL95*IF(VLOOKUP($E95,武器奇术!$A:$R,17,FALSE)="裂石",VLOOKUP($E95,武器奇术!$A:$R,4,FALSE),VLOOKUP($E95,武器奇术!$A:$R,2,FALSE))*(1+BM95)*(1+BN95)*BO95*(1+$E$17+VLOOKUP($E95,武器奇术!$A:$R,10,FALSE))</f>
        <v>0</v>
      </c>
      <c r="BU95" s="104">
        <f t="shared" si="63"/>
        <v>0.0986</v>
      </c>
      <c r="BV95" s="103">
        <f>BK95*IF(VLOOKUP($E95,武器奇术!$A:$R,17,FALSE)="裂石",VLOOKUP($E95,武器奇术!$A:$R,4,FALSE),VLOOKUP($E95,武器奇术!$A:$R,2,FALSE))*(1+BM95)*(1+BN95)*BO95</f>
        <v>0</v>
      </c>
      <c r="BW95" s="104">
        <f t="shared" si="64"/>
        <v>0.0311</v>
      </c>
      <c r="BX95" s="112">
        <f t="shared" si="65"/>
        <v>0</v>
      </c>
      <c r="BY95" s="110">
        <f>$B$11*IF($G$5="撼天",1.05,1)+IF(AND(VLOOKUP($E95,武器奇术!$A:$R,15,FALSE)="武器",VLOOKUP($E95,武器奇术!$A:$R,17,FALSE)="牵丝"),$E$3*(1+$E$15),0)</f>
        <v>490.8</v>
      </c>
      <c r="BZ95" s="102">
        <f>IF(VLOOKUP($E95,武器奇术!$A:$Z,18,FALSE)="叶龙",(CA95-(BY95+CA95)*0.5)*($G$15-0.5)*2+(BY95+CA95)*0.5,(BY95+CA95)*0.5)</f>
        <v>856.3</v>
      </c>
      <c r="CA95" s="102">
        <f>MAX($C$11*IF($G$5="撼天",1.05,1)+IF(AND(VLOOKUP($E95,武器奇术!$A:$R,15,FALSE)="武器",VLOOKUP($E95,武器奇术!$A:$R,17,FALSE)="牵丝"),$E$3*(1+$E$15),0),BY95)</f>
        <v>1221.8</v>
      </c>
      <c r="CB95" s="104">
        <f>IF(($D$11+IF(VLOOKUP($E95,武器奇术!$A:$R,17,FALSE)="牵丝",$D$15,0)-VLOOKUP($F$7,目标属性!$A:$R,6,FALSE))&gt;0,($D$11+IF(VLOOKUP($E95,武器奇术!$A:$R,17,FALSE)="牵丝",$D$15,0)-VLOOKUP($F$7,目标属性!$A:$R,6,FALSE))/200,($D$11+IF(VLOOKUP($E95,武器奇术!$A:$R,17,FALSE)="牵丝",$D$15,0)-VLOOKUP($F$7,目标属性!$A:$R,6,FALSE))/100)</f>
        <v>0.028</v>
      </c>
      <c r="CC95" s="111">
        <f>$E$11+IF($G$5="烟柳",IF(VLOOKUP($E95,武器奇术!$A:$T,20,FALSE)=1,0.1,0),0)</f>
        <v>0.148</v>
      </c>
      <c r="CD95" s="102">
        <v>1</v>
      </c>
      <c r="CE95" s="103">
        <f>BY95*IF(VLOOKUP($E95,武器奇术!$A:$R,17,FALSE)="牵丝",VLOOKUP($E95,武器奇术!$A:$R,4,FALSE),VLOOKUP($E95,武器奇术!$A:$R,2,FALSE))*(1+CB95)*(1+CC95)*CD95</f>
        <v>0</v>
      </c>
      <c r="CF95" s="104">
        <f>(1-IF(VLOOKUP($E95,武器奇术!$A:$R,18,FALSE)="叶龙",1,$N95))*(1-$M95)</f>
        <v>0</v>
      </c>
      <c r="CG95" s="124">
        <f>BZ95*IF(VLOOKUP($E95,武器奇术!$A:$R,17,FALSE)="牵丝",VLOOKUP($E95,武器奇术!$A:$R,4,FALSE),VLOOKUP($E95,武器奇术!$A:$R,2,FALSE))*(1+CB95)*(1+CC95)*CD95*(1+$E$16+VLOOKUP($E95,武器奇术!$A:$R,8,FALSE))</f>
        <v>0</v>
      </c>
      <c r="CH95" s="104">
        <f t="shared" si="66"/>
        <v>0.8703</v>
      </c>
      <c r="CI95" s="103">
        <f>CA95*IF(VLOOKUP($E95,武器奇术!$A:$R,17,FALSE)="牵丝",VLOOKUP($E95,武器奇术!$A:$R,4,FALSE),VLOOKUP($E95,武器奇术!$A:$R,2,FALSE))*(1+CB95)*(1+CC95)*CD95*(1+$E$17+VLOOKUP($E95,武器奇术!$A:$R,10,FALSE))</f>
        <v>0</v>
      </c>
      <c r="CJ95" s="104">
        <f t="shared" si="67"/>
        <v>0.0986</v>
      </c>
      <c r="CK95" s="124">
        <f>BZ95*IF(VLOOKUP($E95,武器奇术!$A:$R,17,FALSE)="牵丝",VLOOKUP($E95,武器奇术!$A:$R,4,FALSE),VLOOKUP($E95,武器奇术!$A:$R,2,FALSE))*(1+CB95)*(1+CC95)*CD95</f>
        <v>0</v>
      </c>
      <c r="CL95" s="104">
        <f t="shared" si="68"/>
        <v>0.0311</v>
      </c>
      <c r="CM95" s="112">
        <f t="shared" ref="CM95:CM103" si="84">CE95*CF95+CG95*CH95+CI95*CJ95+CK95*CL95</f>
        <v>0</v>
      </c>
      <c r="CN95" s="110">
        <f>$B$13*IF($G$5="撼天",1.05,1)+IF(AND(VLOOKUP($E95,武器奇术!$A:$R,15,FALSE)="武器",VLOOKUP($E95,武器奇术!$A:$R,17,FALSE)="破竹"),$E$3*(1+$E$15),0)</f>
        <v>0</v>
      </c>
      <c r="CO95" s="102">
        <f t="shared" si="69"/>
        <v>0</v>
      </c>
      <c r="CP95" s="102">
        <f>MAX($C$13*IF($G$5="撼天",1.05,1)+IF(AND(VLOOKUP($E95,武器奇术!$A:$R,15,FALSE)="武器",VLOOKUP($E95,武器奇术!$A:$R,17,FALSE)="破竹"),$E$3*(1+$E$15),0),CN95)</f>
        <v>0</v>
      </c>
      <c r="CQ95" s="104">
        <f>IF(($D$13+IF(VLOOKUP($E95,武器奇术!$A:$R,17,FALSE)="破竹",$D$15,0)-VLOOKUP($F$7,目标属性!$A:$R,6,FALSE))&gt;0,($D$13+IF(VLOOKUP($E95,武器奇术!$A:$R,17,FALSE)="破竹",$D$15,0)-VLOOKUP($F$7,目标属性!$A:$R,6,FALSE))/200,($D$13+IF(VLOOKUP($E95,武器奇术!$A:$R,17,FALSE)="破竹",$D$15,0)-VLOOKUP($F$7,目标属性!$A:$R,6,FALSE))/100)</f>
        <v>-0.24</v>
      </c>
      <c r="CR95" s="111">
        <f t="shared" si="70"/>
        <v>0</v>
      </c>
      <c r="CS95" s="102">
        <v>1</v>
      </c>
      <c r="CT95" s="103">
        <f>CN95*IF(VLOOKUP($E95,武器奇术!$A:$R,17,FALSE)="破竹",VLOOKUP($E95,武器奇术!$A:$R,4,FALSE),VLOOKUP($E95,武器奇术!$A:$R,2,FALSE))*(1+CQ95)*(1+CR95)*CS95</f>
        <v>0</v>
      </c>
      <c r="CU95" s="104">
        <f>(1-IF(VLOOKUP($E95,武器奇术!$A:$R,18,FALSE)="叶龙",1,$N95))*(1-$M95)</f>
        <v>0</v>
      </c>
      <c r="CV95" s="103">
        <f>CO95*IF(VLOOKUP($E95,武器奇术!$A:$R,17,FALSE)="破竹",VLOOKUP($E95,武器奇术!$A:$R,4,FALSE),VLOOKUP($E95,武器奇术!$A:$R,2,FALSE))*(1+CQ95)*(1+CR95)*CS95*(1+$E$16+VLOOKUP($E95,武器奇术!$A:$R,8,FALSE))</f>
        <v>0</v>
      </c>
      <c r="CW95" s="104">
        <f t="shared" si="71"/>
        <v>0.8703</v>
      </c>
      <c r="CX95" s="103">
        <f>CP95*IF(VLOOKUP($E95,武器奇术!$A:$R,17,FALSE)="破竹",VLOOKUP($E95,武器奇术!$A:$R,4,FALSE),VLOOKUP($E95,武器奇术!$A:$R,2,FALSE))*(1+CQ95)*(1+CR95)*CS95*(1+$E$17+VLOOKUP($E95,武器奇术!$A:$R,10,FALSE))</f>
        <v>0</v>
      </c>
      <c r="CY95" s="104">
        <f t="shared" si="72"/>
        <v>0.0986</v>
      </c>
      <c r="CZ95" s="103">
        <f>CO95*IF(VLOOKUP($E95,武器奇术!$A:$R,17,FALSE)="破竹",VLOOKUP($E95,武器奇术!$A:$R,4,FALSE),VLOOKUP($E95,武器奇术!$A:$R,2,FALSE))*(1+CQ95)*(1+CR95)*CS95</f>
        <v>0</v>
      </c>
      <c r="DA95" s="104">
        <f t="shared" si="73"/>
        <v>0.0311</v>
      </c>
      <c r="DB95" s="112">
        <f t="shared" si="74"/>
        <v>0</v>
      </c>
      <c r="DC95" s="110">
        <f t="shared" si="40"/>
        <v>66</v>
      </c>
      <c r="DD95" s="102">
        <f t="shared" si="75"/>
        <v>125.8</v>
      </c>
      <c r="DE95" s="102">
        <f t="shared" si="41"/>
        <v>185.6</v>
      </c>
      <c r="DF95" s="104">
        <f>IF((IF(VLOOKUP($E95,武器奇术!$A:$R,17,FALSE)="鸣金",$D$7,0)+IF(VLOOKUP($E95,武器奇术!$A:$R,17,FALSE)="裂石",$D$9,0)+IF(VLOOKUP($E95,武器奇术!$A:$R,17,FALSE)="牵丝",$D$11,0)+IF(VLOOKUP($E95,武器奇术!$A:$R,17,FALSE)="破竹",$D$13,0)+$D$15-VLOOKUP($F$7,目标属性!$A:$R,6,FALSE))&gt;0,(IF(VLOOKUP($E95,武器奇术!$A:$R,17,FALSE)="鸣金",$D$7,0)+IF(VLOOKUP($E95,武器奇术!$A:$R,17,FALSE)="裂石",$D$9,0)+IF(VLOOKUP($E95,武器奇术!$A:$R,17,FALSE)="牵丝",$D$11,0)+IF(VLOOKUP($E95,武器奇术!$A:$R,17,FALSE)="破竹",$D$13,0)+$D$15-VLOOKUP($F$7,目标属性!$A:$R,6,FALSE))/200,(IF(VLOOKUP($E95,武器奇术!$A:$R,17,FALSE)="鸣金",$D$7,0)+IF(VLOOKUP($E95,武器奇术!$A:$R,17,FALSE)="裂石",$D$9,0)+IF(VLOOKUP($E95,武器奇术!$A:$R,17,FALSE)="牵丝",$D$11,0)+IF(VLOOKUP($E95,武器奇术!$A:$R,17,FALSE)="破竹",$D$13,0)+$D$15-VLOOKUP($F$7,目标属性!$A:$R,6,FALSE))/100)</f>
        <v>0.028</v>
      </c>
      <c r="DG95" s="111">
        <f>$E$11+IF($G$5="烟柳",IF(VLOOKUP($E95,武器奇术!$A:$T,20,FALSE)=1,0.1,0),0)</f>
        <v>0.148</v>
      </c>
      <c r="DH95" s="102">
        <v>1</v>
      </c>
      <c r="DI95" s="103">
        <f>DC95*IF(VLOOKUP($E95,武器奇术!$A:$R,17,FALSE)="牵丝",VLOOKUP($E95,武器奇术!$A:$R,4,FALSE),VLOOKUP($E95,武器奇术!$A:$R,2,FALSE))*(1+DF95)*(1+DG95)*DH95</f>
        <v>0</v>
      </c>
      <c r="DJ95" s="104">
        <f>(1-IF(VLOOKUP($E95,武器奇术!$A:$R,18,FALSE)="叶龙",1,$N95))*(1-$M95)</f>
        <v>0</v>
      </c>
      <c r="DK95" s="124">
        <f>DD95*IF(VLOOKUP($E95,武器奇术!$A:$R,17,FALSE)="牵丝",VLOOKUP($E95,武器奇术!$A:$R,4,FALSE),VLOOKUP($E95,武器奇术!$A:$R,2,FALSE))*(1+DF95)*(1+DG95)*DH95*(1+$E$16+VLOOKUP($E95,武器奇术!$A:$R,8,FALSE))</f>
        <v>0</v>
      </c>
      <c r="DL95" s="104">
        <f t="shared" si="76"/>
        <v>0.8703</v>
      </c>
      <c r="DM95" s="103">
        <f>DE95*IF(VLOOKUP($E95,武器奇术!$A:$R,17,FALSE)="牵丝",VLOOKUP($E95,武器奇术!$A:$R,4,FALSE),VLOOKUP($E95,武器奇术!$A:$R,2,FALSE))*(1+DF95)*(1+DG95)*DH95*(1+$E$17+VLOOKUP($E95,武器奇术!$A:$R,10,FALSE))</f>
        <v>0</v>
      </c>
      <c r="DN95" s="104">
        <f t="shared" si="77"/>
        <v>0.0986</v>
      </c>
      <c r="DO95" s="124">
        <f>DD95*IF(VLOOKUP($E95,武器奇术!$A:$R,17,FALSE)="牵丝",VLOOKUP($E95,武器奇术!$A:$R,4,FALSE),VLOOKUP($E95,武器奇术!$A:$R,2,FALSE))*(1+DF95)*(1+DG95)*DH95</f>
        <v>0</v>
      </c>
      <c r="DP95" s="104">
        <f t="shared" si="78"/>
        <v>0.0311</v>
      </c>
      <c r="DQ95" s="112">
        <f t="shared" si="79"/>
        <v>0</v>
      </c>
    </row>
    <row r="96" spans="1:121">
      <c r="B96" t="s">
        <v>156</v>
      </c>
      <c r="C96">
        <v>0.1</v>
      </c>
      <c r="E96" s="115" t="s">
        <v>188</v>
      </c>
      <c r="F96" s="116">
        <f t="shared" ref="F96:F101" si="85">IF($I$3="√",1,0)</f>
        <v>1</v>
      </c>
      <c r="G96" s="117"/>
      <c r="H96" s="103">
        <f>IF(VLOOKUP($E96,武器奇术!$A:$R,18,FALSE)="天工",AE96,(AE96+AT96+BI96+BX96+CM96+DB96+DQ96))*(1+J96)*F96*K96*(1+G96)</f>
        <v>10594.117830815</v>
      </c>
      <c r="I96" s="104">
        <f t="shared" si="42"/>
        <v>0.00122097163367587</v>
      </c>
      <c r="J96" s="118">
        <f>$F$3+VLOOKUP($E96,武器奇术!$A:$R,12,FALSE)+VLOOKUP($E96,武器奇术!$A:$R,14,FALSE)*$G$3+$P96+IF($F$21="√",5%,0)</f>
        <v>0.353</v>
      </c>
      <c r="K96" s="105">
        <f>VLOOKUP($E96,武器奇术!$A:$R,11,FALSE)</f>
        <v>1</v>
      </c>
      <c r="L96" s="119">
        <f>IF(VLOOKUP($E96,武器奇术!$A:$R,15,FALSE)="天工",0%,IF($C$17+VLOOKUP($E96,武器奇术!$A:$R,7,FALSE)&gt;80%,80%,$C$17+VLOOKUP($E96,武器奇术!$A:$R,7,FALSE))+IF($C$19&gt;20%,20%,$C$19))</f>
        <v>0.8703</v>
      </c>
      <c r="M96" s="120">
        <f>IF(VLOOKUP($E96,武器奇术!$A:$R,15,FALSE)="天工",0%,IF($C$18+VLOOKUP($E96,武器奇术!$A:$R,9,FALSE)&gt;40%,40%,$C$18+VLOOKUP($E96,武器奇术!$A:$R,9,FALSE))+IF($C$20&gt;10%,10%,$C$20))</f>
        <v>0.0986</v>
      </c>
      <c r="N96" s="121">
        <f>IF(VLOOKUP($E96,武器奇术!$A:$R,15,FALSE)="天工",100%,MIN($C$16,1))</f>
        <v>1</v>
      </c>
      <c r="O96" s="122" t="str">
        <f>VLOOKUP($E96,武器奇术!$A:$R,16,FALSE)</f>
        <v>N/A</v>
      </c>
      <c r="P96" s="123">
        <f t="shared" si="44"/>
        <v>0</v>
      </c>
      <c r="Q96" s="110">
        <f>$B$5*(1+VLOOKUP($E96,武器奇术!$A:$R,5,FALSE))*(1+VLOOKUP($E96,武器奇术!$A:$S,19,FALSE)+IF($G$5="飞隼",0.1,0)+IF($G$5="撼天",0.05,0))-$F$9+IF($J$5="√",160,0)</f>
        <v>2839</v>
      </c>
      <c r="R96" s="102">
        <f>IF(VLOOKUP($E96,武器奇术!$A:$Z,18,FALSE)="叶龙",(S96-(Q96+S96)*0.5)*($G$15-0.5)*2+(Q96+S96)*0.5,(Q96+S96)*0.5)</f>
        <v>2919</v>
      </c>
      <c r="S96" s="102">
        <f>MAX($C$5,$B$5)*(1+VLOOKUP($E96,武器奇术!$A:$R,6,FALSE))*(1+VLOOKUP($E96,武器奇术!$A:$S,19,FALSE)+IF($G$5="飞隼",0.1,0)+IF($G$5="撼天",0.05,0))-$F$9+IF($J$5="√",320,0)</f>
        <v>2999</v>
      </c>
      <c r="T96" s="104">
        <f>IF(($D$5+VLOOKUP($E96,武器奇术!$A:$R,13,FALSE)+IF($I$3="√",10,0)-VLOOKUP($F$7,目标属性!$A:$R,5,FALSE))&gt;0,($D$5+VLOOKUP($E96,武器奇术!$A:$R,13,FALSE)+IF($I$3="√",10,0)-VLOOKUP($F$7,目标属性!$A:$R,5,FALSE))/200,($D$5+VLOOKUP($E96,武器奇术!$A:$R,13,FALSE)+IF($I$3="√",10,0)-VLOOKUP($F$7,目标属性!$A:$R,5,FALSE))/100)</f>
        <v>0.2675</v>
      </c>
      <c r="U96" s="111">
        <f>$E$5+IF($G$5="烟柳",IF(VLOOKUP($E96,武器奇术!$A:$T,20,FALSE)=1,0.1,0),0)</f>
        <v>0</v>
      </c>
      <c r="V96" s="102">
        <v>1</v>
      </c>
      <c r="W96" s="103">
        <f>Q96*VLOOKUP($E96,武器奇术!$A:$R,2,FALSE)*(1+T96)*(1+U96)*V96</f>
        <v>3598.4325</v>
      </c>
      <c r="X96" s="104">
        <f>(1-IF(VLOOKUP($E96,武器奇术!$A:$R,18,FALSE)="叶龙",1,$N96))*(1-$M96)</f>
        <v>0</v>
      </c>
      <c r="Y96" s="103">
        <f>R96*VLOOKUP($E96,武器奇术!$A:$R,2,FALSE)*(1+T96)*(1+U96)*V96*(1+$E$16+VLOOKUP($E96,武器奇术!$A:$R,8,FALSE))</f>
        <v>6082.52463</v>
      </c>
      <c r="Z96" s="104">
        <f t="shared" si="80"/>
        <v>0.8703</v>
      </c>
      <c r="AA96" s="103">
        <f>S96*VLOOKUP($E96,武器奇术!$A:$R,2,FALSE)*(1+T96)*(1+U96)*V96*(1+$E$17+VLOOKUP($E96,武器奇术!$A:$R,10,FALSE))</f>
        <v>5131.663875</v>
      </c>
      <c r="AB96" s="104">
        <f t="shared" si="81"/>
        <v>0.0986</v>
      </c>
      <c r="AC96" s="103">
        <f>R96*VLOOKUP($E96,武器奇术!$A:$R,2,FALSE)*(1+T96)*(1+U96)*V96</f>
        <v>3699.8325</v>
      </c>
      <c r="AD96" s="104">
        <f t="shared" si="82"/>
        <v>0.0311</v>
      </c>
      <c r="AE96" s="112">
        <f t="shared" si="48"/>
        <v>5914.668034314</v>
      </c>
      <c r="AF96" s="113">
        <f>VLOOKUP($E96,武器奇术!$A:$R,3,FALSE)*(1+IF(VLOOKUP($E96,武器奇术!$A:$R,15,FALSE)="武器",$E$15,0))</f>
        <v>0</v>
      </c>
      <c r="AG96" s="103">
        <f t="shared" si="49"/>
        <v>0</v>
      </c>
      <c r="AH96" s="103">
        <f>VLOOKUP($E96,武器奇术!$A:$R,3,FALSE)*(1+IF(VLOOKUP($E96,武器奇术!$A:$R,15,FALSE)="武器",$E$15,0))</f>
        <v>0</v>
      </c>
      <c r="AI96" s="104">
        <f>IF(($D$5+VLOOKUP($E96,武器奇术!$A:$R,13,FALSE)+IF($I$3="√",10,0)-VLOOKUP($F$7,目标属性!$A:$R,5,FALSE))&gt;0,($D$5+VLOOKUP($E96,武器奇术!$A:$R,13,FALSE)+IF($I$3="√",10,0)-VLOOKUP($F$7,目标属性!$A:$R,5,FALSE))/200,($D$5+VLOOKUP($E96,武器奇术!$A:$R,13,FALSE)+IF($I$3="√",10,0)-VLOOKUP($F$7,目标属性!$A:$R,5,FALSE))/100)</f>
        <v>0.2675</v>
      </c>
      <c r="AJ96" s="111">
        <f>$E$5+IF($G$5="烟柳",IF(VLOOKUP($E96,武器奇术!$A:$T,20,FALSE)=1,0.1,0),0)</f>
        <v>0</v>
      </c>
      <c r="AK96" s="102">
        <v>1</v>
      </c>
      <c r="AL96" s="103">
        <f t="shared" si="45"/>
        <v>0</v>
      </c>
      <c r="AM96" s="104">
        <f>(1-IF(VLOOKUP($E96,武器奇术!$A:$R,18,FALSE)="叶龙",1,$N96))*(1-$M96)</f>
        <v>0</v>
      </c>
      <c r="AN96" s="103">
        <f>AG96*(1+AI96)*(1+AJ96)*AK96*(1+$E$16+VLOOKUP($E96,武器奇术!$A:$R,8,FALSE))</f>
        <v>0</v>
      </c>
      <c r="AO96" s="104">
        <f t="shared" si="50"/>
        <v>0.8703</v>
      </c>
      <c r="AP96" s="103">
        <f>AH96*(1+AI96)*(1+AJ96)*AK96*(1+$E$17+VLOOKUP($E96,武器奇术!$A:$R,10,FALSE))</f>
        <v>0</v>
      </c>
      <c r="AQ96" s="104">
        <f t="shared" si="51"/>
        <v>0.0986</v>
      </c>
      <c r="AR96" s="103">
        <f t="shared" si="83"/>
        <v>0</v>
      </c>
      <c r="AS96" s="104">
        <f t="shared" si="52"/>
        <v>0.0311</v>
      </c>
      <c r="AT96" s="112">
        <f t="shared" si="53"/>
        <v>0</v>
      </c>
      <c r="AU96" s="110">
        <f>$B$7*IF($G$5="撼天",1.05,1)+IF(AND(VLOOKUP($E96,武器奇术!$A:$R,15,FALSE)="武器",VLOOKUP($E96,武器奇术!$A:$R,17,FALSE)="鸣金"),$E$3*(1+$E$15),0)</f>
        <v>0</v>
      </c>
      <c r="AV96" s="102">
        <f t="shared" si="54"/>
        <v>0</v>
      </c>
      <c r="AW96" s="102">
        <f>MAX($C$7*IF($G$5="撼天",1.05,1)+IF(AND(VLOOKUP($E96,武器奇术!$A:$R,15,FALSE)="武器",VLOOKUP($E96,武器奇术!$A:$R,17,FALSE)="鸣金"),$E$3*(1+$E$15),0),AU96)</f>
        <v>0</v>
      </c>
      <c r="AX96" s="104">
        <f>IF(($D$7+IF(VLOOKUP($E96,武器奇术!$A:$R,17,FALSE)="鸣金",$D$15,0)-VLOOKUP($F$7,目标属性!$A:$R,6,FALSE))&gt;0,($D$7+IF(VLOOKUP($E96,武器奇术!$A:$R,17,FALSE)="鸣金",$D$15,0)-VLOOKUP($F$7,目标属性!$A:$R,6,FALSE))/200,($D$7+IF(VLOOKUP($E96,武器奇术!$A:$R,17,FALSE)="鸣金",$D$15,0)-VLOOKUP($F$7,目标属性!$A:$R,6,FALSE))/100)</f>
        <v>-0.24</v>
      </c>
      <c r="AY96" s="111">
        <f t="shared" si="55"/>
        <v>0</v>
      </c>
      <c r="AZ96" s="102">
        <v>1</v>
      </c>
      <c r="BA96" s="103">
        <f>AU96*IF(VLOOKUP($E96,武器奇术!$A:$R,17,FALSE)="鸣金",VLOOKUP($E96,武器奇术!$A:$R,4,FALSE),VLOOKUP($E96,武器奇术!$A:$R,2,FALSE))*(1+AX96)*(1+AY96)*AZ96</f>
        <v>0</v>
      </c>
      <c r="BB96" s="104">
        <f>(1-IF(VLOOKUP($E96,武器奇术!$A:$R,18,FALSE)="叶龙",1,$N96))*(1-$M96)</f>
        <v>0</v>
      </c>
      <c r="BC96" s="103">
        <f>AV96*IF(VLOOKUP($E96,武器奇术!$A:$R,17,FALSE)="鸣金",VLOOKUP($E96,武器奇术!$A:$R,4,FALSE),VLOOKUP($E96,武器奇术!$A:$R,2,FALSE))*(1+AX96)*(1+AY96)*AZ96*(1+$E$16+VLOOKUP($E96,武器奇术!$A:$R,8,FALSE))</f>
        <v>0</v>
      </c>
      <c r="BD96" s="104">
        <f t="shared" si="56"/>
        <v>0.8703</v>
      </c>
      <c r="BE96" s="103">
        <f>AW96*IF(VLOOKUP($E96,武器奇术!$A:$R,17,FALSE)="鸣金",VLOOKUP($E96,武器奇术!$A:$R,4,FALSE),VLOOKUP($E96,武器奇术!$A:$R,2,FALSE))*(1+AX96)*(1+AY96)*AZ96*(1+$E$17+VLOOKUP($E96,武器奇术!$A:$R,10,FALSE))</f>
        <v>0</v>
      </c>
      <c r="BF96" s="104">
        <f t="shared" si="57"/>
        <v>0.0986</v>
      </c>
      <c r="BG96" s="103">
        <f>AV96*IF(VLOOKUP($E96,武器奇术!$A:$R,17,FALSE)="鸣金",VLOOKUP($E96,武器奇术!$A:$R,4,FALSE),VLOOKUP($E96,武器奇术!$A:$R,2,FALSE))*(1+AX96)*(1+AY96)*AZ96</f>
        <v>0</v>
      </c>
      <c r="BH96" s="104">
        <f t="shared" si="58"/>
        <v>0.0311</v>
      </c>
      <c r="BI96" s="112">
        <f t="shared" si="59"/>
        <v>0</v>
      </c>
      <c r="BJ96" s="110">
        <f>$B$9*IF($G$5="撼天",1.05,1)+IF(AND(VLOOKUP($E96,武器奇术!$A:$R,15,FALSE)="武器",VLOOKUP($E96,武器奇术!$A:$R,17,FALSE)="裂石"),$E$3*(1+$E$15),0)</f>
        <v>0</v>
      </c>
      <c r="BK96" s="102">
        <f t="shared" si="60"/>
        <v>0</v>
      </c>
      <c r="BL96" s="102">
        <f>MAX($C$9*IF($G$5="撼天",1.05,1)+IF(AND(VLOOKUP($E96,武器奇术!$A:$R,15,FALSE)="武器",VLOOKUP($E96,武器奇术!$A:$R,17,FALSE)="裂石"),$E$3*(1+$E$15),0),BJ96)</f>
        <v>0</v>
      </c>
      <c r="BM96" s="104">
        <f>IF(($D$9+IF(VLOOKUP($E96,武器奇术!$A:$R,17,FALSE)="裂石",$D$15,0)-VLOOKUP($F$7,目标属性!$A:$R,6,FALSE))&gt;0,($D$9+IF(VLOOKUP($E96,武器奇术!$A:$R,17,FALSE)="裂石",$D$15,0)-VLOOKUP($F$7,目标属性!$A:$R,6,FALSE))/200,($D$9+IF(VLOOKUP($E96,武器奇术!$A:$R,17,FALSE)="裂石",$D$15,0)-VLOOKUP($F$7,目标属性!$A:$R,6,FALSE))/100)</f>
        <v>-0.24</v>
      </c>
      <c r="BN96" s="111">
        <f t="shared" si="61"/>
        <v>0</v>
      </c>
      <c r="BO96" s="102">
        <v>1</v>
      </c>
      <c r="BP96" s="103">
        <f>BJ96*IF(VLOOKUP($E96,武器奇术!$A:$R,17,FALSE)="裂石",VLOOKUP($E96,武器奇术!$A:$R,4,FALSE),VLOOKUP($E96,武器奇术!$A:$R,2,FALSE))*(1+BM96)*(1+BN96)*BO96</f>
        <v>0</v>
      </c>
      <c r="BQ96" s="104">
        <f>(1-IF(VLOOKUP($E96,武器奇术!$A:$R,18,FALSE)="叶龙",1,$N96))*(1-$M96)</f>
        <v>0</v>
      </c>
      <c r="BR96" s="103">
        <f>BK96*IF(VLOOKUP($E96,武器奇术!$A:$R,17,FALSE)="裂石",VLOOKUP($E96,武器奇术!$A:$R,4,FALSE),VLOOKUP($E96,武器奇术!$A:$R,2,FALSE))*(1+BM96)*(1+BN96)*BO96*(1+$E$16+VLOOKUP($E96,武器奇术!$A:$R,8,FALSE))</f>
        <v>0</v>
      </c>
      <c r="BS96" s="104">
        <f t="shared" si="62"/>
        <v>0.8703</v>
      </c>
      <c r="BT96" s="103">
        <f>BL96*IF(VLOOKUP($E96,武器奇术!$A:$R,17,FALSE)="裂石",VLOOKUP($E96,武器奇术!$A:$R,4,FALSE),VLOOKUP($E96,武器奇术!$A:$R,2,FALSE))*(1+BM96)*(1+BN96)*BO96*(1+$E$17+VLOOKUP($E96,武器奇术!$A:$R,10,FALSE))</f>
        <v>0</v>
      </c>
      <c r="BU96" s="104">
        <f t="shared" si="63"/>
        <v>0.0986</v>
      </c>
      <c r="BV96" s="103">
        <f>BK96*IF(VLOOKUP($E96,武器奇术!$A:$R,17,FALSE)="裂石",VLOOKUP($E96,武器奇术!$A:$R,4,FALSE),VLOOKUP($E96,武器奇术!$A:$R,2,FALSE))*(1+BM96)*(1+BN96)*BO96</f>
        <v>0</v>
      </c>
      <c r="BW96" s="104">
        <f t="shared" si="64"/>
        <v>0.0311</v>
      </c>
      <c r="BX96" s="112">
        <f t="shared" si="65"/>
        <v>0</v>
      </c>
      <c r="BY96" s="110">
        <f>$B$11*IF($G$5="撼天",1.05,1)+IF(AND(VLOOKUP($E96,武器奇术!$A:$R,15,FALSE)="武器",VLOOKUP($E96,武器奇术!$A:$R,17,FALSE)="牵丝"),$E$3*(1+$E$15),0)</f>
        <v>490.8</v>
      </c>
      <c r="BZ96" s="102">
        <f>IF(VLOOKUP($E96,武器奇术!$A:$Z,18,FALSE)="叶龙",(CA96-(BY96+CA96)*0.5)*($G$15-0.5)*2+(BY96+CA96)*0.5,(BY96+CA96)*0.5)</f>
        <v>856.3</v>
      </c>
      <c r="CA96" s="102">
        <f>MAX($C$11*IF($G$5="撼天",1.05,1)+IF(AND(VLOOKUP($E96,武器奇术!$A:$R,15,FALSE)="武器",VLOOKUP($E96,武器奇术!$A:$R,17,FALSE)="牵丝"),$E$3*(1+$E$15),0),BY96)</f>
        <v>1221.8</v>
      </c>
      <c r="CB96" s="104">
        <f>IF(($D$11+IF(VLOOKUP($E96,武器奇术!$A:$R,17,FALSE)="牵丝",$D$15,0)-VLOOKUP($F$7,目标属性!$A:$R,6,FALSE))&gt;0,($D$11+IF(VLOOKUP($E96,武器奇术!$A:$R,17,FALSE)="牵丝",$D$15,0)-VLOOKUP($F$7,目标属性!$A:$R,6,FALSE))/200,($D$11+IF(VLOOKUP($E96,武器奇术!$A:$R,17,FALSE)="牵丝",$D$15,0)-VLOOKUP($F$7,目标属性!$A:$R,6,FALSE))/100)</f>
        <v>0.028</v>
      </c>
      <c r="CC96" s="111">
        <f>$E$11+IF($G$5="烟柳",IF(VLOOKUP($E96,武器奇术!$A:$T,20,FALSE)=1,0.1,0),0)</f>
        <v>0.148</v>
      </c>
      <c r="CD96" s="102">
        <v>1</v>
      </c>
      <c r="CE96" s="103">
        <f>BY96*IF(VLOOKUP($E96,武器奇术!$A:$R,17,FALSE)="牵丝",VLOOKUP($E96,武器奇术!$A:$R,4,FALSE),VLOOKUP($E96,武器奇术!$A:$R,2,FALSE))*(1+CB96)*(1+CC96)*CD96</f>
        <v>579.2146752</v>
      </c>
      <c r="CF96" s="104">
        <f>(1-IF(VLOOKUP($E96,武器奇术!$A:$R,18,FALSE)="叶龙",1,$N96))*(1-$M96)</f>
        <v>0</v>
      </c>
      <c r="CG96" s="124">
        <f>BZ96*IF(VLOOKUP($E96,武器奇术!$A:$R,17,FALSE)="牵丝",VLOOKUP($E96,武器奇术!$A:$R,4,FALSE),VLOOKUP($E96,武器奇术!$A:$R,2,FALSE))*(1+CB96)*(1+CC96)*CD96*(1+$E$16+VLOOKUP($E96,武器奇术!$A:$R,8,FALSE))</f>
        <v>1661.3562130368</v>
      </c>
      <c r="CH96" s="104">
        <f t="shared" si="66"/>
        <v>0.8703</v>
      </c>
      <c r="CI96" s="103">
        <f>CA96*IF(VLOOKUP($E96,武器奇术!$A:$R,17,FALSE)="牵丝",VLOOKUP($E96,武器奇术!$A:$R,4,FALSE),VLOOKUP($E96,武器奇术!$A:$R,2,FALSE))*(1+CB96)*(1+CC96)*CD96*(1+$E$17+VLOOKUP($E96,武器奇术!$A:$R,10,FALSE))</f>
        <v>1946.56491792</v>
      </c>
      <c r="CJ96" s="104">
        <f t="shared" si="67"/>
        <v>0.0986</v>
      </c>
      <c r="CK96" s="124">
        <f>BZ96*IF(VLOOKUP($E96,武器奇术!$A:$R,17,FALSE)="牵丝",VLOOKUP($E96,武器奇术!$A:$R,4,FALSE),VLOOKUP($E96,武器奇术!$A:$R,2,FALSE))*(1+CB96)*(1+CC96)*CD96</f>
        <v>1010.5573072</v>
      </c>
      <c r="CL96" s="104">
        <f t="shared" si="68"/>
        <v>0.0311</v>
      </c>
      <c r="CM96" s="112">
        <f t="shared" si="84"/>
        <v>1669.23794536676</v>
      </c>
      <c r="CN96" s="110">
        <f>$B$13*IF($G$5="撼天",1.05,1)+IF(AND(VLOOKUP($E96,武器奇术!$A:$R,15,FALSE)="武器",VLOOKUP($E96,武器奇术!$A:$R,17,FALSE)="破竹"),$E$3*(1+$E$15),0)</f>
        <v>0</v>
      </c>
      <c r="CO96" s="102">
        <f t="shared" si="69"/>
        <v>0</v>
      </c>
      <c r="CP96" s="102">
        <f>MAX($C$13*IF($G$5="撼天",1.05,1)+IF(AND(VLOOKUP($E96,武器奇术!$A:$R,15,FALSE)="武器",VLOOKUP($E96,武器奇术!$A:$R,17,FALSE)="破竹"),$E$3*(1+$E$15),0),CN96)</f>
        <v>0</v>
      </c>
      <c r="CQ96" s="104">
        <f>IF(($D$13+IF(VLOOKUP($E96,武器奇术!$A:$R,17,FALSE)="破竹",$D$15,0)-VLOOKUP($F$7,目标属性!$A:$R,6,FALSE))&gt;0,($D$13+IF(VLOOKUP($E96,武器奇术!$A:$R,17,FALSE)="破竹",$D$15,0)-VLOOKUP($F$7,目标属性!$A:$R,6,FALSE))/200,($D$13+IF(VLOOKUP($E96,武器奇术!$A:$R,17,FALSE)="破竹",$D$15,0)-VLOOKUP($F$7,目标属性!$A:$R,6,FALSE))/100)</f>
        <v>-0.24</v>
      </c>
      <c r="CR96" s="111">
        <f t="shared" si="70"/>
        <v>0</v>
      </c>
      <c r="CS96" s="102">
        <v>1</v>
      </c>
      <c r="CT96" s="103">
        <f>CN96*IF(VLOOKUP($E96,武器奇术!$A:$R,17,FALSE)="破竹",VLOOKUP($E96,武器奇术!$A:$R,4,FALSE),VLOOKUP($E96,武器奇术!$A:$R,2,FALSE))*(1+CQ96)*(1+CR96)*CS96</f>
        <v>0</v>
      </c>
      <c r="CU96" s="104">
        <f>(1-IF(VLOOKUP($E96,武器奇术!$A:$R,18,FALSE)="叶龙",1,$N96))*(1-$M96)</f>
        <v>0</v>
      </c>
      <c r="CV96" s="103">
        <f>CO96*IF(VLOOKUP($E96,武器奇术!$A:$R,17,FALSE)="破竹",VLOOKUP($E96,武器奇术!$A:$R,4,FALSE),VLOOKUP($E96,武器奇术!$A:$R,2,FALSE))*(1+CQ96)*(1+CR96)*CS96*(1+$E$16+VLOOKUP($E96,武器奇术!$A:$R,8,FALSE))</f>
        <v>0</v>
      </c>
      <c r="CW96" s="104">
        <f t="shared" si="71"/>
        <v>0.8703</v>
      </c>
      <c r="CX96" s="103">
        <f>CP96*IF(VLOOKUP($E96,武器奇术!$A:$R,17,FALSE)="破竹",VLOOKUP($E96,武器奇术!$A:$R,4,FALSE),VLOOKUP($E96,武器奇术!$A:$R,2,FALSE))*(1+CQ96)*(1+CR96)*CS96*(1+$E$17+VLOOKUP($E96,武器奇术!$A:$R,10,FALSE))</f>
        <v>0</v>
      </c>
      <c r="CY96" s="104">
        <f t="shared" si="72"/>
        <v>0.0986</v>
      </c>
      <c r="CZ96" s="103">
        <f>CO96*IF(VLOOKUP($E96,武器奇术!$A:$R,17,FALSE)="破竹",VLOOKUP($E96,武器奇术!$A:$R,4,FALSE),VLOOKUP($E96,武器奇术!$A:$R,2,FALSE))*(1+CQ96)*(1+CR96)*CS96</f>
        <v>0</v>
      </c>
      <c r="DA96" s="104">
        <f t="shared" si="73"/>
        <v>0.0311</v>
      </c>
      <c r="DB96" s="112">
        <f t="shared" si="74"/>
        <v>0</v>
      </c>
      <c r="DC96" s="110">
        <f t="shared" si="40"/>
        <v>66</v>
      </c>
      <c r="DD96" s="102">
        <f t="shared" si="75"/>
        <v>125.8</v>
      </c>
      <c r="DE96" s="102">
        <f t="shared" si="41"/>
        <v>185.6</v>
      </c>
      <c r="DF96" s="104">
        <f>IF((IF(VLOOKUP($E96,武器奇术!$A:$R,17,FALSE)="鸣金",$D$7,0)+IF(VLOOKUP($E96,武器奇术!$A:$R,17,FALSE)="裂石",$D$9,0)+IF(VLOOKUP($E96,武器奇术!$A:$R,17,FALSE)="牵丝",$D$11,0)+IF(VLOOKUP($E96,武器奇术!$A:$R,17,FALSE)="破竹",$D$13,0)+$D$15-VLOOKUP($F$7,目标属性!$A:$R,6,FALSE))&gt;0,(IF(VLOOKUP($E96,武器奇术!$A:$R,17,FALSE)="鸣金",$D$7,0)+IF(VLOOKUP($E96,武器奇术!$A:$R,17,FALSE)="裂石",$D$9,0)+IF(VLOOKUP($E96,武器奇术!$A:$R,17,FALSE)="牵丝",$D$11,0)+IF(VLOOKUP($E96,武器奇术!$A:$R,17,FALSE)="破竹",$D$13,0)+$D$15-VLOOKUP($F$7,目标属性!$A:$R,6,FALSE))/200,(IF(VLOOKUP($E96,武器奇术!$A:$R,17,FALSE)="鸣金",$D$7,0)+IF(VLOOKUP($E96,武器奇术!$A:$R,17,FALSE)="裂石",$D$9,0)+IF(VLOOKUP($E96,武器奇术!$A:$R,17,FALSE)="牵丝",$D$11,0)+IF(VLOOKUP($E96,武器奇术!$A:$R,17,FALSE)="破竹",$D$13,0)+$D$15-VLOOKUP($F$7,目标属性!$A:$R,6,FALSE))/100)</f>
        <v>0.028</v>
      </c>
      <c r="DG96" s="111">
        <f>$E$11+IF($G$5="烟柳",IF(VLOOKUP($E96,武器奇术!$A:$T,20,FALSE)=1,0.1,0),0)</f>
        <v>0.148</v>
      </c>
      <c r="DH96" s="102">
        <v>1</v>
      </c>
      <c r="DI96" s="103">
        <f>DC96*IF(VLOOKUP($E96,武器奇术!$A:$R,17,FALSE)="牵丝",VLOOKUP($E96,武器奇术!$A:$R,4,FALSE),VLOOKUP($E96,武器奇术!$A:$R,2,FALSE))*(1+DF96)*(1+DG96)*DH96</f>
        <v>77.889504</v>
      </c>
      <c r="DJ96" s="104">
        <f>(1-IF(VLOOKUP($E96,武器奇术!$A:$R,18,FALSE)="叶龙",1,$N96))*(1-$M96)</f>
        <v>0</v>
      </c>
      <c r="DK96" s="124">
        <f>DD96*IF(VLOOKUP($E96,武器奇术!$A:$R,17,FALSE)="牵丝",VLOOKUP($E96,武器奇术!$A:$R,4,FALSE),VLOOKUP($E96,武器奇术!$A:$R,2,FALSE))*(1+DF96)*(1+DG96)*DH96*(1+$E$16+VLOOKUP($E96,武器奇术!$A:$R,8,FALSE))</f>
        <v>244.0717173888</v>
      </c>
      <c r="DL96" s="104">
        <f t="shared" si="76"/>
        <v>0.8703</v>
      </c>
      <c r="DM96" s="103">
        <f>DE96*IF(VLOOKUP($E96,武器奇术!$A:$R,17,FALSE)="牵丝",VLOOKUP($E96,武器奇术!$A:$R,4,FALSE),VLOOKUP($E96,武器奇术!$A:$R,2,FALSE))*(1+DF96)*(1+DG96)*DH96*(1+$E$17+VLOOKUP($E96,武器奇术!$A:$R,10,FALSE))</f>
        <v>295.69688064</v>
      </c>
      <c r="DN96" s="104">
        <f t="shared" si="77"/>
        <v>0.0986</v>
      </c>
      <c r="DO96" s="124">
        <f>DD96*IF(VLOOKUP($E96,武器奇术!$A:$R,17,FALSE)="牵丝",VLOOKUP($E96,武器奇术!$A:$R,4,FALSE),VLOOKUP($E96,武器奇术!$A:$R,2,FALSE))*(1+DF96)*(1+DG96)*DH96</f>
        <v>148.4621152</v>
      </c>
      <c r="DP96" s="104">
        <f t="shared" si="78"/>
        <v>0.0311</v>
      </c>
      <c r="DQ96" s="112">
        <f t="shared" si="79"/>
        <v>246.188499857297</v>
      </c>
    </row>
    <row r="97" spans="1:121">
      <c r="B97" t="s">
        <v>152</v>
      </c>
      <c r="C97">
        <v>1.25</v>
      </c>
      <c r="E97" s="115" t="s">
        <v>189</v>
      </c>
      <c r="F97" s="116">
        <f t="shared" si="85"/>
        <v>1</v>
      </c>
      <c r="G97" s="117"/>
      <c r="H97" s="103">
        <f>IF(VLOOKUP($E97,武器奇术!$A:$R,18,FALSE)="天工",AE97,(AE97+AT97+BI97+BX97+CM97+DB97+DQ97))*(1+J97)*F97*K97*(1+G97)</f>
        <v>11508.0122141922</v>
      </c>
      <c r="I97" s="104">
        <f t="shared" ref="I97:I103" si="86">H97/$C$30</f>
        <v>0.00132629792285812</v>
      </c>
      <c r="J97" s="118">
        <f>$F$3+VLOOKUP($E97,武器奇术!$A:$R,12,FALSE)+VLOOKUP($E97,武器奇术!$A:$R,14,FALSE)*$G$3+$P97+IF($F$21="√",5%,0)</f>
        <v>0.383</v>
      </c>
      <c r="K97" s="105">
        <f>VLOOKUP($E97,武器奇术!$A:$R,11,FALSE)</f>
        <v>1</v>
      </c>
      <c r="L97" s="119">
        <f>IF(VLOOKUP($E97,武器奇术!$A:$R,15,FALSE)="天工",0%,IF($C$17+VLOOKUP($E97,武器奇术!$A:$R,7,FALSE)&gt;80%,80%,$C$17+VLOOKUP($E97,武器奇术!$A:$R,7,FALSE))+IF($C$19&gt;20%,20%,$C$19))</f>
        <v>0.8703</v>
      </c>
      <c r="M97" s="120">
        <f>IF(VLOOKUP($E97,武器奇术!$A:$R,15,FALSE)="天工",0%,IF($C$18+VLOOKUP($E97,武器奇术!$A:$R,9,FALSE)&gt;40%,40%,$C$18+VLOOKUP($E97,武器奇术!$A:$R,9,FALSE))+IF($C$20&gt;10%,10%,$C$20))</f>
        <v>0.0986</v>
      </c>
      <c r="N97" s="121">
        <f>IF(VLOOKUP($E97,武器奇术!$A:$R,15,FALSE)="天工",100%,MIN($C$16,1))</f>
        <v>1</v>
      </c>
      <c r="O97" s="122" t="str">
        <f>VLOOKUP($E97,武器奇术!$A:$R,16,FALSE)</f>
        <v>N/A</v>
      </c>
      <c r="P97" s="123">
        <f t="shared" si="44"/>
        <v>0</v>
      </c>
      <c r="Q97" s="110">
        <f>$B$5*(1+VLOOKUP($E97,武器奇术!$A:$R,5,FALSE))*(1+VLOOKUP($E97,武器奇术!$A:$S,19,FALSE)+IF($G$5="飞隼",0.1,0)+IF($G$5="撼天",0.05,0))-$F$9+IF($J$5="√",160,0)</f>
        <v>3081.85</v>
      </c>
      <c r="R97" s="102">
        <f>IF(VLOOKUP($E97,武器奇术!$A:$Z,18,FALSE)="叶龙",(S97-(Q97+S97)*0.5)*($G$15-0.5)*2+(Q97+S97)*0.5,(Q97+S97)*0.5)</f>
        <v>3161.85</v>
      </c>
      <c r="S97" s="102">
        <f>MAX($C$5,$B$5)*(1+VLOOKUP($E97,武器奇术!$A:$R,6,FALSE))*(1+VLOOKUP($E97,武器奇术!$A:$S,19,FALSE)+IF($G$5="飞隼",0.1,0)+IF($G$5="撼天",0.05,0))-$F$9+IF($J$5="√",320,0)</f>
        <v>3241.85</v>
      </c>
      <c r="T97" s="104">
        <f>IF(($D$5+VLOOKUP($E97,武器奇术!$A:$R,13,FALSE)+IF($I$3="√",10,0)-VLOOKUP($F$7,目标属性!$A:$R,5,FALSE))&gt;0,($D$5+VLOOKUP($E97,武器奇术!$A:$R,13,FALSE)+IF($I$3="√",10,0)-VLOOKUP($F$7,目标属性!$A:$R,5,FALSE))/200,($D$5+VLOOKUP($E97,武器奇术!$A:$R,13,FALSE)+IF($I$3="√",10,0)-VLOOKUP($F$7,目标属性!$A:$R,5,FALSE))/100)</f>
        <v>0.2675</v>
      </c>
      <c r="U97" s="111">
        <f>$E$5+IF($G$5="烟柳",IF(VLOOKUP($E97,武器奇术!$A:$T,20,FALSE)=1,0.1,0),0)</f>
        <v>0</v>
      </c>
      <c r="V97" s="102">
        <v>1</v>
      </c>
      <c r="W97" s="103">
        <f>Q97*VLOOKUP($E97,武器奇术!$A:$R,2,FALSE)*(1+T97)*(1+U97)*V97</f>
        <v>3906.244875</v>
      </c>
      <c r="X97" s="104">
        <f>(1-IF(VLOOKUP($E97,武器奇术!$A:$R,18,FALSE)="叶龙",1,$N97))*(1-$M97)</f>
        <v>0</v>
      </c>
      <c r="Y97" s="103">
        <f>R97*VLOOKUP($E97,武器奇术!$A:$R,2,FALSE)*(1+T97)*(1+U97)*V97*(1+$E$16+VLOOKUP($E97,武器奇术!$A:$R,8,FALSE))</f>
        <v>6588.5681745</v>
      </c>
      <c r="Z97" s="104">
        <f t="shared" si="80"/>
        <v>0.8703</v>
      </c>
      <c r="AA97" s="103">
        <f>S97*VLOOKUP($E97,武器奇术!$A:$R,2,FALSE)*(1+T97)*(1+U97)*V97*(1+$E$17+VLOOKUP($E97,武器奇术!$A:$R,10,FALSE))</f>
        <v>5547.21058125</v>
      </c>
      <c r="AB97" s="104">
        <f t="shared" si="81"/>
        <v>0.0986</v>
      </c>
      <c r="AC97" s="103">
        <f>R97*VLOOKUP($E97,武器奇术!$A:$R,2,FALSE)*(1+T97)*(1+U97)*V97</f>
        <v>4007.644875</v>
      </c>
      <c r="AD97" s="104">
        <f t="shared" si="82"/>
        <v>0.0311</v>
      </c>
      <c r="AE97" s="112">
        <f t="shared" si="48"/>
        <v>6405.6236011911</v>
      </c>
      <c r="AF97" s="113">
        <f>VLOOKUP($E97,武器奇术!$A:$R,3,FALSE)*(1+IF(VLOOKUP($E97,武器奇术!$A:$R,15,FALSE)="武器",$E$15,0))</f>
        <v>0</v>
      </c>
      <c r="AG97" s="103">
        <f t="shared" si="49"/>
        <v>0</v>
      </c>
      <c r="AH97" s="103">
        <f>VLOOKUP($E97,武器奇术!$A:$R,3,FALSE)*(1+IF(VLOOKUP($E97,武器奇术!$A:$R,15,FALSE)="武器",$E$15,0))</f>
        <v>0</v>
      </c>
      <c r="AI97" s="104">
        <f>IF(($D$5+VLOOKUP($E97,武器奇术!$A:$R,13,FALSE)+IF($I$3="√",10,0)-VLOOKUP($F$7,目标属性!$A:$R,5,FALSE))&gt;0,($D$5+VLOOKUP($E97,武器奇术!$A:$R,13,FALSE)+IF($I$3="√",10,0)-VLOOKUP($F$7,目标属性!$A:$R,5,FALSE))/200,($D$5+VLOOKUP($E97,武器奇术!$A:$R,13,FALSE)+IF($I$3="√",10,0)-VLOOKUP($F$7,目标属性!$A:$R,5,FALSE))/100)</f>
        <v>0.2675</v>
      </c>
      <c r="AJ97" s="111">
        <f>$E$5+IF($G$5="烟柳",IF(VLOOKUP($E97,武器奇术!$A:$T,20,FALSE)=1,0.1,0),0)</f>
        <v>0</v>
      </c>
      <c r="AK97" s="102">
        <v>1</v>
      </c>
      <c r="AL97" s="103">
        <f t="shared" si="45"/>
        <v>0</v>
      </c>
      <c r="AM97" s="104">
        <f>(1-IF(VLOOKUP($E97,武器奇术!$A:$R,18,FALSE)="叶龙",1,$N97))*(1-$M97)</f>
        <v>0</v>
      </c>
      <c r="AN97" s="103">
        <f>AG97*(1+AI97)*(1+AJ97)*AK97*(1+$E$16+VLOOKUP($E97,武器奇术!$A:$R,8,FALSE))</f>
        <v>0</v>
      </c>
      <c r="AO97" s="104">
        <f t="shared" si="50"/>
        <v>0.8703</v>
      </c>
      <c r="AP97" s="103">
        <f>AH97*(1+AI97)*(1+AJ97)*AK97*(1+$E$17+VLOOKUP($E97,武器奇术!$A:$R,10,FALSE))</f>
        <v>0</v>
      </c>
      <c r="AQ97" s="104">
        <f t="shared" si="51"/>
        <v>0.0986</v>
      </c>
      <c r="AR97" s="103">
        <f t="shared" si="83"/>
        <v>0</v>
      </c>
      <c r="AS97" s="104">
        <f t="shared" si="52"/>
        <v>0.0311</v>
      </c>
      <c r="AT97" s="112">
        <f t="shared" si="53"/>
        <v>0</v>
      </c>
      <c r="AU97" s="110">
        <f>$B$7*IF($G$5="撼天",1.05,1)+IF(AND(VLOOKUP($E97,武器奇术!$A:$R,15,FALSE)="武器",VLOOKUP($E97,武器奇术!$A:$R,17,FALSE)="鸣金"),$E$3*(1+$E$15),0)</f>
        <v>0</v>
      </c>
      <c r="AV97" s="102">
        <f t="shared" si="54"/>
        <v>0</v>
      </c>
      <c r="AW97" s="102">
        <f>MAX($C$7*IF($G$5="撼天",1.05,1)+IF(AND(VLOOKUP($E97,武器奇术!$A:$R,15,FALSE)="武器",VLOOKUP($E97,武器奇术!$A:$R,17,FALSE)="鸣金"),$E$3*(1+$E$15),0),AU97)</f>
        <v>0</v>
      </c>
      <c r="AX97" s="104">
        <f>IF(($D$7+IF(VLOOKUP($E97,武器奇术!$A:$R,17,FALSE)="鸣金",$D$15,0)-VLOOKUP($F$7,目标属性!$A:$R,6,FALSE))&gt;0,($D$7+IF(VLOOKUP($E97,武器奇术!$A:$R,17,FALSE)="鸣金",$D$15,0)-VLOOKUP($F$7,目标属性!$A:$R,6,FALSE))/200,($D$7+IF(VLOOKUP($E97,武器奇术!$A:$R,17,FALSE)="鸣金",$D$15,0)-VLOOKUP($F$7,目标属性!$A:$R,6,FALSE))/100)</f>
        <v>-0.24</v>
      </c>
      <c r="AY97" s="111">
        <f t="shared" si="55"/>
        <v>0</v>
      </c>
      <c r="AZ97" s="102">
        <v>1</v>
      </c>
      <c r="BA97" s="103">
        <f>AU97*IF(VLOOKUP($E97,武器奇术!$A:$R,17,FALSE)="鸣金",VLOOKUP($E97,武器奇术!$A:$R,4,FALSE),VLOOKUP($E97,武器奇术!$A:$R,2,FALSE))*(1+AX97)*(1+AY97)*AZ97</f>
        <v>0</v>
      </c>
      <c r="BB97" s="104">
        <f>(1-IF(VLOOKUP($E97,武器奇术!$A:$R,18,FALSE)="叶龙",1,$N97))*(1-$M97)</f>
        <v>0</v>
      </c>
      <c r="BC97" s="103">
        <f>AV97*IF(VLOOKUP($E97,武器奇术!$A:$R,17,FALSE)="鸣金",VLOOKUP($E97,武器奇术!$A:$R,4,FALSE),VLOOKUP($E97,武器奇术!$A:$R,2,FALSE))*(1+AX97)*(1+AY97)*AZ97*(1+$E$16+VLOOKUP($E97,武器奇术!$A:$R,8,FALSE))</f>
        <v>0</v>
      </c>
      <c r="BD97" s="104">
        <f t="shared" si="56"/>
        <v>0.8703</v>
      </c>
      <c r="BE97" s="103">
        <f>AW97*IF(VLOOKUP($E97,武器奇术!$A:$R,17,FALSE)="鸣金",VLOOKUP($E97,武器奇术!$A:$R,4,FALSE),VLOOKUP($E97,武器奇术!$A:$R,2,FALSE))*(1+AX97)*(1+AY97)*AZ97*(1+$E$17+VLOOKUP($E97,武器奇术!$A:$R,10,FALSE))</f>
        <v>0</v>
      </c>
      <c r="BF97" s="104">
        <f t="shared" si="57"/>
        <v>0.0986</v>
      </c>
      <c r="BG97" s="103">
        <f>AV97*IF(VLOOKUP($E97,武器奇术!$A:$R,17,FALSE)="鸣金",VLOOKUP($E97,武器奇术!$A:$R,4,FALSE),VLOOKUP($E97,武器奇术!$A:$R,2,FALSE))*(1+AX97)*(1+AY97)*AZ97</f>
        <v>0</v>
      </c>
      <c r="BH97" s="104">
        <f t="shared" si="58"/>
        <v>0.0311</v>
      </c>
      <c r="BI97" s="112">
        <f t="shared" si="59"/>
        <v>0</v>
      </c>
      <c r="BJ97" s="110">
        <f>$B$9*IF($G$5="撼天",1.05,1)+IF(AND(VLOOKUP($E97,武器奇术!$A:$R,15,FALSE)="武器",VLOOKUP($E97,武器奇术!$A:$R,17,FALSE)="裂石"),$E$3*(1+$E$15),0)</f>
        <v>0</v>
      </c>
      <c r="BK97" s="102">
        <f t="shared" si="60"/>
        <v>0</v>
      </c>
      <c r="BL97" s="102">
        <f>MAX($C$9*IF($G$5="撼天",1.05,1)+IF(AND(VLOOKUP($E97,武器奇术!$A:$R,15,FALSE)="武器",VLOOKUP($E97,武器奇术!$A:$R,17,FALSE)="裂石"),$E$3*(1+$E$15),0),BJ97)</f>
        <v>0</v>
      </c>
      <c r="BM97" s="104">
        <f>IF(($D$9+IF(VLOOKUP($E97,武器奇术!$A:$R,17,FALSE)="裂石",$D$15,0)-VLOOKUP($F$7,目标属性!$A:$R,6,FALSE))&gt;0,($D$9+IF(VLOOKUP($E97,武器奇术!$A:$R,17,FALSE)="裂石",$D$15,0)-VLOOKUP($F$7,目标属性!$A:$R,6,FALSE))/200,($D$9+IF(VLOOKUP($E97,武器奇术!$A:$R,17,FALSE)="裂石",$D$15,0)-VLOOKUP($F$7,目标属性!$A:$R,6,FALSE))/100)</f>
        <v>-0.24</v>
      </c>
      <c r="BN97" s="111">
        <f t="shared" si="61"/>
        <v>0</v>
      </c>
      <c r="BO97" s="102">
        <v>1</v>
      </c>
      <c r="BP97" s="103">
        <f>BJ97*IF(VLOOKUP($E97,武器奇术!$A:$R,17,FALSE)="裂石",VLOOKUP($E97,武器奇术!$A:$R,4,FALSE),VLOOKUP($E97,武器奇术!$A:$R,2,FALSE))*(1+BM97)*(1+BN97)*BO97</f>
        <v>0</v>
      </c>
      <c r="BQ97" s="104">
        <f>(1-IF(VLOOKUP($E97,武器奇术!$A:$R,18,FALSE)="叶龙",1,$N97))*(1-$M97)</f>
        <v>0</v>
      </c>
      <c r="BR97" s="103">
        <f>BK97*IF(VLOOKUP($E97,武器奇术!$A:$R,17,FALSE)="裂石",VLOOKUP($E97,武器奇术!$A:$R,4,FALSE),VLOOKUP($E97,武器奇术!$A:$R,2,FALSE))*(1+BM97)*(1+BN97)*BO97*(1+$E$16+VLOOKUP($E97,武器奇术!$A:$R,8,FALSE))</f>
        <v>0</v>
      </c>
      <c r="BS97" s="104">
        <f t="shared" si="62"/>
        <v>0.8703</v>
      </c>
      <c r="BT97" s="103">
        <f>BL97*IF(VLOOKUP($E97,武器奇术!$A:$R,17,FALSE)="裂石",VLOOKUP($E97,武器奇术!$A:$R,4,FALSE),VLOOKUP($E97,武器奇术!$A:$R,2,FALSE))*(1+BM97)*(1+BN97)*BO97*(1+$E$17+VLOOKUP($E97,武器奇术!$A:$R,10,FALSE))</f>
        <v>0</v>
      </c>
      <c r="BU97" s="104">
        <f t="shared" si="63"/>
        <v>0.0986</v>
      </c>
      <c r="BV97" s="103">
        <f>BK97*IF(VLOOKUP($E97,武器奇术!$A:$R,17,FALSE)="裂石",VLOOKUP($E97,武器奇术!$A:$R,4,FALSE),VLOOKUP($E97,武器奇术!$A:$R,2,FALSE))*(1+BM97)*(1+BN97)*BO97</f>
        <v>0</v>
      </c>
      <c r="BW97" s="104">
        <f t="shared" si="64"/>
        <v>0.0311</v>
      </c>
      <c r="BX97" s="112">
        <f t="shared" si="65"/>
        <v>0</v>
      </c>
      <c r="BY97" s="110">
        <f>$B$11*IF($G$5="撼天",1.05,1)+IF(AND(VLOOKUP($E97,武器奇术!$A:$R,15,FALSE)="武器",VLOOKUP($E97,武器奇术!$A:$R,17,FALSE)="牵丝"),$E$3*(1+$E$15),0)</f>
        <v>490.8</v>
      </c>
      <c r="BZ97" s="102">
        <f>IF(VLOOKUP($E97,武器奇术!$A:$Z,18,FALSE)="叶龙",(CA97-(BY97+CA97)*0.5)*($G$15-0.5)*2+(BY97+CA97)*0.5,(BY97+CA97)*0.5)</f>
        <v>856.3</v>
      </c>
      <c r="CA97" s="102">
        <f>MAX($C$11*IF($G$5="撼天",1.05,1)+IF(AND(VLOOKUP($E97,武器奇术!$A:$R,15,FALSE)="武器",VLOOKUP($E97,武器奇术!$A:$R,17,FALSE)="牵丝"),$E$3*(1+$E$15),0),BY97)</f>
        <v>1221.8</v>
      </c>
      <c r="CB97" s="104">
        <f>IF(($D$11+IF(VLOOKUP($E97,武器奇术!$A:$R,17,FALSE)="牵丝",$D$15,0)-VLOOKUP($F$7,目标属性!$A:$R,6,FALSE))&gt;0,($D$11+IF(VLOOKUP($E97,武器奇术!$A:$R,17,FALSE)="牵丝",$D$15,0)-VLOOKUP($F$7,目标属性!$A:$R,6,FALSE))/200,($D$11+IF(VLOOKUP($E97,武器奇术!$A:$R,17,FALSE)="牵丝",$D$15,0)-VLOOKUP($F$7,目标属性!$A:$R,6,FALSE))/100)</f>
        <v>0.028</v>
      </c>
      <c r="CC97" s="111">
        <f>$E$11+IF($G$5="烟柳",IF(VLOOKUP($E97,武器奇术!$A:$T,20,FALSE)=1,0.1,0),0)</f>
        <v>0.148</v>
      </c>
      <c r="CD97" s="102">
        <v>1</v>
      </c>
      <c r="CE97" s="103">
        <f>BY97*IF(VLOOKUP($E97,武器奇术!$A:$R,17,FALSE)="牵丝",VLOOKUP($E97,武器奇术!$A:$R,4,FALSE),VLOOKUP($E97,武器奇术!$A:$R,2,FALSE))*(1+CB97)*(1+CC97)*CD97</f>
        <v>579.2146752</v>
      </c>
      <c r="CF97" s="104">
        <f>(1-IF(VLOOKUP($E97,武器奇术!$A:$R,18,FALSE)="叶龙",1,$N97))*(1-$M97)</f>
        <v>0</v>
      </c>
      <c r="CG97" s="124">
        <f>BZ97*IF(VLOOKUP($E97,武器奇术!$A:$R,17,FALSE)="牵丝",VLOOKUP($E97,武器奇术!$A:$R,4,FALSE),VLOOKUP($E97,武器奇术!$A:$R,2,FALSE))*(1+CB97)*(1+CC97)*CD97*(1+$E$16+VLOOKUP($E97,武器奇术!$A:$R,8,FALSE))</f>
        <v>1661.3562130368</v>
      </c>
      <c r="CH97" s="104">
        <f t="shared" si="66"/>
        <v>0.8703</v>
      </c>
      <c r="CI97" s="103">
        <f>CA97*IF(VLOOKUP($E97,武器奇术!$A:$R,17,FALSE)="牵丝",VLOOKUP($E97,武器奇术!$A:$R,4,FALSE),VLOOKUP($E97,武器奇术!$A:$R,2,FALSE))*(1+CB97)*(1+CC97)*CD97*(1+$E$17+VLOOKUP($E97,武器奇术!$A:$R,10,FALSE))</f>
        <v>1946.56491792</v>
      </c>
      <c r="CJ97" s="104">
        <f t="shared" si="67"/>
        <v>0.0986</v>
      </c>
      <c r="CK97" s="124">
        <f>BZ97*IF(VLOOKUP($E97,武器奇术!$A:$R,17,FALSE)="牵丝",VLOOKUP($E97,武器奇术!$A:$R,4,FALSE),VLOOKUP($E97,武器奇术!$A:$R,2,FALSE))*(1+CB97)*(1+CC97)*CD97</f>
        <v>1010.5573072</v>
      </c>
      <c r="CL97" s="104">
        <f t="shared" si="68"/>
        <v>0.0311</v>
      </c>
      <c r="CM97" s="112">
        <f t="shared" si="84"/>
        <v>1669.23794536676</v>
      </c>
      <c r="CN97" s="110">
        <f>$B$13*IF($G$5="撼天",1.05,1)+IF(AND(VLOOKUP($E97,武器奇术!$A:$R,15,FALSE)="武器",VLOOKUP($E97,武器奇术!$A:$R,17,FALSE)="破竹"),$E$3*(1+$E$15),0)</f>
        <v>0</v>
      </c>
      <c r="CO97" s="102">
        <f t="shared" si="69"/>
        <v>0</v>
      </c>
      <c r="CP97" s="102">
        <f>MAX($C$13*IF($G$5="撼天",1.05,1)+IF(AND(VLOOKUP($E97,武器奇术!$A:$R,15,FALSE)="武器",VLOOKUP($E97,武器奇术!$A:$R,17,FALSE)="破竹"),$E$3*(1+$E$15),0),CN97)</f>
        <v>0</v>
      </c>
      <c r="CQ97" s="104">
        <f>IF(($D$13+IF(VLOOKUP($E97,武器奇术!$A:$R,17,FALSE)="破竹",$D$15,0)-VLOOKUP($F$7,目标属性!$A:$R,6,FALSE))&gt;0,($D$13+IF(VLOOKUP($E97,武器奇术!$A:$R,17,FALSE)="破竹",$D$15,0)-VLOOKUP($F$7,目标属性!$A:$R,6,FALSE))/200,($D$13+IF(VLOOKUP($E97,武器奇术!$A:$R,17,FALSE)="破竹",$D$15,0)-VLOOKUP($F$7,目标属性!$A:$R,6,FALSE))/100)</f>
        <v>-0.24</v>
      </c>
      <c r="CR97" s="111">
        <f t="shared" si="70"/>
        <v>0</v>
      </c>
      <c r="CS97" s="102">
        <v>1</v>
      </c>
      <c r="CT97" s="103">
        <f>CN97*IF(VLOOKUP($E97,武器奇术!$A:$R,17,FALSE)="破竹",VLOOKUP($E97,武器奇术!$A:$R,4,FALSE),VLOOKUP($E97,武器奇术!$A:$R,2,FALSE))*(1+CQ97)*(1+CR97)*CS97</f>
        <v>0</v>
      </c>
      <c r="CU97" s="104">
        <f>(1-IF(VLOOKUP($E97,武器奇术!$A:$R,18,FALSE)="叶龙",1,$N97))*(1-$M97)</f>
        <v>0</v>
      </c>
      <c r="CV97" s="103">
        <f>CO97*IF(VLOOKUP($E97,武器奇术!$A:$R,17,FALSE)="破竹",VLOOKUP($E97,武器奇术!$A:$R,4,FALSE),VLOOKUP($E97,武器奇术!$A:$R,2,FALSE))*(1+CQ97)*(1+CR97)*CS97*(1+$E$16+VLOOKUP($E97,武器奇术!$A:$R,8,FALSE))</f>
        <v>0</v>
      </c>
      <c r="CW97" s="104">
        <f t="shared" si="71"/>
        <v>0.8703</v>
      </c>
      <c r="CX97" s="103">
        <f>CP97*IF(VLOOKUP($E97,武器奇术!$A:$R,17,FALSE)="破竹",VLOOKUP($E97,武器奇术!$A:$R,4,FALSE),VLOOKUP($E97,武器奇术!$A:$R,2,FALSE))*(1+CQ97)*(1+CR97)*CS97*(1+$E$17+VLOOKUP($E97,武器奇术!$A:$R,10,FALSE))</f>
        <v>0</v>
      </c>
      <c r="CY97" s="104">
        <f t="shared" si="72"/>
        <v>0.0986</v>
      </c>
      <c r="CZ97" s="103">
        <f>CO97*IF(VLOOKUP($E97,武器奇术!$A:$R,17,FALSE)="破竹",VLOOKUP($E97,武器奇术!$A:$R,4,FALSE),VLOOKUP($E97,武器奇术!$A:$R,2,FALSE))*(1+CQ97)*(1+CR97)*CS97</f>
        <v>0</v>
      </c>
      <c r="DA97" s="104">
        <f t="shared" si="73"/>
        <v>0.0311</v>
      </c>
      <c r="DB97" s="112">
        <f t="shared" si="74"/>
        <v>0</v>
      </c>
      <c r="DC97" s="110">
        <f t="shared" si="40"/>
        <v>66</v>
      </c>
      <c r="DD97" s="102">
        <f t="shared" si="75"/>
        <v>125.8</v>
      </c>
      <c r="DE97" s="102">
        <f t="shared" si="41"/>
        <v>185.6</v>
      </c>
      <c r="DF97" s="104">
        <f>IF((IF(VLOOKUP($E97,武器奇术!$A:$R,17,FALSE)="鸣金",$D$7,0)+IF(VLOOKUP($E97,武器奇术!$A:$R,17,FALSE)="裂石",$D$9,0)+IF(VLOOKUP($E97,武器奇术!$A:$R,17,FALSE)="牵丝",$D$11,0)+IF(VLOOKUP($E97,武器奇术!$A:$R,17,FALSE)="破竹",$D$13,0)+$D$15-VLOOKUP($F$7,目标属性!$A:$R,6,FALSE))&gt;0,(IF(VLOOKUP($E97,武器奇术!$A:$R,17,FALSE)="鸣金",$D$7,0)+IF(VLOOKUP($E97,武器奇术!$A:$R,17,FALSE)="裂石",$D$9,0)+IF(VLOOKUP($E97,武器奇术!$A:$R,17,FALSE)="牵丝",$D$11,0)+IF(VLOOKUP($E97,武器奇术!$A:$R,17,FALSE)="破竹",$D$13,0)+$D$15-VLOOKUP($F$7,目标属性!$A:$R,6,FALSE))/200,(IF(VLOOKUP($E97,武器奇术!$A:$R,17,FALSE)="鸣金",$D$7,0)+IF(VLOOKUP($E97,武器奇术!$A:$R,17,FALSE)="裂石",$D$9,0)+IF(VLOOKUP($E97,武器奇术!$A:$R,17,FALSE)="牵丝",$D$11,0)+IF(VLOOKUP($E97,武器奇术!$A:$R,17,FALSE)="破竹",$D$13,0)+$D$15-VLOOKUP($F$7,目标属性!$A:$R,6,FALSE))/100)</f>
        <v>0.028</v>
      </c>
      <c r="DG97" s="111">
        <f>$E$11+IF($G$5="烟柳",IF(VLOOKUP($E97,武器奇术!$A:$T,20,FALSE)=1,0.1,0),0)</f>
        <v>0.148</v>
      </c>
      <c r="DH97" s="102">
        <v>1</v>
      </c>
      <c r="DI97" s="103">
        <f>DC97*IF(VLOOKUP($E97,武器奇术!$A:$R,17,FALSE)="牵丝",VLOOKUP($E97,武器奇术!$A:$R,4,FALSE),VLOOKUP($E97,武器奇术!$A:$R,2,FALSE))*(1+DF97)*(1+DG97)*DH97</f>
        <v>77.889504</v>
      </c>
      <c r="DJ97" s="104">
        <f>(1-IF(VLOOKUP($E97,武器奇术!$A:$R,18,FALSE)="叶龙",1,$N97))*(1-$M97)</f>
        <v>0</v>
      </c>
      <c r="DK97" s="124">
        <f>DD97*IF(VLOOKUP($E97,武器奇术!$A:$R,17,FALSE)="牵丝",VLOOKUP($E97,武器奇术!$A:$R,4,FALSE),VLOOKUP($E97,武器奇术!$A:$R,2,FALSE))*(1+DF97)*(1+DG97)*DH97*(1+$E$16+VLOOKUP($E97,武器奇术!$A:$R,8,FALSE))</f>
        <v>244.0717173888</v>
      </c>
      <c r="DL97" s="104">
        <f t="shared" si="76"/>
        <v>0.8703</v>
      </c>
      <c r="DM97" s="103">
        <f>DE97*IF(VLOOKUP($E97,武器奇术!$A:$R,17,FALSE)="牵丝",VLOOKUP($E97,武器奇术!$A:$R,4,FALSE),VLOOKUP($E97,武器奇术!$A:$R,2,FALSE))*(1+DF97)*(1+DG97)*DH97*(1+$E$17+VLOOKUP($E97,武器奇术!$A:$R,10,FALSE))</f>
        <v>295.69688064</v>
      </c>
      <c r="DN97" s="104">
        <f t="shared" si="77"/>
        <v>0.0986</v>
      </c>
      <c r="DO97" s="124">
        <f>DD97*IF(VLOOKUP($E97,武器奇术!$A:$R,17,FALSE)="牵丝",VLOOKUP($E97,武器奇术!$A:$R,4,FALSE),VLOOKUP($E97,武器奇术!$A:$R,2,FALSE))*(1+DF97)*(1+DG97)*DH97</f>
        <v>148.4621152</v>
      </c>
      <c r="DP97" s="104">
        <f t="shared" si="78"/>
        <v>0.0311</v>
      </c>
      <c r="DQ97" s="112">
        <f t="shared" si="79"/>
        <v>246.188499857297</v>
      </c>
    </row>
    <row r="98" spans="1:121">
      <c r="B98" t="s">
        <v>190</v>
      </c>
      <c r="C98" s="141">
        <v>0.8</v>
      </c>
      <c r="E98" s="115" t="s">
        <v>191</v>
      </c>
      <c r="F98" s="116">
        <f t="shared" si="85"/>
        <v>1</v>
      </c>
      <c r="G98" s="117"/>
      <c r="H98" s="103">
        <f>IF(VLOOKUP($E98,武器奇术!$A:$R,18,FALSE)="天工",AE98,(AE98+AT98+BI98+BX98+CM98+DB98+DQ98))*(1+J98)*F98*K98*(1+G98)</f>
        <v>14364.2055016135</v>
      </c>
      <c r="I98" s="104">
        <f t="shared" si="86"/>
        <v>0.00165547407890326</v>
      </c>
      <c r="J98" s="104">
        <f>$F$3+VLOOKUP($E98,武器奇术!$A:$R,12,FALSE)+VLOOKUP($E98,武器奇术!$A:$R,14,FALSE)*$G$3+$P98</f>
        <v>0.333</v>
      </c>
      <c r="K98" s="105">
        <f>VLOOKUP($E98,武器奇术!$A:$R,11,FALSE)</f>
        <v>1</v>
      </c>
      <c r="L98" s="119">
        <f>IF(VLOOKUP($E98,武器奇术!$A:$R,15,FALSE)="天工",0%,IF($C$17+VLOOKUP($E98,武器奇术!$A:$R,7,FALSE)&gt;80%,80%,$C$17+VLOOKUP($E98,武器奇术!$A:$R,7,FALSE))+IF($C$19&gt;20%,20%,$C$19))</f>
        <v>0.8703</v>
      </c>
      <c r="M98" s="120">
        <f>IF(VLOOKUP($E98,武器奇术!$A:$R,15,FALSE)="天工",0%,IF($C$18+VLOOKUP($E98,武器奇术!$A:$R,9,FALSE)&gt;40%,40%,$C$18+VLOOKUP($E98,武器奇术!$A:$R,9,FALSE))+IF($C$20&gt;10%,10%,$C$20))</f>
        <v>0.0986</v>
      </c>
      <c r="N98" s="121">
        <f>IF(VLOOKUP($E98,武器奇术!$A:$R,15,FALSE)="天工",100%,MIN($C$16,1))</f>
        <v>1</v>
      </c>
      <c r="O98" s="122" t="str">
        <f>VLOOKUP($E98,武器奇术!$A:$R,16,FALSE)</f>
        <v>N/A</v>
      </c>
      <c r="P98" s="123">
        <f t="shared" si="44"/>
        <v>0</v>
      </c>
      <c r="Q98" s="110">
        <f>$B$5*(1+VLOOKUP($E98,武器奇术!$A:$R,5,FALSE))*(1+VLOOKUP($E98,武器奇术!$A:$S,19,FALSE)+IF($G$5="飞隼",0.1,0)+IF($G$5="撼天",0.05,0))-$F$9+IF($J$5="√",160,0)</f>
        <v>3324.7</v>
      </c>
      <c r="R98" s="102">
        <f>IF(VLOOKUP($E98,武器奇术!$A:$Z,18,FALSE)="叶龙",(S98-(Q98+S98)*0.5)*($G$15-0.5)*2+(Q98+S98)*0.5,(Q98+S98)*0.5)</f>
        <v>3404.7</v>
      </c>
      <c r="S98" s="102">
        <f>MAX($C$5,$B$5)*(1+VLOOKUP($E98,武器奇术!$A:$R,6,FALSE))*(1+VLOOKUP($E98,武器奇术!$A:$S,19,FALSE)+IF($G$5="飞隼",0.1,0)+IF($G$5="撼天",0.05,0))-$F$9+IF($J$5="√",320,0)</f>
        <v>3484.7</v>
      </c>
      <c r="T98" s="104">
        <f>IF(($D$5+VLOOKUP($E98,武器奇术!$A:$R,13,FALSE)+IF($I$3="√",10,0)-VLOOKUP($F$7,目标属性!$A:$R,5,FALSE))&gt;0,($D$5+VLOOKUP($E98,武器奇术!$A:$R,13,FALSE)+IF($I$3="√",10,0)-VLOOKUP($F$7,目标属性!$A:$R,5,FALSE))/200,($D$5+VLOOKUP($E98,武器奇术!$A:$R,13,FALSE)+IF($I$3="√",10,0)-VLOOKUP($F$7,目标属性!$A:$R,5,FALSE))/100)</f>
        <v>0.3925</v>
      </c>
      <c r="U98" s="111">
        <f>$E$5+IF($G$5="烟柳",IF(VLOOKUP($E98,武器奇术!$A:$T,20,FALSE)=1,0.1,0),0)</f>
        <v>0</v>
      </c>
      <c r="V98" s="102">
        <v>1</v>
      </c>
      <c r="W98" s="103">
        <f>Q98*VLOOKUP($E98,武器奇术!$A:$R,2,FALSE)*(1+T98)*(1+U98)*V98</f>
        <v>4629.64475</v>
      </c>
      <c r="X98" s="104">
        <f>(1-IF(VLOOKUP($E98,武器奇术!$A:$R,18,FALSE)="叶龙",1,$N98))*(1-$M98)</f>
        <v>0</v>
      </c>
      <c r="Y98" s="103">
        <f>R98*VLOOKUP($E98,武器奇术!$A:$R,2,FALSE)*(1+T98)*(1+U98)*V98*(1+$E$16+VLOOKUP($E98,武器奇术!$A:$R,8,FALSE))</f>
        <v>8979.5387565</v>
      </c>
      <c r="Z98" s="104">
        <f t="shared" si="80"/>
        <v>0.8703</v>
      </c>
      <c r="AA98" s="103">
        <f>S98*VLOOKUP($E98,武器奇术!$A:$R,2,FALSE)*(1+T98)*(1+U98)*V98*(1+$E$17+VLOOKUP($E98,武器奇术!$A:$R,10,FALSE))</f>
        <v>6550.8004125</v>
      </c>
      <c r="AB98" s="104">
        <f t="shared" si="81"/>
        <v>0.0986</v>
      </c>
      <c r="AC98" s="103">
        <f>R98*VLOOKUP($E98,武器奇术!$A:$R,2,FALSE)*(1+T98)*(1+U98)*V98</f>
        <v>4741.04475</v>
      </c>
      <c r="AD98" s="104">
        <f t="shared" si="82"/>
        <v>0.0311</v>
      </c>
      <c r="AE98" s="112">
        <f t="shared" si="48"/>
        <v>8608.24799217945</v>
      </c>
      <c r="AF98" s="113">
        <f>VLOOKUP($E98,武器奇术!$A:$R,3,FALSE)*(1+IF(VLOOKUP($E98,武器奇术!$A:$R,15,FALSE)="武器",$E$15,0))</f>
        <v>0</v>
      </c>
      <c r="AG98" s="103">
        <f t="shared" si="49"/>
        <v>0</v>
      </c>
      <c r="AH98" s="103">
        <f>VLOOKUP($E98,武器奇术!$A:$R,3,FALSE)*(1+IF(VLOOKUP($E98,武器奇术!$A:$R,15,FALSE)="武器",$E$15,0))</f>
        <v>0</v>
      </c>
      <c r="AI98" s="104">
        <f>IF(($D$5+VLOOKUP($E98,武器奇术!$A:$R,13,FALSE)+IF($I$3="√",10,0)-VLOOKUP($F$7,目标属性!$A:$R,5,FALSE))&gt;0,($D$5+VLOOKUP($E98,武器奇术!$A:$R,13,FALSE)+IF($I$3="√",10,0)-VLOOKUP($F$7,目标属性!$A:$R,5,FALSE))/200,($D$5+VLOOKUP($E98,武器奇术!$A:$R,13,FALSE)+IF($I$3="√",10,0)-VLOOKUP($F$7,目标属性!$A:$R,5,FALSE))/100)</f>
        <v>0.3925</v>
      </c>
      <c r="AJ98" s="111">
        <f>$E$5+IF($G$5="烟柳",IF(VLOOKUP($E98,武器奇术!$A:$T,20,FALSE)=1,0.1,0),0)</f>
        <v>0</v>
      </c>
      <c r="AK98" s="102">
        <v>1</v>
      </c>
      <c r="AL98" s="103">
        <f t="shared" si="45"/>
        <v>0</v>
      </c>
      <c r="AM98" s="104">
        <f>(1-IF(VLOOKUP($E98,武器奇术!$A:$R,18,FALSE)="叶龙",1,$N98))*(1-$M98)</f>
        <v>0</v>
      </c>
      <c r="AN98" s="103">
        <f>AG98*(1+AI98)*(1+AJ98)*AK98*(1+$E$16+VLOOKUP($E98,武器奇术!$A:$R,8,FALSE))</f>
        <v>0</v>
      </c>
      <c r="AO98" s="104">
        <f t="shared" si="50"/>
        <v>0.8703</v>
      </c>
      <c r="AP98" s="103">
        <f>AH98*(1+AI98)*(1+AJ98)*AK98*(1+$E$17+VLOOKUP($E98,武器奇术!$A:$R,10,FALSE))</f>
        <v>0</v>
      </c>
      <c r="AQ98" s="104">
        <f t="shared" si="51"/>
        <v>0.0986</v>
      </c>
      <c r="AR98" s="103">
        <f t="shared" si="83"/>
        <v>0</v>
      </c>
      <c r="AS98" s="104">
        <f t="shared" si="52"/>
        <v>0.0311</v>
      </c>
      <c r="AT98" s="112">
        <f t="shared" si="53"/>
        <v>0</v>
      </c>
      <c r="AU98" s="110">
        <f>$B$7*IF($G$5="撼天",1.05,1)+IF(AND(VLOOKUP($E98,武器奇术!$A:$R,15,FALSE)="武器",VLOOKUP($E98,武器奇术!$A:$R,17,FALSE)="鸣金"),$E$3*(1+$E$15),0)</f>
        <v>0</v>
      </c>
      <c r="AV98" s="102">
        <f t="shared" si="54"/>
        <v>0</v>
      </c>
      <c r="AW98" s="102">
        <f>MAX($C$7*IF($G$5="撼天",1.05,1)+IF(AND(VLOOKUP($E98,武器奇术!$A:$R,15,FALSE)="武器",VLOOKUP($E98,武器奇术!$A:$R,17,FALSE)="鸣金"),$E$3*(1+$E$15),0),AU98)</f>
        <v>0</v>
      </c>
      <c r="AX98" s="104">
        <f>IF(($D$7+IF(VLOOKUP($E98,武器奇术!$A:$R,17,FALSE)="鸣金",$D$15,0)-VLOOKUP($F$7,目标属性!$A:$R,6,FALSE))&gt;0,($D$7+IF(VLOOKUP($E98,武器奇术!$A:$R,17,FALSE)="鸣金",$D$15,0)-VLOOKUP($F$7,目标属性!$A:$R,6,FALSE))/200,($D$7+IF(VLOOKUP($E98,武器奇术!$A:$R,17,FALSE)="鸣金",$D$15,0)-VLOOKUP($F$7,目标属性!$A:$R,6,FALSE))/100)</f>
        <v>-0.24</v>
      </c>
      <c r="AY98" s="111">
        <f t="shared" si="55"/>
        <v>0</v>
      </c>
      <c r="AZ98" s="102">
        <v>1</v>
      </c>
      <c r="BA98" s="103">
        <f>AU98*IF(VLOOKUP($E98,武器奇术!$A:$R,17,FALSE)="鸣金",VLOOKUP($E98,武器奇术!$A:$R,4,FALSE),VLOOKUP($E98,武器奇术!$A:$R,2,FALSE))*(1+AX98)*(1+AY98)*AZ98</f>
        <v>0</v>
      </c>
      <c r="BB98" s="104">
        <f>(1-IF(VLOOKUP($E98,武器奇术!$A:$R,18,FALSE)="叶龙",1,$N98))*(1-$M98)</f>
        <v>0</v>
      </c>
      <c r="BC98" s="103">
        <f>AV98*IF(VLOOKUP($E98,武器奇术!$A:$R,17,FALSE)="鸣金",VLOOKUP($E98,武器奇术!$A:$R,4,FALSE),VLOOKUP($E98,武器奇术!$A:$R,2,FALSE))*(1+AX98)*(1+AY98)*AZ98*(1+$E$16+VLOOKUP($E98,武器奇术!$A:$R,8,FALSE))</f>
        <v>0</v>
      </c>
      <c r="BD98" s="104">
        <f t="shared" si="56"/>
        <v>0.8703</v>
      </c>
      <c r="BE98" s="103">
        <f>AW98*IF(VLOOKUP($E98,武器奇术!$A:$R,17,FALSE)="鸣金",VLOOKUP($E98,武器奇术!$A:$R,4,FALSE),VLOOKUP($E98,武器奇术!$A:$R,2,FALSE))*(1+AX98)*(1+AY98)*AZ98*(1+$E$17+VLOOKUP($E98,武器奇术!$A:$R,10,FALSE))</f>
        <v>0</v>
      </c>
      <c r="BF98" s="104">
        <f t="shared" si="57"/>
        <v>0.0986</v>
      </c>
      <c r="BG98" s="103">
        <f>AV98*IF(VLOOKUP($E98,武器奇术!$A:$R,17,FALSE)="鸣金",VLOOKUP($E98,武器奇术!$A:$R,4,FALSE),VLOOKUP($E98,武器奇术!$A:$R,2,FALSE))*(1+AX98)*(1+AY98)*AZ98</f>
        <v>0</v>
      </c>
      <c r="BH98" s="104">
        <f t="shared" si="58"/>
        <v>0.0311</v>
      </c>
      <c r="BI98" s="112">
        <f t="shared" si="59"/>
        <v>0</v>
      </c>
      <c r="BJ98" s="110">
        <f>$B$9*IF($G$5="撼天",1.05,1)+IF(AND(VLOOKUP($E98,武器奇术!$A:$R,15,FALSE)="武器",VLOOKUP($E98,武器奇术!$A:$R,17,FALSE)="裂石"),$E$3*(1+$E$15),0)</f>
        <v>0</v>
      </c>
      <c r="BK98" s="102">
        <f t="shared" si="60"/>
        <v>0</v>
      </c>
      <c r="BL98" s="102">
        <f>MAX($C$9*IF($G$5="撼天",1.05,1)+IF(AND(VLOOKUP($E98,武器奇术!$A:$R,15,FALSE)="武器",VLOOKUP($E98,武器奇术!$A:$R,17,FALSE)="裂石"),$E$3*(1+$E$15),0),BJ98)</f>
        <v>0</v>
      </c>
      <c r="BM98" s="104">
        <f>IF(($D$9+IF(VLOOKUP($E98,武器奇术!$A:$R,17,FALSE)="裂石",$D$15,0)-VLOOKUP($F$7,目标属性!$A:$R,6,FALSE))&gt;0,($D$9+IF(VLOOKUP($E98,武器奇术!$A:$R,17,FALSE)="裂石",$D$15,0)-VLOOKUP($F$7,目标属性!$A:$R,6,FALSE))/200,($D$9+IF(VLOOKUP($E98,武器奇术!$A:$R,17,FALSE)="裂石",$D$15,0)-VLOOKUP($F$7,目标属性!$A:$R,6,FALSE))/100)</f>
        <v>-0.24</v>
      </c>
      <c r="BN98" s="111">
        <f t="shared" si="61"/>
        <v>0</v>
      </c>
      <c r="BO98" s="102">
        <v>1</v>
      </c>
      <c r="BP98" s="103">
        <f>BJ98*IF(VLOOKUP($E98,武器奇术!$A:$R,17,FALSE)="裂石",VLOOKUP($E98,武器奇术!$A:$R,4,FALSE),VLOOKUP($E98,武器奇术!$A:$R,2,FALSE))*(1+BM98)*(1+BN98)*BO98</f>
        <v>0</v>
      </c>
      <c r="BQ98" s="104">
        <f>(1-IF(VLOOKUP($E98,武器奇术!$A:$R,18,FALSE)="叶龙",1,$N98))*(1-$M98)</f>
        <v>0</v>
      </c>
      <c r="BR98" s="103">
        <f>BK98*IF(VLOOKUP($E98,武器奇术!$A:$R,17,FALSE)="裂石",VLOOKUP($E98,武器奇术!$A:$R,4,FALSE),VLOOKUP($E98,武器奇术!$A:$R,2,FALSE))*(1+BM98)*(1+BN98)*BO98*(1+$E$16+VLOOKUP($E98,武器奇术!$A:$R,8,FALSE))</f>
        <v>0</v>
      </c>
      <c r="BS98" s="104">
        <f t="shared" si="62"/>
        <v>0.8703</v>
      </c>
      <c r="BT98" s="103">
        <f>BL98*IF(VLOOKUP($E98,武器奇术!$A:$R,17,FALSE)="裂石",VLOOKUP($E98,武器奇术!$A:$R,4,FALSE),VLOOKUP($E98,武器奇术!$A:$R,2,FALSE))*(1+BM98)*(1+BN98)*BO98*(1+$E$17+VLOOKUP($E98,武器奇术!$A:$R,10,FALSE))</f>
        <v>0</v>
      </c>
      <c r="BU98" s="104">
        <f t="shared" si="63"/>
        <v>0.0986</v>
      </c>
      <c r="BV98" s="103">
        <f>BK98*IF(VLOOKUP($E98,武器奇术!$A:$R,17,FALSE)="裂石",VLOOKUP($E98,武器奇术!$A:$R,4,FALSE),VLOOKUP($E98,武器奇术!$A:$R,2,FALSE))*(1+BM98)*(1+BN98)*BO98</f>
        <v>0</v>
      </c>
      <c r="BW98" s="104">
        <f t="shared" si="64"/>
        <v>0.0311</v>
      </c>
      <c r="BX98" s="112">
        <f t="shared" si="65"/>
        <v>0</v>
      </c>
      <c r="BY98" s="110">
        <f>$B$11*IF($G$5="撼天",1.05,1)+IF(AND(VLOOKUP($E98,武器奇术!$A:$R,15,FALSE)="武器",VLOOKUP($E98,武器奇术!$A:$R,17,FALSE)="牵丝"),$E$3*(1+$E$15),0)</f>
        <v>490.8</v>
      </c>
      <c r="BZ98" s="102">
        <f>IF(VLOOKUP($E98,武器奇术!$A:$Z,18,FALSE)="叶龙",(CA98-(BY98+CA98)*0.5)*($G$15-0.5)*2+(BY98+CA98)*0.5,(BY98+CA98)*0.5)</f>
        <v>856.3</v>
      </c>
      <c r="CA98" s="102">
        <f>MAX($C$11*IF($G$5="撼天",1.05,1)+IF(AND(VLOOKUP($E98,武器奇术!$A:$R,15,FALSE)="武器",VLOOKUP($E98,武器奇术!$A:$R,17,FALSE)="牵丝"),$E$3*(1+$E$15),0),BY98)</f>
        <v>1221.8</v>
      </c>
      <c r="CB98" s="104">
        <f>IF(($D$11+IF(VLOOKUP($E98,武器奇术!$A:$R,17,FALSE)="牵丝",$D$15,0)-VLOOKUP($F$7,目标属性!$A:$R,6,FALSE))&gt;0,($D$11+IF(VLOOKUP($E98,武器奇术!$A:$R,17,FALSE)="牵丝",$D$15,0)-VLOOKUP($F$7,目标属性!$A:$R,6,FALSE))/200,($D$11+IF(VLOOKUP($E98,武器奇术!$A:$R,17,FALSE)="牵丝",$D$15,0)-VLOOKUP($F$7,目标属性!$A:$R,6,FALSE))/100)</f>
        <v>0.028</v>
      </c>
      <c r="CC98" s="111">
        <f>$E$11+IF($G$5="烟柳",IF(VLOOKUP($E98,武器奇术!$A:$T,20,FALSE)=1,0.1,0),0)</f>
        <v>0.148</v>
      </c>
      <c r="CD98" s="102">
        <v>1</v>
      </c>
      <c r="CE98" s="103">
        <f>BY98*IF(VLOOKUP($E98,武器奇术!$A:$R,17,FALSE)="牵丝",VLOOKUP($E98,武器奇术!$A:$R,4,FALSE),VLOOKUP($E98,武器奇术!$A:$R,2,FALSE))*(1+CB98)*(1+CC98)*CD98</f>
        <v>579.2146752</v>
      </c>
      <c r="CF98" s="104">
        <f>(1-IF(VLOOKUP($E98,武器奇术!$A:$R,18,FALSE)="叶龙",1,$N98))*(1-$M98)</f>
        <v>0</v>
      </c>
      <c r="CG98" s="124">
        <f>BZ98*IF(VLOOKUP($E98,武器奇术!$A:$R,17,FALSE)="牵丝",VLOOKUP($E98,武器奇术!$A:$R,4,FALSE),VLOOKUP($E98,武器奇术!$A:$R,2,FALSE))*(1+CB98)*(1+CC98)*CD98*(1+$E$16+VLOOKUP($E98,武器奇术!$A:$R,8,FALSE))</f>
        <v>1913.9955398368</v>
      </c>
      <c r="CH98" s="104">
        <f t="shared" si="66"/>
        <v>0.8703</v>
      </c>
      <c r="CI98" s="103">
        <f>CA98*IF(VLOOKUP($E98,武器奇术!$A:$R,17,FALSE)="牵丝",VLOOKUP($E98,武器奇术!$A:$R,4,FALSE),VLOOKUP($E98,武器奇术!$A:$R,2,FALSE))*(1+CB98)*(1+CC98)*CD98*(1+$E$17+VLOOKUP($E98,武器奇术!$A:$R,10,FALSE))</f>
        <v>1946.56491792</v>
      </c>
      <c r="CJ98" s="104">
        <f t="shared" si="67"/>
        <v>0.0986</v>
      </c>
      <c r="CK98" s="124">
        <f>BZ98*IF(VLOOKUP($E98,武器奇术!$A:$R,17,FALSE)="牵丝",VLOOKUP($E98,武器奇术!$A:$R,4,FALSE),VLOOKUP($E98,武器奇术!$A:$R,2,FALSE))*(1+CB98)*(1+CC98)*CD98</f>
        <v>1010.5573072</v>
      </c>
      <c r="CL98" s="104">
        <f t="shared" si="68"/>
        <v>0.0311</v>
      </c>
      <c r="CM98" s="112">
        <f t="shared" si="84"/>
        <v>1889.1099514808</v>
      </c>
      <c r="CN98" s="110">
        <f>$B$13*IF($G$5="撼天",1.05,1)+IF(AND(VLOOKUP($E98,武器奇术!$A:$R,15,FALSE)="武器",VLOOKUP($E98,武器奇术!$A:$R,17,FALSE)="破竹"),$E$3*(1+$E$15),0)</f>
        <v>0</v>
      </c>
      <c r="CO98" s="102">
        <f t="shared" si="69"/>
        <v>0</v>
      </c>
      <c r="CP98" s="102">
        <f>MAX($C$13*IF($G$5="撼天",1.05,1)+IF(AND(VLOOKUP($E98,武器奇术!$A:$R,15,FALSE)="武器",VLOOKUP($E98,武器奇术!$A:$R,17,FALSE)="破竹"),$E$3*(1+$E$15),0),CN98)</f>
        <v>0</v>
      </c>
      <c r="CQ98" s="104">
        <f>IF(($D$13+IF(VLOOKUP($E98,武器奇术!$A:$R,17,FALSE)="破竹",$D$15,0)-VLOOKUP($F$7,目标属性!$A:$R,6,FALSE))&gt;0,($D$13+IF(VLOOKUP($E98,武器奇术!$A:$R,17,FALSE)="破竹",$D$15,0)-VLOOKUP($F$7,目标属性!$A:$R,6,FALSE))/200,($D$13+IF(VLOOKUP($E98,武器奇术!$A:$R,17,FALSE)="破竹",$D$15,0)-VLOOKUP($F$7,目标属性!$A:$R,6,FALSE))/100)</f>
        <v>-0.24</v>
      </c>
      <c r="CR98" s="111">
        <f t="shared" si="70"/>
        <v>0</v>
      </c>
      <c r="CS98" s="102">
        <v>1</v>
      </c>
      <c r="CT98" s="103">
        <f>CN98*IF(VLOOKUP($E98,武器奇术!$A:$R,17,FALSE)="破竹",VLOOKUP($E98,武器奇术!$A:$R,4,FALSE),VLOOKUP($E98,武器奇术!$A:$R,2,FALSE))*(1+CQ98)*(1+CR98)*CS98</f>
        <v>0</v>
      </c>
      <c r="CU98" s="104">
        <f>(1-IF(VLOOKUP($E98,武器奇术!$A:$R,18,FALSE)="叶龙",1,$N98))*(1-$M98)</f>
        <v>0</v>
      </c>
      <c r="CV98" s="103">
        <f>CO98*IF(VLOOKUP($E98,武器奇术!$A:$R,17,FALSE)="破竹",VLOOKUP($E98,武器奇术!$A:$R,4,FALSE),VLOOKUP($E98,武器奇术!$A:$R,2,FALSE))*(1+CQ98)*(1+CR98)*CS98*(1+$E$16+VLOOKUP($E98,武器奇术!$A:$R,8,FALSE))</f>
        <v>0</v>
      </c>
      <c r="CW98" s="104">
        <f t="shared" si="71"/>
        <v>0.8703</v>
      </c>
      <c r="CX98" s="103">
        <f>CP98*IF(VLOOKUP($E98,武器奇术!$A:$R,17,FALSE)="破竹",VLOOKUP($E98,武器奇术!$A:$R,4,FALSE),VLOOKUP($E98,武器奇术!$A:$R,2,FALSE))*(1+CQ98)*(1+CR98)*CS98*(1+$E$17+VLOOKUP($E98,武器奇术!$A:$R,10,FALSE))</f>
        <v>0</v>
      </c>
      <c r="CY98" s="104">
        <f t="shared" si="72"/>
        <v>0.0986</v>
      </c>
      <c r="CZ98" s="103">
        <f>CO98*IF(VLOOKUP($E98,武器奇术!$A:$R,17,FALSE)="破竹",VLOOKUP($E98,武器奇术!$A:$R,4,FALSE),VLOOKUP($E98,武器奇术!$A:$R,2,FALSE))*(1+CQ98)*(1+CR98)*CS98</f>
        <v>0</v>
      </c>
      <c r="DA98" s="104">
        <f t="shared" si="73"/>
        <v>0.0311</v>
      </c>
      <c r="DB98" s="112">
        <f t="shared" si="74"/>
        <v>0</v>
      </c>
      <c r="DC98" s="110">
        <f t="shared" si="40"/>
        <v>66</v>
      </c>
      <c r="DD98" s="102">
        <f t="shared" si="75"/>
        <v>125.8</v>
      </c>
      <c r="DE98" s="102">
        <f t="shared" si="41"/>
        <v>185.6</v>
      </c>
      <c r="DF98" s="104">
        <f>IF((IF(VLOOKUP($E98,武器奇术!$A:$R,17,FALSE)="鸣金",$D$7,0)+IF(VLOOKUP($E98,武器奇术!$A:$R,17,FALSE)="裂石",$D$9,0)+IF(VLOOKUP($E98,武器奇术!$A:$R,17,FALSE)="牵丝",$D$11,0)+IF(VLOOKUP($E98,武器奇术!$A:$R,17,FALSE)="破竹",$D$13,0)+$D$15-VLOOKUP($F$7,目标属性!$A:$R,6,FALSE))&gt;0,(IF(VLOOKUP($E98,武器奇术!$A:$R,17,FALSE)="鸣金",$D$7,0)+IF(VLOOKUP($E98,武器奇术!$A:$R,17,FALSE)="裂石",$D$9,0)+IF(VLOOKUP($E98,武器奇术!$A:$R,17,FALSE)="牵丝",$D$11,0)+IF(VLOOKUP($E98,武器奇术!$A:$R,17,FALSE)="破竹",$D$13,0)+$D$15-VLOOKUP($F$7,目标属性!$A:$R,6,FALSE))/200,(IF(VLOOKUP($E98,武器奇术!$A:$R,17,FALSE)="鸣金",$D$7,0)+IF(VLOOKUP($E98,武器奇术!$A:$R,17,FALSE)="裂石",$D$9,0)+IF(VLOOKUP($E98,武器奇术!$A:$R,17,FALSE)="牵丝",$D$11,0)+IF(VLOOKUP($E98,武器奇术!$A:$R,17,FALSE)="破竹",$D$13,0)+$D$15-VLOOKUP($F$7,目标属性!$A:$R,6,FALSE))/100)</f>
        <v>0.028</v>
      </c>
      <c r="DG98" s="111">
        <f>$E$11+IF($G$5="烟柳",IF(VLOOKUP($E98,武器奇术!$A:$T,20,FALSE)=1,0.1,0),0)</f>
        <v>0.148</v>
      </c>
      <c r="DH98" s="102">
        <v>1</v>
      </c>
      <c r="DI98" s="103">
        <f>DC98*IF(VLOOKUP($E98,武器奇术!$A:$R,17,FALSE)="牵丝",VLOOKUP($E98,武器奇术!$A:$R,4,FALSE),VLOOKUP($E98,武器奇术!$A:$R,2,FALSE))*(1+DF98)*(1+DG98)*DH98</f>
        <v>77.889504</v>
      </c>
      <c r="DJ98" s="104">
        <f>(1-IF(VLOOKUP($E98,武器奇术!$A:$R,18,FALSE)="叶龙",1,$N98))*(1-$M98)</f>
        <v>0</v>
      </c>
      <c r="DK98" s="124">
        <f>DD98*IF(VLOOKUP($E98,武器奇术!$A:$R,17,FALSE)="牵丝",VLOOKUP($E98,武器奇术!$A:$R,4,FALSE),VLOOKUP($E98,武器奇术!$A:$R,2,FALSE))*(1+DF98)*(1+DG98)*DH98*(1+$E$16+VLOOKUP($E98,武器奇术!$A:$R,8,FALSE))</f>
        <v>281.1872461888</v>
      </c>
      <c r="DL98" s="104">
        <f t="shared" si="76"/>
        <v>0.8703</v>
      </c>
      <c r="DM98" s="103">
        <f>DE98*IF(VLOOKUP($E98,武器奇术!$A:$R,17,FALSE)="牵丝",VLOOKUP($E98,武器奇术!$A:$R,4,FALSE),VLOOKUP($E98,武器奇术!$A:$R,2,FALSE))*(1+DF98)*(1+DG98)*DH98*(1+$E$17+VLOOKUP($E98,武器奇术!$A:$R,10,FALSE))</f>
        <v>295.69688064</v>
      </c>
      <c r="DN98" s="104">
        <f t="shared" si="77"/>
        <v>0.0986</v>
      </c>
      <c r="DO98" s="124">
        <f>DD98*IF(VLOOKUP($E98,武器奇术!$A:$R,17,FALSE)="牵丝",VLOOKUP($E98,武器奇术!$A:$R,4,FALSE),VLOOKUP($E98,武器奇术!$A:$R,2,FALSE))*(1+DF98)*(1+DG98)*DH98</f>
        <v>148.4621152</v>
      </c>
      <c r="DP98" s="104">
        <f t="shared" si="78"/>
        <v>0.0311</v>
      </c>
      <c r="DQ98" s="112">
        <f t="shared" si="79"/>
        <v>278.490144571937</v>
      </c>
    </row>
    <row r="99" spans="1:121">
      <c r="B99" t="s">
        <v>154</v>
      </c>
      <c r="C99" s="141">
        <v>1.16</v>
      </c>
      <c r="E99" s="115" t="s">
        <v>192</v>
      </c>
      <c r="F99" s="116">
        <f t="shared" si="85"/>
        <v>1</v>
      </c>
      <c r="G99" s="117"/>
      <c r="H99" s="103">
        <f>IF(VLOOKUP($E99,武器奇术!$A:$R,18,FALSE)="天工",AE99,(AE99+AT99+BI99+BX99+CM99+DB99+DQ99))*(1+J99)*F99*K99*(1+G99)</f>
        <v>15441.7903104367</v>
      </c>
      <c r="I99" s="104">
        <f t="shared" si="86"/>
        <v>0.00177966568272196</v>
      </c>
      <c r="J99" s="104">
        <f>$F$3+VLOOKUP($E99,武器奇术!$A:$R,12,FALSE)+VLOOKUP($E99,武器奇术!$A:$R,14,FALSE)*$G$3+$P99</f>
        <v>0.433</v>
      </c>
      <c r="K99" s="105">
        <f>VLOOKUP($E99,武器奇术!$A:$R,11,FALSE)</f>
        <v>1</v>
      </c>
      <c r="L99" s="119">
        <f>IF(VLOOKUP($E99,武器奇术!$A:$R,15,FALSE)="天工",0%,IF($C$17+VLOOKUP($E99,武器奇术!$A:$R,7,FALSE)&gt;80%,80%,$C$17+VLOOKUP($E99,武器奇术!$A:$R,7,FALSE))+IF($C$19&gt;20%,20%,$C$19))</f>
        <v>0.8703</v>
      </c>
      <c r="M99" s="120">
        <f>IF(VLOOKUP($E99,武器奇术!$A:$R,15,FALSE)="天工",0%,IF($C$18+VLOOKUP($E99,武器奇术!$A:$R,9,FALSE)&gt;40%,40%,$C$18+VLOOKUP($E99,武器奇术!$A:$R,9,FALSE))+IF($C$20&gt;10%,10%,$C$20))</f>
        <v>0.0986</v>
      </c>
      <c r="N99" s="121">
        <f>IF(VLOOKUP($E99,武器奇术!$A:$R,15,FALSE)="天工",100%,MIN($C$16,1))</f>
        <v>1</v>
      </c>
      <c r="O99" s="122" t="str">
        <f>VLOOKUP($E99,武器奇术!$A:$R,16,FALSE)</f>
        <v>N/A</v>
      </c>
      <c r="P99" s="123">
        <f t="shared" si="44"/>
        <v>0</v>
      </c>
      <c r="Q99" s="110">
        <f>$B$5*(1+VLOOKUP($E99,武器奇术!$A:$R,5,FALSE))*(1+VLOOKUP($E99,武器奇术!$A:$S,19,FALSE)+IF($G$5="飞隼",0.1,0)+IF($G$5="撼天",0.05,0))-$F$9+IF($J$5="√",160,0)</f>
        <v>3324.7</v>
      </c>
      <c r="R99" s="102">
        <f>IF(VLOOKUP($E99,武器奇术!$A:$Z,18,FALSE)="叶龙",(S99-(Q99+S99)*0.5)*($G$15-0.5)*2+(Q99+S99)*0.5,(Q99+S99)*0.5)</f>
        <v>3404.7</v>
      </c>
      <c r="S99" s="102">
        <f>MAX($C$5,$B$5)*(1+VLOOKUP($E99,武器奇术!$A:$R,6,FALSE))*(1+VLOOKUP($E99,武器奇术!$A:$S,19,FALSE)+IF($G$5="飞隼",0.1,0)+IF($G$5="撼天",0.05,0))-$F$9+IF($J$5="√",320,0)</f>
        <v>3484.7</v>
      </c>
      <c r="T99" s="104">
        <f>IF(($D$5+VLOOKUP($E99,武器奇术!$A:$R,13,FALSE)+IF($I$3="√",10,0)-VLOOKUP($F$7,目标属性!$A:$R,5,FALSE))&gt;0,($D$5+VLOOKUP($E99,武器奇术!$A:$R,13,FALSE)+IF($I$3="√",10,0)-VLOOKUP($F$7,目标属性!$A:$R,5,FALSE))/200,($D$5+VLOOKUP($E99,武器奇术!$A:$R,13,FALSE)+IF($I$3="√",10,0)-VLOOKUP($F$7,目标属性!$A:$R,5,FALSE))/100)</f>
        <v>0.3925</v>
      </c>
      <c r="U99" s="111">
        <f>$E$5+IF($G$5="烟柳",IF(VLOOKUP($E99,武器奇术!$A:$T,20,FALSE)=1,0.1,0),0)</f>
        <v>0</v>
      </c>
      <c r="V99" s="102">
        <v>1</v>
      </c>
      <c r="W99" s="103">
        <f>Q99*VLOOKUP($E99,武器奇术!$A:$R,2,FALSE)*(1+T99)*(1+U99)*V99</f>
        <v>4629.64475</v>
      </c>
      <c r="X99" s="104">
        <f>(1-IF(VLOOKUP($E99,武器奇术!$A:$R,18,FALSE)="叶龙",1,$N99))*(1-$M99)</f>
        <v>0</v>
      </c>
      <c r="Y99" s="103">
        <f>R99*VLOOKUP($E99,武器奇术!$A:$R,2,FALSE)*(1+T99)*(1+U99)*V99*(1+$E$16+VLOOKUP($E99,武器奇术!$A:$R,8,FALSE))</f>
        <v>8979.5387565</v>
      </c>
      <c r="Z99" s="104">
        <f t="shared" si="80"/>
        <v>0.8703</v>
      </c>
      <c r="AA99" s="103">
        <f>S99*VLOOKUP($E99,武器奇术!$A:$R,2,FALSE)*(1+T99)*(1+U99)*V99*(1+$E$17+VLOOKUP($E99,武器奇术!$A:$R,10,FALSE))</f>
        <v>6550.8004125</v>
      </c>
      <c r="AB99" s="104">
        <f t="shared" si="81"/>
        <v>0.0986</v>
      </c>
      <c r="AC99" s="103">
        <f>R99*VLOOKUP($E99,武器奇术!$A:$R,2,FALSE)*(1+T99)*(1+U99)*V99</f>
        <v>4741.04475</v>
      </c>
      <c r="AD99" s="104">
        <f t="shared" si="82"/>
        <v>0.0311</v>
      </c>
      <c r="AE99" s="112">
        <f t="shared" si="48"/>
        <v>8608.24799217945</v>
      </c>
      <c r="AF99" s="113">
        <f>VLOOKUP($E99,武器奇术!$A:$R,3,FALSE)*(1+IF(VLOOKUP($E99,武器奇术!$A:$R,15,FALSE)="武器",$E$15,0))</f>
        <v>0</v>
      </c>
      <c r="AG99" s="103">
        <f t="shared" si="49"/>
        <v>0</v>
      </c>
      <c r="AH99" s="103">
        <f>VLOOKUP($E99,武器奇术!$A:$R,3,FALSE)*(1+IF(VLOOKUP($E99,武器奇术!$A:$R,15,FALSE)="武器",$E$15,0))</f>
        <v>0</v>
      </c>
      <c r="AI99" s="104">
        <f>IF(($D$5+VLOOKUP($E99,武器奇术!$A:$R,13,FALSE)+IF($I$3="√",10,0)-VLOOKUP($F$7,目标属性!$A:$R,5,FALSE))&gt;0,($D$5+VLOOKUP($E99,武器奇术!$A:$R,13,FALSE)+IF($I$3="√",10,0)-VLOOKUP($F$7,目标属性!$A:$R,5,FALSE))/200,($D$5+VLOOKUP($E99,武器奇术!$A:$R,13,FALSE)+IF($I$3="√",10,0)-VLOOKUP($F$7,目标属性!$A:$R,5,FALSE))/100)</f>
        <v>0.3925</v>
      </c>
      <c r="AJ99" s="111">
        <f>$E$5+IF($G$5="烟柳",IF(VLOOKUP($E99,武器奇术!$A:$T,20,FALSE)=1,0.1,0),0)</f>
        <v>0</v>
      </c>
      <c r="AK99" s="102">
        <v>1</v>
      </c>
      <c r="AL99" s="103">
        <f t="shared" si="45"/>
        <v>0</v>
      </c>
      <c r="AM99" s="104">
        <f>(1-IF(VLOOKUP($E99,武器奇术!$A:$R,18,FALSE)="叶龙",1,$N99))*(1-$M99)</f>
        <v>0</v>
      </c>
      <c r="AN99" s="103">
        <f>AG99*(1+AI99)*(1+AJ99)*AK99*(1+$E$16+VLOOKUP($E99,武器奇术!$A:$R,8,FALSE))</f>
        <v>0</v>
      </c>
      <c r="AO99" s="104">
        <f t="shared" si="50"/>
        <v>0.8703</v>
      </c>
      <c r="AP99" s="103">
        <f>AH99*(1+AI99)*(1+AJ99)*AK99*(1+$E$17+VLOOKUP($E99,武器奇术!$A:$R,10,FALSE))</f>
        <v>0</v>
      </c>
      <c r="AQ99" s="104">
        <f t="shared" si="51"/>
        <v>0.0986</v>
      </c>
      <c r="AR99" s="103">
        <f t="shared" si="83"/>
        <v>0</v>
      </c>
      <c r="AS99" s="104">
        <f t="shared" si="52"/>
        <v>0.0311</v>
      </c>
      <c r="AT99" s="112">
        <f t="shared" si="53"/>
        <v>0</v>
      </c>
      <c r="AU99" s="110">
        <f>$B$7*IF($G$5="撼天",1.05,1)+IF(AND(VLOOKUP($E99,武器奇术!$A:$R,15,FALSE)="武器",VLOOKUP($E99,武器奇术!$A:$R,17,FALSE)="鸣金"),$E$3*(1+$E$15),0)</f>
        <v>0</v>
      </c>
      <c r="AV99" s="102">
        <f t="shared" si="54"/>
        <v>0</v>
      </c>
      <c r="AW99" s="102">
        <f>MAX($C$7*IF($G$5="撼天",1.05,1)+IF(AND(VLOOKUP($E99,武器奇术!$A:$R,15,FALSE)="武器",VLOOKUP($E99,武器奇术!$A:$R,17,FALSE)="鸣金"),$E$3*(1+$E$15),0),AU99)</f>
        <v>0</v>
      </c>
      <c r="AX99" s="104">
        <f>IF(($D$7+IF(VLOOKUP($E99,武器奇术!$A:$R,17,FALSE)="鸣金",$D$15,0)-VLOOKUP($F$7,目标属性!$A:$R,6,FALSE))&gt;0,($D$7+IF(VLOOKUP($E99,武器奇术!$A:$R,17,FALSE)="鸣金",$D$15,0)-VLOOKUP($F$7,目标属性!$A:$R,6,FALSE))/200,($D$7+IF(VLOOKUP($E99,武器奇术!$A:$R,17,FALSE)="鸣金",$D$15,0)-VLOOKUP($F$7,目标属性!$A:$R,6,FALSE))/100)</f>
        <v>-0.24</v>
      </c>
      <c r="AY99" s="111">
        <f t="shared" si="55"/>
        <v>0</v>
      </c>
      <c r="AZ99" s="102">
        <v>1</v>
      </c>
      <c r="BA99" s="103">
        <f>AU99*IF(VLOOKUP($E99,武器奇术!$A:$R,17,FALSE)="鸣金",VLOOKUP($E99,武器奇术!$A:$R,4,FALSE),VLOOKUP($E99,武器奇术!$A:$R,2,FALSE))*(1+AX99)*(1+AY99)*AZ99</f>
        <v>0</v>
      </c>
      <c r="BB99" s="104">
        <f>(1-IF(VLOOKUP($E99,武器奇术!$A:$R,18,FALSE)="叶龙",1,$N99))*(1-$M99)</f>
        <v>0</v>
      </c>
      <c r="BC99" s="103">
        <f>AV99*IF(VLOOKUP($E99,武器奇术!$A:$R,17,FALSE)="鸣金",VLOOKUP($E99,武器奇术!$A:$R,4,FALSE),VLOOKUP($E99,武器奇术!$A:$R,2,FALSE))*(1+AX99)*(1+AY99)*AZ99*(1+$E$16+VLOOKUP($E99,武器奇术!$A:$R,8,FALSE))</f>
        <v>0</v>
      </c>
      <c r="BD99" s="104">
        <f t="shared" si="56"/>
        <v>0.8703</v>
      </c>
      <c r="BE99" s="103">
        <f>AW99*IF(VLOOKUP($E99,武器奇术!$A:$R,17,FALSE)="鸣金",VLOOKUP($E99,武器奇术!$A:$R,4,FALSE),VLOOKUP($E99,武器奇术!$A:$R,2,FALSE))*(1+AX99)*(1+AY99)*AZ99*(1+$E$17+VLOOKUP($E99,武器奇术!$A:$R,10,FALSE))</f>
        <v>0</v>
      </c>
      <c r="BF99" s="104">
        <f t="shared" si="57"/>
        <v>0.0986</v>
      </c>
      <c r="BG99" s="103">
        <f>AV99*IF(VLOOKUP($E99,武器奇术!$A:$R,17,FALSE)="鸣金",VLOOKUP($E99,武器奇术!$A:$R,4,FALSE),VLOOKUP($E99,武器奇术!$A:$R,2,FALSE))*(1+AX99)*(1+AY99)*AZ99</f>
        <v>0</v>
      </c>
      <c r="BH99" s="104">
        <f t="shared" si="58"/>
        <v>0.0311</v>
      </c>
      <c r="BI99" s="112">
        <f t="shared" si="59"/>
        <v>0</v>
      </c>
      <c r="BJ99" s="110">
        <f>$B$9*IF($G$5="撼天",1.05,1)+IF(AND(VLOOKUP($E99,武器奇术!$A:$R,15,FALSE)="武器",VLOOKUP($E99,武器奇术!$A:$R,17,FALSE)="裂石"),$E$3*(1+$E$15),0)</f>
        <v>0</v>
      </c>
      <c r="BK99" s="102">
        <f t="shared" si="60"/>
        <v>0</v>
      </c>
      <c r="BL99" s="102">
        <f>MAX($C$9*IF($G$5="撼天",1.05,1)+IF(AND(VLOOKUP($E99,武器奇术!$A:$R,15,FALSE)="武器",VLOOKUP($E99,武器奇术!$A:$R,17,FALSE)="裂石"),$E$3*(1+$E$15),0),BJ99)</f>
        <v>0</v>
      </c>
      <c r="BM99" s="104">
        <f>IF(($D$9+IF(VLOOKUP($E99,武器奇术!$A:$R,17,FALSE)="裂石",$D$15,0)-VLOOKUP($F$7,目标属性!$A:$R,6,FALSE))&gt;0,($D$9+IF(VLOOKUP($E99,武器奇术!$A:$R,17,FALSE)="裂石",$D$15,0)-VLOOKUP($F$7,目标属性!$A:$R,6,FALSE))/200,($D$9+IF(VLOOKUP($E99,武器奇术!$A:$R,17,FALSE)="裂石",$D$15,0)-VLOOKUP($F$7,目标属性!$A:$R,6,FALSE))/100)</f>
        <v>-0.24</v>
      </c>
      <c r="BN99" s="111">
        <f t="shared" si="61"/>
        <v>0</v>
      </c>
      <c r="BO99" s="102">
        <v>1</v>
      </c>
      <c r="BP99" s="103">
        <f>BJ99*IF(VLOOKUP($E99,武器奇术!$A:$R,17,FALSE)="裂石",VLOOKUP($E99,武器奇术!$A:$R,4,FALSE),VLOOKUP($E99,武器奇术!$A:$R,2,FALSE))*(1+BM99)*(1+BN99)*BO99</f>
        <v>0</v>
      </c>
      <c r="BQ99" s="104">
        <f>(1-IF(VLOOKUP($E99,武器奇术!$A:$R,18,FALSE)="叶龙",1,$N99))*(1-$M99)</f>
        <v>0</v>
      </c>
      <c r="BR99" s="103">
        <f>BK99*IF(VLOOKUP($E99,武器奇术!$A:$R,17,FALSE)="裂石",VLOOKUP($E99,武器奇术!$A:$R,4,FALSE),VLOOKUP($E99,武器奇术!$A:$R,2,FALSE))*(1+BM99)*(1+BN99)*BO99*(1+$E$16+VLOOKUP($E99,武器奇术!$A:$R,8,FALSE))</f>
        <v>0</v>
      </c>
      <c r="BS99" s="104">
        <f t="shared" si="62"/>
        <v>0.8703</v>
      </c>
      <c r="BT99" s="103">
        <f>BL99*IF(VLOOKUP($E99,武器奇术!$A:$R,17,FALSE)="裂石",VLOOKUP($E99,武器奇术!$A:$R,4,FALSE),VLOOKUP($E99,武器奇术!$A:$R,2,FALSE))*(1+BM99)*(1+BN99)*BO99*(1+$E$17+VLOOKUP($E99,武器奇术!$A:$R,10,FALSE))</f>
        <v>0</v>
      </c>
      <c r="BU99" s="104">
        <f t="shared" si="63"/>
        <v>0.0986</v>
      </c>
      <c r="BV99" s="103">
        <f>BK99*IF(VLOOKUP($E99,武器奇术!$A:$R,17,FALSE)="裂石",VLOOKUP($E99,武器奇术!$A:$R,4,FALSE),VLOOKUP($E99,武器奇术!$A:$R,2,FALSE))*(1+BM99)*(1+BN99)*BO99</f>
        <v>0</v>
      </c>
      <c r="BW99" s="104">
        <f t="shared" si="64"/>
        <v>0.0311</v>
      </c>
      <c r="BX99" s="112">
        <f t="shared" si="65"/>
        <v>0</v>
      </c>
      <c r="BY99" s="110">
        <f>$B$11*IF($G$5="撼天",1.05,1)+IF(AND(VLOOKUP($E99,武器奇术!$A:$R,15,FALSE)="武器",VLOOKUP($E99,武器奇术!$A:$R,17,FALSE)="牵丝"),$E$3*(1+$E$15),0)</f>
        <v>490.8</v>
      </c>
      <c r="BZ99" s="102">
        <f>IF(VLOOKUP($E99,武器奇术!$A:$Z,18,FALSE)="叶龙",(CA99-(BY99+CA99)*0.5)*($G$15-0.5)*2+(BY99+CA99)*0.5,(BY99+CA99)*0.5)</f>
        <v>856.3</v>
      </c>
      <c r="CA99" s="102">
        <f>MAX($C$11*IF($G$5="撼天",1.05,1)+IF(AND(VLOOKUP($E99,武器奇术!$A:$R,15,FALSE)="武器",VLOOKUP($E99,武器奇术!$A:$R,17,FALSE)="牵丝"),$E$3*(1+$E$15),0),BY99)</f>
        <v>1221.8</v>
      </c>
      <c r="CB99" s="104">
        <f>IF(($D$11+IF(VLOOKUP($E99,武器奇术!$A:$R,17,FALSE)="牵丝",$D$15,0)-VLOOKUP($F$7,目标属性!$A:$R,6,FALSE))&gt;0,($D$11+IF(VLOOKUP($E99,武器奇术!$A:$R,17,FALSE)="牵丝",$D$15,0)-VLOOKUP($F$7,目标属性!$A:$R,6,FALSE))/200,($D$11+IF(VLOOKUP($E99,武器奇术!$A:$R,17,FALSE)="牵丝",$D$15,0)-VLOOKUP($F$7,目标属性!$A:$R,6,FALSE))/100)</f>
        <v>0.028</v>
      </c>
      <c r="CC99" s="111">
        <f>$E$11+IF($G$5="烟柳",IF(VLOOKUP($E99,武器奇术!$A:$T,20,FALSE)=1,0.1,0),0)</f>
        <v>0.148</v>
      </c>
      <c r="CD99" s="102">
        <v>1</v>
      </c>
      <c r="CE99" s="103">
        <f>BY99*IF(VLOOKUP($E99,武器奇术!$A:$R,17,FALSE)="牵丝",VLOOKUP($E99,武器奇术!$A:$R,4,FALSE),VLOOKUP($E99,武器奇术!$A:$R,2,FALSE))*(1+CB99)*(1+CC99)*CD99</f>
        <v>579.2146752</v>
      </c>
      <c r="CF99" s="104">
        <f>(1-IF(VLOOKUP($E99,武器奇术!$A:$R,18,FALSE)="叶龙",1,$N99))*(1-$M99)</f>
        <v>0</v>
      </c>
      <c r="CG99" s="124">
        <f>BZ99*IF(VLOOKUP($E99,武器奇术!$A:$R,17,FALSE)="牵丝",VLOOKUP($E99,武器奇术!$A:$R,4,FALSE),VLOOKUP($E99,武器奇术!$A:$R,2,FALSE))*(1+CB99)*(1+CC99)*CD99*(1+$E$16+VLOOKUP($E99,武器奇术!$A:$R,8,FALSE))</f>
        <v>1913.9955398368</v>
      </c>
      <c r="CH99" s="104">
        <f t="shared" si="66"/>
        <v>0.8703</v>
      </c>
      <c r="CI99" s="103">
        <f>CA99*IF(VLOOKUP($E99,武器奇术!$A:$R,17,FALSE)="牵丝",VLOOKUP($E99,武器奇术!$A:$R,4,FALSE),VLOOKUP($E99,武器奇术!$A:$R,2,FALSE))*(1+CB99)*(1+CC99)*CD99*(1+$E$17+VLOOKUP($E99,武器奇术!$A:$R,10,FALSE))</f>
        <v>1946.56491792</v>
      </c>
      <c r="CJ99" s="104">
        <f t="shared" si="67"/>
        <v>0.0986</v>
      </c>
      <c r="CK99" s="124">
        <f>BZ99*IF(VLOOKUP($E99,武器奇术!$A:$R,17,FALSE)="牵丝",VLOOKUP($E99,武器奇术!$A:$R,4,FALSE),VLOOKUP($E99,武器奇术!$A:$R,2,FALSE))*(1+CB99)*(1+CC99)*CD99</f>
        <v>1010.5573072</v>
      </c>
      <c r="CL99" s="104">
        <f t="shared" si="68"/>
        <v>0.0311</v>
      </c>
      <c r="CM99" s="112">
        <f t="shared" si="84"/>
        <v>1889.1099514808</v>
      </c>
      <c r="CN99" s="110">
        <f>$B$13*IF($G$5="撼天",1.05,1)+IF(AND(VLOOKUP($E99,武器奇术!$A:$R,15,FALSE)="武器",VLOOKUP($E99,武器奇术!$A:$R,17,FALSE)="破竹"),$E$3*(1+$E$15),0)</f>
        <v>0</v>
      </c>
      <c r="CO99" s="102">
        <f t="shared" si="69"/>
        <v>0</v>
      </c>
      <c r="CP99" s="102">
        <f>MAX($C$13*IF($G$5="撼天",1.05,1)+IF(AND(VLOOKUP($E99,武器奇术!$A:$R,15,FALSE)="武器",VLOOKUP($E99,武器奇术!$A:$R,17,FALSE)="破竹"),$E$3*(1+$E$15),0),CN99)</f>
        <v>0</v>
      </c>
      <c r="CQ99" s="104">
        <f>IF(($D$13+IF(VLOOKUP($E99,武器奇术!$A:$R,17,FALSE)="破竹",$D$15,0)-VLOOKUP($F$7,目标属性!$A:$R,6,FALSE))&gt;0,($D$13+IF(VLOOKUP($E99,武器奇术!$A:$R,17,FALSE)="破竹",$D$15,0)-VLOOKUP($F$7,目标属性!$A:$R,6,FALSE))/200,($D$13+IF(VLOOKUP($E99,武器奇术!$A:$R,17,FALSE)="破竹",$D$15,0)-VLOOKUP($F$7,目标属性!$A:$R,6,FALSE))/100)</f>
        <v>-0.24</v>
      </c>
      <c r="CR99" s="111">
        <f t="shared" si="70"/>
        <v>0</v>
      </c>
      <c r="CS99" s="102">
        <v>1</v>
      </c>
      <c r="CT99" s="103">
        <f>CN99*IF(VLOOKUP($E99,武器奇术!$A:$R,17,FALSE)="破竹",VLOOKUP($E99,武器奇术!$A:$R,4,FALSE),VLOOKUP($E99,武器奇术!$A:$R,2,FALSE))*(1+CQ99)*(1+CR99)*CS99</f>
        <v>0</v>
      </c>
      <c r="CU99" s="104">
        <f>(1-IF(VLOOKUP($E99,武器奇术!$A:$R,18,FALSE)="叶龙",1,$N99))*(1-$M99)</f>
        <v>0</v>
      </c>
      <c r="CV99" s="103">
        <f>CO99*IF(VLOOKUP($E99,武器奇术!$A:$R,17,FALSE)="破竹",VLOOKUP($E99,武器奇术!$A:$R,4,FALSE),VLOOKUP($E99,武器奇术!$A:$R,2,FALSE))*(1+CQ99)*(1+CR99)*CS99*(1+$E$16+VLOOKUP($E99,武器奇术!$A:$R,8,FALSE))</f>
        <v>0</v>
      </c>
      <c r="CW99" s="104">
        <f t="shared" si="71"/>
        <v>0.8703</v>
      </c>
      <c r="CX99" s="103">
        <f>CP99*IF(VLOOKUP($E99,武器奇术!$A:$R,17,FALSE)="破竹",VLOOKUP($E99,武器奇术!$A:$R,4,FALSE),VLOOKUP($E99,武器奇术!$A:$R,2,FALSE))*(1+CQ99)*(1+CR99)*CS99*(1+$E$17+VLOOKUP($E99,武器奇术!$A:$R,10,FALSE))</f>
        <v>0</v>
      </c>
      <c r="CY99" s="104">
        <f t="shared" si="72"/>
        <v>0.0986</v>
      </c>
      <c r="CZ99" s="103">
        <f>CO99*IF(VLOOKUP($E99,武器奇术!$A:$R,17,FALSE)="破竹",VLOOKUP($E99,武器奇术!$A:$R,4,FALSE),VLOOKUP($E99,武器奇术!$A:$R,2,FALSE))*(1+CQ99)*(1+CR99)*CS99</f>
        <v>0</v>
      </c>
      <c r="DA99" s="104">
        <f t="shared" si="73"/>
        <v>0.0311</v>
      </c>
      <c r="DB99" s="112">
        <f t="shared" si="74"/>
        <v>0</v>
      </c>
      <c r="DC99" s="110">
        <f t="shared" si="40"/>
        <v>66</v>
      </c>
      <c r="DD99" s="102">
        <f t="shared" si="75"/>
        <v>125.8</v>
      </c>
      <c r="DE99" s="102">
        <f t="shared" si="41"/>
        <v>185.6</v>
      </c>
      <c r="DF99" s="104">
        <f>IF((IF(VLOOKUP($E99,武器奇术!$A:$R,17,FALSE)="鸣金",$D$7,0)+IF(VLOOKUP($E99,武器奇术!$A:$R,17,FALSE)="裂石",$D$9,0)+IF(VLOOKUP($E99,武器奇术!$A:$R,17,FALSE)="牵丝",$D$11,0)+IF(VLOOKUP($E99,武器奇术!$A:$R,17,FALSE)="破竹",$D$13,0)+$D$15-VLOOKUP($F$7,目标属性!$A:$R,6,FALSE))&gt;0,(IF(VLOOKUP($E99,武器奇术!$A:$R,17,FALSE)="鸣金",$D$7,0)+IF(VLOOKUP($E99,武器奇术!$A:$R,17,FALSE)="裂石",$D$9,0)+IF(VLOOKUP($E99,武器奇术!$A:$R,17,FALSE)="牵丝",$D$11,0)+IF(VLOOKUP($E99,武器奇术!$A:$R,17,FALSE)="破竹",$D$13,0)+$D$15-VLOOKUP($F$7,目标属性!$A:$R,6,FALSE))/200,(IF(VLOOKUP($E99,武器奇术!$A:$R,17,FALSE)="鸣金",$D$7,0)+IF(VLOOKUP($E99,武器奇术!$A:$R,17,FALSE)="裂石",$D$9,0)+IF(VLOOKUP($E99,武器奇术!$A:$R,17,FALSE)="牵丝",$D$11,0)+IF(VLOOKUP($E99,武器奇术!$A:$R,17,FALSE)="破竹",$D$13,0)+$D$15-VLOOKUP($F$7,目标属性!$A:$R,6,FALSE))/100)</f>
        <v>0.028</v>
      </c>
      <c r="DG99" s="111">
        <f>$E$11+IF($G$5="烟柳",IF(VLOOKUP($E99,武器奇术!$A:$T,20,FALSE)=1,0.1,0),0)</f>
        <v>0.148</v>
      </c>
      <c r="DH99" s="102">
        <v>1</v>
      </c>
      <c r="DI99" s="103">
        <f>DC99*IF(VLOOKUP($E99,武器奇术!$A:$R,17,FALSE)="牵丝",VLOOKUP($E99,武器奇术!$A:$R,4,FALSE),VLOOKUP($E99,武器奇术!$A:$R,2,FALSE))*(1+DF99)*(1+DG99)*DH99</f>
        <v>77.889504</v>
      </c>
      <c r="DJ99" s="104">
        <f>(1-IF(VLOOKUP($E99,武器奇术!$A:$R,18,FALSE)="叶龙",1,$N99))*(1-$M99)</f>
        <v>0</v>
      </c>
      <c r="DK99" s="124">
        <f>DD99*IF(VLOOKUP($E99,武器奇术!$A:$R,17,FALSE)="牵丝",VLOOKUP($E99,武器奇术!$A:$R,4,FALSE),VLOOKUP($E99,武器奇术!$A:$R,2,FALSE))*(1+DF99)*(1+DG99)*DH99*(1+$E$16+VLOOKUP($E99,武器奇术!$A:$R,8,FALSE))</f>
        <v>281.1872461888</v>
      </c>
      <c r="DL99" s="104">
        <f t="shared" si="76"/>
        <v>0.8703</v>
      </c>
      <c r="DM99" s="103">
        <f>DE99*IF(VLOOKUP($E99,武器奇术!$A:$R,17,FALSE)="牵丝",VLOOKUP($E99,武器奇术!$A:$R,4,FALSE),VLOOKUP($E99,武器奇术!$A:$R,2,FALSE))*(1+DF99)*(1+DG99)*DH99*(1+$E$17+VLOOKUP($E99,武器奇术!$A:$R,10,FALSE))</f>
        <v>295.69688064</v>
      </c>
      <c r="DN99" s="104">
        <f t="shared" si="77"/>
        <v>0.0986</v>
      </c>
      <c r="DO99" s="124">
        <f>DD99*IF(VLOOKUP($E99,武器奇术!$A:$R,17,FALSE)="牵丝",VLOOKUP($E99,武器奇术!$A:$R,4,FALSE),VLOOKUP($E99,武器奇术!$A:$R,2,FALSE))*(1+DF99)*(1+DG99)*DH99</f>
        <v>148.4621152</v>
      </c>
      <c r="DP99" s="104">
        <f t="shared" si="78"/>
        <v>0.0311</v>
      </c>
      <c r="DQ99" s="112">
        <f t="shared" si="79"/>
        <v>278.490144571937</v>
      </c>
    </row>
    <row r="100" spans="1:121">
      <c r="B100" t="s">
        <v>193</v>
      </c>
      <c r="C100">
        <v>2</v>
      </c>
      <c r="E100" s="115" t="s">
        <v>194</v>
      </c>
      <c r="F100" s="116">
        <f t="shared" si="85"/>
        <v>1</v>
      </c>
      <c r="G100" s="117"/>
      <c r="H100" s="103">
        <f>IF(VLOOKUP($E100,武器奇术!$A:$R,18,FALSE)="天工",AE100,(AE100+AT100+BI100+BX100+CM100+DB100+DQ100))*(1+J100)*F100*K100*(1+G100)</f>
        <v>11746.4034825186</v>
      </c>
      <c r="I100" s="104">
        <f t="shared" si="86"/>
        <v>0.00135377250648942</v>
      </c>
      <c r="J100" s="104">
        <f>$F$3+VLOOKUP($E100,武器奇术!$A:$R,12,FALSE)+VLOOKUP($E100,武器奇术!$A:$R,14,FALSE)*$G$3+$P100</f>
        <v>0.333</v>
      </c>
      <c r="K100" s="105">
        <f>VLOOKUP($E100,武器奇术!$A:$R,11,FALSE)</f>
        <v>1</v>
      </c>
      <c r="L100" s="119">
        <f>IF(VLOOKUP($E100,武器奇术!$A:$R,15,FALSE)="天工",0%,IF($C$17+VLOOKUP($E100,武器奇术!$A:$R,7,FALSE)&gt;80%,80%,$C$17+VLOOKUP($E100,武器奇术!$A:$R,7,FALSE))+IF($C$19&gt;20%,20%,$C$19))</f>
        <v>0.8703</v>
      </c>
      <c r="M100" s="120">
        <f>IF(VLOOKUP($E100,武器奇术!$A:$R,15,FALSE)="天工",0%,IF($C$18+VLOOKUP($E100,武器奇术!$A:$R,9,FALSE)&gt;40%,40%,$C$18+VLOOKUP($E100,武器奇术!$A:$R,9,FALSE))+IF($C$20&gt;10%,10%,$C$20))</f>
        <v>0.0986</v>
      </c>
      <c r="N100" s="121">
        <f>IF(VLOOKUP($E100,武器奇术!$A:$R,15,FALSE)="天工",100%,MIN($C$16,1))</f>
        <v>1</v>
      </c>
      <c r="O100" s="122" t="str">
        <f>VLOOKUP($E100,武器奇术!$A:$R,16,FALSE)</f>
        <v>N/A</v>
      </c>
      <c r="P100" s="123">
        <f t="shared" si="44"/>
        <v>0</v>
      </c>
      <c r="Q100" s="110">
        <f>$B$5*(1+VLOOKUP($E100,武器奇术!$A:$R,5,FALSE))*(1+VLOOKUP($E100,武器奇术!$A:$S,19,FALSE)+IF($G$5="飞隼",0.1,0)+IF($G$5="撼天",0.05,0))-$F$9+IF($J$5="√",160,0)</f>
        <v>3324.7</v>
      </c>
      <c r="R100" s="102">
        <f>IF(VLOOKUP($E100,武器奇术!$A:$Z,18,FALSE)="叶龙",(S100-(Q100+S100)*0.5)*($G$15-0.5)*2+(Q100+S100)*0.5,(Q100+S100)*0.5)</f>
        <v>3404.7</v>
      </c>
      <c r="S100" s="102">
        <f>MAX($C$5,$B$5)*(1+VLOOKUP($E100,武器奇术!$A:$R,6,FALSE))*(1+VLOOKUP($E100,武器奇术!$A:$S,19,FALSE)+IF($G$5="飞隼",0.1,0)+IF($G$5="撼天",0.05,0))-$F$9+IF($J$5="√",320,0)</f>
        <v>3484.7</v>
      </c>
      <c r="T100" s="104">
        <f>IF(($D$5+VLOOKUP($E100,武器奇术!$A:$R,13,FALSE)+IF($I$3="√",10,0)-VLOOKUP($F$7,目标属性!$A:$R,5,FALSE))&gt;0,($D$5+VLOOKUP($E100,武器奇术!$A:$R,13,FALSE)+IF($I$3="√",10,0)-VLOOKUP($F$7,目标属性!$A:$R,5,FALSE))/200,($D$5+VLOOKUP($E100,武器奇术!$A:$R,13,FALSE)+IF($I$3="√",10,0)-VLOOKUP($F$7,目标属性!$A:$R,5,FALSE))/100)</f>
        <v>0.2675</v>
      </c>
      <c r="U100" s="111">
        <f>$E$5+IF($G$5="烟柳",IF(VLOOKUP($E100,武器奇术!$A:$T,20,FALSE)=1,0.1,0),0)</f>
        <v>0</v>
      </c>
      <c r="V100" s="102">
        <v>1</v>
      </c>
      <c r="W100" s="103">
        <f>Q100*VLOOKUP($E100,武器奇术!$A:$R,2,FALSE)*(1+T100)*(1+U100)*V100</f>
        <v>4214.05725</v>
      </c>
      <c r="X100" s="104">
        <f>(1-IF(VLOOKUP($E100,武器奇术!$A:$R,18,FALSE)="叶龙",1,$N100))*(1-$M100)</f>
        <v>0</v>
      </c>
      <c r="Y100" s="103">
        <f>R100*VLOOKUP($E100,武器奇术!$A:$R,2,FALSE)*(1+T100)*(1+U100)*V100*(1+$E$16+VLOOKUP($E100,武器奇术!$A:$R,8,FALSE))</f>
        <v>7094.611719</v>
      </c>
      <c r="Z100" s="104">
        <f t="shared" si="80"/>
        <v>0.8703</v>
      </c>
      <c r="AA100" s="103">
        <f>S100*VLOOKUP($E100,武器奇术!$A:$R,2,FALSE)*(1+T100)*(1+U100)*V100*(1+$E$17+VLOOKUP($E100,武器奇术!$A:$R,10,FALSE))</f>
        <v>5962.7572875</v>
      </c>
      <c r="AB100" s="104">
        <f t="shared" si="81"/>
        <v>0.0986</v>
      </c>
      <c r="AC100" s="103">
        <f>R100*VLOOKUP($E100,武器奇术!$A:$R,2,FALSE)*(1+T100)*(1+U100)*V100</f>
        <v>4315.45725</v>
      </c>
      <c r="AD100" s="104">
        <f t="shared" si="82"/>
        <v>0.0311</v>
      </c>
      <c r="AE100" s="112">
        <f t="shared" si="48"/>
        <v>6896.5791680682</v>
      </c>
      <c r="AF100" s="113">
        <f>VLOOKUP($E100,武器奇术!$A:$R,3,FALSE)*(1+IF(VLOOKUP($E100,武器奇术!$A:$R,15,FALSE)="武器",$E$15,0))</f>
        <v>0</v>
      </c>
      <c r="AG100" s="103">
        <f t="shared" si="49"/>
        <v>0</v>
      </c>
      <c r="AH100" s="103">
        <f>VLOOKUP($E100,武器奇术!$A:$R,3,FALSE)*(1+IF(VLOOKUP($E100,武器奇术!$A:$R,15,FALSE)="武器",$E$15,0))</f>
        <v>0</v>
      </c>
      <c r="AI100" s="104">
        <f>IF(($D$5+VLOOKUP($E100,武器奇术!$A:$R,13,FALSE)+IF($I$3="√",10,0)-VLOOKUP($F$7,目标属性!$A:$R,5,FALSE))&gt;0,($D$5+VLOOKUP($E100,武器奇术!$A:$R,13,FALSE)+IF($I$3="√",10,0)-VLOOKUP($F$7,目标属性!$A:$R,5,FALSE))/200,($D$5+VLOOKUP($E100,武器奇术!$A:$R,13,FALSE)+IF($I$3="√",10,0)-VLOOKUP($F$7,目标属性!$A:$R,5,FALSE))/100)</f>
        <v>0.2675</v>
      </c>
      <c r="AJ100" s="111">
        <f>$E$5+IF($G$5="烟柳",IF(VLOOKUP($E100,武器奇术!$A:$T,20,FALSE)=1,0.1,0),0)</f>
        <v>0</v>
      </c>
      <c r="AK100" s="102">
        <v>1</v>
      </c>
      <c r="AL100" s="103">
        <f t="shared" si="45"/>
        <v>0</v>
      </c>
      <c r="AM100" s="104">
        <f>(1-IF(VLOOKUP($E100,武器奇术!$A:$R,18,FALSE)="叶龙",1,$N100))*(1-$M100)</f>
        <v>0</v>
      </c>
      <c r="AN100" s="103">
        <f>AG100*(1+AI100)*(1+AJ100)*AK100*(1+$E$16+VLOOKUP($E100,武器奇术!$A:$R,8,FALSE))</f>
        <v>0</v>
      </c>
      <c r="AO100" s="104">
        <f t="shared" si="50"/>
        <v>0.8703</v>
      </c>
      <c r="AP100" s="103">
        <f>AH100*(1+AI100)*(1+AJ100)*AK100*(1+$E$17+VLOOKUP($E100,武器奇术!$A:$R,10,FALSE))</f>
        <v>0</v>
      </c>
      <c r="AQ100" s="104">
        <f t="shared" si="51"/>
        <v>0.0986</v>
      </c>
      <c r="AR100" s="103">
        <f t="shared" si="83"/>
        <v>0</v>
      </c>
      <c r="AS100" s="104">
        <f t="shared" si="52"/>
        <v>0.0311</v>
      </c>
      <c r="AT100" s="112">
        <f t="shared" si="53"/>
        <v>0</v>
      </c>
      <c r="AU100" s="110">
        <f>$B$7*IF($G$5="撼天",1.05,1)+IF(AND(VLOOKUP($E100,武器奇术!$A:$R,15,FALSE)="武器",VLOOKUP($E100,武器奇术!$A:$R,17,FALSE)="鸣金"),$E$3*(1+$E$15),0)</f>
        <v>0</v>
      </c>
      <c r="AV100" s="102">
        <f t="shared" si="54"/>
        <v>0</v>
      </c>
      <c r="AW100" s="102">
        <f>MAX($C$7*IF($G$5="撼天",1.05,1)+IF(AND(VLOOKUP($E100,武器奇术!$A:$R,15,FALSE)="武器",VLOOKUP($E100,武器奇术!$A:$R,17,FALSE)="鸣金"),$E$3*(1+$E$15),0),AU100)</f>
        <v>0</v>
      </c>
      <c r="AX100" s="104">
        <f>IF(($D$7+IF(VLOOKUP($E100,武器奇术!$A:$R,17,FALSE)="鸣金",$D$15,0)-VLOOKUP($F$7,目标属性!$A:$R,6,FALSE))&gt;0,($D$7+IF(VLOOKUP($E100,武器奇术!$A:$R,17,FALSE)="鸣金",$D$15,0)-VLOOKUP($F$7,目标属性!$A:$R,6,FALSE))/200,($D$7+IF(VLOOKUP($E100,武器奇术!$A:$R,17,FALSE)="鸣金",$D$15,0)-VLOOKUP($F$7,目标属性!$A:$R,6,FALSE))/100)</f>
        <v>-0.24</v>
      </c>
      <c r="AY100" s="111">
        <f t="shared" si="55"/>
        <v>0</v>
      </c>
      <c r="AZ100" s="102">
        <v>1</v>
      </c>
      <c r="BA100" s="103">
        <f>AU100*IF(VLOOKUP($E100,武器奇术!$A:$R,17,FALSE)="鸣金",VLOOKUP($E100,武器奇术!$A:$R,4,FALSE),VLOOKUP($E100,武器奇术!$A:$R,2,FALSE))*(1+AX100)*(1+AY100)*AZ100</f>
        <v>0</v>
      </c>
      <c r="BB100" s="104">
        <f>(1-IF(VLOOKUP($E100,武器奇术!$A:$R,18,FALSE)="叶龙",1,$N100))*(1-$M100)</f>
        <v>0</v>
      </c>
      <c r="BC100" s="103">
        <f>AV100*IF(VLOOKUP($E100,武器奇术!$A:$R,17,FALSE)="鸣金",VLOOKUP($E100,武器奇术!$A:$R,4,FALSE),VLOOKUP($E100,武器奇术!$A:$R,2,FALSE))*(1+AX100)*(1+AY100)*AZ100*(1+$E$16+VLOOKUP($E100,武器奇术!$A:$R,8,FALSE))</f>
        <v>0</v>
      </c>
      <c r="BD100" s="104">
        <f t="shared" si="56"/>
        <v>0.8703</v>
      </c>
      <c r="BE100" s="103">
        <f>AW100*IF(VLOOKUP($E100,武器奇术!$A:$R,17,FALSE)="鸣金",VLOOKUP($E100,武器奇术!$A:$R,4,FALSE),VLOOKUP($E100,武器奇术!$A:$R,2,FALSE))*(1+AX100)*(1+AY100)*AZ100*(1+$E$17+VLOOKUP($E100,武器奇术!$A:$R,10,FALSE))</f>
        <v>0</v>
      </c>
      <c r="BF100" s="104">
        <f t="shared" si="57"/>
        <v>0.0986</v>
      </c>
      <c r="BG100" s="103">
        <f>AV100*IF(VLOOKUP($E100,武器奇术!$A:$R,17,FALSE)="鸣金",VLOOKUP($E100,武器奇术!$A:$R,4,FALSE),VLOOKUP($E100,武器奇术!$A:$R,2,FALSE))*(1+AX100)*(1+AY100)*AZ100</f>
        <v>0</v>
      </c>
      <c r="BH100" s="104">
        <f t="shared" si="58"/>
        <v>0.0311</v>
      </c>
      <c r="BI100" s="112">
        <f t="shared" si="59"/>
        <v>0</v>
      </c>
      <c r="BJ100" s="110">
        <f>$B$9*IF($G$5="撼天",1.05,1)+IF(AND(VLOOKUP($E100,武器奇术!$A:$R,15,FALSE)="武器",VLOOKUP($E100,武器奇术!$A:$R,17,FALSE)="裂石"),$E$3*(1+$E$15),0)</f>
        <v>0</v>
      </c>
      <c r="BK100" s="102">
        <f t="shared" si="60"/>
        <v>0</v>
      </c>
      <c r="BL100" s="102">
        <f>MAX($C$9*IF($G$5="撼天",1.05,1)+IF(AND(VLOOKUP($E100,武器奇术!$A:$R,15,FALSE)="武器",VLOOKUP($E100,武器奇术!$A:$R,17,FALSE)="裂石"),$E$3*(1+$E$15),0),BJ100)</f>
        <v>0</v>
      </c>
      <c r="BM100" s="104">
        <f>IF(($D$9+IF(VLOOKUP($E100,武器奇术!$A:$R,17,FALSE)="裂石",$D$15,0)-VLOOKUP($F$7,目标属性!$A:$R,6,FALSE))&gt;0,($D$9+IF(VLOOKUP($E100,武器奇术!$A:$R,17,FALSE)="裂石",$D$15,0)-VLOOKUP($F$7,目标属性!$A:$R,6,FALSE))/200,($D$9+IF(VLOOKUP($E100,武器奇术!$A:$R,17,FALSE)="裂石",$D$15,0)-VLOOKUP($F$7,目标属性!$A:$R,6,FALSE))/100)</f>
        <v>-0.24</v>
      </c>
      <c r="BN100" s="111">
        <f t="shared" si="61"/>
        <v>0</v>
      </c>
      <c r="BO100" s="102">
        <v>1</v>
      </c>
      <c r="BP100" s="103">
        <f>BJ100*IF(VLOOKUP($E100,武器奇术!$A:$R,17,FALSE)="裂石",VLOOKUP($E100,武器奇术!$A:$R,4,FALSE),VLOOKUP($E100,武器奇术!$A:$R,2,FALSE))*(1+BM100)*(1+BN100)*BO100</f>
        <v>0</v>
      </c>
      <c r="BQ100" s="104">
        <f>(1-IF(VLOOKUP($E100,武器奇术!$A:$R,18,FALSE)="叶龙",1,$N100))*(1-$M100)</f>
        <v>0</v>
      </c>
      <c r="BR100" s="103">
        <f>BK100*IF(VLOOKUP($E100,武器奇术!$A:$R,17,FALSE)="裂石",VLOOKUP($E100,武器奇术!$A:$R,4,FALSE),VLOOKUP($E100,武器奇术!$A:$R,2,FALSE))*(1+BM100)*(1+BN100)*BO100*(1+$E$16+VLOOKUP($E100,武器奇术!$A:$R,8,FALSE))</f>
        <v>0</v>
      </c>
      <c r="BS100" s="104">
        <f t="shared" si="62"/>
        <v>0.8703</v>
      </c>
      <c r="BT100" s="103">
        <f>BL100*IF(VLOOKUP($E100,武器奇术!$A:$R,17,FALSE)="裂石",VLOOKUP($E100,武器奇术!$A:$R,4,FALSE),VLOOKUP($E100,武器奇术!$A:$R,2,FALSE))*(1+BM100)*(1+BN100)*BO100*(1+$E$17+VLOOKUP($E100,武器奇术!$A:$R,10,FALSE))</f>
        <v>0</v>
      </c>
      <c r="BU100" s="104">
        <f t="shared" si="63"/>
        <v>0.0986</v>
      </c>
      <c r="BV100" s="103">
        <f>BK100*IF(VLOOKUP($E100,武器奇术!$A:$R,17,FALSE)="裂石",VLOOKUP($E100,武器奇术!$A:$R,4,FALSE),VLOOKUP($E100,武器奇术!$A:$R,2,FALSE))*(1+BM100)*(1+BN100)*BO100</f>
        <v>0</v>
      </c>
      <c r="BW100" s="104">
        <f t="shared" si="64"/>
        <v>0.0311</v>
      </c>
      <c r="BX100" s="112">
        <f t="shared" si="65"/>
        <v>0</v>
      </c>
      <c r="BY100" s="110">
        <f>$B$11*IF($G$5="撼天",1.05,1)+IF(AND(VLOOKUP($E100,武器奇术!$A:$R,15,FALSE)="武器",VLOOKUP($E100,武器奇术!$A:$R,17,FALSE)="牵丝"),$E$3*(1+$E$15),0)</f>
        <v>490.8</v>
      </c>
      <c r="BZ100" s="102">
        <f>IF(VLOOKUP($E100,武器奇术!$A:$Z,18,FALSE)="叶龙",(CA100-(BY100+CA100)*0.5)*($G$15-0.5)*2+(BY100+CA100)*0.5,(BY100+CA100)*0.5)</f>
        <v>856.3</v>
      </c>
      <c r="CA100" s="102">
        <f>MAX($C$11*IF($G$5="撼天",1.05,1)+IF(AND(VLOOKUP($E100,武器奇术!$A:$R,15,FALSE)="武器",VLOOKUP($E100,武器奇术!$A:$R,17,FALSE)="牵丝"),$E$3*(1+$E$15),0),BY100)</f>
        <v>1221.8</v>
      </c>
      <c r="CB100" s="104">
        <f>IF(($D$11+IF(VLOOKUP($E100,武器奇术!$A:$R,17,FALSE)="牵丝",$D$15,0)-VLOOKUP($F$7,目标属性!$A:$R,6,FALSE))&gt;0,($D$11+IF(VLOOKUP($E100,武器奇术!$A:$R,17,FALSE)="牵丝",$D$15,0)-VLOOKUP($F$7,目标属性!$A:$R,6,FALSE))/200,($D$11+IF(VLOOKUP($E100,武器奇术!$A:$R,17,FALSE)="牵丝",$D$15,0)-VLOOKUP($F$7,目标属性!$A:$R,6,FALSE))/100)</f>
        <v>0.028</v>
      </c>
      <c r="CC100" s="111">
        <f>$E$11+IF($G$5="烟柳",IF(VLOOKUP($E100,武器奇术!$A:$T,20,FALSE)=1,0.1,0),0)</f>
        <v>0.148</v>
      </c>
      <c r="CD100" s="102">
        <v>1</v>
      </c>
      <c r="CE100" s="103">
        <f>BY100*IF(VLOOKUP($E100,武器奇术!$A:$R,17,FALSE)="牵丝",VLOOKUP($E100,武器奇术!$A:$R,4,FALSE),VLOOKUP($E100,武器奇术!$A:$R,2,FALSE))*(1+CB100)*(1+CC100)*CD100</f>
        <v>579.2146752</v>
      </c>
      <c r="CF100" s="104">
        <f>(1-IF(VLOOKUP($E100,武器奇术!$A:$R,18,FALSE)="叶龙",1,$N100))*(1-$M100)</f>
        <v>0</v>
      </c>
      <c r="CG100" s="124">
        <f>BZ100*IF(VLOOKUP($E100,武器奇术!$A:$R,17,FALSE)="牵丝",VLOOKUP($E100,武器奇术!$A:$R,4,FALSE),VLOOKUP($E100,武器奇术!$A:$R,2,FALSE))*(1+CB100)*(1+CC100)*CD100*(1+$E$16+VLOOKUP($E100,武器奇术!$A:$R,8,FALSE))</f>
        <v>1661.3562130368</v>
      </c>
      <c r="CH100" s="104">
        <f t="shared" si="66"/>
        <v>0.8703</v>
      </c>
      <c r="CI100" s="103">
        <f>CA100*IF(VLOOKUP($E100,武器奇术!$A:$R,17,FALSE)="牵丝",VLOOKUP($E100,武器奇术!$A:$R,4,FALSE),VLOOKUP($E100,武器奇术!$A:$R,2,FALSE))*(1+CB100)*(1+CC100)*CD100*(1+$E$17+VLOOKUP($E100,武器奇术!$A:$R,10,FALSE))</f>
        <v>1946.56491792</v>
      </c>
      <c r="CJ100" s="104">
        <f t="shared" si="67"/>
        <v>0.0986</v>
      </c>
      <c r="CK100" s="124">
        <f>BZ100*IF(VLOOKUP($E100,武器奇术!$A:$R,17,FALSE)="牵丝",VLOOKUP($E100,武器奇术!$A:$R,4,FALSE),VLOOKUP($E100,武器奇术!$A:$R,2,FALSE))*(1+CB100)*(1+CC100)*CD100</f>
        <v>1010.5573072</v>
      </c>
      <c r="CL100" s="104">
        <f t="shared" si="68"/>
        <v>0.0311</v>
      </c>
      <c r="CM100" s="112">
        <f t="shared" si="84"/>
        <v>1669.23794536676</v>
      </c>
      <c r="CN100" s="110">
        <f>$B$13*IF($G$5="撼天",1.05,1)+IF(AND(VLOOKUP($E100,武器奇术!$A:$R,15,FALSE)="武器",VLOOKUP($E100,武器奇术!$A:$R,17,FALSE)="破竹"),$E$3*(1+$E$15),0)</f>
        <v>0</v>
      </c>
      <c r="CO100" s="102">
        <f t="shared" si="69"/>
        <v>0</v>
      </c>
      <c r="CP100" s="102">
        <f>MAX($C$13*IF($G$5="撼天",1.05,1)+IF(AND(VLOOKUP($E100,武器奇术!$A:$R,15,FALSE)="武器",VLOOKUP($E100,武器奇术!$A:$R,17,FALSE)="破竹"),$E$3*(1+$E$15),0),CN100)</f>
        <v>0</v>
      </c>
      <c r="CQ100" s="104">
        <f>IF(($D$13+IF(VLOOKUP($E100,武器奇术!$A:$R,17,FALSE)="破竹",$D$15,0)-VLOOKUP($F$7,目标属性!$A:$R,6,FALSE))&gt;0,($D$13+IF(VLOOKUP($E100,武器奇术!$A:$R,17,FALSE)="破竹",$D$15,0)-VLOOKUP($F$7,目标属性!$A:$R,6,FALSE))/200,($D$13+IF(VLOOKUP($E100,武器奇术!$A:$R,17,FALSE)="破竹",$D$15,0)-VLOOKUP($F$7,目标属性!$A:$R,6,FALSE))/100)</f>
        <v>-0.24</v>
      </c>
      <c r="CR100" s="111">
        <f t="shared" si="70"/>
        <v>0</v>
      </c>
      <c r="CS100" s="102">
        <v>1</v>
      </c>
      <c r="CT100" s="103">
        <f>CN100*IF(VLOOKUP($E100,武器奇术!$A:$R,17,FALSE)="破竹",VLOOKUP($E100,武器奇术!$A:$R,4,FALSE),VLOOKUP($E100,武器奇术!$A:$R,2,FALSE))*(1+CQ100)*(1+CR100)*CS100</f>
        <v>0</v>
      </c>
      <c r="CU100" s="104">
        <f>(1-IF(VLOOKUP($E100,武器奇术!$A:$R,18,FALSE)="叶龙",1,$N100))*(1-$M100)</f>
        <v>0</v>
      </c>
      <c r="CV100" s="103">
        <f>CO100*IF(VLOOKUP($E100,武器奇术!$A:$R,17,FALSE)="破竹",VLOOKUP($E100,武器奇术!$A:$R,4,FALSE),VLOOKUP($E100,武器奇术!$A:$R,2,FALSE))*(1+CQ100)*(1+CR100)*CS100*(1+$E$16+VLOOKUP($E100,武器奇术!$A:$R,8,FALSE))</f>
        <v>0</v>
      </c>
      <c r="CW100" s="104">
        <f t="shared" si="71"/>
        <v>0.8703</v>
      </c>
      <c r="CX100" s="103">
        <f>CP100*IF(VLOOKUP($E100,武器奇术!$A:$R,17,FALSE)="破竹",VLOOKUP($E100,武器奇术!$A:$R,4,FALSE),VLOOKUP($E100,武器奇术!$A:$R,2,FALSE))*(1+CQ100)*(1+CR100)*CS100*(1+$E$17+VLOOKUP($E100,武器奇术!$A:$R,10,FALSE))</f>
        <v>0</v>
      </c>
      <c r="CY100" s="104">
        <f t="shared" si="72"/>
        <v>0.0986</v>
      </c>
      <c r="CZ100" s="103">
        <f>CO100*IF(VLOOKUP($E100,武器奇术!$A:$R,17,FALSE)="破竹",VLOOKUP($E100,武器奇术!$A:$R,4,FALSE),VLOOKUP($E100,武器奇术!$A:$R,2,FALSE))*(1+CQ100)*(1+CR100)*CS100</f>
        <v>0</v>
      </c>
      <c r="DA100" s="104">
        <f t="shared" si="73"/>
        <v>0.0311</v>
      </c>
      <c r="DB100" s="112">
        <f t="shared" si="74"/>
        <v>0</v>
      </c>
      <c r="DC100" s="110">
        <f t="shared" si="40"/>
        <v>66</v>
      </c>
      <c r="DD100" s="102">
        <f t="shared" si="75"/>
        <v>125.8</v>
      </c>
      <c r="DE100" s="102">
        <f t="shared" si="41"/>
        <v>185.6</v>
      </c>
      <c r="DF100" s="104">
        <f>IF((IF(VLOOKUP($E100,武器奇术!$A:$R,17,FALSE)="鸣金",$D$7,0)+IF(VLOOKUP($E100,武器奇术!$A:$R,17,FALSE)="裂石",$D$9,0)+IF(VLOOKUP($E100,武器奇术!$A:$R,17,FALSE)="牵丝",$D$11,0)+IF(VLOOKUP($E100,武器奇术!$A:$R,17,FALSE)="破竹",$D$13,0)+$D$15-VLOOKUP($F$7,目标属性!$A:$R,6,FALSE))&gt;0,(IF(VLOOKUP($E100,武器奇术!$A:$R,17,FALSE)="鸣金",$D$7,0)+IF(VLOOKUP($E100,武器奇术!$A:$R,17,FALSE)="裂石",$D$9,0)+IF(VLOOKUP($E100,武器奇术!$A:$R,17,FALSE)="牵丝",$D$11,0)+IF(VLOOKUP($E100,武器奇术!$A:$R,17,FALSE)="破竹",$D$13,0)+$D$15-VLOOKUP($F$7,目标属性!$A:$R,6,FALSE))/200,(IF(VLOOKUP($E100,武器奇术!$A:$R,17,FALSE)="鸣金",$D$7,0)+IF(VLOOKUP($E100,武器奇术!$A:$R,17,FALSE)="裂石",$D$9,0)+IF(VLOOKUP($E100,武器奇术!$A:$R,17,FALSE)="牵丝",$D$11,0)+IF(VLOOKUP($E100,武器奇术!$A:$R,17,FALSE)="破竹",$D$13,0)+$D$15-VLOOKUP($F$7,目标属性!$A:$R,6,FALSE))/100)</f>
        <v>0.028</v>
      </c>
      <c r="DG100" s="111">
        <f>$E$11+IF($G$5="烟柳",IF(VLOOKUP($E100,武器奇术!$A:$T,20,FALSE)=1,0.1,0),0)</f>
        <v>0.148</v>
      </c>
      <c r="DH100" s="102">
        <v>1</v>
      </c>
      <c r="DI100" s="103">
        <f>DC100*IF(VLOOKUP($E100,武器奇术!$A:$R,17,FALSE)="牵丝",VLOOKUP($E100,武器奇术!$A:$R,4,FALSE),VLOOKUP($E100,武器奇术!$A:$R,2,FALSE))*(1+DF100)*(1+DG100)*DH100</f>
        <v>77.889504</v>
      </c>
      <c r="DJ100" s="104">
        <f>(1-IF(VLOOKUP($E100,武器奇术!$A:$R,18,FALSE)="叶龙",1,$N100))*(1-$M100)</f>
        <v>0</v>
      </c>
      <c r="DK100" s="124">
        <f>DD100*IF(VLOOKUP($E100,武器奇术!$A:$R,17,FALSE)="牵丝",VLOOKUP($E100,武器奇术!$A:$R,4,FALSE),VLOOKUP($E100,武器奇术!$A:$R,2,FALSE))*(1+DF100)*(1+DG100)*DH100*(1+$E$16+VLOOKUP($E100,武器奇术!$A:$R,8,FALSE))</f>
        <v>244.0717173888</v>
      </c>
      <c r="DL100" s="104">
        <f t="shared" si="76"/>
        <v>0.8703</v>
      </c>
      <c r="DM100" s="103">
        <f>DE100*IF(VLOOKUP($E100,武器奇术!$A:$R,17,FALSE)="牵丝",VLOOKUP($E100,武器奇术!$A:$R,4,FALSE),VLOOKUP($E100,武器奇术!$A:$R,2,FALSE))*(1+DF100)*(1+DG100)*DH100*(1+$E$17+VLOOKUP($E100,武器奇术!$A:$R,10,FALSE))</f>
        <v>295.69688064</v>
      </c>
      <c r="DN100" s="104">
        <f t="shared" si="77"/>
        <v>0.0986</v>
      </c>
      <c r="DO100" s="124">
        <f>DD100*IF(VLOOKUP($E100,武器奇术!$A:$R,17,FALSE)="牵丝",VLOOKUP($E100,武器奇术!$A:$R,4,FALSE),VLOOKUP($E100,武器奇术!$A:$R,2,FALSE))*(1+DF100)*(1+DG100)*DH100</f>
        <v>148.4621152</v>
      </c>
      <c r="DP100" s="104">
        <f t="shared" si="78"/>
        <v>0.0311</v>
      </c>
      <c r="DQ100" s="112">
        <f t="shared" si="79"/>
        <v>246.188499857297</v>
      </c>
    </row>
    <row r="101" spans="1:121">
      <c r="A101" t="s">
        <v>195</v>
      </c>
      <c r="B101" t="s">
        <v>156</v>
      </c>
      <c r="C101">
        <v>0.1</v>
      </c>
      <c r="E101" s="115" t="s">
        <v>189</v>
      </c>
      <c r="F101" s="116">
        <f t="shared" si="85"/>
        <v>1</v>
      </c>
      <c r="G101" s="117"/>
      <c r="H101" s="103">
        <f>IF(VLOOKUP($E101,武器奇术!$A:$R,18,FALSE)="天工",AE101,(AE101+AT101+BI101+BX101+CM101+DB101+DQ101))*(1+J101)*F101*K101*(1+G101)</f>
        <v>11091.9597118714</v>
      </c>
      <c r="I101" s="104">
        <f t="shared" si="86"/>
        <v>0.00127834788949376</v>
      </c>
      <c r="J101" s="104">
        <f>$F$3+VLOOKUP($E101,武器奇术!$A:$R,12,FALSE)+VLOOKUP($E101,武器奇术!$A:$R,14,FALSE)*$G$3+$P101</f>
        <v>0.333</v>
      </c>
      <c r="K101" s="105">
        <f>VLOOKUP($E101,武器奇术!$A:$R,11,FALSE)</f>
        <v>1</v>
      </c>
      <c r="L101" s="119">
        <f>IF(VLOOKUP($E101,武器奇术!$A:$R,15,FALSE)="天工",0%,IF($C$17+VLOOKUP($E101,武器奇术!$A:$R,7,FALSE)&gt;80%,80%,$C$17+VLOOKUP($E101,武器奇术!$A:$R,7,FALSE))+IF($C$19&gt;20%,20%,$C$19))</f>
        <v>0.8703</v>
      </c>
      <c r="M101" s="120">
        <f>IF(VLOOKUP($E101,武器奇术!$A:$R,15,FALSE)="天工",0%,IF($C$18+VLOOKUP($E101,武器奇术!$A:$R,9,FALSE)&gt;40%,40%,$C$18+VLOOKUP($E101,武器奇术!$A:$R,9,FALSE))+IF($C$20&gt;10%,10%,$C$20))</f>
        <v>0.0986</v>
      </c>
      <c r="N101" s="121">
        <f>IF(VLOOKUP($E101,武器奇术!$A:$R,15,FALSE)="天工",100%,MIN($C$16,1))</f>
        <v>1</v>
      </c>
      <c r="O101" s="122" t="str">
        <f>VLOOKUP($E101,武器奇术!$A:$R,16,FALSE)</f>
        <v>N/A</v>
      </c>
      <c r="P101" s="123">
        <f t="shared" si="44"/>
        <v>0</v>
      </c>
      <c r="Q101" s="110">
        <f>$B$5*(1+VLOOKUP($E101,武器奇术!$A:$R,5,FALSE))*(1+VLOOKUP($E101,武器奇术!$A:$S,19,FALSE)+IF($G$5="飞隼",0.1,0)+IF($G$5="撼天",0.05,0))-$F$9+IF($J$5="√",160,0)</f>
        <v>3081.85</v>
      </c>
      <c r="R101" s="102">
        <f>IF(VLOOKUP($E101,武器奇术!$A:$Z,18,FALSE)="叶龙",(S101-(Q101+S101)*0.5)*($G$15-0.5)*2+(Q101+S101)*0.5,(Q101+S101)*0.5)</f>
        <v>3161.85</v>
      </c>
      <c r="S101" s="102">
        <f>MAX($C$5,$B$5)*(1+VLOOKUP($E101,武器奇术!$A:$R,6,FALSE))*(1+VLOOKUP($E101,武器奇术!$A:$S,19,FALSE)+IF($G$5="飞隼",0.1,0)+IF($G$5="撼天",0.05,0))-$F$9+IF($J$5="√",320,0)</f>
        <v>3241.85</v>
      </c>
      <c r="T101" s="104">
        <f>IF(($D$5+VLOOKUP($E101,武器奇术!$A:$R,13,FALSE)+IF($I$3="√",10,0)-VLOOKUP($F$7,目标属性!$A:$R,5,FALSE))&gt;0,($D$5+VLOOKUP($E101,武器奇术!$A:$R,13,FALSE)+IF($I$3="√",10,0)-VLOOKUP($F$7,目标属性!$A:$R,5,FALSE))/200,($D$5+VLOOKUP($E101,武器奇术!$A:$R,13,FALSE)+IF($I$3="√",10,0)-VLOOKUP($F$7,目标属性!$A:$R,5,FALSE))/100)</f>
        <v>0.2675</v>
      </c>
      <c r="U101" s="111">
        <f>$E$5+IF($G$5="烟柳",IF(VLOOKUP($E101,武器奇术!$A:$T,20,FALSE)=1,0.1,0),0)</f>
        <v>0</v>
      </c>
      <c r="V101" s="102">
        <v>1</v>
      </c>
      <c r="W101" s="103">
        <f>Q101*VLOOKUP($E101,武器奇术!$A:$R,2,FALSE)*(1+T101)*(1+U101)*V101</f>
        <v>3906.244875</v>
      </c>
      <c r="X101" s="104">
        <f>(1-IF(VLOOKUP($E101,武器奇术!$A:$R,18,FALSE)="叶龙",1,$N101))*(1-$M101)</f>
        <v>0</v>
      </c>
      <c r="Y101" s="103">
        <f>R101*VLOOKUP($E101,武器奇术!$A:$R,2,FALSE)*(1+T101)*(1+U101)*V101*(1+$E$16+VLOOKUP($E101,武器奇术!$A:$R,8,FALSE))</f>
        <v>6588.5681745</v>
      </c>
      <c r="Z101" s="104">
        <f t="shared" si="80"/>
        <v>0.8703</v>
      </c>
      <c r="AA101" s="103">
        <f>S101*VLOOKUP($E101,武器奇术!$A:$R,2,FALSE)*(1+T101)*(1+U101)*V101*(1+$E$17+VLOOKUP($E101,武器奇术!$A:$R,10,FALSE))</f>
        <v>5547.21058125</v>
      </c>
      <c r="AB101" s="104">
        <f t="shared" si="81"/>
        <v>0.0986</v>
      </c>
      <c r="AC101" s="103">
        <f>R101*VLOOKUP($E101,武器奇术!$A:$R,2,FALSE)*(1+T101)*(1+U101)*V101</f>
        <v>4007.644875</v>
      </c>
      <c r="AD101" s="104">
        <f t="shared" si="82"/>
        <v>0.0311</v>
      </c>
      <c r="AE101" s="112">
        <f t="shared" si="48"/>
        <v>6405.6236011911</v>
      </c>
      <c r="AF101" s="113">
        <f>VLOOKUP($E101,武器奇术!$A:$R,3,FALSE)*(1+IF(VLOOKUP($E101,武器奇术!$A:$R,15,FALSE)="武器",$E$15,0))</f>
        <v>0</v>
      </c>
      <c r="AG101" s="103">
        <f t="shared" si="49"/>
        <v>0</v>
      </c>
      <c r="AH101" s="103">
        <f>VLOOKUP($E101,武器奇术!$A:$R,3,FALSE)*(1+IF(VLOOKUP($E101,武器奇术!$A:$R,15,FALSE)="武器",$E$15,0))</f>
        <v>0</v>
      </c>
      <c r="AI101" s="104">
        <f>IF(($D$5+VLOOKUP($E101,武器奇术!$A:$R,13,FALSE)+IF($I$3="√",10,0)-VLOOKUP($F$7,目标属性!$A:$R,5,FALSE))&gt;0,($D$5+VLOOKUP($E101,武器奇术!$A:$R,13,FALSE)+IF($I$3="√",10,0)-VLOOKUP($F$7,目标属性!$A:$R,5,FALSE))/200,($D$5+VLOOKUP($E101,武器奇术!$A:$R,13,FALSE)+IF($I$3="√",10,0)-VLOOKUP($F$7,目标属性!$A:$R,5,FALSE))/100)</f>
        <v>0.2675</v>
      </c>
      <c r="AJ101" s="111">
        <f>$E$5+IF($G$5="烟柳",IF(VLOOKUP($E101,武器奇术!$A:$T,20,FALSE)=1,0.1,0),0)</f>
        <v>0</v>
      </c>
      <c r="AK101" s="102">
        <v>1</v>
      </c>
      <c r="AL101" s="103">
        <f t="shared" si="45"/>
        <v>0</v>
      </c>
      <c r="AM101" s="104">
        <f>(1-IF(VLOOKUP($E101,武器奇术!$A:$R,18,FALSE)="叶龙",1,$N101))*(1-$M101)</f>
        <v>0</v>
      </c>
      <c r="AN101" s="103">
        <f>AG101*(1+AI101)*(1+AJ101)*AK101*(1+$E$16+VLOOKUP($E101,武器奇术!$A:$R,8,FALSE))</f>
        <v>0</v>
      </c>
      <c r="AO101" s="104">
        <f t="shared" si="50"/>
        <v>0.8703</v>
      </c>
      <c r="AP101" s="103">
        <f>AH101*(1+AI101)*(1+AJ101)*AK101*(1+$E$17+VLOOKUP($E101,武器奇术!$A:$R,10,FALSE))</f>
        <v>0</v>
      </c>
      <c r="AQ101" s="104">
        <f t="shared" si="51"/>
        <v>0.0986</v>
      </c>
      <c r="AR101" s="103">
        <f t="shared" si="83"/>
        <v>0</v>
      </c>
      <c r="AS101" s="104">
        <f t="shared" si="52"/>
        <v>0.0311</v>
      </c>
      <c r="AT101" s="112">
        <f t="shared" si="53"/>
        <v>0</v>
      </c>
      <c r="AU101" s="110">
        <f>$B$7*IF($G$5="撼天",1.05,1)+IF(AND(VLOOKUP($E101,武器奇术!$A:$R,15,FALSE)="武器",VLOOKUP($E101,武器奇术!$A:$R,17,FALSE)="鸣金"),$E$3*(1+$E$15),0)</f>
        <v>0</v>
      </c>
      <c r="AV101" s="102">
        <f t="shared" si="54"/>
        <v>0</v>
      </c>
      <c r="AW101" s="102">
        <f>MAX($C$7*IF($G$5="撼天",1.05,1)+IF(AND(VLOOKUP($E101,武器奇术!$A:$R,15,FALSE)="武器",VLOOKUP($E101,武器奇术!$A:$R,17,FALSE)="鸣金"),$E$3*(1+$E$15),0),AU101)</f>
        <v>0</v>
      </c>
      <c r="AX101" s="104">
        <f>IF(($D$7+IF(VLOOKUP($E101,武器奇术!$A:$R,17,FALSE)="鸣金",$D$15,0)-VLOOKUP($F$7,目标属性!$A:$R,6,FALSE))&gt;0,($D$7+IF(VLOOKUP($E101,武器奇术!$A:$R,17,FALSE)="鸣金",$D$15,0)-VLOOKUP($F$7,目标属性!$A:$R,6,FALSE))/200,($D$7+IF(VLOOKUP($E101,武器奇术!$A:$R,17,FALSE)="鸣金",$D$15,0)-VLOOKUP($F$7,目标属性!$A:$R,6,FALSE))/100)</f>
        <v>-0.24</v>
      </c>
      <c r="AY101" s="111">
        <f t="shared" si="55"/>
        <v>0</v>
      </c>
      <c r="AZ101" s="102">
        <v>1</v>
      </c>
      <c r="BA101" s="103">
        <f>AU101*IF(VLOOKUP($E101,武器奇术!$A:$R,17,FALSE)="鸣金",VLOOKUP($E101,武器奇术!$A:$R,4,FALSE),VLOOKUP($E101,武器奇术!$A:$R,2,FALSE))*(1+AX101)*(1+AY101)*AZ101</f>
        <v>0</v>
      </c>
      <c r="BB101" s="104">
        <f>(1-IF(VLOOKUP($E101,武器奇术!$A:$R,18,FALSE)="叶龙",1,$N101))*(1-$M101)</f>
        <v>0</v>
      </c>
      <c r="BC101" s="103">
        <f>AV101*IF(VLOOKUP($E101,武器奇术!$A:$R,17,FALSE)="鸣金",VLOOKUP($E101,武器奇术!$A:$R,4,FALSE),VLOOKUP($E101,武器奇术!$A:$R,2,FALSE))*(1+AX101)*(1+AY101)*AZ101*(1+$E$16+VLOOKUP($E101,武器奇术!$A:$R,8,FALSE))</f>
        <v>0</v>
      </c>
      <c r="BD101" s="104">
        <f t="shared" si="56"/>
        <v>0.8703</v>
      </c>
      <c r="BE101" s="103">
        <f>AW101*IF(VLOOKUP($E101,武器奇术!$A:$R,17,FALSE)="鸣金",VLOOKUP($E101,武器奇术!$A:$R,4,FALSE),VLOOKUP($E101,武器奇术!$A:$R,2,FALSE))*(1+AX101)*(1+AY101)*AZ101*(1+$E$17+VLOOKUP($E101,武器奇术!$A:$R,10,FALSE))</f>
        <v>0</v>
      </c>
      <c r="BF101" s="104">
        <f t="shared" si="57"/>
        <v>0.0986</v>
      </c>
      <c r="BG101" s="103">
        <f>AV101*IF(VLOOKUP($E101,武器奇术!$A:$R,17,FALSE)="鸣金",VLOOKUP($E101,武器奇术!$A:$R,4,FALSE),VLOOKUP($E101,武器奇术!$A:$R,2,FALSE))*(1+AX101)*(1+AY101)*AZ101</f>
        <v>0</v>
      </c>
      <c r="BH101" s="104">
        <f t="shared" si="58"/>
        <v>0.0311</v>
      </c>
      <c r="BI101" s="112">
        <f t="shared" si="59"/>
        <v>0</v>
      </c>
      <c r="BJ101" s="110">
        <f>$B$9*IF($G$5="撼天",1.05,1)+IF(AND(VLOOKUP($E101,武器奇术!$A:$R,15,FALSE)="武器",VLOOKUP($E101,武器奇术!$A:$R,17,FALSE)="裂石"),$E$3*(1+$E$15),0)</f>
        <v>0</v>
      </c>
      <c r="BK101" s="102">
        <f t="shared" si="60"/>
        <v>0</v>
      </c>
      <c r="BL101" s="102">
        <f>MAX($C$9*IF($G$5="撼天",1.05,1)+IF(AND(VLOOKUP($E101,武器奇术!$A:$R,15,FALSE)="武器",VLOOKUP($E101,武器奇术!$A:$R,17,FALSE)="裂石"),$E$3*(1+$E$15),0),BJ101)</f>
        <v>0</v>
      </c>
      <c r="BM101" s="104">
        <f>IF(($D$9+IF(VLOOKUP($E101,武器奇术!$A:$R,17,FALSE)="裂石",$D$15,0)-VLOOKUP($F$7,目标属性!$A:$R,6,FALSE))&gt;0,($D$9+IF(VLOOKUP($E101,武器奇术!$A:$R,17,FALSE)="裂石",$D$15,0)-VLOOKUP($F$7,目标属性!$A:$R,6,FALSE))/200,($D$9+IF(VLOOKUP($E101,武器奇术!$A:$R,17,FALSE)="裂石",$D$15,0)-VLOOKUP($F$7,目标属性!$A:$R,6,FALSE))/100)</f>
        <v>-0.24</v>
      </c>
      <c r="BN101" s="111">
        <f t="shared" si="61"/>
        <v>0</v>
      </c>
      <c r="BO101" s="102">
        <v>1</v>
      </c>
      <c r="BP101" s="103">
        <f>BJ101*IF(VLOOKUP($E101,武器奇术!$A:$R,17,FALSE)="裂石",VLOOKUP($E101,武器奇术!$A:$R,4,FALSE),VLOOKUP($E101,武器奇术!$A:$R,2,FALSE))*(1+BM101)*(1+BN101)*BO101</f>
        <v>0</v>
      </c>
      <c r="BQ101" s="104">
        <f>(1-IF(VLOOKUP($E101,武器奇术!$A:$R,18,FALSE)="叶龙",1,$N101))*(1-$M101)</f>
        <v>0</v>
      </c>
      <c r="BR101" s="103">
        <f>BK101*IF(VLOOKUP($E101,武器奇术!$A:$R,17,FALSE)="裂石",VLOOKUP($E101,武器奇术!$A:$R,4,FALSE),VLOOKUP($E101,武器奇术!$A:$R,2,FALSE))*(1+BM101)*(1+BN101)*BO101*(1+$E$16+VLOOKUP($E101,武器奇术!$A:$R,8,FALSE))</f>
        <v>0</v>
      </c>
      <c r="BS101" s="104">
        <f t="shared" si="62"/>
        <v>0.8703</v>
      </c>
      <c r="BT101" s="103">
        <f>BL101*IF(VLOOKUP($E101,武器奇术!$A:$R,17,FALSE)="裂石",VLOOKUP($E101,武器奇术!$A:$R,4,FALSE),VLOOKUP($E101,武器奇术!$A:$R,2,FALSE))*(1+BM101)*(1+BN101)*BO101*(1+$E$17+VLOOKUP($E101,武器奇术!$A:$R,10,FALSE))</f>
        <v>0</v>
      </c>
      <c r="BU101" s="104">
        <f t="shared" si="63"/>
        <v>0.0986</v>
      </c>
      <c r="BV101" s="103">
        <f>BK101*IF(VLOOKUP($E101,武器奇术!$A:$R,17,FALSE)="裂石",VLOOKUP($E101,武器奇术!$A:$R,4,FALSE),VLOOKUP($E101,武器奇术!$A:$R,2,FALSE))*(1+BM101)*(1+BN101)*BO101</f>
        <v>0</v>
      </c>
      <c r="BW101" s="104">
        <f t="shared" si="64"/>
        <v>0.0311</v>
      </c>
      <c r="BX101" s="112">
        <f t="shared" si="65"/>
        <v>0</v>
      </c>
      <c r="BY101" s="110">
        <f>$B$11*IF($G$5="撼天",1.05,1)+IF(AND(VLOOKUP($E101,武器奇术!$A:$R,15,FALSE)="武器",VLOOKUP($E101,武器奇术!$A:$R,17,FALSE)="牵丝"),$E$3*(1+$E$15),0)</f>
        <v>490.8</v>
      </c>
      <c r="BZ101" s="102">
        <f>IF(VLOOKUP($E101,武器奇术!$A:$Z,18,FALSE)="叶龙",(CA101-(BY101+CA101)*0.5)*($G$15-0.5)*2+(BY101+CA101)*0.5,(BY101+CA101)*0.5)</f>
        <v>856.3</v>
      </c>
      <c r="CA101" s="102">
        <f>MAX($C$11*IF($G$5="撼天",1.05,1)+IF(AND(VLOOKUP($E101,武器奇术!$A:$R,15,FALSE)="武器",VLOOKUP($E101,武器奇术!$A:$R,17,FALSE)="牵丝"),$E$3*(1+$E$15),0),BY101)</f>
        <v>1221.8</v>
      </c>
      <c r="CB101" s="104">
        <f>IF(($D$11+IF(VLOOKUP($E101,武器奇术!$A:$R,17,FALSE)="牵丝",$D$15,0)-VLOOKUP($F$7,目标属性!$A:$R,6,FALSE))&gt;0,($D$11+IF(VLOOKUP($E101,武器奇术!$A:$R,17,FALSE)="牵丝",$D$15,0)-VLOOKUP($F$7,目标属性!$A:$R,6,FALSE))/200,($D$11+IF(VLOOKUP($E101,武器奇术!$A:$R,17,FALSE)="牵丝",$D$15,0)-VLOOKUP($F$7,目标属性!$A:$R,6,FALSE))/100)</f>
        <v>0.028</v>
      </c>
      <c r="CC101" s="111">
        <f>$E$11+IF($G$5="烟柳",IF(VLOOKUP($E101,武器奇术!$A:$T,20,FALSE)=1,0.1,0),0)</f>
        <v>0.148</v>
      </c>
      <c r="CD101" s="102">
        <v>1</v>
      </c>
      <c r="CE101" s="103">
        <f>BY101*IF(VLOOKUP($E101,武器奇术!$A:$R,17,FALSE)="牵丝",VLOOKUP($E101,武器奇术!$A:$R,4,FALSE),VLOOKUP($E101,武器奇术!$A:$R,2,FALSE))*(1+CB101)*(1+CC101)*CD101</f>
        <v>579.2146752</v>
      </c>
      <c r="CF101" s="104">
        <f>(1-IF(VLOOKUP($E101,武器奇术!$A:$R,18,FALSE)="叶龙",1,$N101))*(1-$M101)</f>
        <v>0</v>
      </c>
      <c r="CG101" s="124">
        <f>BZ101*IF(VLOOKUP($E101,武器奇术!$A:$R,17,FALSE)="牵丝",VLOOKUP($E101,武器奇术!$A:$R,4,FALSE),VLOOKUP($E101,武器奇术!$A:$R,2,FALSE))*(1+CB101)*(1+CC101)*CD101*(1+$E$16+VLOOKUP($E101,武器奇术!$A:$R,8,FALSE))</f>
        <v>1661.3562130368</v>
      </c>
      <c r="CH101" s="104">
        <f t="shared" si="66"/>
        <v>0.8703</v>
      </c>
      <c r="CI101" s="103">
        <f>CA101*IF(VLOOKUP($E101,武器奇术!$A:$R,17,FALSE)="牵丝",VLOOKUP($E101,武器奇术!$A:$R,4,FALSE),VLOOKUP($E101,武器奇术!$A:$R,2,FALSE))*(1+CB101)*(1+CC101)*CD101*(1+$E$17+VLOOKUP($E101,武器奇术!$A:$R,10,FALSE))</f>
        <v>1946.56491792</v>
      </c>
      <c r="CJ101" s="104">
        <f t="shared" si="67"/>
        <v>0.0986</v>
      </c>
      <c r="CK101" s="124">
        <f>BZ101*IF(VLOOKUP($E101,武器奇术!$A:$R,17,FALSE)="牵丝",VLOOKUP($E101,武器奇术!$A:$R,4,FALSE),VLOOKUP($E101,武器奇术!$A:$R,2,FALSE))*(1+CB101)*(1+CC101)*CD101</f>
        <v>1010.5573072</v>
      </c>
      <c r="CL101" s="104">
        <f t="shared" si="68"/>
        <v>0.0311</v>
      </c>
      <c r="CM101" s="112">
        <f t="shared" si="84"/>
        <v>1669.23794536676</v>
      </c>
      <c r="CN101" s="110">
        <f>$B$13*IF($G$5="撼天",1.05,1)+IF(AND(VLOOKUP($E101,武器奇术!$A:$R,15,FALSE)="武器",VLOOKUP($E101,武器奇术!$A:$R,17,FALSE)="破竹"),$E$3*(1+$E$15),0)</f>
        <v>0</v>
      </c>
      <c r="CO101" s="102">
        <f t="shared" si="69"/>
        <v>0</v>
      </c>
      <c r="CP101" s="102">
        <f>MAX($C$13*IF($G$5="撼天",1.05,1)+IF(AND(VLOOKUP($E101,武器奇术!$A:$R,15,FALSE)="武器",VLOOKUP($E101,武器奇术!$A:$R,17,FALSE)="破竹"),$E$3*(1+$E$15),0),CN101)</f>
        <v>0</v>
      </c>
      <c r="CQ101" s="104">
        <f>IF(($D$13+IF(VLOOKUP($E101,武器奇术!$A:$R,17,FALSE)="破竹",$D$15,0)-VLOOKUP($F$7,目标属性!$A:$R,6,FALSE))&gt;0,($D$13+IF(VLOOKUP($E101,武器奇术!$A:$R,17,FALSE)="破竹",$D$15,0)-VLOOKUP($F$7,目标属性!$A:$R,6,FALSE))/200,($D$13+IF(VLOOKUP($E101,武器奇术!$A:$R,17,FALSE)="破竹",$D$15,0)-VLOOKUP($F$7,目标属性!$A:$R,6,FALSE))/100)</f>
        <v>-0.24</v>
      </c>
      <c r="CR101" s="111">
        <f t="shared" si="70"/>
        <v>0</v>
      </c>
      <c r="CS101" s="102">
        <v>1</v>
      </c>
      <c r="CT101" s="103">
        <f>CN101*IF(VLOOKUP($E101,武器奇术!$A:$R,17,FALSE)="破竹",VLOOKUP($E101,武器奇术!$A:$R,4,FALSE),VLOOKUP($E101,武器奇术!$A:$R,2,FALSE))*(1+CQ101)*(1+CR101)*CS101</f>
        <v>0</v>
      </c>
      <c r="CU101" s="104">
        <f>(1-IF(VLOOKUP($E101,武器奇术!$A:$R,18,FALSE)="叶龙",1,$N101))*(1-$M101)</f>
        <v>0</v>
      </c>
      <c r="CV101" s="103">
        <f>CO101*IF(VLOOKUP($E101,武器奇术!$A:$R,17,FALSE)="破竹",VLOOKUP($E101,武器奇术!$A:$R,4,FALSE),VLOOKUP($E101,武器奇术!$A:$R,2,FALSE))*(1+CQ101)*(1+CR101)*CS101*(1+$E$16+VLOOKUP($E101,武器奇术!$A:$R,8,FALSE))</f>
        <v>0</v>
      </c>
      <c r="CW101" s="104">
        <f t="shared" si="71"/>
        <v>0.8703</v>
      </c>
      <c r="CX101" s="103">
        <f>CP101*IF(VLOOKUP($E101,武器奇术!$A:$R,17,FALSE)="破竹",VLOOKUP($E101,武器奇术!$A:$R,4,FALSE),VLOOKUP($E101,武器奇术!$A:$R,2,FALSE))*(1+CQ101)*(1+CR101)*CS101*(1+$E$17+VLOOKUP($E101,武器奇术!$A:$R,10,FALSE))</f>
        <v>0</v>
      </c>
      <c r="CY101" s="104">
        <f t="shared" si="72"/>
        <v>0.0986</v>
      </c>
      <c r="CZ101" s="103">
        <f>CO101*IF(VLOOKUP($E101,武器奇术!$A:$R,17,FALSE)="破竹",VLOOKUP($E101,武器奇术!$A:$R,4,FALSE),VLOOKUP($E101,武器奇术!$A:$R,2,FALSE))*(1+CQ101)*(1+CR101)*CS101</f>
        <v>0</v>
      </c>
      <c r="DA101" s="104">
        <f t="shared" si="73"/>
        <v>0.0311</v>
      </c>
      <c r="DB101" s="112">
        <f t="shared" si="74"/>
        <v>0</v>
      </c>
      <c r="DC101" s="110">
        <f t="shared" si="40"/>
        <v>66</v>
      </c>
      <c r="DD101" s="102">
        <f t="shared" si="75"/>
        <v>125.8</v>
      </c>
      <c r="DE101" s="102">
        <f t="shared" si="41"/>
        <v>185.6</v>
      </c>
      <c r="DF101" s="104">
        <f>IF((IF(VLOOKUP($E101,武器奇术!$A:$R,17,FALSE)="鸣金",$D$7,0)+IF(VLOOKUP($E101,武器奇术!$A:$R,17,FALSE)="裂石",$D$9,0)+IF(VLOOKUP($E101,武器奇术!$A:$R,17,FALSE)="牵丝",$D$11,0)+IF(VLOOKUP($E101,武器奇术!$A:$R,17,FALSE)="破竹",$D$13,0)+$D$15-VLOOKUP($F$7,目标属性!$A:$R,6,FALSE))&gt;0,(IF(VLOOKUP($E101,武器奇术!$A:$R,17,FALSE)="鸣金",$D$7,0)+IF(VLOOKUP($E101,武器奇术!$A:$R,17,FALSE)="裂石",$D$9,0)+IF(VLOOKUP($E101,武器奇术!$A:$R,17,FALSE)="牵丝",$D$11,0)+IF(VLOOKUP($E101,武器奇术!$A:$R,17,FALSE)="破竹",$D$13,0)+$D$15-VLOOKUP($F$7,目标属性!$A:$R,6,FALSE))/200,(IF(VLOOKUP($E101,武器奇术!$A:$R,17,FALSE)="鸣金",$D$7,0)+IF(VLOOKUP($E101,武器奇术!$A:$R,17,FALSE)="裂石",$D$9,0)+IF(VLOOKUP($E101,武器奇术!$A:$R,17,FALSE)="牵丝",$D$11,0)+IF(VLOOKUP($E101,武器奇术!$A:$R,17,FALSE)="破竹",$D$13,0)+$D$15-VLOOKUP($F$7,目标属性!$A:$R,6,FALSE))/100)</f>
        <v>0.028</v>
      </c>
      <c r="DG101" s="111">
        <f>$E$11+IF($G$5="烟柳",IF(VLOOKUP($E101,武器奇术!$A:$T,20,FALSE)=1,0.1,0),0)</f>
        <v>0.148</v>
      </c>
      <c r="DH101" s="102">
        <v>1</v>
      </c>
      <c r="DI101" s="103">
        <f>DC101*IF(VLOOKUP($E101,武器奇术!$A:$R,17,FALSE)="牵丝",VLOOKUP($E101,武器奇术!$A:$R,4,FALSE),VLOOKUP($E101,武器奇术!$A:$R,2,FALSE))*(1+DF101)*(1+DG101)*DH101</f>
        <v>77.889504</v>
      </c>
      <c r="DJ101" s="104">
        <f>(1-IF(VLOOKUP($E101,武器奇术!$A:$R,18,FALSE)="叶龙",1,$N101))*(1-$M101)</f>
        <v>0</v>
      </c>
      <c r="DK101" s="124">
        <f>DD101*IF(VLOOKUP($E101,武器奇术!$A:$R,17,FALSE)="牵丝",VLOOKUP($E101,武器奇术!$A:$R,4,FALSE),VLOOKUP($E101,武器奇术!$A:$R,2,FALSE))*(1+DF101)*(1+DG101)*DH101*(1+$E$16+VLOOKUP($E101,武器奇术!$A:$R,8,FALSE))</f>
        <v>244.0717173888</v>
      </c>
      <c r="DL101" s="104">
        <f t="shared" si="76"/>
        <v>0.8703</v>
      </c>
      <c r="DM101" s="103">
        <f>DE101*IF(VLOOKUP($E101,武器奇术!$A:$R,17,FALSE)="牵丝",VLOOKUP($E101,武器奇术!$A:$R,4,FALSE),VLOOKUP($E101,武器奇术!$A:$R,2,FALSE))*(1+DF101)*(1+DG101)*DH101*(1+$E$17+VLOOKUP($E101,武器奇术!$A:$R,10,FALSE))</f>
        <v>295.69688064</v>
      </c>
      <c r="DN101" s="104">
        <f t="shared" si="77"/>
        <v>0.0986</v>
      </c>
      <c r="DO101" s="124">
        <f>DD101*IF(VLOOKUP($E101,武器奇术!$A:$R,17,FALSE)="牵丝",VLOOKUP($E101,武器奇术!$A:$R,4,FALSE),VLOOKUP($E101,武器奇术!$A:$R,2,FALSE))*(1+DF101)*(1+DG101)*DH101</f>
        <v>148.4621152</v>
      </c>
      <c r="DP101" s="104">
        <f t="shared" si="78"/>
        <v>0.0311</v>
      </c>
      <c r="DQ101" s="112">
        <f t="shared" si="79"/>
        <v>246.188499857297</v>
      </c>
    </row>
    <row r="102" spans="1:121">
      <c r="B102" t="s">
        <v>162</v>
      </c>
      <c r="C102">
        <v>1.5</v>
      </c>
      <c r="E102" s="115" t="s">
        <v>189</v>
      </c>
      <c r="F102" s="116">
        <v>1</v>
      </c>
      <c r="G102" s="117"/>
      <c r="H102" s="140">
        <f>IF(VLOOKUP($E102,武器奇术!$A:$R,18,FALSE)="天工",AE102,(AE102+AT102+BI102+BX102+CM102+DB102+DQ102))*(1+J102)*F102*K102*(1+G102)*(1+$G$21*5%)</f>
        <v>15528.74359662</v>
      </c>
      <c r="I102" s="104">
        <f t="shared" si="86"/>
        <v>0.00178968704529127</v>
      </c>
      <c r="J102" s="104">
        <f>$F$3+VLOOKUP($E102,武器奇术!$A:$R,12,FALSE)+VLOOKUP($E102,武器奇术!$A:$R,14,FALSE)*$G$3+$P102</f>
        <v>0.333</v>
      </c>
      <c r="K102" s="105">
        <f>VLOOKUP($E102,武器奇术!$A:$R,11,FALSE)</f>
        <v>1</v>
      </c>
      <c r="L102" s="119">
        <f>IF(VLOOKUP($E102,武器奇术!$A:$R,15,FALSE)="天工",0%,IF($C$17+VLOOKUP($E102,武器奇术!$A:$R,7,FALSE)&gt;80%,80%,$C$17+VLOOKUP($E102,武器奇术!$A:$R,7,FALSE))+IF($C$19&gt;20%,20%,$C$19))</f>
        <v>0.8703</v>
      </c>
      <c r="M102" s="120">
        <f>IF(VLOOKUP($E102,武器奇术!$A:$R,15,FALSE)="天工",0%,IF($C$18+VLOOKUP($E102,武器奇术!$A:$R,9,FALSE)&gt;40%,40%,$C$18+VLOOKUP($E102,武器奇术!$A:$R,9,FALSE))+IF($C$20&gt;10%,10%,$C$20))</f>
        <v>0.0986</v>
      </c>
      <c r="N102" s="121">
        <f>IF(VLOOKUP($E102,武器奇术!$A:$R,15,FALSE)="天工",100%,MIN($C$16,1))</f>
        <v>1</v>
      </c>
      <c r="O102" s="122" t="str">
        <f>VLOOKUP($E102,武器奇术!$A:$R,16,FALSE)</f>
        <v>N/A</v>
      </c>
      <c r="P102" s="123">
        <f t="shared" si="44"/>
        <v>0</v>
      </c>
      <c r="Q102" s="110">
        <f>$B$5*(1+VLOOKUP($E102,武器奇术!$A:$R,5,FALSE))*(1+VLOOKUP($E102,武器奇术!$A:$S,19,FALSE)+IF($G$5="飞隼",0.1,0)+IF($G$5="撼天",0.05,0))-$F$9+IF($J$5="√",160,0)</f>
        <v>3081.85</v>
      </c>
      <c r="R102" s="102">
        <f>IF(VLOOKUP($E102,武器奇术!$A:$Z,18,FALSE)="叶龙",(S102-(Q102+S102)*0.5)*($G$15-0.5)*2+(Q102+S102)*0.5,(Q102+S102)*0.5)</f>
        <v>3161.85</v>
      </c>
      <c r="S102" s="102">
        <f>MAX($C$5,$B$5)*(1+VLOOKUP($E102,武器奇术!$A:$R,6,FALSE))*(1+VLOOKUP($E102,武器奇术!$A:$S,19,FALSE)+IF($G$5="飞隼",0.1,0)+IF($G$5="撼天",0.05,0))-$F$9+IF($J$5="√",320,0)</f>
        <v>3241.85</v>
      </c>
      <c r="T102" s="104">
        <f>IF(($D$5+VLOOKUP($E102,武器奇术!$A:$R,13,FALSE)+IF($I$3="√",10,0)-VLOOKUP($F$7,目标属性!$A:$R,5,FALSE))&gt;0,($D$5+VLOOKUP($E102,武器奇术!$A:$R,13,FALSE)+IF($I$3="√",10,0)-VLOOKUP($F$7,目标属性!$A:$R,5,FALSE))/200,($D$5+VLOOKUP($E102,武器奇术!$A:$R,13,FALSE)+IF($I$3="√",10,0)-VLOOKUP($F$7,目标属性!$A:$R,5,FALSE))/100)</f>
        <v>0.2675</v>
      </c>
      <c r="U102" s="111">
        <f>$E$5+IF($G$5="烟柳",IF(VLOOKUP($E102,武器奇术!$A:$T,20,FALSE)=1,0.1,0),0)</f>
        <v>0</v>
      </c>
      <c r="V102" s="102">
        <v>1</v>
      </c>
      <c r="W102" s="103">
        <f>Q102*VLOOKUP($E102,武器奇术!$A:$R,2,FALSE)*(1+T102)*(1+U102)*V102</f>
        <v>3906.244875</v>
      </c>
      <c r="X102" s="104">
        <f>(1-IF(VLOOKUP($E102,武器奇术!$A:$R,18,FALSE)="叶龙",1,$N102))*(1-$M102)</f>
        <v>0</v>
      </c>
      <c r="Y102" s="103">
        <f>R102*VLOOKUP($E102,武器奇术!$A:$R,2,FALSE)*(1+T102)*(1+U102)*V102*(1+$E$16+VLOOKUP($E102,武器奇术!$A:$R,8,FALSE))</f>
        <v>6588.5681745</v>
      </c>
      <c r="Z102" s="104">
        <f t="shared" si="80"/>
        <v>0.8703</v>
      </c>
      <c r="AA102" s="103">
        <f>S102*VLOOKUP($E102,武器奇术!$A:$R,2,FALSE)*(1+T102)*(1+U102)*V102*(1+$E$17+VLOOKUP($E102,武器奇术!$A:$R,10,FALSE))</f>
        <v>5547.21058125</v>
      </c>
      <c r="AB102" s="104">
        <f t="shared" si="81"/>
        <v>0.0986</v>
      </c>
      <c r="AC102" s="103">
        <f>R102*VLOOKUP($E102,武器奇术!$A:$R,2,FALSE)*(1+T102)*(1+U102)*V102</f>
        <v>4007.644875</v>
      </c>
      <c r="AD102" s="104">
        <f t="shared" si="82"/>
        <v>0.0311</v>
      </c>
      <c r="AE102" s="112">
        <f t="shared" si="48"/>
        <v>6405.6236011911</v>
      </c>
      <c r="AF102" s="113">
        <f>VLOOKUP($E102,武器奇术!$A:$R,3,FALSE)*(1+IF(VLOOKUP($E102,武器奇术!$A:$R,15,FALSE)="武器",$E$15,0))</f>
        <v>0</v>
      </c>
      <c r="AG102" s="103">
        <f t="shared" si="49"/>
        <v>0</v>
      </c>
      <c r="AH102" s="103">
        <f>VLOOKUP($E102,武器奇术!$A:$R,3,FALSE)*(1+IF(VLOOKUP($E102,武器奇术!$A:$R,15,FALSE)="武器",$E$15,0))</f>
        <v>0</v>
      </c>
      <c r="AI102" s="104">
        <f>IF(($D$5+VLOOKUP($E102,武器奇术!$A:$R,13,FALSE)+IF($I$3="√",10,0)-VLOOKUP($F$7,目标属性!$A:$R,5,FALSE))&gt;0,($D$5+VLOOKUP($E102,武器奇术!$A:$R,13,FALSE)+IF($I$3="√",10,0)-VLOOKUP($F$7,目标属性!$A:$R,5,FALSE))/200,($D$5+VLOOKUP($E102,武器奇术!$A:$R,13,FALSE)+IF($I$3="√",10,0)-VLOOKUP($F$7,目标属性!$A:$R,5,FALSE))/100)</f>
        <v>0.2675</v>
      </c>
      <c r="AJ102" s="111">
        <f>$E$5+IF($G$5="烟柳",IF(VLOOKUP($E102,武器奇术!$A:$T,20,FALSE)=1,0.1,0),0)</f>
        <v>0</v>
      </c>
      <c r="AK102" s="102">
        <v>1</v>
      </c>
      <c r="AL102" s="103">
        <f t="shared" si="45"/>
        <v>0</v>
      </c>
      <c r="AM102" s="104">
        <f>(1-IF(VLOOKUP($E102,武器奇术!$A:$R,18,FALSE)="叶龙",1,$N102))*(1-$M102)</f>
        <v>0</v>
      </c>
      <c r="AN102" s="103">
        <f>AG102*(1+AI102)*(1+AJ102)*AK102*(1+$E$16+VLOOKUP($E102,武器奇术!$A:$R,8,FALSE))</f>
        <v>0</v>
      </c>
      <c r="AO102" s="104">
        <f t="shared" si="50"/>
        <v>0.8703</v>
      </c>
      <c r="AP102" s="103">
        <f>AH102*(1+AI102)*(1+AJ102)*AK102*(1+$E$17+VLOOKUP($E102,武器奇术!$A:$R,10,FALSE))</f>
        <v>0</v>
      </c>
      <c r="AQ102" s="104">
        <f t="shared" si="51"/>
        <v>0.0986</v>
      </c>
      <c r="AR102" s="103">
        <f t="shared" si="83"/>
        <v>0</v>
      </c>
      <c r="AS102" s="104">
        <f t="shared" si="52"/>
        <v>0.0311</v>
      </c>
      <c r="AT102" s="112">
        <f t="shared" si="53"/>
        <v>0</v>
      </c>
      <c r="AU102" s="110">
        <f>$B$7*IF($G$5="撼天",1.05,1)+IF(AND(VLOOKUP($E102,武器奇术!$A:$R,15,FALSE)="武器",VLOOKUP($E102,武器奇术!$A:$R,17,FALSE)="鸣金"),$E$3*(1+$E$15),0)</f>
        <v>0</v>
      </c>
      <c r="AV102" s="102">
        <f t="shared" si="54"/>
        <v>0</v>
      </c>
      <c r="AW102" s="102">
        <f>MAX($C$7*IF($G$5="撼天",1.05,1)+IF(AND(VLOOKUP($E102,武器奇术!$A:$R,15,FALSE)="武器",VLOOKUP($E102,武器奇术!$A:$R,17,FALSE)="鸣金"),$E$3*(1+$E$15),0),AU102)</f>
        <v>0</v>
      </c>
      <c r="AX102" s="104">
        <f>IF(($D$7+IF(VLOOKUP($E102,武器奇术!$A:$R,17,FALSE)="鸣金",$D$15,0)-VLOOKUP($F$7,目标属性!$A:$R,6,FALSE))&gt;0,($D$7+IF(VLOOKUP($E102,武器奇术!$A:$R,17,FALSE)="鸣金",$D$15,0)-VLOOKUP($F$7,目标属性!$A:$R,6,FALSE))/200,($D$7+IF(VLOOKUP($E102,武器奇术!$A:$R,17,FALSE)="鸣金",$D$15,0)-VLOOKUP($F$7,目标属性!$A:$R,6,FALSE))/100)</f>
        <v>-0.24</v>
      </c>
      <c r="AY102" s="111">
        <f t="shared" si="55"/>
        <v>0</v>
      </c>
      <c r="AZ102" s="102">
        <v>1</v>
      </c>
      <c r="BA102" s="103">
        <f>AU102*IF(VLOOKUP($E102,武器奇术!$A:$R,17,FALSE)="鸣金",VLOOKUP($E102,武器奇术!$A:$R,4,FALSE),VLOOKUP($E102,武器奇术!$A:$R,2,FALSE))*(1+AX102)*(1+AY102)*AZ102</f>
        <v>0</v>
      </c>
      <c r="BB102" s="104">
        <f>(1-IF(VLOOKUP($E102,武器奇术!$A:$R,18,FALSE)="叶龙",1,$N102))*(1-$M102)</f>
        <v>0</v>
      </c>
      <c r="BC102" s="103">
        <f>AV102*IF(VLOOKUP($E102,武器奇术!$A:$R,17,FALSE)="鸣金",VLOOKUP($E102,武器奇术!$A:$R,4,FALSE),VLOOKUP($E102,武器奇术!$A:$R,2,FALSE))*(1+AX102)*(1+AY102)*AZ102*(1+$E$16+VLOOKUP($E102,武器奇术!$A:$R,8,FALSE))</f>
        <v>0</v>
      </c>
      <c r="BD102" s="104">
        <f t="shared" si="56"/>
        <v>0.8703</v>
      </c>
      <c r="BE102" s="103">
        <f>AW102*IF(VLOOKUP($E102,武器奇术!$A:$R,17,FALSE)="鸣金",VLOOKUP($E102,武器奇术!$A:$R,4,FALSE),VLOOKUP($E102,武器奇术!$A:$R,2,FALSE))*(1+AX102)*(1+AY102)*AZ102*(1+$E$17+VLOOKUP($E102,武器奇术!$A:$R,10,FALSE))</f>
        <v>0</v>
      </c>
      <c r="BF102" s="104">
        <f t="shared" si="57"/>
        <v>0.0986</v>
      </c>
      <c r="BG102" s="103">
        <f>AV102*IF(VLOOKUP($E102,武器奇术!$A:$R,17,FALSE)="鸣金",VLOOKUP($E102,武器奇术!$A:$R,4,FALSE),VLOOKUP($E102,武器奇术!$A:$R,2,FALSE))*(1+AX102)*(1+AY102)*AZ102</f>
        <v>0</v>
      </c>
      <c r="BH102" s="104">
        <f t="shared" si="58"/>
        <v>0.0311</v>
      </c>
      <c r="BI102" s="112">
        <f t="shared" si="59"/>
        <v>0</v>
      </c>
      <c r="BJ102" s="110">
        <f>$B$9*IF($G$5="撼天",1.05,1)+IF(AND(VLOOKUP($E102,武器奇术!$A:$R,15,FALSE)="武器",VLOOKUP($E102,武器奇术!$A:$R,17,FALSE)="裂石"),$E$3*(1+$E$15),0)</f>
        <v>0</v>
      </c>
      <c r="BK102" s="102">
        <f t="shared" si="60"/>
        <v>0</v>
      </c>
      <c r="BL102" s="102">
        <f>MAX($C$9*IF($G$5="撼天",1.05,1)+IF(AND(VLOOKUP($E102,武器奇术!$A:$R,15,FALSE)="武器",VLOOKUP($E102,武器奇术!$A:$R,17,FALSE)="裂石"),$E$3*(1+$E$15),0),BJ102)</f>
        <v>0</v>
      </c>
      <c r="BM102" s="104">
        <f>IF(($D$9+IF(VLOOKUP($E102,武器奇术!$A:$R,17,FALSE)="裂石",$D$15,0)-VLOOKUP($F$7,目标属性!$A:$R,6,FALSE))&gt;0,($D$9+IF(VLOOKUP($E102,武器奇术!$A:$R,17,FALSE)="裂石",$D$15,0)-VLOOKUP($F$7,目标属性!$A:$R,6,FALSE))/200,($D$9+IF(VLOOKUP($E102,武器奇术!$A:$R,17,FALSE)="裂石",$D$15,0)-VLOOKUP($F$7,目标属性!$A:$R,6,FALSE))/100)</f>
        <v>-0.24</v>
      </c>
      <c r="BN102" s="111">
        <f t="shared" si="61"/>
        <v>0</v>
      </c>
      <c r="BO102" s="102">
        <v>1</v>
      </c>
      <c r="BP102" s="103">
        <f>BJ102*IF(VLOOKUP($E102,武器奇术!$A:$R,17,FALSE)="裂石",VLOOKUP($E102,武器奇术!$A:$R,4,FALSE),VLOOKUP($E102,武器奇术!$A:$R,2,FALSE))*(1+BM102)*(1+BN102)*BO102</f>
        <v>0</v>
      </c>
      <c r="BQ102" s="104">
        <f>(1-IF(VLOOKUP($E102,武器奇术!$A:$R,18,FALSE)="叶龙",1,$N102))*(1-$M102)</f>
        <v>0</v>
      </c>
      <c r="BR102" s="103">
        <f>BK102*IF(VLOOKUP($E102,武器奇术!$A:$R,17,FALSE)="裂石",VLOOKUP($E102,武器奇术!$A:$R,4,FALSE),VLOOKUP($E102,武器奇术!$A:$R,2,FALSE))*(1+BM102)*(1+BN102)*BO102*(1+$E$16+VLOOKUP($E102,武器奇术!$A:$R,8,FALSE))</f>
        <v>0</v>
      </c>
      <c r="BS102" s="104">
        <f t="shared" si="62"/>
        <v>0.8703</v>
      </c>
      <c r="BT102" s="103">
        <f>BL102*IF(VLOOKUP($E102,武器奇术!$A:$R,17,FALSE)="裂石",VLOOKUP($E102,武器奇术!$A:$R,4,FALSE),VLOOKUP($E102,武器奇术!$A:$R,2,FALSE))*(1+BM102)*(1+BN102)*BO102*(1+$E$17+VLOOKUP($E102,武器奇术!$A:$R,10,FALSE))</f>
        <v>0</v>
      </c>
      <c r="BU102" s="104">
        <f t="shared" si="63"/>
        <v>0.0986</v>
      </c>
      <c r="BV102" s="103">
        <f>BK102*IF(VLOOKUP($E102,武器奇术!$A:$R,17,FALSE)="裂石",VLOOKUP($E102,武器奇术!$A:$R,4,FALSE),VLOOKUP($E102,武器奇术!$A:$R,2,FALSE))*(1+BM102)*(1+BN102)*BO102</f>
        <v>0</v>
      </c>
      <c r="BW102" s="104">
        <f t="shared" si="64"/>
        <v>0.0311</v>
      </c>
      <c r="BX102" s="112">
        <f t="shared" si="65"/>
        <v>0</v>
      </c>
      <c r="BY102" s="110">
        <f>$B$11*IF($G$5="撼天",1.05,1)+IF(AND(VLOOKUP($E102,武器奇术!$A:$R,15,FALSE)="武器",VLOOKUP($E102,武器奇术!$A:$R,17,FALSE)="牵丝"),$E$3*(1+$E$15),0)</f>
        <v>490.8</v>
      </c>
      <c r="BZ102" s="102">
        <f>IF(VLOOKUP($E102,武器奇术!$A:$Z,18,FALSE)="叶龙",(CA102-(BY102+CA102)*0.5)*($G$15-0.5)*2+(BY102+CA102)*0.5,(BY102+CA102)*0.5)</f>
        <v>856.3</v>
      </c>
      <c r="CA102" s="102">
        <f>MAX($C$11*IF($G$5="撼天",1.05,1)+IF(AND(VLOOKUP($E102,武器奇术!$A:$R,15,FALSE)="武器",VLOOKUP($E102,武器奇术!$A:$R,17,FALSE)="牵丝"),$E$3*(1+$E$15),0),BY102)</f>
        <v>1221.8</v>
      </c>
      <c r="CB102" s="104">
        <f>IF(($D$11+IF(VLOOKUP($E102,武器奇术!$A:$R,17,FALSE)="牵丝",$D$15,0)-VLOOKUP($F$7,目标属性!$A:$R,6,FALSE))&gt;0,($D$11+IF(VLOOKUP($E102,武器奇术!$A:$R,17,FALSE)="牵丝",$D$15,0)-VLOOKUP($F$7,目标属性!$A:$R,6,FALSE))/200,($D$11+IF(VLOOKUP($E102,武器奇术!$A:$R,17,FALSE)="牵丝",$D$15,0)-VLOOKUP($F$7,目标属性!$A:$R,6,FALSE))/100)</f>
        <v>0.028</v>
      </c>
      <c r="CC102" s="111">
        <f>$E$11+IF($G$5="烟柳",IF(VLOOKUP($E102,武器奇术!$A:$T,20,FALSE)=1,0.1,0),0)</f>
        <v>0.148</v>
      </c>
      <c r="CD102" s="102">
        <v>1</v>
      </c>
      <c r="CE102" s="103">
        <f>BY102*IF(VLOOKUP($E102,武器奇术!$A:$R,17,FALSE)="牵丝",VLOOKUP($E102,武器奇术!$A:$R,4,FALSE),VLOOKUP($E102,武器奇术!$A:$R,2,FALSE))*(1+CB102)*(1+CC102)*CD102</f>
        <v>579.2146752</v>
      </c>
      <c r="CF102" s="104">
        <f>(1-IF(VLOOKUP($E102,武器奇术!$A:$R,18,FALSE)="叶龙",1,$N102))*(1-$M102)</f>
        <v>0</v>
      </c>
      <c r="CG102" s="124">
        <f>BZ102*IF(VLOOKUP($E102,武器奇术!$A:$R,17,FALSE)="牵丝",VLOOKUP($E102,武器奇术!$A:$R,4,FALSE),VLOOKUP($E102,武器奇术!$A:$R,2,FALSE))*(1+CB102)*(1+CC102)*CD102*(1+$E$16+VLOOKUP($E102,武器奇术!$A:$R,8,FALSE))</f>
        <v>1661.3562130368</v>
      </c>
      <c r="CH102" s="104">
        <f t="shared" si="66"/>
        <v>0.8703</v>
      </c>
      <c r="CI102" s="103">
        <f>CA102*IF(VLOOKUP($E102,武器奇术!$A:$R,17,FALSE)="牵丝",VLOOKUP($E102,武器奇术!$A:$R,4,FALSE),VLOOKUP($E102,武器奇术!$A:$R,2,FALSE))*(1+CB102)*(1+CC102)*CD102*(1+$E$17+VLOOKUP($E102,武器奇术!$A:$R,10,FALSE))</f>
        <v>1946.56491792</v>
      </c>
      <c r="CJ102" s="104">
        <f t="shared" si="67"/>
        <v>0.0986</v>
      </c>
      <c r="CK102" s="124">
        <f>BZ102*IF(VLOOKUP($E102,武器奇术!$A:$R,17,FALSE)="牵丝",VLOOKUP($E102,武器奇术!$A:$R,4,FALSE),VLOOKUP($E102,武器奇术!$A:$R,2,FALSE))*(1+CB102)*(1+CC102)*CD102</f>
        <v>1010.5573072</v>
      </c>
      <c r="CL102" s="104">
        <f t="shared" si="68"/>
        <v>0.0311</v>
      </c>
      <c r="CM102" s="112">
        <f t="shared" si="84"/>
        <v>1669.23794536676</v>
      </c>
      <c r="CN102" s="110">
        <f>$B$13*IF($G$5="撼天",1.05,1)+IF(AND(VLOOKUP($E102,武器奇术!$A:$R,15,FALSE)="武器",VLOOKUP($E102,武器奇术!$A:$R,17,FALSE)="破竹"),$E$3*(1+$E$15),0)</f>
        <v>0</v>
      </c>
      <c r="CO102" s="102">
        <f t="shared" si="69"/>
        <v>0</v>
      </c>
      <c r="CP102" s="102">
        <f>MAX($C$13*IF($G$5="撼天",1.05,1)+IF(AND(VLOOKUP($E102,武器奇术!$A:$R,15,FALSE)="武器",VLOOKUP($E102,武器奇术!$A:$R,17,FALSE)="破竹"),$E$3*(1+$E$15),0),CN102)</f>
        <v>0</v>
      </c>
      <c r="CQ102" s="104">
        <f>IF(($D$13+IF(VLOOKUP($E102,武器奇术!$A:$R,17,FALSE)="破竹",$D$15,0)-VLOOKUP($F$7,目标属性!$A:$R,6,FALSE))&gt;0,($D$13+IF(VLOOKUP($E102,武器奇术!$A:$R,17,FALSE)="破竹",$D$15,0)-VLOOKUP($F$7,目标属性!$A:$R,6,FALSE))/200,($D$13+IF(VLOOKUP($E102,武器奇术!$A:$R,17,FALSE)="破竹",$D$15,0)-VLOOKUP($F$7,目标属性!$A:$R,6,FALSE))/100)</f>
        <v>-0.24</v>
      </c>
      <c r="CR102" s="111">
        <f t="shared" si="70"/>
        <v>0</v>
      </c>
      <c r="CS102" s="102">
        <v>1</v>
      </c>
      <c r="CT102" s="103">
        <f>CN102*IF(VLOOKUP($E102,武器奇术!$A:$R,17,FALSE)="破竹",VLOOKUP($E102,武器奇术!$A:$R,4,FALSE),VLOOKUP($E102,武器奇术!$A:$R,2,FALSE))*(1+CQ102)*(1+CR102)*CS102</f>
        <v>0</v>
      </c>
      <c r="CU102" s="104">
        <f>(1-IF(VLOOKUP($E102,武器奇术!$A:$R,18,FALSE)="叶龙",1,$N102))*(1-$M102)</f>
        <v>0</v>
      </c>
      <c r="CV102" s="103">
        <f>CO102*IF(VLOOKUP($E102,武器奇术!$A:$R,17,FALSE)="破竹",VLOOKUP($E102,武器奇术!$A:$R,4,FALSE),VLOOKUP($E102,武器奇术!$A:$R,2,FALSE))*(1+CQ102)*(1+CR102)*CS102*(1+$E$16+VLOOKUP($E102,武器奇术!$A:$R,8,FALSE))</f>
        <v>0</v>
      </c>
      <c r="CW102" s="104">
        <f t="shared" si="71"/>
        <v>0.8703</v>
      </c>
      <c r="CX102" s="103">
        <f>CP102*IF(VLOOKUP($E102,武器奇术!$A:$R,17,FALSE)="破竹",VLOOKUP($E102,武器奇术!$A:$R,4,FALSE),VLOOKUP($E102,武器奇术!$A:$R,2,FALSE))*(1+CQ102)*(1+CR102)*CS102*(1+$E$17+VLOOKUP($E102,武器奇术!$A:$R,10,FALSE))</f>
        <v>0</v>
      </c>
      <c r="CY102" s="104">
        <f t="shared" si="72"/>
        <v>0.0986</v>
      </c>
      <c r="CZ102" s="103">
        <f>CO102*IF(VLOOKUP($E102,武器奇术!$A:$R,17,FALSE)="破竹",VLOOKUP($E102,武器奇术!$A:$R,4,FALSE),VLOOKUP($E102,武器奇术!$A:$R,2,FALSE))*(1+CQ102)*(1+CR102)*CS102</f>
        <v>0</v>
      </c>
      <c r="DA102" s="104">
        <f t="shared" si="73"/>
        <v>0.0311</v>
      </c>
      <c r="DB102" s="112">
        <f t="shared" si="74"/>
        <v>0</v>
      </c>
      <c r="DC102" s="110">
        <f t="shared" si="40"/>
        <v>66</v>
      </c>
      <c r="DD102" s="102">
        <f t="shared" si="75"/>
        <v>125.8</v>
      </c>
      <c r="DE102" s="102">
        <f t="shared" si="41"/>
        <v>185.6</v>
      </c>
      <c r="DF102" s="104">
        <f>IF((IF(VLOOKUP($E102,武器奇术!$A:$R,17,FALSE)="鸣金",$D$7,0)+IF(VLOOKUP($E102,武器奇术!$A:$R,17,FALSE)="裂石",$D$9,0)+IF(VLOOKUP($E102,武器奇术!$A:$R,17,FALSE)="牵丝",$D$11,0)+IF(VLOOKUP($E102,武器奇术!$A:$R,17,FALSE)="破竹",$D$13,0)+$D$15-VLOOKUP($F$7,目标属性!$A:$R,6,FALSE))&gt;0,(IF(VLOOKUP($E102,武器奇术!$A:$R,17,FALSE)="鸣金",$D$7,0)+IF(VLOOKUP($E102,武器奇术!$A:$R,17,FALSE)="裂石",$D$9,0)+IF(VLOOKUP($E102,武器奇术!$A:$R,17,FALSE)="牵丝",$D$11,0)+IF(VLOOKUP($E102,武器奇术!$A:$R,17,FALSE)="破竹",$D$13,0)+$D$15-VLOOKUP($F$7,目标属性!$A:$R,6,FALSE))/200,(IF(VLOOKUP($E102,武器奇术!$A:$R,17,FALSE)="鸣金",$D$7,0)+IF(VLOOKUP($E102,武器奇术!$A:$R,17,FALSE)="裂石",$D$9,0)+IF(VLOOKUP($E102,武器奇术!$A:$R,17,FALSE)="牵丝",$D$11,0)+IF(VLOOKUP($E102,武器奇术!$A:$R,17,FALSE)="破竹",$D$13,0)+$D$15-VLOOKUP($F$7,目标属性!$A:$R,6,FALSE))/100)</f>
        <v>0.028</v>
      </c>
      <c r="DG102" s="111">
        <f>$E$11+IF($G$5="烟柳",IF(VLOOKUP($E102,武器奇术!$A:$T,20,FALSE)=1,0.1,0),0)</f>
        <v>0.148</v>
      </c>
      <c r="DH102" s="102">
        <v>1</v>
      </c>
      <c r="DI102" s="103">
        <f>DC102*IF(VLOOKUP($E102,武器奇术!$A:$R,17,FALSE)="牵丝",VLOOKUP($E102,武器奇术!$A:$R,4,FALSE),VLOOKUP($E102,武器奇术!$A:$R,2,FALSE))*(1+DF102)*(1+DG102)*DH102</f>
        <v>77.889504</v>
      </c>
      <c r="DJ102" s="104">
        <f>(1-IF(VLOOKUP($E102,武器奇术!$A:$R,18,FALSE)="叶龙",1,$N102))*(1-$M102)</f>
        <v>0</v>
      </c>
      <c r="DK102" s="124">
        <f>DD102*IF(VLOOKUP($E102,武器奇术!$A:$R,17,FALSE)="牵丝",VLOOKUP($E102,武器奇术!$A:$R,4,FALSE),VLOOKUP($E102,武器奇术!$A:$R,2,FALSE))*(1+DF102)*(1+DG102)*DH102*(1+$E$16+VLOOKUP($E102,武器奇术!$A:$R,8,FALSE))</f>
        <v>244.0717173888</v>
      </c>
      <c r="DL102" s="104">
        <f t="shared" si="76"/>
        <v>0.8703</v>
      </c>
      <c r="DM102" s="103">
        <f>DE102*IF(VLOOKUP($E102,武器奇术!$A:$R,17,FALSE)="牵丝",VLOOKUP($E102,武器奇术!$A:$R,4,FALSE),VLOOKUP($E102,武器奇术!$A:$R,2,FALSE))*(1+DF102)*(1+DG102)*DH102*(1+$E$17+VLOOKUP($E102,武器奇术!$A:$R,10,FALSE))</f>
        <v>295.69688064</v>
      </c>
      <c r="DN102" s="104">
        <f t="shared" si="77"/>
        <v>0.0986</v>
      </c>
      <c r="DO102" s="124">
        <f>DD102*IF(VLOOKUP($E102,武器奇术!$A:$R,17,FALSE)="牵丝",VLOOKUP($E102,武器奇术!$A:$R,4,FALSE),VLOOKUP($E102,武器奇术!$A:$R,2,FALSE))*(1+DF102)*(1+DG102)*DH102</f>
        <v>148.4621152</v>
      </c>
      <c r="DP102" s="104">
        <f t="shared" si="78"/>
        <v>0.0311</v>
      </c>
      <c r="DQ102" s="112">
        <f t="shared" si="79"/>
        <v>246.188499857297</v>
      </c>
    </row>
    <row r="103" spans="1:121">
      <c r="B103" t="s">
        <v>196</v>
      </c>
      <c r="C103">
        <v>0.9</v>
      </c>
      <c r="E103" s="115" t="s">
        <v>192</v>
      </c>
      <c r="F103" s="116">
        <v>1</v>
      </c>
      <c r="G103" s="117"/>
      <c r="H103" s="140">
        <f>IF(VLOOKUP($E103,武器奇术!$A:$R,18,FALSE)="天工",AE103,(AE103+AT103+BI103+BX103+CM103+DB103+DQ103))*(1+J103)*F103*K103*(1+G103)*(1+$G$21*5%)</f>
        <v>21618.5064346114</v>
      </c>
      <c r="I103" s="104">
        <f t="shared" si="86"/>
        <v>0.00249153195581074</v>
      </c>
      <c r="J103" s="104">
        <f>$F$3+VLOOKUP($E103,武器奇术!$A:$R,12,FALSE)+VLOOKUP($E103,武器奇术!$A:$R,14,FALSE)*$G$3+$P103</f>
        <v>0.433</v>
      </c>
      <c r="K103" s="105">
        <f>VLOOKUP($E103,武器奇术!$A:$R,11,FALSE)</f>
        <v>1</v>
      </c>
      <c r="L103" s="119">
        <f>IF(VLOOKUP($E103,武器奇术!$A:$R,15,FALSE)="天工",0%,IF($C$17+VLOOKUP($E103,武器奇术!$A:$R,7,FALSE)&gt;80%,80%,$C$17+VLOOKUP($E103,武器奇术!$A:$R,7,FALSE))+IF($C$19&gt;20%,20%,$C$19))</f>
        <v>0.8703</v>
      </c>
      <c r="M103" s="120">
        <f>IF(VLOOKUP($E103,武器奇术!$A:$R,15,FALSE)="天工",0%,IF($C$18+VLOOKUP($E103,武器奇术!$A:$R,9,FALSE)&gt;40%,40%,$C$18+VLOOKUP($E103,武器奇术!$A:$R,9,FALSE))+IF($C$20&gt;10%,10%,$C$20))</f>
        <v>0.0986</v>
      </c>
      <c r="N103" s="121">
        <f>IF(VLOOKUP($E103,武器奇术!$A:$R,15,FALSE)="天工",100%,MIN($C$16,1))</f>
        <v>1</v>
      </c>
      <c r="O103" s="122" t="str">
        <f>VLOOKUP($E103,武器奇术!$A:$R,16,FALSE)</f>
        <v>N/A</v>
      </c>
      <c r="P103" s="123">
        <f t="shared" si="44"/>
        <v>0</v>
      </c>
      <c r="Q103" s="110">
        <f>$B$5*(1+VLOOKUP($E103,武器奇术!$A:$R,5,FALSE))*(1+VLOOKUP($E103,武器奇术!$A:$S,19,FALSE)+IF($G$5="飞隼",0.1,0)+IF($G$5="撼天",0.05,0))-$F$9+IF($J$5="√",160,0)</f>
        <v>3324.7</v>
      </c>
      <c r="R103" s="102">
        <f>IF(VLOOKUP($E103,武器奇术!$A:$Z,18,FALSE)="叶龙",(S103-(Q103+S103)*0.5)*($G$15-0.5)*2+(Q103+S103)*0.5,(Q103+S103)*0.5)</f>
        <v>3404.7</v>
      </c>
      <c r="S103" s="102">
        <f>MAX($C$5,$B$5)*(1+VLOOKUP($E103,武器奇术!$A:$R,6,FALSE))*(1+VLOOKUP($E103,武器奇术!$A:$S,19,FALSE)+IF($G$5="飞隼",0.1,0)+IF($G$5="撼天",0.05,0))-$F$9+IF($J$5="√",320,0)</f>
        <v>3484.7</v>
      </c>
      <c r="T103" s="104">
        <f>IF(($D$5+VLOOKUP($E103,武器奇术!$A:$R,13,FALSE)+IF($I$3="√",10,0)-VLOOKUP($F$7,目标属性!$A:$R,5,FALSE))&gt;0,($D$5+VLOOKUP($E103,武器奇术!$A:$R,13,FALSE)+IF($I$3="√",10,0)-VLOOKUP($F$7,目标属性!$A:$R,5,FALSE))/200,($D$5+VLOOKUP($E103,武器奇术!$A:$R,13,FALSE)+IF($I$3="√",10,0)-VLOOKUP($F$7,目标属性!$A:$R,5,FALSE))/100)</f>
        <v>0.3925</v>
      </c>
      <c r="U103" s="111">
        <f>$E$5+IF($G$5="烟柳",IF(VLOOKUP($E103,武器奇术!$A:$T,20,FALSE)=1,0.1,0),0)</f>
        <v>0</v>
      </c>
      <c r="V103" s="102">
        <v>1</v>
      </c>
      <c r="W103" s="103">
        <f>Q103*VLOOKUP($E103,武器奇术!$A:$R,2,FALSE)*(1+T103)*(1+U103)*V103</f>
        <v>4629.64475</v>
      </c>
      <c r="X103" s="104">
        <f>(1-IF(VLOOKUP($E103,武器奇术!$A:$R,18,FALSE)="叶龙",1,$N103))*(1-$M103)</f>
        <v>0</v>
      </c>
      <c r="Y103" s="103">
        <f>R103*VLOOKUP($E103,武器奇术!$A:$R,2,FALSE)*(1+T103)*(1+U103)*V103*(1+$E$16+VLOOKUP($E103,武器奇术!$A:$R,8,FALSE))</f>
        <v>8979.5387565</v>
      </c>
      <c r="Z103" s="104">
        <f t="shared" si="80"/>
        <v>0.8703</v>
      </c>
      <c r="AA103" s="103">
        <f>S103*VLOOKUP($E103,武器奇术!$A:$R,2,FALSE)*(1+T103)*(1+U103)*V103*(1+$E$17+VLOOKUP($E103,武器奇术!$A:$R,10,FALSE))</f>
        <v>6550.8004125</v>
      </c>
      <c r="AB103" s="104">
        <f t="shared" si="81"/>
        <v>0.0986</v>
      </c>
      <c r="AC103" s="103">
        <f>R103*VLOOKUP($E103,武器奇术!$A:$R,2,FALSE)*(1+T103)*(1+U103)*V103</f>
        <v>4741.04475</v>
      </c>
      <c r="AD103" s="104">
        <f t="shared" si="82"/>
        <v>0.0311</v>
      </c>
      <c r="AE103" s="112">
        <f t="shared" si="48"/>
        <v>8608.24799217945</v>
      </c>
      <c r="AF103" s="113">
        <f>VLOOKUP($E103,武器奇术!$A:$R,3,FALSE)*(1+IF(VLOOKUP($E103,武器奇术!$A:$R,15,FALSE)="武器",$E$15,0))</f>
        <v>0</v>
      </c>
      <c r="AG103" s="103">
        <f t="shared" si="49"/>
        <v>0</v>
      </c>
      <c r="AH103" s="103">
        <f>VLOOKUP($E103,武器奇术!$A:$R,3,FALSE)*(1+IF(VLOOKUP($E103,武器奇术!$A:$R,15,FALSE)="武器",$E$15,0))</f>
        <v>0</v>
      </c>
      <c r="AI103" s="104">
        <f>IF(($D$5+VLOOKUP($E103,武器奇术!$A:$R,13,FALSE)+IF($I$3="√",10,0)-VLOOKUP($F$7,目标属性!$A:$R,5,FALSE))&gt;0,($D$5+VLOOKUP($E103,武器奇术!$A:$R,13,FALSE)+IF($I$3="√",10,0)-VLOOKUP($F$7,目标属性!$A:$R,5,FALSE))/200,($D$5+VLOOKUP($E103,武器奇术!$A:$R,13,FALSE)+IF($I$3="√",10,0)-VLOOKUP($F$7,目标属性!$A:$R,5,FALSE))/100)</f>
        <v>0.3925</v>
      </c>
      <c r="AJ103" s="111">
        <f>$E$5+IF($G$5="烟柳",IF(VLOOKUP($E103,武器奇术!$A:$T,20,FALSE)=1,0.1,0),0)</f>
        <v>0</v>
      </c>
      <c r="AK103" s="102">
        <v>1</v>
      </c>
      <c r="AL103" s="103">
        <f t="shared" si="45"/>
        <v>0</v>
      </c>
      <c r="AM103" s="104">
        <f>(1-IF(VLOOKUP($E103,武器奇术!$A:$R,18,FALSE)="叶龙",1,$N103))*(1-$M103)</f>
        <v>0</v>
      </c>
      <c r="AN103" s="103">
        <f>AG103*(1+AI103)*(1+AJ103)*AK103*(1+$E$16+VLOOKUP($E103,武器奇术!$A:$R,8,FALSE))</f>
        <v>0</v>
      </c>
      <c r="AO103" s="104">
        <f t="shared" si="50"/>
        <v>0.8703</v>
      </c>
      <c r="AP103" s="103">
        <f>AH103*(1+AI103)*(1+AJ103)*AK103*(1+$E$17+VLOOKUP($E103,武器奇术!$A:$R,10,FALSE))</f>
        <v>0</v>
      </c>
      <c r="AQ103" s="104">
        <f t="shared" si="51"/>
        <v>0.0986</v>
      </c>
      <c r="AR103" s="103">
        <f t="shared" si="83"/>
        <v>0</v>
      </c>
      <c r="AS103" s="104">
        <f t="shared" si="52"/>
        <v>0.0311</v>
      </c>
      <c r="AT103" s="112">
        <f t="shared" si="53"/>
        <v>0</v>
      </c>
      <c r="AU103" s="110">
        <f>$B$7*IF($G$5="撼天",1.05,1)+IF(AND(VLOOKUP($E103,武器奇术!$A:$R,15,FALSE)="武器",VLOOKUP($E103,武器奇术!$A:$R,17,FALSE)="鸣金"),$E$3*(1+$E$15),0)</f>
        <v>0</v>
      </c>
      <c r="AV103" s="102">
        <f t="shared" si="54"/>
        <v>0</v>
      </c>
      <c r="AW103" s="102">
        <f>MAX($C$7*IF($G$5="撼天",1.05,1)+IF(AND(VLOOKUP($E103,武器奇术!$A:$R,15,FALSE)="武器",VLOOKUP($E103,武器奇术!$A:$R,17,FALSE)="鸣金"),$E$3*(1+$E$15),0),AU103)</f>
        <v>0</v>
      </c>
      <c r="AX103" s="104">
        <f>IF(($D$7+IF(VLOOKUP($E103,武器奇术!$A:$R,17,FALSE)="鸣金",$D$15,0)-VLOOKUP($F$7,目标属性!$A:$R,6,FALSE))&gt;0,($D$7+IF(VLOOKUP($E103,武器奇术!$A:$R,17,FALSE)="鸣金",$D$15,0)-VLOOKUP($F$7,目标属性!$A:$R,6,FALSE))/200,($D$7+IF(VLOOKUP($E103,武器奇术!$A:$R,17,FALSE)="鸣金",$D$15,0)-VLOOKUP($F$7,目标属性!$A:$R,6,FALSE))/100)</f>
        <v>-0.24</v>
      </c>
      <c r="AY103" s="111">
        <f t="shared" si="55"/>
        <v>0</v>
      </c>
      <c r="AZ103" s="102">
        <v>1</v>
      </c>
      <c r="BA103" s="103">
        <f>AU103*IF(VLOOKUP($E103,武器奇术!$A:$R,17,FALSE)="鸣金",VLOOKUP($E103,武器奇术!$A:$R,4,FALSE),VLOOKUP($E103,武器奇术!$A:$R,2,FALSE))*(1+AX103)*(1+AY103)*AZ103</f>
        <v>0</v>
      </c>
      <c r="BB103" s="104">
        <f>(1-IF(VLOOKUP($E103,武器奇术!$A:$R,18,FALSE)="叶龙",1,$N103))*(1-$M103)</f>
        <v>0</v>
      </c>
      <c r="BC103" s="103">
        <f>AV103*IF(VLOOKUP($E103,武器奇术!$A:$R,17,FALSE)="鸣金",VLOOKUP($E103,武器奇术!$A:$R,4,FALSE),VLOOKUP($E103,武器奇术!$A:$R,2,FALSE))*(1+AX103)*(1+AY103)*AZ103*(1+$E$16+VLOOKUP($E103,武器奇术!$A:$R,8,FALSE))</f>
        <v>0</v>
      </c>
      <c r="BD103" s="104">
        <f t="shared" si="56"/>
        <v>0.8703</v>
      </c>
      <c r="BE103" s="103">
        <f>AW103*IF(VLOOKUP($E103,武器奇术!$A:$R,17,FALSE)="鸣金",VLOOKUP($E103,武器奇术!$A:$R,4,FALSE),VLOOKUP($E103,武器奇术!$A:$R,2,FALSE))*(1+AX103)*(1+AY103)*AZ103*(1+$E$17+VLOOKUP($E103,武器奇术!$A:$R,10,FALSE))</f>
        <v>0</v>
      </c>
      <c r="BF103" s="104">
        <f t="shared" si="57"/>
        <v>0.0986</v>
      </c>
      <c r="BG103" s="103">
        <f>AV103*IF(VLOOKUP($E103,武器奇术!$A:$R,17,FALSE)="鸣金",VLOOKUP($E103,武器奇术!$A:$R,4,FALSE),VLOOKUP($E103,武器奇术!$A:$R,2,FALSE))*(1+AX103)*(1+AY103)*AZ103</f>
        <v>0</v>
      </c>
      <c r="BH103" s="104">
        <f t="shared" si="58"/>
        <v>0.0311</v>
      </c>
      <c r="BI103" s="112">
        <f t="shared" si="59"/>
        <v>0</v>
      </c>
      <c r="BJ103" s="110">
        <f>$B$9*IF($G$5="撼天",1.05,1)+IF(AND(VLOOKUP($E103,武器奇术!$A:$R,15,FALSE)="武器",VLOOKUP($E103,武器奇术!$A:$R,17,FALSE)="裂石"),$E$3*(1+$E$15),0)</f>
        <v>0</v>
      </c>
      <c r="BK103" s="102">
        <f t="shared" si="60"/>
        <v>0</v>
      </c>
      <c r="BL103" s="102">
        <f>MAX($C$9*IF($G$5="撼天",1.05,1)+IF(AND(VLOOKUP($E103,武器奇术!$A:$R,15,FALSE)="武器",VLOOKUP($E103,武器奇术!$A:$R,17,FALSE)="裂石"),$E$3*(1+$E$15),0),BJ103)</f>
        <v>0</v>
      </c>
      <c r="BM103" s="104">
        <f>IF(($D$9+IF(VLOOKUP($E103,武器奇术!$A:$R,17,FALSE)="裂石",$D$15,0)-VLOOKUP($F$7,目标属性!$A:$R,6,FALSE))&gt;0,($D$9+IF(VLOOKUP($E103,武器奇术!$A:$R,17,FALSE)="裂石",$D$15,0)-VLOOKUP($F$7,目标属性!$A:$R,6,FALSE))/200,($D$9+IF(VLOOKUP($E103,武器奇术!$A:$R,17,FALSE)="裂石",$D$15,0)-VLOOKUP($F$7,目标属性!$A:$R,6,FALSE))/100)</f>
        <v>-0.24</v>
      </c>
      <c r="BN103" s="111">
        <f t="shared" si="61"/>
        <v>0</v>
      </c>
      <c r="BO103" s="102">
        <v>1</v>
      </c>
      <c r="BP103" s="103">
        <f>BJ103*IF(VLOOKUP($E103,武器奇术!$A:$R,17,FALSE)="裂石",VLOOKUP($E103,武器奇术!$A:$R,4,FALSE),VLOOKUP($E103,武器奇术!$A:$R,2,FALSE))*(1+BM103)*(1+BN103)*BO103</f>
        <v>0</v>
      </c>
      <c r="BQ103" s="104">
        <f>(1-IF(VLOOKUP($E103,武器奇术!$A:$R,18,FALSE)="叶龙",1,$N103))*(1-$M103)</f>
        <v>0</v>
      </c>
      <c r="BR103" s="103">
        <f>BK103*IF(VLOOKUP($E103,武器奇术!$A:$R,17,FALSE)="裂石",VLOOKUP($E103,武器奇术!$A:$R,4,FALSE),VLOOKUP($E103,武器奇术!$A:$R,2,FALSE))*(1+BM103)*(1+BN103)*BO103*(1+$E$16+VLOOKUP($E103,武器奇术!$A:$R,8,FALSE))</f>
        <v>0</v>
      </c>
      <c r="BS103" s="104">
        <f t="shared" si="62"/>
        <v>0.8703</v>
      </c>
      <c r="BT103" s="103">
        <f>BL103*IF(VLOOKUP($E103,武器奇术!$A:$R,17,FALSE)="裂石",VLOOKUP($E103,武器奇术!$A:$R,4,FALSE),VLOOKUP($E103,武器奇术!$A:$R,2,FALSE))*(1+BM103)*(1+BN103)*BO103*(1+$E$17+VLOOKUP($E103,武器奇术!$A:$R,10,FALSE))</f>
        <v>0</v>
      </c>
      <c r="BU103" s="104">
        <f t="shared" si="63"/>
        <v>0.0986</v>
      </c>
      <c r="BV103" s="103">
        <f>BK103*IF(VLOOKUP($E103,武器奇术!$A:$R,17,FALSE)="裂石",VLOOKUP($E103,武器奇术!$A:$R,4,FALSE),VLOOKUP($E103,武器奇术!$A:$R,2,FALSE))*(1+BM103)*(1+BN103)*BO103</f>
        <v>0</v>
      </c>
      <c r="BW103" s="104">
        <f t="shared" si="64"/>
        <v>0.0311</v>
      </c>
      <c r="BX103" s="112">
        <f t="shared" si="65"/>
        <v>0</v>
      </c>
      <c r="BY103" s="110">
        <f>$B$11*IF($G$5="撼天",1.05,1)+IF(AND(VLOOKUP($E103,武器奇术!$A:$R,15,FALSE)="武器",VLOOKUP($E103,武器奇术!$A:$R,17,FALSE)="牵丝"),$E$3*(1+$E$15),0)</f>
        <v>490.8</v>
      </c>
      <c r="BZ103" s="102">
        <f>IF(VLOOKUP($E103,武器奇术!$A:$Z,18,FALSE)="叶龙",(CA103-(BY103+CA103)*0.5)*($G$15-0.5)*2+(BY103+CA103)*0.5,(BY103+CA103)*0.5)</f>
        <v>856.3</v>
      </c>
      <c r="CA103" s="102">
        <f>MAX($C$11*IF($G$5="撼天",1.05,1)+IF(AND(VLOOKUP($E103,武器奇术!$A:$R,15,FALSE)="武器",VLOOKUP($E103,武器奇术!$A:$R,17,FALSE)="牵丝"),$E$3*(1+$E$15),0),BY103)</f>
        <v>1221.8</v>
      </c>
      <c r="CB103" s="104">
        <f>IF(($D$11+IF(VLOOKUP($E103,武器奇术!$A:$R,17,FALSE)="牵丝",$D$15,0)-VLOOKUP($F$7,目标属性!$A:$R,6,FALSE))&gt;0,($D$11+IF(VLOOKUP($E103,武器奇术!$A:$R,17,FALSE)="牵丝",$D$15,0)-VLOOKUP($F$7,目标属性!$A:$R,6,FALSE))/200,($D$11+IF(VLOOKUP($E103,武器奇术!$A:$R,17,FALSE)="牵丝",$D$15,0)-VLOOKUP($F$7,目标属性!$A:$R,6,FALSE))/100)</f>
        <v>0.028</v>
      </c>
      <c r="CC103" s="111">
        <f>$E$11+IF($G$5="烟柳",IF(VLOOKUP($E103,武器奇术!$A:$T,20,FALSE)=1,0.1,0),0)</f>
        <v>0.148</v>
      </c>
      <c r="CD103" s="102">
        <v>1</v>
      </c>
      <c r="CE103" s="103">
        <f>BY103*IF(VLOOKUP($E103,武器奇术!$A:$R,17,FALSE)="牵丝",VLOOKUP($E103,武器奇术!$A:$R,4,FALSE),VLOOKUP($E103,武器奇术!$A:$R,2,FALSE))*(1+CB103)*(1+CC103)*CD103</f>
        <v>579.2146752</v>
      </c>
      <c r="CF103" s="104">
        <f>(1-IF(VLOOKUP($E103,武器奇术!$A:$R,18,FALSE)="叶龙",1,$N103))*(1-$M103)</f>
        <v>0</v>
      </c>
      <c r="CG103" s="124">
        <f>BZ103*IF(VLOOKUP($E103,武器奇术!$A:$R,17,FALSE)="牵丝",VLOOKUP($E103,武器奇术!$A:$R,4,FALSE),VLOOKUP($E103,武器奇术!$A:$R,2,FALSE))*(1+CB103)*(1+CC103)*CD103*(1+$E$16+VLOOKUP($E103,武器奇术!$A:$R,8,FALSE))</f>
        <v>1913.9955398368</v>
      </c>
      <c r="CH103" s="104">
        <f t="shared" si="66"/>
        <v>0.8703</v>
      </c>
      <c r="CI103" s="103">
        <f>CA103*IF(VLOOKUP($E103,武器奇术!$A:$R,17,FALSE)="牵丝",VLOOKUP($E103,武器奇术!$A:$R,4,FALSE),VLOOKUP($E103,武器奇术!$A:$R,2,FALSE))*(1+CB103)*(1+CC103)*CD103*(1+$E$17+VLOOKUP($E103,武器奇术!$A:$R,10,FALSE))</f>
        <v>1946.56491792</v>
      </c>
      <c r="CJ103" s="104">
        <f t="shared" si="67"/>
        <v>0.0986</v>
      </c>
      <c r="CK103" s="124">
        <f>BZ103*IF(VLOOKUP($E103,武器奇术!$A:$R,17,FALSE)="牵丝",VLOOKUP($E103,武器奇术!$A:$R,4,FALSE),VLOOKUP($E103,武器奇术!$A:$R,2,FALSE))*(1+CB103)*(1+CC103)*CD103</f>
        <v>1010.5573072</v>
      </c>
      <c r="CL103" s="104">
        <f t="shared" si="68"/>
        <v>0.0311</v>
      </c>
      <c r="CM103" s="112">
        <f t="shared" si="84"/>
        <v>1889.1099514808</v>
      </c>
      <c r="CN103" s="110">
        <f>$B$13*IF($G$5="撼天",1.05,1)+IF(AND(VLOOKUP($E103,武器奇术!$A:$R,15,FALSE)="武器",VLOOKUP($E103,武器奇术!$A:$R,17,FALSE)="破竹"),$E$3*(1+$E$15),0)</f>
        <v>0</v>
      </c>
      <c r="CO103" s="102">
        <f t="shared" si="69"/>
        <v>0</v>
      </c>
      <c r="CP103" s="102">
        <f>MAX($C$13*IF($G$5="撼天",1.05,1)+IF(AND(VLOOKUP($E103,武器奇术!$A:$R,15,FALSE)="武器",VLOOKUP($E103,武器奇术!$A:$R,17,FALSE)="破竹"),$E$3*(1+$E$15),0),CN103)</f>
        <v>0</v>
      </c>
      <c r="CQ103" s="104">
        <f>IF(($D$13+IF(VLOOKUP($E103,武器奇术!$A:$R,17,FALSE)="破竹",$D$15,0)-VLOOKUP($F$7,目标属性!$A:$R,6,FALSE))&gt;0,($D$13+IF(VLOOKUP($E103,武器奇术!$A:$R,17,FALSE)="破竹",$D$15,0)-VLOOKUP($F$7,目标属性!$A:$R,6,FALSE))/200,($D$13+IF(VLOOKUP($E103,武器奇术!$A:$R,17,FALSE)="破竹",$D$15,0)-VLOOKUP($F$7,目标属性!$A:$R,6,FALSE))/100)</f>
        <v>-0.24</v>
      </c>
      <c r="CR103" s="111">
        <f t="shared" si="70"/>
        <v>0</v>
      </c>
      <c r="CS103" s="102">
        <v>1</v>
      </c>
      <c r="CT103" s="103">
        <f>CN103*IF(VLOOKUP($E103,武器奇术!$A:$R,17,FALSE)="破竹",VLOOKUP($E103,武器奇术!$A:$R,4,FALSE),VLOOKUP($E103,武器奇术!$A:$R,2,FALSE))*(1+CQ103)*(1+CR103)*CS103</f>
        <v>0</v>
      </c>
      <c r="CU103" s="104">
        <f>(1-IF(VLOOKUP($E103,武器奇术!$A:$R,18,FALSE)="叶龙",1,$N103))*(1-$M103)</f>
        <v>0</v>
      </c>
      <c r="CV103" s="103">
        <f>CO103*IF(VLOOKUP($E103,武器奇术!$A:$R,17,FALSE)="破竹",VLOOKUP($E103,武器奇术!$A:$R,4,FALSE),VLOOKUP($E103,武器奇术!$A:$R,2,FALSE))*(1+CQ103)*(1+CR103)*CS103*(1+$E$16+VLOOKUP($E103,武器奇术!$A:$R,8,FALSE))</f>
        <v>0</v>
      </c>
      <c r="CW103" s="104">
        <f t="shared" si="71"/>
        <v>0.8703</v>
      </c>
      <c r="CX103" s="103">
        <f>CP103*IF(VLOOKUP($E103,武器奇术!$A:$R,17,FALSE)="破竹",VLOOKUP($E103,武器奇术!$A:$R,4,FALSE),VLOOKUP($E103,武器奇术!$A:$R,2,FALSE))*(1+CQ103)*(1+CR103)*CS103*(1+$E$17+VLOOKUP($E103,武器奇术!$A:$R,10,FALSE))</f>
        <v>0</v>
      </c>
      <c r="CY103" s="104">
        <f t="shared" si="72"/>
        <v>0.0986</v>
      </c>
      <c r="CZ103" s="103">
        <f>CO103*IF(VLOOKUP($E103,武器奇术!$A:$R,17,FALSE)="破竹",VLOOKUP($E103,武器奇术!$A:$R,4,FALSE),VLOOKUP($E103,武器奇术!$A:$R,2,FALSE))*(1+CQ103)*(1+CR103)*CS103</f>
        <v>0</v>
      </c>
      <c r="DA103" s="104">
        <f t="shared" si="73"/>
        <v>0.0311</v>
      </c>
      <c r="DB103" s="112">
        <f t="shared" si="74"/>
        <v>0</v>
      </c>
      <c r="DC103" s="110">
        <f t="shared" si="40"/>
        <v>66</v>
      </c>
      <c r="DD103" s="102">
        <f t="shared" si="75"/>
        <v>125.8</v>
      </c>
      <c r="DE103" s="102">
        <f t="shared" si="41"/>
        <v>185.6</v>
      </c>
      <c r="DF103" s="104">
        <f>IF((IF(VLOOKUP($E103,武器奇术!$A:$R,17,FALSE)="鸣金",$D$7,0)+IF(VLOOKUP($E103,武器奇术!$A:$R,17,FALSE)="裂石",$D$9,0)+IF(VLOOKUP($E103,武器奇术!$A:$R,17,FALSE)="牵丝",$D$11,0)+IF(VLOOKUP($E103,武器奇术!$A:$R,17,FALSE)="破竹",$D$13,0)+$D$15-VLOOKUP($F$7,目标属性!$A:$R,6,FALSE))&gt;0,(IF(VLOOKUP($E103,武器奇术!$A:$R,17,FALSE)="鸣金",$D$7,0)+IF(VLOOKUP($E103,武器奇术!$A:$R,17,FALSE)="裂石",$D$9,0)+IF(VLOOKUP($E103,武器奇术!$A:$R,17,FALSE)="牵丝",$D$11,0)+IF(VLOOKUP($E103,武器奇术!$A:$R,17,FALSE)="破竹",$D$13,0)+$D$15-VLOOKUP($F$7,目标属性!$A:$R,6,FALSE))/200,(IF(VLOOKUP($E103,武器奇术!$A:$R,17,FALSE)="鸣金",$D$7,0)+IF(VLOOKUP($E103,武器奇术!$A:$R,17,FALSE)="裂石",$D$9,0)+IF(VLOOKUP($E103,武器奇术!$A:$R,17,FALSE)="牵丝",$D$11,0)+IF(VLOOKUP($E103,武器奇术!$A:$R,17,FALSE)="破竹",$D$13,0)+$D$15-VLOOKUP($F$7,目标属性!$A:$R,6,FALSE))/100)</f>
        <v>0.028</v>
      </c>
      <c r="DG103" s="111">
        <f>$E$11+IF($G$5="烟柳",IF(VLOOKUP($E103,武器奇术!$A:$T,20,FALSE)=1,0.1,0),0)</f>
        <v>0.148</v>
      </c>
      <c r="DH103" s="102">
        <v>1</v>
      </c>
      <c r="DI103" s="103">
        <f>DC103*IF(VLOOKUP($E103,武器奇术!$A:$R,17,FALSE)="牵丝",VLOOKUP($E103,武器奇术!$A:$R,4,FALSE),VLOOKUP($E103,武器奇术!$A:$R,2,FALSE))*(1+DF103)*(1+DG103)*DH103</f>
        <v>77.889504</v>
      </c>
      <c r="DJ103" s="104">
        <f>(1-IF(VLOOKUP($E103,武器奇术!$A:$R,18,FALSE)="叶龙",1,$N103))*(1-$M103)</f>
        <v>0</v>
      </c>
      <c r="DK103" s="124">
        <f>DD103*IF(VLOOKUP($E103,武器奇术!$A:$R,17,FALSE)="牵丝",VLOOKUP($E103,武器奇术!$A:$R,4,FALSE),VLOOKUP($E103,武器奇术!$A:$R,2,FALSE))*(1+DF103)*(1+DG103)*DH103*(1+$E$16+VLOOKUP($E103,武器奇术!$A:$R,8,FALSE))</f>
        <v>281.1872461888</v>
      </c>
      <c r="DL103" s="104">
        <f t="shared" si="76"/>
        <v>0.8703</v>
      </c>
      <c r="DM103" s="103">
        <f>DE103*IF(VLOOKUP($E103,武器奇术!$A:$R,17,FALSE)="牵丝",VLOOKUP($E103,武器奇术!$A:$R,4,FALSE),VLOOKUP($E103,武器奇术!$A:$R,2,FALSE))*(1+DF103)*(1+DG103)*DH103*(1+$E$17+VLOOKUP($E103,武器奇术!$A:$R,10,FALSE))</f>
        <v>295.69688064</v>
      </c>
      <c r="DN103" s="104">
        <f t="shared" si="77"/>
        <v>0.0986</v>
      </c>
      <c r="DO103" s="124">
        <f>DD103*IF(VLOOKUP($E103,武器奇术!$A:$R,17,FALSE)="牵丝",VLOOKUP($E103,武器奇术!$A:$R,4,FALSE),VLOOKUP($E103,武器奇术!$A:$R,2,FALSE))*(1+DF103)*(1+DG103)*DH103</f>
        <v>148.4621152</v>
      </c>
      <c r="DP103" s="104">
        <f t="shared" si="78"/>
        <v>0.0311</v>
      </c>
      <c r="DQ103" s="112">
        <f t="shared" si="79"/>
        <v>278.490144571937</v>
      </c>
    </row>
    <row r="104" spans="1:121">
      <c r="B104" t="s">
        <v>152</v>
      </c>
      <c r="C104">
        <v>1.25</v>
      </c>
    </row>
    <row r="105" spans="1:121">
      <c r="B105" t="s">
        <v>165</v>
      </c>
      <c r="C105" s="141">
        <v>1.3</v>
      </c>
    </row>
    <row r="106" spans="1:121">
      <c r="A106" s="30">
        <v>0.3</v>
      </c>
      <c r="B106" t="s">
        <v>154</v>
      </c>
      <c r="C106" s="141">
        <v>1.16</v>
      </c>
    </row>
    <row r="107" spans="1:121">
      <c r="B107" t="s">
        <v>156</v>
      </c>
      <c r="C107">
        <v>0.1</v>
      </c>
    </row>
    <row r="108" spans="1:121">
      <c r="B108" t="s">
        <v>160</v>
      </c>
      <c r="C108">
        <v>1.93</v>
      </c>
    </row>
    <row r="109" spans="1:121">
      <c r="B109" t="s">
        <v>162</v>
      </c>
      <c r="C109">
        <v>1.5</v>
      </c>
    </row>
    <row r="110" spans="1:121">
      <c r="B110" t="s">
        <v>196</v>
      </c>
      <c r="C110">
        <v>0.9</v>
      </c>
    </row>
    <row r="111" spans="1:121">
      <c r="B111" t="s">
        <v>152</v>
      </c>
      <c r="C111">
        <v>1.25</v>
      </c>
    </row>
    <row r="112" spans="1:121">
      <c r="A112" t="s">
        <v>178</v>
      </c>
      <c r="B112" t="s">
        <v>152</v>
      </c>
      <c r="C112">
        <v>1.25</v>
      </c>
    </row>
    <row r="113" spans="2:3">
      <c r="B113" t="s">
        <v>154</v>
      </c>
      <c r="C113" s="141">
        <v>1.16</v>
      </c>
    </row>
    <row r="114" spans="2:3">
      <c r="B114" t="s">
        <v>197</v>
      </c>
      <c r="C114">
        <v>5</v>
      </c>
    </row>
    <row r="116" spans="2:3">
      <c r="C116" s="141"/>
    </row>
    <row r="117" spans="2:3">
      <c r="C117" s="141"/>
    </row>
    <row r="123" spans="2:3">
      <c r="C123" s="141"/>
    </row>
    <row r="127" spans="2:3">
      <c r="C127" s="141"/>
    </row>
    <row r="128" spans="2:3">
      <c r="C128" s="141"/>
    </row>
    <row r="134" spans="3:3">
      <c r="C134" s="141"/>
    </row>
    <row r="135" spans="3:3">
      <c r="C135" s="141"/>
    </row>
    <row r="139" spans="3:3">
      <c r="C139" s="141"/>
    </row>
    <row r="143" spans="3:3">
      <c r="C143" s="141"/>
    </row>
    <row r="146" spans="1:3">
      <c r="A146" s="139"/>
    </row>
    <row r="147" spans="1:3">
      <c r="A147" s="139"/>
    </row>
    <row r="148" spans="1:3">
      <c r="A148" s="139"/>
    </row>
    <row r="151" spans="1:3">
      <c r="C151" s="141"/>
    </row>
    <row r="155" spans="1:3">
      <c r="B155" t="s">
        <v>198</v>
      </c>
      <c r="C155">
        <v>1.3</v>
      </c>
    </row>
    <row r="156" spans="1:3">
      <c r="B156" t="s">
        <v>152</v>
      </c>
      <c r="C156">
        <v>1.25</v>
      </c>
    </row>
    <row r="157" spans="1:3">
      <c r="B157" t="s">
        <v>165</v>
      </c>
      <c r="C157" s="141">
        <v>1.5</v>
      </c>
    </row>
    <row r="158" spans="1:3">
      <c r="B158" t="s">
        <v>154</v>
      </c>
      <c r="C158" s="141">
        <v>1.16</v>
      </c>
    </row>
    <row r="159" spans="1:3">
      <c r="B159" t="s">
        <v>158</v>
      </c>
      <c r="C159">
        <v>1</v>
      </c>
    </row>
    <row r="160" spans="1:3">
      <c r="B160" t="s">
        <v>181</v>
      </c>
      <c r="C160">
        <v>2</v>
      </c>
    </row>
    <row r="161" spans="2:3">
      <c r="B161" t="s">
        <v>199</v>
      </c>
      <c r="C161">
        <v>2</v>
      </c>
    </row>
    <row r="162" spans="2:3">
      <c r="B162" t="s">
        <v>152</v>
      </c>
      <c r="C162">
        <v>1.25</v>
      </c>
    </row>
    <row r="163" spans="2:3">
      <c r="B163" t="s">
        <v>165</v>
      </c>
      <c r="C163" s="141">
        <v>1.5</v>
      </c>
    </row>
    <row r="164" spans="2:3">
      <c r="B164" t="s">
        <v>154</v>
      </c>
      <c r="C164" s="141">
        <v>1.16</v>
      </c>
    </row>
    <row r="165" spans="2:3">
      <c r="B165" t="s">
        <v>162</v>
      </c>
      <c r="C165">
        <v>1.7</v>
      </c>
    </row>
    <row r="166" spans="2:3">
      <c r="B166" t="s">
        <v>160</v>
      </c>
      <c r="C166">
        <v>1.93</v>
      </c>
    </row>
    <row r="167" spans="2:3">
      <c r="B167" t="s">
        <v>162</v>
      </c>
      <c r="C167">
        <v>1.7</v>
      </c>
    </row>
  </sheetData>
  <mergeCells count="63">
    <mergeCell ref="M1:N1"/>
    <mergeCell ref="O1:P1"/>
    <mergeCell ref="Q5:R5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M18:N18"/>
    <mergeCell ref="O18:P18"/>
    <mergeCell ref="M19:N19"/>
    <mergeCell ref="O19:P19"/>
    <mergeCell ref="M20:N20"/>
    <mergeCell ref="O20:P20"/>
    <mergeCell ref="B21:C21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E28:K28"/>
    <mergeCell ref="L28:M28"/>
    <mergeCell ref="O28:P28"/>
    <mergeCell ref="Q28:AE28"/>
    <mergeCell ref="AF28:AT28"/>
    <mergeCell ref="AU28:BI28"/>
    <mergeCell ref="BJ28:BX28"/>
    <mergeCell ref="BY28:CM28"/>
    <mergeCell ref="CN28:DB28"/>
    <mergeCell ref="DC28:DQ28"/>
    <mergeCell ref="A16:A18"/>
    <mergeCell ref="A53:A68"/>
    <mergeCell ref="A75:A81"/>
    <mergeCell ref="A82:A91"/>
    <mergeCell ref="B28:B29"/>
    <mergeCell ref="B30:B34"/>
    <mergeCell ref="B35:B39"/>
    <mergeCell ref="B40:B44"/>
    <mergeCell ref="B45:B49"/>
    <mergeCell ref="D70:D73"/>
    <mergeCell ref="D82:D85"/>
    <mergeCell ref="C35:D39"/>
    <mergeCell ref="C40:D44"/>
    <mergeCell ref="C30:D34"/>
    <mergeCell ref="C28:D29"/>
    <mergeCell ref="C45:D49"/>
    <mergeCell ref="G8:J13"/>
    <mergeCell ref="Q2:R4"/>
    <mergeCell ref="Q6:R7"/>
  </mergeCells>
  <conditionalFormatting sqref="Q2">
    <cfRule type="cellIs" dxfId="0" priority="2" operator="lessThan">
      <formula>0</formula>
    </cfRule>
    <cfRule type="cellIs" dxfId="1" priority="1" operator="greaterThan">
      <formula>0</formula>
    </cfRule>
  </conditionalFormatting>
  <dataValidations count="8">
    <dataValidation type="list" allowBlank="1" showInputMessage="1" showErrorMessage="1" sqref="C2">
      <formula1>"鸣金,裂石,牵丝,破竹"</formula1>
    </dataValidation>
    <dataValidation type="list" allowBlank="1" showInputMessage="1" showErrorMessage="1" sqref="H3:K3 H5 J5 F19:G19 F21">
      <formula1>"√,×"</formula1>
    </dataValidation>
    <dataValidation type="list" allowBlank="1" showInputMessage="1" showErrorMessage="1" sqref="G5">
      <formula1>"飞隼,时雨,烟柳,撼天,N/A"</formula1>
    </dataValidation>
    <dataValidation type="list" allowBlank="1" showInputMessage="1" showErrorMessage="1" sqref="I5">
      <formula1>"火,毒"</formula1>
    </dataValidation>
    <dataValidation type="list" allowBlank="1" showInputMessage="1" showErrorMessage="1" sqref="F7">
      <formula1>目标属性!$A:$A</formula1>
    </dataValidation>
    <dataValidation type="list" allowBlank="1" showInputMessage="1" showErrorMessage="1" sqref="A10 A12">
      <formula1>"主属性,副属性"</formula1>
    </dataValidation>
    <dataValidation type="list" allowBlank="1" showInputMessage="1" showErrorMessage="1" sqref="G15">
      <formula1>"50%,60%,70%,80%,85%,90%"</formula1>
    </dataValidation>
    <dataValidation type="list" allowBlank="1" showInputMessage="1" showErrorMessage="1" sqref="E30:E103">
      <formula1>武器奇术!$A:$A</formula1>
    </dataValidation>
  </dataValidations>
  <pageMargins left="0.75" right="0.75" top="1" bottom="1" header="0.5" footer="0.5"/>
  <pageSetup paperSize="9" orientation="portrait"/>
  <headerFooter/>
  <ignoredErrors>
    <ignoredError sqref="AG30:AG4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167"/>
  <sheetViews>
    <sheetView topLeftCell="A8" workbookViewId="0">
      <selection activeCell="C45" sqref="C45:D49"/>
    </sheetView>
  </sheetViews>
  <sheetFormatPr defaultColWidth="9" defaultRowHeight="13.5"/>
  <cols>
    <col min="2" max="2" width="15.875" customWidth="1"/>
    <col min="3" max="3" width="14.25" customWidth="1"/>
    <col min="4" max="4" width="12" customWidth="1"/>
    <col min="5" max="5" width="37" customWidth="1"/>
    <col min="7" max="7" width="10.5" customWidth="1"/>
    <col min="8" max="8" width="12.625" style="32"/>
    <col min="9" max="9" width="9" style="31"/>
    <col min="10" max="10" width="9.375" style="31"/>
    <col min="17" max="18" width="11.5"/>
    <col min="19" max="19" width="10.375"/>
    <col min="20" max="20" width="12.875" style="31" customWidth="1"/>
    <col min="21" max="21" width="13.125" style="36" customWidth="1"/>
    <col min="22" max="22" width="13.125" customWidth="1"/>
    <col min="23" max="23" width="12.25" style="32" customWidth="1"/>
    <col min="24" max="24" width="9.75" style="31" customWidth="1"/>
    <col min="25" max="25" width="10.5" style="32" customWidth="1"/>
    <col min="26" max="26" width="9.375" style="31"/>
    <col min="27" max="27" width="9.375" style="32"/>
    <col min="28" max="28" width="9" style="31"/>
    <col min="29" max="29" width="12.625" style="32"/>
    <col min="30" max="30" width="9.375" style="31"/>
    <col min="31" max="31" width="10.375" style="32"/>
    <col min="32" max="32" width="9.375" style="32"/>
    <col min="33" max="34" width="9" style="32"/>
    <col min="41" max="41" width="9" style="31"/>
    <col min="43" max="43" width="9" style="31"/>
    <col min="56" max="56" width="9" style="31"/>
    <col min="58" max="58" width="9" style="31"/>
    <col min="71" max="71" width="9" style="31"/>
    <col min="73" max="73" width="9" style="31"/>
    <col min="77" max="77" width="10.375"/>
    <col min="79" max="79" width="10.375"/>
    <col min="86" max="86" width="9" style="31"/>
    <col min="88" max="88" width="9" style="31"/>
    <col min="101" max="101" width="9" style="31"/>
    <col min="103" max="103" width="9" style="31"/>
    <col min="115" max="115" width="9.375"/>
  </cols>
  <sheetData>
    <row r="1" ht="14.25" spans="1:24">
      <c r="L1" s="12"/>
      <c r="M1" s="12"/>
      <c r="N1" s="12"/>
      <c r="O1" s="12"/>
      <c r="P1" s="12"/>
      <c r="Q1" s="12"/>
      <c r="R1" s="12"/>
    </row>
    <row r="2" ht="14.25" spans="1:24">
      <c r="B2" s="37" t="s">
        <v>2</v>
      </c>
      <c r="C2" s="38" t="s">
        <v>3</v>
      </c>
      <c r="D2" s="39" t="s">
        <v>4</v>
      </c>
      <c r="E2" s="37" t="s">
        <v>5</v>
      </c>
      <c r="F2" s="40" t="s">
        <v>6</v>
      </c>
      <c r="G2" s="41" t="s">
        <v>7</v>
      </c>
      <c r="H2" s="42" t="s">
        <v>8</v>
      </c>
      <c r="I2" s="42" t="s">
        <v>9</v>
      </c>
      <c r="J2" s="42"/>
      <c r="K2" s="40"/>
      <c r="L2" s="12"/>
      <c r="M2" s="43"/>
      <c r="N2" s="43"/>
      <c r="O2" s="43"/>
      <c r="P2" s="44"/>
      <c r="Q2" s="45"/>
      <c r="R2" s="45"/>
    </row>
    <row r="3" spans="1:24">
      <c r="E3" s="37">
        <v>150.7</v>
      </c>
      <c r="F3" s="46">
        <f>期望!F3-期望!M22+期望!O22</f>
        <v>0.303</v>
      </c>
      <c r="G3" s="42">
        <f>期望!G3</f>
        <v>0</v>
      </c>
      <c r="H3" s="42" t="str">
        <f>期望!H3</f>
        <v>√</v>
      </c>
      <c r="I3" s="42" t="str">
        <f>期望!I3</f>
        <v>√</v>
      </c>
      <c r="J3" s="47"/>
      <c r="K3" s="48"/>
      <c r="L3" s="12"/>
      <c r="M3" s="43"/>
      <c r="N3" s="43"/>
      <c r="O3" s="43"/>
      <c r="P3" s="44"/>
      <c r="Q3" s="45"/>
      <c r="R3" s="45"/>
      <c r="S3" s="30"/>
    </row>
    <row r="4" spans="1:24">
      <c r="B4" s="49" t="s">
        <v>13</v>
      </c>
      <c r="C4" s="49" t="s">
        <v>14</v>
      </c>
      <c r="D4" s="49" t="s">
        <v>15</v>
      </c>
      <c r="E4" s="50" t="s">
        <v>16</v>
      </c>
      <c r="G4" s="49" t="s">
        <v>17</v>
      </c>
      <c r="H4" s="41" t="s">
        <v>18</v>
      </c>
      <c r="I4" s="49" t="s">
        <v>19</v>
      </c>
      <c r="J4" s="40" t="s">
        <v>200</v>
      </c>
      <c r="L4" s="12"/>
      <c r="M4" s="51"/>
      <c r="N4" s="51"/>
      <c r="O4" s="51"/>
      <c r="P4" s="52"/>
      <c r="Q4" s="45"/>
      <c r="R4" s="45"/>
      <c r="S4" s="30"/>
    </row>
    <row r="5" spans="1:24">
      <c r="B5" s="49">
        <f>期望!B5-期望!M2*0.22-期望!N2*0.22-期望!M3*0.9-期望!N3*0.9-期望!M5-期望!N5+期望!O2*0.22+期望!P2*0.22+期望!O3*0.9+期望!P3*0.9+期望!O5+期望!P5-L11+M11</f>
        <v>3238</v>
      </c>
      <c r="C5" s="49">
        <f>期望!C5-期望!M2*1.36-期望!N2*1.36-期望!M4*0.9-期望!N4*0.9-期望!M6-期望!N6+期望!O2*1.36+期望!P2*1.36+期望!O4*0.9+期望!P4*0.9+期望!O6+期望!P6</f>
        <v>2606.6</v>
      </c>
      <c r="D5" s="49">
        <f>期望!D5-期望!M23+期望!O23</f>
        <v>63.5</v>
      </c>
      <c r="E5" s="53">
        <f>期望!E5</f>
        <v>0</v>
      </c>
      <c r="G5" s="42" t="str">
        <f>期望!G5</f>
        <v>烟柳</v>
      </c>
      <c r="H5" s="42" t="str">
        <f>期望!H5</f>
        <v>×</v>
      </c>
      <c r="I5" s="42" t="str">
        <f>期望!I5</f>
        <v>火</v>
      </c>
      <c r="J5" s="42" t="str">
        <f>期望!J5</f>
        <v>√</v>
      </c>
      <c r="L5" s="51"/>
      <c r="M5" s="51"/>
      <c r="N5" s="51"/>
      <c r="O5" s="51"/>
      <c r="P5" s="52"/>
      <c r="Q5" s="54"/>
      <c r="R5" s="54"/>
    </row>
    <row r="6" spans="1:24">
      <c r="B6" s="49" t="s">
        <v>27</v>
      </c>
      <c r="C6" s="49" t="s">
        <v>28</v>
      </c>
      <c r="D6" s="49" t="s">
        <v>29</v>
      </c>
      <c r="E6" s="50" t="s">
        <v>30</v>
      </c>
      <c r="F6" s="49" t="s">
        <v>31</v>
      </c>
      <c r="L6" s="51"/>
      <c r="M6" s="51"/>
      <c r="N6" s="51"/>
      <c r="O6" s="51"/>
      <c r="P6" s="52"/>
      <c r="Q6" s="54"/>
      <c r="R6" s="54"/>
    </row>
    <row r="7" ht="14.25" spans="1:24">
      <c r="B7" s="49">
        <f>期望!B7-期望!M12+期望!O12</f>
        <v>0</v>
      </c>
      <c r="C7" s="49">
        <f>期望!C7-期望!M13+期望!O13</f>
        <v>0</v>
      </c>
      <c r="D7" s="49">
        <f>期望!D7</f>
        <v>0</v>
      </c>
      <c r="E7" s="53">
        <f>期望!E7</f>
        <v>0</v>
      </c>
      <c r="F7" s="49" t="str">
        <f>期望!F7</f>
        <v>笃山衔蝉</v>
      </c>
      <c r="G7" s="39" t="s">
        <v>34</v>
      </c>
      <c r="L7" s="51"/>
      <c r="M7" s="51"/>
      <c r="N7" s="51"/>
      <c r="O7" s="51"/>
      <c r="P7" s="52"/>
      <c r="Q7" s="54"/>
      <c r="R7" s="54"/>
    </row>
    <row r="8" spans="1:24">
      <c r="B8" s="49" t="s">
        <v>36</v>
      </c>
      <c r="C8" s="49" t="s">
        <v>37</v>
      </c>
      <c r="D8" s="49" t="s">
        <v>38</v>
      </c>
      <c r="E8" s="50" t="s">
        <v>39</v>
      </c>
      <c r="F8" s="40" t="s">
        <v>40</v>
      </c>
      <c r="G8" s="55" t="s">
        <v>41</v>
      </c>
      <c r="H8" s="56"/>
      <c r="I8" s="56"/>
      <c r="J8" s="57"/>
      <c r="K8" s="58"/>
      <c r="L8" s="32" t="s">
        <v>201</v>
      </c>
      <c r="M8" s="59" t="s">
        <v>202</v>
      </c>
      <c r="N8" s="51"/>
      <c r="O8" s="51"/>
      <c r="P8" s="52"/>
      <c r="Q8" s="54"/>
      <c r="R8" s="54"/>
      <c r="S8" s="58"/>
      <c r="T8" s="58"/>
      <c r="U8" s="58"/>
      <c r="V8" s="58"/>
      <c r="W8" s="58"/>
      <c r="X8" s="58"/>
    </row>
    <row r="9" spans="1:24">
      <c r="B9" s="49">
        <f>期望!B9-期望!M14+期望!O14</f>
        <v>0</v>
      </c>
      <c r="C9" s="49">
        <f>期望!C9-期望!M15+期望!O15</f>
        <v>0</v>
      </c>
      <c r="D9" s="49">
        <f>期望!D9</f>
        <v>0</v>
      </c>
      <c r="E9" s="53">
        <f>期望!E9</f>
        <v>0</v>
      </c>
      <c r="F9" s="40">
        <f>期望!F9</f>
        <v>559</v>
      </c>
      <c r="G9" s="60"/>
      <c r="H9" s="61"/>
      <c r="I9" s="61"/>
      <c r="J9" s="62"/>
      <c r="K9" s="58"/>
      <c r="L9" s="63">
        <f>期望!Q6</f>
        <v>756.4</v>
      </c>
      <c r="M9" s="63">
        <f>期望!Q6-期望!M3-期望!N3+期望!O3+期望!P3</f>
        <v>756.4</v>
      </c>
      <c r="N9" s="64"/>
      <c r="O9" s="64"/>
      <c r="P9" s="65"/>
      <c r="Q9" s="54"/>
      <c r="R9" s="54"/>
      <c r="S9" s="58"/>
      <c r="T9" s="58"/>
      <c r="U9" s="58"/>
      <c r="V9" s="58"/>
      <c r="W9" s="58"/>
      <c r="X9" s="58"/>
    </row>
    <row r="10" spans="1:24">
      <c r="B10" s="49" t="s">
        <v>44</v>
      </c>
      <c r="C10" s="49" t="s">
        <v>45</v>
      </c>
      <c r="D10" s="49" t="s">
        <v>46</v>
      </c>
      <c r="E10" s="50" t="s">
        <v>47</v>
      </c>
      <c r="F10" t="s">
        <v>48</v>
      </c>
      <c r="G10" s="60"/>
      <c r="H10" s="61"/>
      <c r="I10" s="61"/>
      <c r="J10" s="62"/>
      <c r="K10" s="58" t="s">
        <v>203</v>
      </c>
      <c r="L10" s="66">
        <f>IF(L9&lt;365,12.3%*L9/365,12.3%)</f>
        <v>0.123</v>
      </c>
      <c r="M10" s="66">
        <f>IF(M9&lt;365,12.3%*M9/365,12.3%)</f>
        <v>0.123</v>
      </c>
      <c r="N10" s="64"/>
      <c r="O10" s="64"/>
      <c r="P10" s="65"/>
      <c r="Q10" s="67"/>
      <c r="R10" s="67"/>
      <c r="S10" s="58"/>
      <c r="T10" s="58"/>
      <c r="U10" s="58"/>
      <c r="V10" s="58"/>
      <c r="W10" s="58"/>
      <c r="X10" s="58"/>
    </row>
    <row r="11" spans="1:24">
      <c r="B11" s="49">
        <f>期望!B11-期望!M16+期望!O16</f>
        <v>490.8</v>
      </c>
      <c r="C11" s="49">
        <f>期望!C11-期望!M17+期望!O17</f>
        <v>1221.8</v>
      </c>
      <c r="D11" s="49">
        <f>期望!D11</f>
        <v>29.6</v>
      </c>
      <c r="E11" s="53">
        <f>期望!E11</f>
        <v>0.148</v>
      </c>
      <c r="F11" s="40">
        <f>期望!F11</f>
        <v>2.15</v>
      </c>
      <c r="G11" s="60"/>
      <c r="H11" s="61"/>
      <c r="I11" s="61"/>
      <c r="J11" s="62"/>
      <c r="K11" s="58" t="s">
        <v>204</v>
      </c>
      <c r="L11" s="68">
        <f>IF(L9&lt;365,106.9*L9/365,106.9)</f>
        <v>106.9</v>
      </c>
      <c r="M11" s="68">
        <f>IF(M9&lt;365,106.9*M9/365,106.9)</f>
        <v>106.9</v>
      </c>
      <c r="N11" s="64"/>
      <c r="O11" s="64"/>
      <c r="P11" s="65"/>
      <c r="Q11" s="67"/>
      <c r="R11" s="67"/>
      <c r="S11" s="58"/>
      <c r="T11" s="58"/>
      <c r="U11" s="58"/>
      <c r="V11" s="58"/>
      <c r="W11" s="58"/>
      <c r="X11" s="58"/>
    </row>
    <row r="12" spans="1:24">
      <c r="B12" s="49" t="s">
        <v>51</v>
      </c>
      <c r="C12" s="49" t="s">
        <v>52</v>
      </c>
      <c r="D12" s="49" t="s">
        <v>53</v>
      </c>
      <c r="E12" s="50" t="s">
        <v>54</v>
      </c>
      <c r="G12" s="60"/>
      <c r="H12" s="61"/>
      <c r="I12" s="61"/>
      <c r="J12" s="62"/>
      <c r="K12" s="58"/>
      <c r="L12" s="51"/>
      <c r="M12" s="51"/>
      <c r="N12" s="51"/>
      <c r="O12" s="51"/>
      <c r="P12" s="51"/>
      <c r="Q12" s="67"/>
      <c r="R12" s="67"/>
      <c r="S12" s="58"/>
      <c r="T12" s="58"/>
      <c r="U12" s="58"/>
      <c r="V12" s="58"/>
      <c r="W12" s="58"/>
      <c r="X12" s="58"/>
    </row>
    <row r="13" ht="14.25" spans="1:24">
      <c r="B13" s="49">
        <f>期望!B13-期望!M18+期望!O18</f>
        <v>0</v>
      </c>
      <c r="C13" s="49">
        <f>期望!C13-期望!M19+期望!O19</f>
        <v>0</v>
      </c>
      <c r="D13" s="49">
        <f>期望!D13</f>
        <v>0</v>
      </c>
      <c r="E13" s="53">
        <f>期望!E13</f>
        <v>0</v>
      </c>
      <c r="G13" s="69"/>
      <c r="H13" s="70"/>
      <c r="I13" s="70"/>
      <c r="J13" s="71"/>
      <c r="K13" s="58"/>
      <c r="L13" s="51"/>
      <c r="M13" s="51"/>
      <c r="N13" s="51"/>
      <c r="O13" s="51"/>
      <c r="P13" s="51"/>
      <c r="Q13" s="67"/>
      <c r="R13" s="67"/>
      <c r="S13" s="58"/>
      <c r="T13" s="58"/>
      <c r="U13" s="58"/>
      <c r="V13" s="58"/>
      <c r="W13" s="58"/>
      <c r="X13" s="58"/>
    </row>
    <row r="14" spans="1:24">
      <c r="A14" s="72"/>
      <c r="B14" s="49" t="s">
        <v>57</v>
      </c>
      <c r="C14" s="49" t="s">
        <v>58</v>
      </c>
      <c r="D14" s="49" t="s">
        <v>59</v>
      </c>
      <c r="E14" s="73" t="s">
        <v>60</v>
      </c>
      <c r="G14" s="37" t="s">
        <v>61</v>
      </c>
      <c r="I14" s="58"/>
      <c r="J14" s="58"/>
      <c r="K14" s="58"/>
      <c r="L14" s="51"/>
      <c r="M14" s="51"/>
      <c r="N14" s="51"/>
      <c r="O14" s="51"/>
      <c r="P14" s="51"/>
      <c r="Q14" s="67"/>
      <c r="R14" s="67"/>
      <c r="S14" s="58"/>
      <c r="T14" s="58"/>
      <c r="U14" s="58"/>
      <c r="V14" s="58"/>
      <c r="W14" s="58"/>
      <c r="X14" s="58"/>
    </row>
    <row r="15" spans="1:24">
      <c r="A15" s="72"/>
      <c r="B15" s="49">
        <f>期望!B15-期望!M7-期望!N7+期望!O7+期望!P7</f>
        <v>66</v>
      </c>
      <c r="C15" s="49">
        <f>期望!C15-期望!M8-期望!N8+期望!O8+期望!P8</f>
        <v>185.6</v>
      </c>
      <c r="D15" s="49">
        <f>期望!D15</f>
        <v>0</v>
      </c>
      <c r="E15" s="73">
        <f>期望!E15</f>
        <v>0.3</v>
      </c>
      <c r="G15" s="47">
        <f>期望!G15</f>
        <v>0.5</v>
      </c>
      <c r="H15" s="32" t="s">
        <v>63</v>
      </c>
      <c r="I15" s="58"/>
      <c r="J15" s="58"/>
      <c r="K15" s="58"/>
      <c r="L15" s="43"/>
      <c r="M15" s="43"/>
      <c r="N15" s="43"/>
      <c r="O15" s="43"/>
      <c r="P15" s="43"/>
      <c r="Q15" s="67"/>
      <c r="R15" s="67"/>
      <c r="S15" s="58"/>
      <c r="T15" s="58"/>
      <c r="U15" s="58"/>
      <c r="V15" s="58"/>
      <c r="W15" s="58"/>
      <c r="X15" s="58"/>
    </row>
    <row r="16" spans="1:24">
      <c r="A16" s="72" t="s">
        <v>65</v>
      </c>
      <c r="B16" s="49" t="s">
        <v>66</v>
      </c>
      <c r="C16" s="74">
        <f>期望!C16+(-期望!M9-期望!N9+期望!O9+期望!P9)/期望!F11</f>
        <v>1.0086</v>
      </c>
      <c r="D16" s="50" t="s">
        <v>67</v>
      </c>
      <c r="E16" s="73">
        <f>期望!E16</f>
        <v>0.644</v>
      </c>
      <c r="I16" s="58"/>
      <c r="J16" s="58"/>
      <c r="K16" s="58"/>
      <c r="L16" s="43"/>
      <c r="M16" s="43"/>
      <c r="N16" s="43"/>
      <c r="O16" s="43"/>
      <c r="P16" s="43"/>
      <c r="Q16" s="67"/>
      <c r="R16" s="67"/>
      <c r="S16" s="58"/>
      <c r="T16" s="58"/>
      <c r="U16" s="58"/>
      <c r="V16" s="58"/>
      <c r="W16" s="58"/>
      <c r="X16" s="58"/>
    </row>
    <row r="17" spans="1:121">
      <c r="A17" s="72"/>
      <c r="B17" s="49" t="s">
        <v>69</v>
      </c>
      <c r="C17" s="74">
        <f>期望!C17+(-期望!M10-期望!N10+期望!O10+期望!P10+(-期望!M3-期望!N3+期望!O3+期望!P3)*0.00076-L10+M10)/期望!F11</f>
        <v>0.7833</v>
      </c>
      <c r="D17" s="50" t="s">
        <v>70</v>
      </c>
      <c r="E17" s="73">
        <f>期望!E17</f>
        <v>0.35</v>
      </c>
      <c r="I17" s="58"/>
      <c r="J17" s="58"/>
      <c r="K17" s="58"/>
      <c r="L17" s="43"/>
      <c r="M17" s="43"/>
      <c r="N17" s="43"/>
      <c r="O17" s="43"/>
      <c r="P17" s="43"/>
      <c r="Q17" s="67"/>
      <c r="R17" s="67"/>
      <c r="S17" s="58"/>
      <c r="T17" s="58"/>
      <c r="U17" s="58"/>
      <c r="V17" s="58"/>
      <c r="W17" s="58"/>
      <c r="X17" s="58"/>
    </row>
    <row r="18" spans="1:121">
      <c r="A18" s="72"/>
      <c r="B18" s="49" t="s">
        <v>72</v>
      </c>
      <c r="C18" s="74">
        <f>期望!C18+(-期望!M11-期望!N11+期望!O11+期望!P11+(-期望!M4-期望!N4+期望!O4+期望!P4)*0.00038)/期望!F11</f>
        <v>0.0986</v>
      </c>
      <c r="D18" s="49" t="s">
        <v>73</v>
      </c>
      <c r="E18" s="74">
        <f>期望!E18-期望!M22+期望!O22</f>
        <v>0.088</v>
      </c>
      <c r="F18" s="37" t="s">
        <v>74</v>
      </c>
      <c r="G18" s="75" t="s">
        <v>75</v>
      </c>
      <c r="I18" s="58"/>
      <c r="J18" s="58"/>
      <c r="K18" s="58"/>
      <c r="L18" s="43"/>
      <c r="M18" s="43"/>
      <c r="N18" s="43"/>
      <c r="O18" s="43"/>
      <c r="P18" s="43"/>
      <c r="Q18" s="67"/>
      <c r="R18" s="67"/>
      <c r="S18" s="58"/>
      <c r="T18" s="58"/>
      <c r="U18" s="58"/>
      <c r="V18" s="58"/>
      <c r="W18" s="58"/>
      <c r="X18" s="58"/>
    </row>
    <row r="19" spans="1:121">
      <c r="B19" s="49" t="s">
        <v>77</v>
      </c>
      <c r="C19" s="74">
        <f>期望!C19</f>
        <v>0.087</v>
      </c>
      <c r="D19" s="40"/>
      <c r="E19" s="40"/>
      <c r="F19" s="48" t="s">
        <v>11</v>
      </c>
      <c r="G19" s="48" t="s">
        <v>23</v>
      </c>
      <c r="L19" s="43"/>
      <c r="M19" s="43"/>
      <c r="N19" s="43"/>
      <c r="O19" s="43"/>
      <c r="P19" s="43"/>
      <c r="Q19" s="12"/>
      <c r="R19" s="12"/>
    </row>
    <row r="20" spans="1:121">
      <c r="B20" s="49" t="s">
        <v>79</v>
      </c>
      <c r="C20" s="74">
        <f>期望!C20</f>
        <v>0</v>
      </c>
      <c r="F20" s="37" t="s">
        <v>80</v>
      </c>
      <c r="G20" s="37" t="s">
        <v>81</v>
      </c>
      <c r="L20" s="12"/>
      <c r="M20" s="76"/>
      <c r="N20" s="76"/>
      <c r="O20" s="77"/>
      <c r="P20" s="77"/>
      <c r="Q20" s="12"/>
      <c r="R20" s="12"/>
    </row>
    <row r="21" spans="1:121">
      <c r="B21" s="49" t="s">
        <v>83</v>
      </c>
      <c r="C21" s="49"/>
      <c r="F21" s="48" t="s">
        <v>11</v>
      </c>
      <c r="G21" s="37">
        <v>8</v>
      </c>
      <c r="L21" s="12"/>
      <c r="M21" s="77"/>
      <c r="N21" s="77"/>
      <c r="O21" s="77"/>
      <c r="P21" s="77"/>
      <c r="Q21" s="12"/>
      <c r="R21" s="12"/>
    </row>
    <row r="22" spans="1:121">
      <c r="B22" s="78" t="s">
        <v>85</v>
      </c>
      <c r="C22" s="74">
        <f>期望!C22-期望!M20+期望!O20</f>
        <v>0.086</v>
      </c>
      <c r="D22" s="40"/>
      <c r="E22" s="66"/>
      <c r="L22" s="12"/>
      <c r="M22" s="77"/>
      <c r="N22" s="77"/>
      <c r="O22" s="77"/>
      <c r="P22" s="77"/>
      <c r="Q22" s="12"/>
      <c r="R22" s="12"/>
    </row>
    <row r="23" spans="1:121">
      <c r="B23" s="78" t="s">
        <v>87</v>
      </c>
      <c r="C23" s="74">
        <f>期望!C23</f>
        <v>0</v>
      </c>
      <c r="D23" s="49" t="s">
        <v>88</v>
      </c>
      <c r="E23" s="74">
        <f>期望!E23-期望!M26+期望!O26</f>
        <v>0.32</v>
      </c>
      <c r="L23" s="12"/>
      <c r="M23" s="79"/>
      <c r="N23" s="79"/>
      <c r="O23" s="79"/>
      <c r="P23" s="79"/>
      <c r="Q23" s="12"/>
      <c r="R23" s="12"/>
    </row>
    <row r="24" spans="1:121">
      <c r="B24" s="78" t="s">
        <v>89</v>
      </c>
      <c r="C24" s="74">
        <f>期望!C24-期望!M21+期望!O21</f>
        <v>0.084</v>
      </c>
      <c r="L24" s="12"/>
      <c r="M24" s="80"/>
      <c r="N24" s="80"/>
      <c r="O24" s="80"/>
      <c r="P24" s="80"/>
      <c r="Q24" s="12"/>
      <c r="R24" s="12"/>
    </row>
    <row r="25" spans="1:121">
      <c r="B25" s="81" t="s">
        <v>90</v>
      </c>
      <c r="C25" s="74">
        <f>期望!C25-期望!M24+期望!O24</f>
        <v>0</v>
      </c>
      <c r="E25" s="30"/>
      <c r="L25" s="12"/>
      <c r="M25" s="80"/>
      <c r="N25" s="80"/>
      <c r="O25" s="80"/>
      <c r="P25" s="80"/>
      <c r="Q25" s="12"/>
      <c r="R25" s="12"/>
    </row>
    <row r="26" spans="1:121">
      <c r="B26" s="81" t="s">
        <v>91</v>
      </c>
      <c r="C26" s="74">
        <f>期望!C26-期望!M25+期望!O25</f>
        <v>0</v>
      </c>
      <c r="E26" s="30"/>
      <c r="L26" s="12"/>
      <c r="M26" s="80"/>
      <c r="N26" s="80"/>
      <c r="O26" s="80"/>
      <c r="P26" s="80"/>
      <c r="Q26" s="12"/>
      <c r="R26" s="12"/>
    </row>
    <row r="27" ht="14.25" spans="1:121">
      <c r="B27" s="82" t="s">
        <v>92</v>
      </c>
      <c r="C27" s="66">
        <v>0</v>
      </c>
      <c r="E27" s="30"/>
    </row>
    <row r="28" ht="14.25" spans="1:121">
      <c r="B28" s="83" t="s">
        <v>93</v>
      </c>
      <c r="C28" s="84">
        <f>期望!C28</f>
        <v>76</v>
      </c>
      <c r="D28" s="85"/>
      <c r="E28" s="86" t="s">
        <v>94</v>
      </c>
      <c r="F28" s="87"/>
      <c r="G28" s="87"/>
      <c r="H28" s="87"/>
      <c r="I28" s="87"/>
      <c r="J28" s="87"/>
      <c r="K28" s="88"/>
      <c r="L28" s="89"/>
      <c r="M28" s="90"/>
      <c r="N28" s="91"/>
      <c r="O28" s="90"/>
      <c r="P28" s="91"/>
      <c r="Q28" s="92" t="s">
        <v>95</v>
      </c>
      <c r="R28" s="93"/>
      <c r="S28" s="93"/>
      <c r="T28" s="93"/>
      <c r="U28" s="93"/>
      <c r="V28" s="93"/>
      <c r="W28" s="94"/>
      <c r="X28" s="95"/>
      <c r="Y28" s="94"/>
      <c r="Z28" s="95"/>
      <c r="AA28" s="94"/>
      <c r="AB28" s="95"/>
      <c r="AC28" s="94"/>
      <c r="AD28" s="95"/>
      <c r="AE28" s="96"/>
      <c r="AF28" s="97" t="s">
        <v>96</v>
      </c>
      <c r="AG28" s="94"/>
      <c r="AH28" s="94"/>
      <c r="AI28" s="93"/>
      <c r="AJ28" s="93"/>
      <c r="AK28" s="93"/>
      <c r="AL28" s="94"/>
      <c r="AM28" s="95"/>
      <c r="AN28" s="94"/>
      <c r="AO28" s="95"/>
      <c r="AP28" s="94"/>
      <c r="AQ28" s="95"/>
      <c r="AR28" s="94"/>
      <c r="AS28" s="95"/>
      <c r="AT28" s="96"/>
      <c r="AU28" s="92" t="s">
        <v>97</v>
      </c>
      <c r="AV28" s="93"/>
      <c r="AW28" s="93"/>
      <c r="AX28" s="93"/>
      <c r="AY28" s="93"/>
      <c r="AZ28" s="93"/>
      <c r="BA28" s="94"/>
      <c r="BB28" s="95"/>
      <c r="BC28" s="94"/>
      <c r="BD28" s="95"/>
      <c r="BE28" s="94"/>
      <c r="BF28" s="95"/>
      <c r="BG28" s="94"/>
      <c r="BH28" s="95"/>
      <c r="BI28" s="96"/>
      <c r="BJ28" s="92" t="s">
        <v>98</v>
      </c>
      <c r="BK28" s="93"/>
      <c r="BL28" s="93"/>
      <c r="BM28" s="93"/>
      <c r="BN28" s="93"/>
      <c r="BO28" s="93"/>
      <c r="BP28" s="94"/>
      <c r="BQ28" s="95"/>
      <c r="BR28" s="94"/>
      <c r="BS28" s="95"/>
      <c r="BT28" s="94"/>
      <c r="BU28" s="95"/>
      <c r="BV28" s="94"/>
      <c r="BW28" s="95"/>
      <c r="BX28" s="96"/>
      <c r="BY28" s="92" t="s">
        <v>3</v>
      </c>
      <c r="BZ28" s="93"/>
      <c r="CA28" s="93"/>
      <c r="CB28" s="93"/>
      <c r="CC28" s="93"/>
      <c r="CD28" s="93"/>
      <c r="CE28" s="94"/>
      <c r="CF28" s="95"/>
      <c r="CG28" s="94"/>
      <c r="CH28" s="95"/>
      <c r="CI28" s="94"/>
      <c r="CJ28" s="95"/>
      <c r="CK28" s="94"/>
      <c r="CL28" s="95"/>
      <c r="CM28" s="96"/>
      <c r="CN28" s="92" t="s">
        <v>99</v>
      </c>
      <c r="CO28" s="93"/>
      <c r="CP28" s="93"/>
      <c r="CQ28" s="93"/>
      <c r="CR28" s="93"/>
      <c r="CS28" s="93"/>
      <c r="CT28" s="94"/>
      <c r="CU28" s="95"/>
      <c r="CV28" s="94"/>
      <c r="CW28" s="95"/>
      <c r="CX28" s="94"/>
      <c r="CY28" s="95"/>
      <c r="CZ28" s="94"/>
      <c r="DA28" s="95"/>
      <c r="DB28" s="96"/>
      <c r="DC28" s="92" t="s">
        <v>100</v>
      </c>
      <c r="DD28" s="93"/>
      <c r="DE28" s="93"/>
      <c r="DF28" s="93"/>
      <c r="DG28" s="93"/>
      <c r="DH28" s="93"/>
      <c r="DI28" s="94"/>
      <c r="DJ28" s="95"/>
      <c r="DK28" s="94"/>
      <c r="DL28" s="95"/>
      <c r="DM28" s="94"/>
      <c r="DN28" s="95"/>
      <c r="DO28" s="94"/>
      <c r="DP28" s="95"/>
      <c r="DQ28" s="96"/>
    </row>
    <row r="29" ht="14.25" spans="1:121">
      <c r="B29" s="98"/>
      <c r="C29" s="99"/>
      <c r="D29" s="100"/>
      <c r="E29" s="101"/>
      <c r="F29" s="102" t="s">
        <v>101</v>
      </c>
      <c r="G29" s="102" t="s">
        <v>102</v>
      </c>
      <c r="H29" s="103" t="s">
        <v>103</v>
      </c>
      <c r="I29" s="104" t="s">
        <v>104</v>
      </c>
      <c r="J29" s="104" t="s">
        <v>105</v>
      </c>
      <c r="K29" s="105" t="s">
        <v>106</v>
      </c>
      <c r="L29" s="106" t="s">
        <v>107</v>
      </c>
      <c r="M29" s="107" t="s">
        <v>108</v>
      </c>
      <c r="N29" s="7" t="s">
        <v>109</v>
      </c>
      <c r="O29" s="108" t="s">
        <v>110</v>
      </c>
      <c r="P29" s="109" t="s">
        <v>111</v>
      </c>
      <c r="Q29" s="110" t="s">
        <v>112</v>
      </c>
      <c r="R29" s="102" t="s">
        <v>113</v>
      </c>
      <c r="S29" s="102" t="s">
        <v>114</v>
      </c>
      <c r="T29" s="104" t="s">
        <v>115</v>
      </c>
      <c r="U29" s="111" t="s">
        <v>116</v>
      </c>
      <c r="V29" s="102" t="s">
        <v>117</v>
      </c>
      <c r="W29" s="103" t="s">
        <v>118</v>
      </c>
      <c r="X29" s="104" t="s">
        <v>119</v>
      </c>
      <c r="Y29" s="103" t="s">
        <v>120</v>
      </c>
      <c r="Z29" s="104" t="s">
        <v>121</v>
      </c>
      <c r="AA29" s="103" t="s">
        <v>122</v>
      </c>
      <c r="AB29" s="104" t="s">
        <v>123</v>
      </c>
      <c r="AC29" s="103" t="s">
        <v>124</v>
      </c>
      <c r="AD29" s="104" t="s">
        <v>125</v>
      </c>
      <c r="AE29" s="112" t="s">
        <v>126</v>
      </c>
      <c r="AF29" s="113" t="s">
        <v>112</v>
      </c>
      <c r="AG29" s="103" t="s">
        <v>113</v>
      </c>
      <c r="AH29" s="103" t="s">
        <v>114</v>
      </c>
      <c r="AI29" s="104" t="s">
        <v>115</v>
      </c>
      <c r="AJ29" s="111" t="s">
        <v>116</v>
      </c>
      <c r="AK29" s="102" t="s">
        <v>117</v>
      </c>
      <c r="AL29" s="103" t="s">
        <v>118</v>
      </c>
      <c r="AM29" s="104" t="s">
        <v>119</v>
      </c>
      <c r="AN29" s="103" t="s">
        <v>120</v>
      </c>
      <c r="AO29" s="104" t="s">
        <v>121</v>
      </c>
      <c r="AP29" s="103" t="s">
        <v>122</v>
      </c>
      <c r="AQ29" s="104" t="s">
        <v>123</v>
      </c>
      <c r="AR29" s="103" t="s">
        <v>124</v>
      </c>
      <c r="AS29" s="104" t="s">
        <v>125</v>
      </c>
      <c r="AT29" s="112" t="s">
        <v>126</v>
      </c>
      <c r="AU29" s="110" t="s">
        <v>112</v>
      </c>
      <c r="AV29" s="102" t="s">
        <v>113</v>
      </c>
      <c r="AW29" s="102" t="s">
        <v>114</v>
      </c>
      <c r="AX29" s="104" t="s">
        <v>115</v>
      </c>
      <c r="AY29" s="111" t="s">
        <v>116</v>
      </c>
      <c r="AZ29" s="102" t="s">
        <v>117</v>
      </c>
      <c r="BA29" s="103" t="s">
        <v>118</v>
      </c>
      <c r="BB29" s="104" t="s">
        <v>119</v>
      </c>
      <c r="BC29" s="103" t="s">
        <v>120</v>
      </c>
      <c r="BD29" s="104" t="s">
        <v>121</v>
      </c>
      <c r="BE29" s="103" t="s">
        <v>122</v>
      </c>
      <c r="BF29" s="104" t="s">
        <v>123</v>
      </c>
      <c r="BG29" s="103" t="s">
        <v>124</v>
      </c>
      <c r="BH29" s="104" t="s">
        <v>125</v>
      </c>
      <c r="BI29" s="112" t="s">
        <v>126</v>
      </c>
      <c r="BJ29" s="110" t="s">
        <v>112</v>
      </c>
      <c r="BK29" s="102" t="s">
        <v>113</v>
      </c>
      <c r="BL29" s="102" t="s">
        <v>114</v>
      </c>
      <c r="BM29" s="104" t="s">
        <v>115</v>
      </c>
      <c r="BN29" s="111" t="s">
        <v>116</v>
      </c>
      <c r="BO29" s="102" t="s">
        <v>117</v>
      </c>
      <c r="BP29" s="103" t="s">
        <v>118</v>
      </c>
      <c r="BQ29" s="104" t="s">
        <v>119</v>
      </c>
      <c r="BR29" s="103" t="s">
        <v>120</v>
      </c>
      <c r="BS29" s="104" t="s">
        <v>121</v>
      </c>
      <c r="BT29" s="103" t="s">
        <v>122</v>
      </c>
      <c r="BU29" s="104" t="s">
        <v>123</v>
      </c>
      <c r="BV29" s="103" t="s">
        <v>124</v>
      </c>
      <c r="BW29" s="104" t="s">
        <v>125</v>
      </c>
      <c r="BX29" s="112" t="s">
        <v>126</v>
      </c>
      <c r="BY29" s="110" t="s">
        <v>112</v>
      </c>
      <c r="BZ29" s="102" t="s">
        <v>113</v>
      </c>
      <c r="CA29" s="102" t="s">
        <v>114</v>
      </c>
      <c r="CB29" s="104" t="s">
        <v>115</v>
      </c>
      <c r="CC29" s="111" t="s">
        <v>116</v>
      </c>
      <c r="CD29" s="102" t="s">
        <v>117</v>
      </c>
      <c r="CE29" s="103" t="s">
        <v>118</v>
      </c>
      <c r="CF29" s="104" t="s">
        <v>119</v>
      </c>
      <c r="CG29" s="103" t="s">
        <v>120</v>
      </c>
      <c r="CH29" s="104" t="s">
        <v>121</v>
      </c>
      <c r="CI29" s="103" t="s">
        <v>122</v>
      </c>
      <c r="CJ29" s="104" t="s">
        <v>123</v>
      </c>
      <c r="CK29" s="103" t="s">
        <v>124</v>
      </c>
      <c r="CL29" s="104" t="s">
        <v>125</v>
      </c>
      <c r="CM29" s="112" t="s">
        <v>126</v>
      </c>
      <c r="CN29" s="110" t="s">
        <v>112</v>
      </c>
      <c r="CO29" s="102" t="s">
        <v>113</v>
      </c>
      <c r="CP29" s="102" t="s">
        <v>114</v>
      </c>
      <c r="CQ29" s="104" t="s">
        <v>115</v>
      </c>
      <c r="CR29" s="111" t="s">
        <v>116</v>
      </c>
      <c r="CS29" s="102" t="s">
        <v>117</v>
      </c>
      <c r="CT29" s="103" t="s">
        <v>118</v>
      </c>
      <c r="CU29" s="104" t="s">
        <v>119</v>
      </c>
      <c r="CV29" s="103" t="s">
        <v>120</v>
      </c>
      <c r="CW29" s="104" t="s">
        <v>121</v>
      </c>
      <c r="CX29" s="103" t="s">
        <v>122</v>
      </c>
      <c r="CY29" s="104" t="s">
        <v>123</v>
      </c>
      <c r="CZ29" s="103" t="s">
        <v>124</v>
      </c>
      <c r="DA29" s="104" t="s">
        <v>125</v>
      </c>
      <c r="DB29" s="112" t="s">
        <v>126</v>
      </c>
      <c r="DC29" s="110" t="s">
        <v>112</v>
      </c>
      <c r="DD29" s="102" t="s">
        <v>113</v>
      </c>
      <c r="DE29" s="102" t="s">
        <v>114</v>
      </c>
      <c r="DF29" s="104" t="s">
        <v>115</v>
      </c>
      <c r="DG29" s="111" t="s">
        <v>116</v>
      </c>
      <c r="DH29" s="102" t="s">
        <v>117</v>
      </c>
      <c r="DI29" s="103" t="s">
        <v>118</v>
      </c>
      <c r="DJ29" s="104" t="s">
        <v>119</v>
      </c>
      <c r="DK29" s="103" t="s">
        <v>120</v>
      </c>
      <c r="DL29" s="104" t="s">
        <v>121</v>
      </c>
      <c r="DM29" s="103" t="s">
        <v>122</v>
      </c>
      <c r="DN29" s="104" t="s">
        <v>123</v>
      </c>
      <c r="DO29" s="103" t="s">
        <v>124</v>
      </c>
      <c r="DP29" s="104" t="s">
        <v>125</v>
      </c>
      <c r="DQ29" s="112" t="s">
        <v>126</v>
      </c>
    </row>
    <row r="30" spans="1:121">
      <c r="B30" s="83" t="s">
        <v>127</v>
      </c>
      <c r="C30" s="20">
        <f>SUM(H30:H103)</f>
        <v>8676792.75964847</v>
      </c>
      <c r="D30" s="114"/>
      <c r="E30" s="115" t="str">
        <f>期望!E30</f>
        <v>伞Q(小纵无滞骨)</v>
      </c>
      <c r="F30" s="116">
        <f>期望!F30</f>
        <v>1</v>
      </c>
      <c r="G30" s="117"/>
      <c r="H30" s="103">
        <f>IF(VLOOKUP($E30,武器奇术!$A:$R,18,FALSE)="天工",AE30,(AE30+AT30+BI30+BX30+CM30+DB30+DQ30))*(1+J30)*F30*K30*(1+G30)</f>
        <v>49906.2682944346</v>
      </c>
      <c r="I30" s="104">
        <f t="shared" ref="I30:I93" si="0">H30/$C$30</f>
        <v>0.00575169531840432</v>
      </c>
      <c r="J30" s="118">
        <f>$F$3+VLOOKUP($E30,武器奇术!$A:$R,12,FALSE)+VLOOKUP($E30,武器奇术!$A:$R,14,FALSE)*$G$3+$P30+IF($F$21="√",5%,0)</f>
        <v>0.523</v>
      </c>
      <c r="K30" s="105">
        <f>VLOOKUP($E30,武器奇术!$A:$R,11,FALSE)</f>
        <v>1</v>
      </c>
      <c r="L30" s="119">
        <f>IF(VLOOKUP($E30,武器奇术!$A:$R,15,FALSE)="天工",0%,IF($C$17+VLOOKUP($E30,武器奇术!$A:$R,7,FALSE)&gt;80%,80%,$C$17+VLOOKUP($E30,武器奇术!$A:$R,7,FALSE))+IF($C$19&gt;20%,20%,$C$19))</f>
        <v>0.8703</v>
      </c>
      <c r="M30" s="120">
        <f>IF(VLOOKUP($E30,武器奇术!$A:$R,15,FALSE)="天工",0%,IF($C$18+VLOOKUP($E30,武器奇术!$A:$R,9,FALSE)&gt;40%,40%,$C$18+VLOOKUP($E30,武器奇术!$A:$R,9,FALSE))+IF($C$20&gt;10%,10%,$C$20))</f>
        <v>0.0986</v>
      </c>
      <c r="N30" s="121">
        <f>IF(VLOOKUP($E30,武器奇术!$A:$R,15,FALSE)="天工",100%,MIN($C$16,1))</f>
        <v>1</v>
      </c>
      <c r="O30" s="122" t="str">
        <f>VLOOKUP($E30,武器奇术!$A:$R,16,FALSE)</f>
        <v>伞</v>
      </c>
      <c r="P30" s="123">
        <f t="shared" ref="P30:P93" si="1">VLOOKUP($O30,$B$22:$C$27,2,FALSE)+IF(OR($O30="伞",$O30="扇"),$C$24,0)</f>
        <v>0.17</v>
      </c>
      <c r="Q30" s="110">
        <f>$B$5*(1+VLOOKUP($E30,武器奇术!$A:$R,5,FALSE))*(1+VLOOKUP($E30,武器奇术!$A:$S,19,FALSE)+IF($G$5="飞隼",0.1,0)+IF($G$5="撼天",0.05,0))-$F$9+IF($J$5="√",160,0)</f>
        <v>3081.85</v>
      </c>
      <c r="R30" s="102">
        <f>IF(VLOOKUP($E30,武器奇术!$A:$Z,18,FALSE)="叶龙",(S30-(Q30+S30)*0.5)*($G$15-0.5)*2+(Q30+S30)*0.5,(Q30+S30)*0.5)</f>
        <v>3161.85</v>
      </c>
      <c r="S30" s="102">
        <f>MAX($C$5,$B$5)*(1+VLOOKUP($E30,武器奇术!$A:$R,6,FALSE))*(1+VLOOKUP($E30,武器奇术!$A:$S,19,FALSE)+IF($G$5="飞隼",0.1,0)+IF($G$5="撼天",0.05,0))-$F$9+IF($J$5="√",320,0)</f>
        <v>3241.85</v>
      </c>
      <c r="T30" s="104">
        <f>IF(($D$5+VLOOKUP($E30,武器奇术!$A:$R,13,FALSE)+IF($I$3="√",10,0)-VLOOKUP($F$7,目标属性!$A:$R,5,FALSE))&gt;0,($D$5+VLOOKUP($E30,武器奇术!$A:$R,13,FALSE)+IF($I$3="√",10,0)-VLOOKUP($F$7,目标属性!$A:$R,5,FALSE))/200,($D$5+VLOOKUP($E30,武器奇术!$A:$R,13,FALSE)+IF($I$3="√",10,0)-VLOOKUP($F$7,目标属性!$A:$R,5,FALSE))/100)</f>
        <v>0.2925</v>
      </c>
      <c r="U30" s="111">
        <f>$E$5+IF($G$5="烟柳",IF(VLOOKUP($E30,武器奇术!$A:$T,20,FALSE)=1,0.1,0),0)</f>
        <v>0.1</v>
      </c>
      <c r="V30" s="102">
        <v>1</v>
      </c>
      <c r="W30" s="103">
        <f>Q30*VLOOKUP($E30,武器奇术!$A:$R,2,FALSE)*(1+T30)*(1+U30)*V30</f>
        <v>10251.6768696788</v>
      </c>
      <c r="X30" s="104">
        <f>(1-IF(VLOOKUP($E30,武器奇术!$A:$R,18,FALSE)="叶龙",1,$N30))*(1-$M30)</f>
        <v>0</v>
      </c>
      <c r="Y30" s="103">
        <f>R30*VLOOKUP($E30,武器奇术!$A:$R,2,FALSE)*(1+T30)*(1+U30)*V30*(1+$E$16+VLOOKUP($E30,武器奇术!$A:$R,8,FALSE))</f>
        <v>21077.6598727482</v>
      </c>
      <c r="Z30" s="104">
        <f t="shared" ref="Z30:Z93" si="2">IF($L30+$M30&lt;=100%,$N30*$L30,$N30*(1-$M30))</f>
        <v>0.8703</v>
      </c>
      <c r="AA30" s="103">
        <f>S30*VLOOKUP($E30,武器奇术!$A:$R,2,FALSE)*(1+T30)*(1+U30)*V30*(1+$E$17+VLOOKUP($E30,武器奇术!$A:$R,10,FALSE))</f>
        <v>14558.2809646663</v>
      </c>
      <c r="AB30" s="104">
        <f t="shared" ref="AB30:AB93" si="3">$M30</f>
        <v>0.0986</v>
      </c>
      <c r="AC30" s="103">
        <f>R30*VLOOKUP($E30,武器奇术!$A:$R,2,FALSE)*(1+T30)*(1+U30)*V30</f>
        <v>10517.7943476788</v>
      </c>
      <c r="AD30" s="104">
        <f t="shared" ref="AD30:AD93" si="4">MAX((1-X30-Z30-AB30),0)</f>
        <v>0.0311</v>
      </c>
      <c r="AE30" s="112">
        <f t="shared" ref="AE30:AE93" si="5">W30*X30+Y30*Z30+AA30*AB30+AC30*AD30</f>
        <v>20106.4372945817</v>
      </c>
      <c r="AF30" s="113">
        <f>VLOOKUP($E30,武器奇术!$A:$R,3,FALSE)*(1+IF(VLOOKUP($E30,武器奇术!$A:$R,15,FALSE)="武器",$E$15,0))</f>
        <v>842.4</v>
      </c>
      <c r="AG30" s="103">
        <f t="shared" ref="AG30:AG93" si="6">(AF30+AH30)/2</f>
        <v>842.4</v>
      </c>
      <c r="AH30" s="103">
        <f>VLOOKUP($E30,武器奇术!$A:$R,3,FALSE)*(1+IF(VLOOKUP($E30,武器奇术!$A:$R,15,FALSE)="武器",$E$15,0))</f>
        <v>842.4</v>
      </c>
      <c r="AI30" s="104">
        <f>IF(($D$5+VLOOKUP($E30,武器奇术!$A:$R,13,FALSE)+IF($I$3="√",10,0)-VLOOKUP($F$7,目标属性!$A:$R,5,FALSE))&gt;0,($D$5+VLOOKUP($E30,武器奇术!$A:$R,13,FALSE)+IF($I$3="√",10,0)-VLOOKUP($F$7,目标属性!$A:$R,5,FALSE))/200,($D$5+VLOOKUP($E30,武器奇术!$A:$R,13,FALSE)+IF($I$3="√",10,0)-VLOOKUP($F$7,目标属性!$A:$R,5,FALSE))/100)</f>
        <v>0.2925</v>
      </c>
      <c r="AJ30" s="111">
        <f>$E$5+IF($G$5="烟柳",IF(VLOOKUP($E30,武器奇术!$A:$T,20,FALSE)=1,0.1,0),0)</f>
        <v>0.1</v>
      </c>
      <c r="AK30" s="102">
        <v>1</v>
      </c>
      <c r="AL30" s="103">
        <f t="shared" ref="AL30:AL93" si="7">AF30*(1+AI30)*(1+AJ30)*AK30</f>
        <v>1197.6822</v>
      </c>
      <c r="AM30" s="104">
        <f>(1-IF(VLOOKUP($E30,武器奇术!$A:$R,18,FALSE)="叶龙",1,$N30))*(1-$M30)</f>
        <v>0</v>
      </c>
      <c r="AN30" s="103">
        <f>AG30*(1+AI30)*(1+AJ30)*AK30*(1+$E$16+VLOOKUP($E30,武器奇术!$A:$R,8,FALSE))</f>
        <v>2400.1551288</v>
      </c>
      <c r="AO30" s="104">
        <f t="shared" ref="AO30:AO93" si="8">IF($L30+$M30&lt;=100%,$N30*$L30,$N30*(1-$M30))</f>
        <v>0.8703</v>
      </c>
      <c r="AP30" s="103">
        <f>AH30*(1+AI30)*(1+AJ30)*AK30*(1+$E$17+VLOOKUP($E30,武器奇术!$A:$R,10,FALSE))</f>
        <v>1616.87097</v>
      </c>
      <c r="AQ30" s="104">
        <f t="shared" ref="AQ30:AQ93" si="9">$M30</f>
        <v>0.0986</v>
      </c>
      <c r="AR30" s="103">
        <f t="shared" ref="AR30:AR93" si="10">AG30*(1+AI30)*(1+AJ30)*AK30</f>
        <v>1197.6822</v>
      </c>
      <c r="AS30" s="104">
        <f t="shared" ref="AS30:AS93" si="11">MAX((1-AM30-AO30-AQ30),0)</f>
        <v>0.0311</v>
      </c>
      <c r="AT30" s="112">
        <f t="shared" ref="AT30:AT93" si="12">AL30*AM30+AN30*AO30+AP30*AQ30+AR30*AS30</f>
        <v>2285.52640265664</v>
      </c>
      <c r="AU30" s="110">
        <f>$B$7*IF($G$5="撼天",1.05,1)+IF(AND(VLOOKUP($E30,武器奇术!$A:$R,15,FALSE)="武器",VLOOKUP($E30,武器奇术!$A:$R,17,FALSE)="鸣金"),$E$3*(1+$E$15),0)</f>
        <v>0</v>
      </c>
      <c r="AV30" s="102">
        <f t="shared" ref="AV30:AV93" si="13">(AU30+AW30)/2</f>
        <v>0</v>
      </c>
      <c r="AW30" s="102">
        <f>MAX($C$7*IF($G$5="撼天",1.05,1)+IF(AND(VLOOKUP($E30,武器奇术!$A:$R,15,FALSE)="武器",VLOOKUP($E30,武器奇术!$A:$R,17,FALSE)="鸣金"),$E$3*(1+$E$15),0),AU30)</f>
        <v>0</v>
      </c>
      <c r="AX30" s="104">
        <f>IF(($D$7+IF(VLOOKUP($E30,武器奇术!$A:$R,17,FALSE)="鸣金",$D$15,0)-VLOOKUP($F$7,目标属性!$A:$R,6,FALSE))&gt;0,($D$7+IF(VLOOKUP($E30,武器奇术!$A:$R,17,FALSE)="鸣金",$D$15,0)-VLOOKUP($F$7,目标属性!$A:$R,6,FALSE))/200,($D$7+IF(VLOOKUP($E30,武器奇术!$A:$R,17,FALSE)="鸣金",$D$15,0)-VLOOKUP($F$7,目标属性!$A:$R,6,FALSE))/100)</f>
        <v>-0.24</v>
      </c>
      <c r="AY30" s="111">
        <f t="shared" ref="AY30:AY93" si="14">$E$7</f>
        <v>0</v>
      </c>
      <c r="AZ30" s="102">
        <v>1</v>
      </c>
      <c r="BA30" s="103">
        <f>AU30*IF(VLOOKUP($E30,武器奇术!$A:$R,17,FALSE)="鸣金",VLOOKUP($E30,武器奇术!$A:$R,4,FALSE),VLOOKUP($E30,武器奇术!$A:$R,2,FALSE))*(1+AX30)*(1+AY30)*AZ30</f>
        <v>0</v>
      </c>
      <c r="BB30" s="104">
        <f>(1-IF(VLOOKUP($E30,武器奇术!$A:$R,18,FALSE)="叶龙",1,$N30))*(1-$M30)</f>
        <v>0</v>
      </c>
      <c r="BC30" s="103">
        <f>AV30*IF(VLOOKUP($E30,武器奇术!$A:$R,17,FALSE)="鸣金",VLOOKUP($E30,武器奇术!$A:$R,4,FALSE),VLOOKUP($E30,武器奇术!$A:$R,2,FALSE))*(1+AX30)*(1+AY30)*AZ30*(1+$E$16+VLOOKUP($E30,武器奇术!$A:$R,8,FALSE))</f>
        <v>0</v>
      </c>
      <c r="BD30" s="104">
        <f t="shared" ref="BD30:BD93" si="15">IF($L30+$M30&lt;=100%,$N30*$L30,$N30*(1-$M30))</f>
        <v>0.8703</v>
      </c>
      <c r="BE30" s="103">
        <f>AW30*IF(VLOOKUP($E30,武器奇术!$A:$R,17,FALSE)="鸣金",VLOOKUP($E30,武器奇术!$A:$R,4,FALSE),VLOOKUP($E30,武器奇术!$A:$R,2,FALSE))*(1+AX30)*(1+AY30)*AZ30*(1+$E$17+VLOOKUP($E30,武器奇术!$A:$R,10,FALSE))</f>
        <v>0</v>
      </c>
      <c r="BF30" s="104">
        <f t="shared" ref="BF30:BF93" si="16">$M30</f>
        <v>0.0986</v>
      </c>
      <c r="BG30" s="103">
        <f>AV30*IF(VLOOKUP($E30,武器奇术!$A:$R,17,FALSE)="鸣金",VLOOKUP($E30,武器奇术!$A:$R,4,FALSE),VLOOKUP($E30,武器奇术!$A:$R,2,FALSE))*(1+AX30)*(1+AY30)*AZ30</f>
        <v>0</v>
      </c>
      <c r="BH30" s="104">
        <f t="shared" ref="BH30:BH93" si="17">MAX((1-BB30-BD30-BF30),0)</f>
        <v>0.0311</v>
      </c>
      <c r="BI30" s="112">
        <f t="shared" ref="BI30:BI93" si="18">BA30*BB30+BC30*BD30+BE30*BF30+BG30*BH30</f>
        <v>0</v>
      </c>
      <c r="BJ30" s="110">
        <f>$B$9*IF($G$5="撼天",1.05,1)+IF(AND(VLOOKUP($E30,武器奇术!$A:$R,15,FALSE)="武器",VLOOKUP($E30,武器奇术!$A:$R,17,FALSE)="裂石"),$E$3*(1+$E$15),0)</f>
        <v>0</v>
      </c>
      <c r="BK30" s="102">
        <f t="shared" ref="BK30:BK93" si="19">(BJ30+BL30)/2</f>
        <v>0</v>
      </c>
      <c r="BL30" s="102">
        <f>MAX($C$9*IF($G$5="撼天",1.05,1)+IF(AND(VLOOKUP($E30,武器奇术!$A:$R,15,FALSE)="武器",VLOOKUP($E30,武器奇术!$A:$R,17,FALSE)="裂石"),$E$3*(1+$E$15),0),BJ30)</f>
        <v>0</v>
      </c>
      <c r="BM30" s="104">
        <f>IF(($D$9+IF(VLOOKUP($E30,武器奇术!$A:$R,17,FALSE)="裂石",$D$15,0)-VLOOKUP($F$7,目标属性!$A:$R,6,FALSE))&gt;0,($D$9+IF(VLOOKUP($E30,武器奇术!$A:$R,17,FALSE)="裂石",$D$15,0)-VLOOKUP($F$7,目标属性!$A:$R,6,FALSE))/200,($D$9+IF(VLOOKUP($E30,武器奇术!$A:$R,17,FALSE)="裂石",$D$15,0)-VLOOKUP($F$7,目标属性!$A:$R,6,FALSE))/100)</f>
        <v>-0.24</v>
      </c>
      <c r="BN30" s="111">
        <f t="shared" ref="BN30:BN93" si="20">$E$9</f>
        <v>0</v>
      </c>
      <c r="BO30" s="102">
        <v>1</v>
      </c>
      <c r="BP30" s="103">
        <f>BJ30*IF(VLOOKUP($E30,武器奇术!$A:$R,17,FALSE)="裂石",VLOOKUP($E30,武器奇术!$A:$R,4,FALSE),VLOOKUP($E30,武器奇术!$A:$R,2,FALSE))*(1+BM30)*(1+BN30)*BO30</f>
        <v>0</v>
      </c>
      <c r="BQ30" s="104">
        <f>(1-IF(VLOOKUP($E30,武器奇术!$A:$R,18,FALSE)="叶龙",1,$N30))*(1-$M30)</f>
        <v>0</v>
      </c>
      <c r="BR30" s="103">
        <f>BK30*IF(VLOOKUP($E30,武器奇术!$A:$R,17,FALSE)="裂石",VLOOKUP($E30,武器奇术!$A:$R,4,FALSE),VLOOKUP($E30,武器奇术!$A:$R,2,FALSE))*(1+BM30)*(1+BN30)*BO30*(1+$E$16+VLOOKUP($E30,武器奇术!$A:$R,8,FALSE))</f>
        <v>0</v>
      </c>
      <c r="BS30" s="104">
        <f t="shared" ref="BS30:BS93" si="21">IF($L30+$M30&lt;=100%,$N30*$L30,$N30*(1-$M30))</f>
        <v>0.8703</v>
      </c>
      <c r="BT30" s="103">
        <f>BL30*IF(VLOOKUP($E30,武器奇术!$A:$R,17,FALSE)="裂石",VLOOKUP($E30,武器奇术!$A:$R,4,FALSE),VLOOKUP($E30,武器奇术!$A:$R,2,FALSE))*(1+BM30)*(1+BN30)*BO30*(1+$E$17+VLOOKUP($E30,武器奇术!$A:$R,10,FALSE))</f>
        <v>0</v>
      </c>
      <c r="BU30" s="104">
        <f t="shared" ref="BU30:BU93" si="22">$M30</f>
        <v>0.0986</v>
      </c>
      <c r="BV30" s="103">
        <f>BK30*IF(VLOOKUP($E30,武器奇术!$A:$R,17,FALSE)="裂石",VLOOKUP($E30,武器奇术!$A:$R,4,FALSE),VLOOKUP($E30,武器奇术!$A:$R,2,FALSE))*(1+BM30)*(1+BN30)*BO30</f>
        <v>0</v>
      </c>
      <c r="BW30" s="104">
        <f t="shared" ref="BW30:BW93" si="23">MAX((1-BQ30-BS30-BU30),0)</f>
        <v>0.0311</v>
      </c>
      <c r="BX30" s="112">
        <f t="shared" ref="BX30:BX93" si="24">BP30*BQ30+BR30*BS30+BT30*BU30+BV30*BW30</f>
        <v>0</v>
      </c>
      <c r="BY30" s="110">
        <f>$B$11*IF($G$5="撼天",1.05,1)+IF(AND(VLOOKUP($E30,武器奇术!$A:$R,15,FALSE)="武器",VLOOKUP($E30,武器奇术!$A:$R,17,FALSE)="牵丝"),$E$3*(1+$E$15),0)</f>
        <v>686.71</v>
      </c>
      <c r="BZ30" s="102">
        <f>IF(VLOOKUP($E30,武器奇术!$A:$Z,18,FALSE)="叶龙",(CA30-(BY30+CA30)*0.5)*($G$15-0.5)*2+(BY30+CA30)*0.5,(BY30+CA30)*0.5)</f>
        <v>1052.21</v>
      </c>
      <c r="CA30" s="102">
        <f>MAX($C$11*IF($G$5="撼天",1.05,1)+IF(AND(VLOOKUP($E30,武器奇术!$A:$R,15,FALSE)="武器",VLOOKUP($E30,武器奇术!$A:$R,17,FALSE)="牵丝"),$E$3*(1+$E$15),0),BY30)</f>
        <v>1417.71</v>
      </c>
      <c r="CB30" s="104">
        <f>IF(($D$11+IF(VLOOKUP($E30,武器奇术!$A:$R,17,FALSE)="牵丝",$D$15,0)-VLOOKUP($F$7,目标属性!$A:$R,6,FALSE))&gt;0,($D$11+IF(VLOOKUP($E30,武器奇术!$A:$R,17,FALSE)="牵丝",$D$15,0)-VLOOKUP($F$7,目标属性!$A:$R,6,FALSE))/200,($D$11+IF(VLOOKUP($E30,武器奇术!$A:$R,17,FALSE)="牵丝",$D$15,0)-VLOOKUP($F$7,目标属性!$A:$R,6,FALSE))/100)</f>
        <v>0.028</v>
      </c>
      <c r="CC30" s="111">
        <f>$E$11+IF($G$5="烟柳",IF(VLOOKUP($E30,武器奇术!$A:$T,20,FALSE)=1,0.1,0),0)</f>
        <v>0.248</v>
      </c>
      <c r="CD30" s="102">
        <v>1</v>
      </c>
      <c r="CE30" s="103">
        <f>BY30*IF(VLOOKUP($E30,武器奇术!$A:$R,17,FALSE)="牵丝",VLOOKUP($E30,武器奇术!$A:$R,4,FALSE),VLOOKUP($E30,武器奇术!$A:$R,2,FALSE))*(1+CB30)*(1+CC30)*CD30</f>
        <v>3091.90625934528</v>
      </c>
      <c r="CF30" s="104">
        <f>(1-IF(VLOOKUP($E30,武器奇术!$A:$R,18,FALSE)="叶龙",1,$N30))*(1-$M30)</f>
        <v>0</v>
      </c>
      <c r="CG30" s="124">
        <f>BZ30*IF(VLOOKUP($E30,武器奇术!$A:$R,17,FALSE)="牵丝",VLOOKUP($E30,武器奇术!$A:$R,4,FALSE),VLOOKUP($E30,武器奇术!$A:$R,2,FALSE))*(1+CB30)*(1+CC30)*CD30*(1+$E$16+VLOOKUP($E30,武器奇术!$A:$R,8,FALSE))</f>
        <v>9494.08441559316</v>
      </c>
      <c r="CH30" s="104">
        <f t="shared" ref="CH30:CH93" si="25">IF($L30+$M30&lt;=100%,$N30*$L30,$N30*(1-$M30))</f>
        <v>0.8703</v>
      </c>
      <c r="CI30" s="103">
        <f>CA30*IF(VLOOKUP($E30,武器奇术!$A:$R,17,FALSE)="牵丝",VLOOKUP($E30,武器奇术!$A:$R,4,FALSE),VLOOKUP($E30,武器奇术!$A:$R,2,FALSE))*(1+CB30)*(1+CC30)*CD30*(1+$E$17+VLOOKUP($E30,武器奇术!$A:$R,10,FALSE))</f>
        <v>8617.35764873693</v>
      </c>
      <c r="CJ30" s="104">
        <f t="shared" ref="CJ30:CJ93" si="26">$M30</f>
        <v>0.0986</v>
      </c>
      <c r="CK30" s="124">
        <f>BZ30*IF(VLOOKUP($E30,武器奇术!$A:$R,17,FALSE)="牵丝",VLOOKUP($E30,武器奇术!$A:$R,4,FALSE),VLOOKUP($E30,武器奇术!$A:$R,2,FALSE))*(1+CB30)*(1+CC30)*CD30</f>
        <v>4737.56707364928</v>
      </c>
      <c r="CL30" s="104">
        <f t="shared" ref="CL30:CL93" si="27">MAX((1-CF30-CH30-CJ30),0)</f>
        <v>0.0311</v>
      </c>
      <c r="CM30" s="112">
        <f t="shared" ref="CM30:CM93" si="28">CE30*CF30+CG30*CH30+CI30*CJ30+CK30*CL30</f>
        <v>9259.71146704668</v>
      </c>
      <c r="CN30" s="110">
        <f>$B$13*IF($G$5="撼天",1.05,1)+IF(AND(VLOOKUP($E30,武器奇术!$A:$R,15,FALSE)="武器",VLOOKUP($E30,武器奇术!$A:$R,17,FALSE)="破竹"),$E$3*(1+$E$15),0)</f>
        <v>0</v>
      </c>
      <c r="CO30" s="102">
        <f t="shared" ref="CO30:CO93" si="29">(CN30+CP30)/2</f>
        <v>0</v>
      </c>
      <c r="CP30" s="102">
        <f>MAX($C$13*IF($G$5="撼天",1.05,1)+IF(AND(VLOOKUP($E30,武器奇术!$A:$R,15,FALSE)="武器",VLOOKUP($E30,武器奇术!$A:$R,17,FALSE)="破竹"),$E$3*(1+$E$15),0),CN30)</f>
        <v>0</v>
      </c>
      <c r="CQ30" s="104">
        <f>IF(($D$13+IF(VLOOKUP($E30,武器奇术!$A:$R,17,FALSE)="破竹",$D$15,0)-VLOOKUP($F$7,目标属性!$A:$R,6,FALSE))&gt;0,($D$13+IF(VLOOKUP($E30,武器奇术!$A:$R,17,FALSE)="破竹",$D$15,0)-VLOOKUP($F$7,目标属性!$A:$R,6,FALSE))/200,($D$13+IF(VLOOKUP($E30,武器奇术!$A:$R,17,FALSE)="破竹",$D$15,0)-VLOOKUP($F$7,目标属性!$A:$R,6,FALSE))/100)</f>
        <v>-0.24</v>
      </c>
      <c r="CR30" s="111">
        <f t="shared" ref="CR30:CR93" si="30">$E$13</f>
        <v>0</v>
      </c>
      <c r="CS30" s="102">
        <v>1</v>
      </c>
      <c r="CT30" s="103">
        <f>CN30*IF(VLOOKUP($E30,武器奇术!$A:$R,17,FALSE)="破竹",VLOOKUP($E30,武器奇术!$A:$R,4,FALSE),VLOOKUP($E30,武器奇术!$A:$R,2,FALSE))*(1+CQ30)*(1+CR30)*CS30</f>
        <v>0</v>
      </c>
      <c r="CU30" s="104">
        <f>(1-IF(VLOOKUP($E30,武器奇术!$A:$R,18,FALSE)="叶龙",1,$N30))*(1-$M30)</f>
        <v>0</v>
      </c>
      <c r="CV30" s="103">
        <f>CO30*IF(VLOOKUP($E30,武器奇术!$A:$R,17,FALSE)="破竹",VLOOKUP($E30,武器奇术!$A:$R,4,FALSE),VLOOKUP($E30,武器奇术!$A:$R,2,FALSE))*(1+CQ30)*(1+CR30)*CS30*(1+$E$16+VLOOKUP($E30,武器奇术!$A:$R,8,FALSE))</f>
        <v>0</v>
      </c>
      <c r="CW30" s="104">
        <f t="shared" ref="CW30:CW93" si="31">IF($L30+$M30&lt;=100%,$N30*$L30,$N30*(1-$M30))</f>
        <v>0.8703</v>
      </c>
      <c r="CX30" s="103">
        <f>CP30*IF(VLOOKUP($E30,武器奇术!$A:$R,17,FALSE)="破竹",VLOOKUP($E30,武器奇术!$A:$R,4,FALSE),VLOOKUP($E30,武器奇术!$A:$R,2,FALSE))*(1+CQ30)*(1+CR30)*CS30*(1+$E$17+VLOOKUP($E30,武器奇术!$A:$R,10,FALSE))</f>
        <v>0</v>
      </c>
      <c r="CY30" s="104">
        <f t="shared" ref="CY30:CY93" si="32">$M30</f>
        <v>0.0986</v>
      </c>
      <c r="CZ30" s="103">
        <f>CO30*IF(VLOOKUP($E30,武器奇术!$A:$R,17,FALSE)="破竹",VLOOKUP($E30,武器奇术!$A:$R,4,FALSE),VLOOKUP($E30,武器奇术!$A:$R,2,FALSE))*(1+CQ30)*(1+CR30)*CS30</f>
        <v>0</v>
      </c>
      <c r="DA30" s="104">
        <f t="shared" ref="DA30:DA93" si="33">MAX((1-CU30-CW30-CY30),0)</f>
        <v>0.0311</v>
      </c>
      <c r="DB30" s="112">
        <f t="shared" ref="DB30:DB93" si="34">CT30*CU30+CV30*CW30+CX30*CY30+CZ30*DA30</f>
        <v>0</v>
      </c>
      <c r="DC30" s="110">
        <f t="shared" ref="DC30:DC93" si="35">$B$15*IF($G$5="撼天",1.05,1)</f>
        <v>66</v>
      </c>
      <c r="DD30" s="102">
        <f t="shared" ref="DD30:DD93" si="36">(DC30+DE30)/2</f>
        <v>125.8</v>
      </c>
      <c r="DE30" s="102">
        <f t="shared" ref="DE30:DE93" si="37">$C$15*IF($G$5="撼天",1.05,1)</f>
        <v>185.6</v>
      </c>
      <c r="DF30" s="104">
        <f>IF((IF(VLOOKUP($E30,武器奇术!$A:$R,17,FALSE)="鸣金",$D$7,0)+IF(VLOOKUP($E30,武器奇术!$A:$R,17,FALSE)="裂石",$D$9,0)+IF(VLOOKUP($E30,武器奇术!$A:$R,17,FALSE)="牵丝",$D$11,0)+IF(VLOOKUP($E30,武器奇术!$A:$R,17,FALSE)="破竹",$D$13,0)+$D$15-VLOOKUP($F$7,目标属性!$A:$R,6,FALSE))&gt;0,(IF(VLOOKUP($E30,武器奇术!$A:$R,17,FALSE)="鸣金",$D$7,0)+IF(VLOOKUP($E30,武器奇术!$A:$R,17,FALSE)="裂石",$D$9,0)+IF(VLOOKUP($E30,武器奇术!$A:$R,17,FALSE)="牵丝",$D$11,0)+IF(VLOOKUP($E30,武器奇术!$A:$R,17,FALSE)="破竹",$D$13,0)+$D$15-VLOOKUP($F$7,目标属性!$A:$R,6,FALSE))/200,(IF(VLOOKUP($E30,武器奇术!$A:$R,17,FALSE)="鸣金",$D$7,0)+IF(VLOOKUP($E30,武器奇术!$A:$R,17,FALSE)="裂石",$D$9,0)+IF(VLOOKUP($E30,武器奇术!$A:$R,17,FALSE)="牵丝",$D$11,0)+IF(VLOOKUP($E30,武器奇术!$A:$R,17,FALSE)="破竹",$D$13,0)+$D$15-VLOOKUP($F$7,目标属性!$A:$R,6,FALSE))/100)</f>
        <v>0.028</v>
      </c>
      <c r="DG30" s="111">
        <f>$E$11+IF($G$5="烟柳",IF(VLOOKUP($E30,武器奇术!$A:$T,20,FALSE)=1,0.1,0),0)</f>
        <v>0.248</v>
      </c>
      <c r="DH30" s="102">
        <v>1</v>
      </c>
      <c r="DI30" s="103">
        <f>DC30*IF(VLOOKUP($E30,武器奇术!$A:$R,17,FALSE)="牵丝",VLOOKUP($E30,武器奇术!$A:$R,4,FALSE),VLOOKUP($E30,武器奇术!$A:$R,2,FALSE))*(1+DF30)*(1+DG30)*DH30</f>
        <v>297.164469888</v>
      </c>
      <c r="DJ30" s="104">
        <f>(1-IF(VLOOKUP($E30,武器奇术!$A:$R,18,FALSE)="叶龙",1,$N30))*(1-$M30)</f>
        <v>0</v>
      </c>
      <c r="DK30" s="124">
        <f>DD30*IF(VLOOKUP($E30,武器奇术!$A:$R,17,FALSE)="牵丝",VLOOKUP($E30,武器奇术!$A:$R,4,FALSE),VLOOKUP($E30,武器奇术!$A:$R,2,FALSE))*(1+DF30)*(1+DG30)*DH30*(1+$E$16+VLOOKUP($E30,武器奇术!$A:$R,8,FALSE))</f>
        <v>1135.0926331071</v>
      </c>
      <c r="DL30" s="104">
        <f t="shared" ref="DL30:DL93" si="38">IF($L30+$M30&lt;=100%,$N30*$L30,$N30*(1-$M30))</f>
        <v>0.8703</v>
      </c>
      <c r="DM30" s="103">
        <f>DE30*IF(VLOOKUP($E30,武器奇术!$A:$R,17,FALSE)="牵丝",VLOOKUP($E30,武器奇术!$A:$R,4,FALSE),VLOOKUP($E30,武器奇术!$A:$R,2,FALSE))*(1+DF30)*(1+DG30)*DH30*(1+$E$17+VLOOKUP($E30,武器奇术!$A:$R,10,FALSE))</f>
        <v>1128.14438750208</v>
      </c>
      <c r="DN30" s="104">
        <f t="shared" ref="DN30:DN93" si="39">$M30</f>
        <v>0.0986</v>
      </c>
      <c r="DO30" s="124">
        <f>DD30*IF(VLOOKUP($E30,武器奇术!$A:$R,17,FALSE)="牵丝",VLOOKUP($E30,武器奇术!$A:$R,4,FALSE),VLOOKUP($E30,武器奇术!$A:$R,2,FALSE))*(1+DF30)*(1+DG30)*DH30</f>
        <v>566.4134895744</v>
      </c>
      <c r="DP30" s="104">
        <f t="shared" ref="DP30:DP93" si="40">MAX((1-DJ30-DL30-DN30),0)</f>
        <v>0.0311</v>
      </c>
      <c r="DQ30" s="112">
        <f t="shared" ref="DQ30:DQ93" si="41">DI30*DJ30+DK30*DL30+DM30*DN30+DO30*DP30</f>
        <v>1116.72161472658</v>
      </c>
    </row>
    <row r="31" spans="1:121">
      <c r="B31" s="125"/>
      <c r="C31" s="21"/>
      <c r="D31" s="126"/>
      <c r="E31" s="115" t="str">
        <f>期望!E31</f>
        <v>丢伞(小纵无滞骨)</v>
      </c>
      <c r="F31" s="116">
        <f>期望!F31</f>
        <v>1</v>
      </c>
      <c r="G31" s="117"/>
      <c r="H31" s="103">
        <f>IF(VLOOKUP($E31,武器奇术!$A:$R,18,FALSE)="天工",AE31,(AE31+AT31+BI31+BX31+CM31+DB31+DQ31))*(1+J31)*F31*K31*(1+G31)</f>
        <v>8569.34961819159</v>
      </c>
      <c r="I31" s="104">
        <f t="shared" si="0"/>
        <v>0.000987617182473627</v>
      </c>
      <c r="J31" s="118">
        <f>$F$3+VLOOKUP($E31,武器奇术!$A:$R,12,FALSE)+VLOOKUP($E31,武器奇术!$A:$R,14,FALSE)*$G$3+$P31+IF($F$21="√",5%,0)</f>
        <v>0.523</v>
      </c>
      <c r="K31" s="105">
        <f>VLOOKUP($E31,武器奇术!$A:$R,11,FALSE)</f>
        <v>1</v>
      </c>
      <c r="L31" s="119">
        <f>IF(VLOOKUP($E31,武器奇术!$A:$R,15,FALSE)="天工",0%,IF($C$17+VLOOKUP($E31,武器奇术!$A:$R,7,FALSE)&gt;80%,80%,$C$17+VLOOKUP($E31,武器奇术!$A:$R,7,FALSE))+IF($C$19&gt;20%,20%,$C$19))</f>
        <v>0.8703</v>
      </c>
      <c r="M31" s="120">
        <f>IF(VLOOKUP($E31,武器奇术!$A:$R,15,FALSE)="天工",0%,IF($C$18+VLOOKUP($E31,武器奇术!$A:$R,9,FALSE)&gt;40%,40%,$C$18+VLOOKUP($E31,武器奇术!$A:$R,9,FALSE))+IF($C$20&gt;10%,10%,$C$20))</f>
        <v>0.0986</v>
      </c>
      <c r="N31" s="121">
        <f>IF(VLOOKUP($E31,武器奇术!$A:$R,15,FALSE)="天工",100%,MIN($C$16,1))</f>
        <v>1</v>
      </c>
      <c r="O31" s="122" t="str">
        <f>VLOOKUP($E31,武器奇术!$A:$R,16,FALSE)</f>
        <v>伞</v>
      </c>
      <c r="P31" s="123">
        <f t="shared" si="1"/>
        <v>0.17</v>
      </c>
      <c r="Q31" s="110">
        <f>$B$5*(1+VLOOKUP($E31,武器奇术!$A:$R,5,FALSE))*(1+VLOOKUP($E31,武器奇术!$A:$S,19,FALSE)+IF($G$5="飞隼",0.1,0)+IF($G$5="撼天",0.05,0))-$F$9+IF($J$5="√",160,0)</f>
        <v>3081.85</v>
      </c>
      <c r="R31" s="102">
        <f>IF(VLOOKUP($E31,武器奇术!$A:$Z,18,FALSE)="叶龙",(S31-(Q31+S31)*0.5)*($G$15-0.5)*2+(Q31+S31)*0.5,(Q31+S31)*0.5)</f>
        <v>3161.85</v>
      </c>
      <c r="S31" s="102">
        <f>MAX($C$5,$B$5)*(1+VLOOKUP($E31,武器奇术!$A:$R,6,FALSE))*(1+VLOOKUP($E31,武器奇术!$A:$S,19,FALSE)+IF($G$5="飞隼",0.1,0)+IF($G$5="撼天",0.05,0))-$F$9+IF($J$5="√",320,0)</f>
        <v>3241.85</v>
      </c>
      <c r="T31" s="104">
        <f>IF(($D$5+VLOOKUP($E31,武器奇术!$A:$R,13,FALSE)+IF($I$3="√",10,0)-VLOOKUP($F$7,目标属性!$A:$R,5,FALSE))&gt;0,($D$5+VLOOKUP($E31,武器奇术!$A:$R,13,FALSE)+IF($I$3="√",10,0)-VLOOKUP($F$7,目标属性!$A:$R,5,FALSE))/200,($D$5+VLOOKUP($E31,武器奇术!$A:$R,13,FALSE)+IF($I$3="√",10,0)-VLOOKUP($F$7,目标属性!$A:$R,5,FALSE))/100)</f>
        <v>0.2675</v>
      </c>
      <c r="U31" s="111">
        <f>$E$5+IF($G$5="烟柳",IF(VLOOKUP($E31,武器奇术!$A:$T,20,FALSE)=1,0.1,0),0)</f>
        <v>0</v>
      </c>
      <c r="V31" s="102">
        <v>1</v>
      </c>
      <c r="W31" s="103">
        <f>Q31*VLOOKUP($E31,武器奇术!$A:$R,2,FALSE)*(1+T31)*(1+U31)*V31</f>
        <v>2105.465987625</v>
      </c>
      <c r="X31" s="104">
        <f>(1-IF(VLOOKUP($E31,武器奇术!$A:$R,18,FALSE)="叶龙",1,$N31))*(1-$M31)</f>
        <v>0</v>
      </c>
      <c r="Y31" s="103">
        <f>R31*VLOOKUP($E31,武器奇术!$A:$R,2,FALSE)*(1+T31)*(1+U31)*V31*(1+$E$16+VLOOKUP($E31,武器奇术!$A:$R,8,FALSE))</f>
        <v>3551.2382460555</v>
      </c>
      <c r="Z31" s="104">
        <f t="shared" si="2"/>
        <v>0.8703</v>
      </c>
      <c r="AA31" s="103">
        <f>S31*VLOOKUP($E31,武器奇术!$A:$R,2,FALSE)*(1+T31)*(1+U31)*V31*(1+$E$17+VLOOKUP($E31,武器奇术!$A:$R,10,FALSE))</f>
        <v>2989.94650329375</v>
      </c>
      <c r="AB31" s="104">
        <f t="shared" si="3"/>
        <v>0.0986</v>
      </c>
      <c r="AC31" s="103">
        <f>R31*VLOOKUP($E31,武器奇术!$A:$R,2,FALSE)*(1+T31)*(1+U31)*V31</f>
        <v>2160.120587625</v>
      </c>
      <c r="AD31" s="104">
        <f t="shared" si="4"/>
        <v>0.0311</v>
      </c>
      <c r="AE31" s="112">
        <f t="shared" si="5"/>
        <v>3452.631121042</v>
      </c>
      <c r="AF31" s="113">
        <f>VLOOKUP($E31,武器奇术!$A:$R,3,FALSE)*(1+IF(VLOOKUP($E31,武器奇术!$A:$R,15,FALSE)="武器",$E$15,0))</f>
        <v>161.8617</v>
      </c>
      <c r="AG31" s="103">
        <f t="shared" si="6"/>
        <v>161.8617</v>
      </c>
      <c r="AH31" s="103">
        <f>VLOOKUP($E31,武器奇术!$A:$R,3,FALSE)*(1+IF(VLOOKUP($E31,武器奇术!$A:$R,15,FALSE)="武器",$E$15,0))</f>
        <v>161.8617</v>
      </c>
      <c r="AI31" s="104">
        <f>IF(($D$5+VLOOKUP($E31,武器奇术!$A:$R,13,FALSE)+IF($I$3="√",10,0)-VLOOKUP($F$7,目标属性!$A:$R,5,FALSE))&gt;0,($D$5+VLOOKUP($E31,武器奇术!$A:$R,13,FALSE)+IF($I$3="√",10,0)-VLOOKUP($F$7,目标属性!$A:$R,5,FALSE))/200,($D$5+VLOOKUP($E31,武器奇术!$A:$R,13,FALSE)+IF($I$3="√",10,0)-VLOOKUP($F$7,目标属性!$A:$R,5,FALSE))/100)</f>
        <v>0.2675</v>
      </c>
      <c r="AJ31" s="111">
        <f>$E$5+IF($G$5="烟柳",IF(VLOOKUP($E31,武器奇术!$A:$T,20,FALSE)=1,0.1,0),0)</f>
        <v>0</v>
      </c>
      <c r="AK31" s="102">
        <v>1</v>
      </c>
      <c r="AL31" s="103">
        <f t="shared" si="7"/>
        <v>205.15970475</v>
      </c>
      <c r="AM31" s="104">
        <f>(1-IF(VLOOKUP($E31,武器奇术!$A:$R,18,FALSE)="叶龙",1,$N31))*(1-$M31)</f>
        <v>0</v>
      </c>
      <c r="AN31" s="103">
        <f>AG31*(1+AI31)*(1+AJ31)*AK31*(1+$E$16+VLOOKUP($E31,武器奇术!$A:$R,8,FALSE))</f>
        <v>337.282554609</v>
      </c>
      <c r="AO31" s="104">
        <f t="shared" si="8"/>
        <v>0.8703</v>
      </c>
      <c r="AP31" s="103">
        <f>AH31*(1+AI31)*(1+AJ31)*AK31*(1+$E$17+VLOOKUP($E31,武器奇术!$A:$R,10,FALSE))</f>
        <v>276.9656014125</v>
      </c>
      <c r="AQ31" s="104">
        <f t="shared" si="9"/>
        <v>0.0986</v>
      </c>
      <c r="AR31" s="103">
        <f t="shared" si="10"/>
        <v>205.15970475</v>
      </c>
      <c r="AS31" s="104">
        <f t="shared" si="11"/>
        <v>0.0311</v>
      </c>
      <c r="AT31" s="112">
        <f t="shared" si="12"/>
        <v>327.22628239321</v>
      </c>
      <c r="AU31" s="110">
        <f>$B$7*IF($G$5="撼天",1.05,1)+IF(AND(VLOOKUP($E31,武器奇术!$A:$R,15,FALSE)="武器",VLOOKUP($E31,武器奇术!$A:$R,17,FALSE)="鸣金"),$E$3*(1+$E$15),0)</f>
        <v>0</v>
      </c>
      <c r="AV31" s="102">
        <f t="shared" si="13"/>
        <v>0</v>
      </c>
      <c r="AW31" s="102">
        <f>MAX($C$7*IF($G$5="撼天",1.05,1)+IF(AND(VLOOKUP($E31,武器奇术!$A:$R,15,FALSE)="武器",VLOOKUP($E31,武器奇术!$A:$R,17,FALSE)="鸣金"),$E$3*(1+$E$15),0),AU31)</f>
        <v>0</v>
      </c>
      <c r="AX31" s="104">
        <f>IF(($D$7+IF(VLOOKUP($E31,武器奇术!$A:$R,17,FALSE)="鸣金",$D$15,0)-VLOOKUP($F$7,目标属性!$A:$R,6,FALSE))&gt;0,($D$7+IF(VLOOKUP($E31,武器奇术!$A:$R,17,FALSE)="鸣金",$D$15,0)-VLOOKUP($F$7,目标属性!$A:$R,6,FALSE))/200,($D$7+IF(VLOOKUP($E31,武器奇术!$A:$R,17,FALSE)="鸣金",$D$15,0)-VLOOKUP($F$7,目标属性!$A:$R,6,FALSE))/100)</f>
        <v>-0.24</v>
      </c>
      <c r="AY31" s="111">
        <f t="shared" si="14"/>
        <v>0</v>
      </c>
      <c r="AZ31" s="102">
        <v>1</v>
      </c>
      <c r="BA31" s="103">
        <f>AU31*IF(VLOOKUP($E31,武器奇术!$A:$R,17,FALSE)="鸣金",VLOOKUP($E31,武器奇术!$A:$R,4,FALSE),VLOOKUP($E31,武器奇术!$A:$R,2,FALSE))*(1+AX31)*(1+AY31)*AZ31</f>
        <v>0</v>
      </c>
      <c r="BB31" s="104">
        <f>(1-IF(VLOOKUP($E31,武器奇术!$A:$R,18,FALSE)="叶龙",1,$N31))*(1-$M31)</f>
        <v>0</v>
      </c>
      <c r="BC31" s="103">
        <f>AV31*IF(VLOOKUP($E31,武器奇术!$A:$R,17,FALSE)="鸣金",VLOOKUP($E31,武器奇术!$A:$R,4,FALSE),VLOOKUP($E31,武器奇术!$A:$R,2,FALSE))*(1+AX31)*(1+AY31)*AZ31*(1+$E$16+VLOOKUP($E31,武器奇术!$A:$R,8,FALSE))</f>
        <v>0</v>
      </c>
      <c r="BD31" s="104">
        <f t="shared" si="15"/>
        <v>0.8703</v>
      </c>
      <c r="BE31" s="103">
        <f>AW31*IF(VLOOKUP($E31,武器奇术!$A:$R,17,FALSE)="鸣金",VLOOKUP($E31,武器奇术!$A:$R,4,FALSE),VLOOKUP($E31,武器奇术!$A:$R,2,FALSE))*(1+AX31)*(1+AY31)*AZ31*(1+$E$17+VLOOKUP($E31,武器奇术!$A:$R,10,FALSE))</f>
        <v>0</v>
      </c>
      <c r="BF31" s="104">
        <f t="shared" si="16"/>
        <v>0.0986</v>
      </c>
      <c r="BG31" s="103">
        <f>AV31*IF(VLOOKUP($E31,武器奇术!$A:$R,17,FALSE)="鸣金",VLOOKUP($E31,武器奇术!$A:$R,4,FALSE),VLOOKUP($E31,武器奇术!$A:$R,2,FALSE))*(1+AX31)*(1+AY31)*AZ31</f>
        <v>0</v>
      </c>
      <c r="BH31" s="104">
        <f t="shared" si="17"/>
        <v>0.0311</v>
      </c>
      <c r="BI31" s="112">
        <f t="shared" si="18"/>
        <v>0</v>
      </c>
      <c r="BJ31" s="110">
        <f>$B$9*IF($G$5="撼天",1.05,1)+IF(AND(VLOOKUP($E31,武器奇术!$A:$R,15,FALSE)="武器",VLOOKUP($E31,武器奇术!$A:$R,17,FALSE)="裂石"),$E$3*(1+$E$15),0)</f>
        <v>0</v>
      </c>
      <c r="BK31" s="102">
        <f t="shared" si="19"/>
        <v>0</v>
      </c>
      <c r="BL31" s="102">
        <f>MAX($C$9*IF($G$5="撼天",1.05,1)+IF(AND(VLOOKUP($E31,武器奇术!$A:$R,15,FALSE)="武器",VLOOKUP($E31,武器奇术!$A:$R,17,FALSE)="裂石"),$E$3*(1+$E$15),0),BJ31)</f>
        <v>0</v>
      </c>
      <c r="BM31" s="104">
        <f>IF(($D$9+IF(VLOOKUP($E31,武器奇术!$A:$R,17,FALSE)="裂石",$D$15,0)-VLOOKUP($F$7,目标属性!$A:$R,6,FALSE))&gt;0,($D$9+IF(VLOOKUP($E31,武器奇术!$A:$R,17,FALSE)="裂石",$D$15,0)-VLOOKUP($F$7,目标属性!$A:$R,6,FALSE))/200,($D$9+IF(VLOOKUP($E31,武器奇术!$A:$R,17,FALSE)="裂石",$D$15,0)-VLOOKUP($F$7,目标属性!$A:$R,6,FALSE))/100)</f>
        <v>-0.24</v>
      </c>
      <c r="BN31" s="111">
        <f t="shared" si="20"/>
        <v>0</v>
      </c>
      <c r="BO31" s="102">
        <v>1</v>
      </c>
      <c r="BP31" s="103">
        <f>BJ31*IF(VLOOKUP($E31,武器奇术!$A:$R,17,FALSE)="裂石",VLOOKUP($E31,武器奇术!$A:$R,4,FALSE),VLOOKUP($E31,武器奇术!$A:$R,2,FALSE))*(1+BM31)*(1+BN31)*BO31</f>
        <v>0</v>
      </c>
      <c r="BQ31" s="104">
        <f>(1-IF(VLOOKUP($E31,武器奇术!$A:$R,18,FALSE)="叶龙",1,$N31))*(1-$M31)</f>
        <v>0</v>
      </c>
      <c r="BR31" s="103">
        <f>BK31*IF(VLOOKUP($E31,武器奇术!$A:$R,17,FALSE)="裂石",VLOOKUP($E31,武器奇术!$A:$R,4,FALSE),VLOOKUP($E31,武器奇术!$A:$R,2,FALSE))*(1+BM31)*(1+BN31)*BO31*(1+$E$16+VLOOKUP($E31,武器奇术!$A:$R,8,FALSE))</f>
        <v>0</v>
      </c>
      <c r="BS31" s="104">
        <f t="shared" si="21"/>
        <v>0.8703</v>
      </c>
      <c r="BT31" s="103">
        <f>BL31*IF(VLOOKUP($E31,武器奇术!$A:$R,17,FALSE)="裂石",VLOOKUP($E31,武器奇术!$A:$R,4,FALSE),VLOOKUP($E31,武器奇术!$A:$R,2,FALSE))*(1+BM31)*(1+BN31)*BO31*(1+$E$17+VLOOKUP($E31,武器奇术!$A:$R,10,FALSE))</f>
        <v>0</v>
      </c>
      <c r="BU31" s="104">
        <f t="shared" si="22"/>
        <v>0.0986</v>
      </c>
      <c r="BV31" s="103">
        <f>BK31*IF(VLOOKUP($E31,武器奇术!$A:$R,17,FALSE)="裂石",VLOOKUP($E31,武器奇术!$A:$R,4,FALSE),VLOOKUP($E31,武器奇术!$A:$R,2,FALSE))*(1+BM31)*(1+BN31)*BO31</f>
        <v>0</v>
      </c>
      <c r="BW31" s="104">
        <f t="shared" si="23"/>
        <v>0.0311</v>
      </c>
      <c r="BX31" s="112">
        <f t="shared" si="24"/>
        <v>0</v>
      </c>
      <c r="BY31" s="110">
        <f>$B$11*IF($G$5="撼天",1.05,1)+IF(AND(VLOOKUP($E31,武器奇术!$A:$R,15,FALSE)="武器",VLOOKUP($E31,武器奇术!$A:$R,17,FALSE)="牵丝"),$E$3*(1+$E$15),0)</f>
        <v>686.71</v>
      </c>
      <c r="BZ31" s="102">
        <f>IF(VLOOKUP($E31,武器奇术!$A:$Z,18,FALSE)="叶龙",(CA31-(BY31+CA31)*0.5)*($G$15-0.5)*2+(BY31+CA31)*0.5,(BY31+CA31)*0.5)</f>
        <v>1052.21</v>
      </c>
      <c r="CA31" s="102">
        <f>MAX($C$11*IF($G$5="撼天",1.05,1)+IF(AND(VLOOKUP($E31,武器奇术!$A:$R,15,FALSE)="武器",VLOOKUP($E31,武器奇术!$A:$R,17,FALSE)="牵丝"),$E$3*(1+$E$15),0),BY31)</f>
        <v>1417.71</v>
      </c>
      <c r="CB31" s="104">
        <f>IF(($D$11+IF(VLOOKUP($E31,武器奇术!$A:$R,17,FALSE)="牵丝",$D$15,0)-VLOOKUP($F$7,目标属性!$A:$R,6,FALSE))&gt;0,($D$11+IF(VLOOKUP($E31,武器奇术!$A:$R,17,FALSE)="牵丝",$D$15,0)-VLOOKUP($F$7,目标属性!$A:$R,6,FALSE))/200,($D$11+IF(VLOOKUP($E31,武器奇术!$A:$R,17,FALSE)="牵丝",$D$15,0)-VLOOKUP($F$7,目标属性!$A:$R,6,FALSE))/100)</f>
        <v>0.028</v>
      </c>
      <c r="CC31" s="111">
        <f>$E$11+IF($G$5="烟柳",IF(VLOOKUP($E31,武器奇术!$A:$T,20,FALSE)=1,0.1,0),0)</f>
        <v>0.148</v>
      </c>
      <c r="CD31" s="102">
        <v>1</v>
      </c>
      <c r="CE31" s="103">
        <f>BY31*IF(VLOOKUP($E31,武器奇术!$A:$R,17,FALSE)="牵丝",VLOOKUP($E31,武器奇术!$A:$R,4,FALSE),VLOOKUP($E31,武器奇术!$A:$R,2,FALSE))*(1+CB31)*(1+CC31)*CD31</f>
        <v>655.22189082504</v>
      </c>
      <c r="CF31" s="104">
        <f>(1-IF(VLOOKUP($E31,武器奇术!$A:$R,18,FALSE)="叶龙",1,$N31))*(1-$M31)</f>
        <v>0</v>
      </c>
      <c r="CG31" s="124">
        <f>BZ31*IF(VLOOKUP($E31,武器奇术!$A:$R,17,FALSE)="牵丝",VLOOKUP($E31,武器奇术!$A:$R,4,FALSE),VLOOKUP($E31,武器奇术!$A:$R,2,FALSE))*(1+CB31)*(1+CC31)*CD31*(1+$E$16+VLOOKUP($E31,武器奇术!$A:$R,8,FALSE))</f>
        <v>1650.51420006233</v>
      </c>
      <c r="CH31" s="104">
        <f t="shared" si="25"/>
        <v>0.8703</v>
      </c>
      <c r="CI31" s="103">
        <f>CA31*IF(VLOOKUP($E31,武器奇术!$A:$R,17,FALSE)="牵丝",VLOOKUP($E31,武器奇术!$A:$R,4,FALSE),VLOOKUP($E31,武器奇术!$A:$R,2,FALSE))*(1+CB31)*(1+CC31)*CD31*(1+$E$17+VLOOKUP($E31,武器奇术!$A:$R,10,FALSE))</f>
        <v>1826.1489511382</v>
      </c>
      <c r="CJ31" s="104">
        <f t="shared" si="26"/>
        <v>0.0986</v>
      </c>
      <c r="CK31" s="124">
        <f>BZ31*IF(VLOOKUP($E31,武器奇术!$A:$R,17,FALSE)="牵丝",VLOOKUP($E31,武器奇术!$A:$R,4,FALSE),VLOOKUP($E31,武器奇术!$A:$R,2,FALSE))*(1+CB31)*(1+CC31)*CD31</f>
        <v>1003.96240879704</v>
      </c>
      <c r="CL31" s="104">
        <f t="shared" si="27"/>
        <v>0.0311</v>
      </c>
      <c r="CM31" s="112">
        <f t="shared" si="28"/>
        <v>1647.72402581006</v>
      </c>
      <c r="CN31" s="110">
        <f>$B$13*IF($G$5="撼天",1.05,1)+IF(AND(VLOOKUP($E31,武器奇术!$A:$R,15,FALSE)="武器",VLOOKUP($E31,武器奇术!$A:$R,17,FALSE)="破竹"),$E$3*(1+$E$15),0)</f>
        <v>0</v>
      </c>
      <c r="CO31" s="102">
        <f t="shared" si="29"/>
        <v>0</v>
      </c>
      <c r="CP31" s="102">
        <f>MAX($C$13*IF($G$5="撼天",1.05,1)+IF(AND(VLOOKUP($E31,武器奇术!$A:$R,15,FALSE)="武器",VLOOKUP($E31,武器奇术!$A:$R,17,FALSE)="破竹"),$E$3*(1+$E$15),0),CN31)</f>
        <v>0</v>
      </c>
      <c r="CQ31" s="104">
        <f>IF(($D$13+IF(VLOOKUP($E31,武器奇术!$A:$R,17,FALSE)="破竹",$D$15,0)-VLOOKUP($F$7,目标属性!$A:$R,6,FALSE))&gt;0,($D$13+IF(VLOOKUP($E31,武器奇术!$A:$R,17,FALSE)="破竹",$D$15,0)-VLOOKUP($F$7,目标属性!$A:$R,6,FALSE))/200,($D$13+IF(VLOOKUP($E31,武器奇术!$A:$R,17,FALSE)="破竹",$D$15,0)-VLOOKUP($F$7,目标属性!$A:$R,6,FALSE))/100)</f>
        <v>-0.24</v>
      </c>
      <c r="CR31" s="111">
        <f t="shared" si="30"/>
        <v>0</v>
      </c>
      <c r="CS31" s="102">
        <v>1</v>
      </c>
      <c r="CT31" s="103">
        <f>CN31*IF(VLOOKUP($E31,武器奇术!$A:$R,17,FALSE)="破竹",VLOOKUP($E31,武器奇术!$A:$R,4,FALSE),VLOOKUP($E31,武器奇术!$A:$R,2,FALSE))*(1+CQ31)*(1+CR31)*CS31</f>
        <v>0</v>
      </c>
      <c r="CU31" s="104">
        <f>(1-IF(VLOOKUP($E31,武器奇术!$A:$R,18,FALSE)="叶龙",1,$N31))*(1-$M31)</f>
        <v>0</v>
      </c>
      <c r="CV31" s="103">
        <f>CO31*IF(VLOOKUP($E31,武器奇术!$A:$R,17,FALSE)="破竹",VLOOKUP($E31,武器奇术!$A:$R,4,FALSE),VLOOKUP($E31,武器奇术!$A:$R,2,FALSE))*(1+CQ31)*(1+CR31)*CS31*(1+$E$16+VLOOKUP($E31,武器奇术!$A:$R,8,FALSE))</f>
        <v>0</v>
      </c>
      <c r="CW31" s="104">
        <f t="shared" si="31"/>
        <v>0.8703</v>
      </c>
      <c r="CX31" s="103">
        <f>CP31*IF(VLOOKUP($E31,武器奇术!$A:$R,17,FALSE)="破竹",VLOOKUP($E31,武器奇术!$A:$R,4,FALSE),VLOOKUP($E31,武器奇术!$A:$R,2,FALSE))*(1+CQ31)*(1+CR31)*CS31*(1+$E$17+VLOOKUP($E31,武器奇术!$A:$R,10,FALSE))</f>
        <v>0</v>
      </c>
      <c r="CY31" s="104">
        <f t="shared" si="32"/>
        <v>0.0986</v>
      </c>
      <c r="CZ31" s="103">
        <f>CO31*IF(VLOOKUP($E31,武器奇术!$A:$R,17,FALSE)="破竹",VLOOKUP($E31,武器奇术!$A:$R,4,FALSE),VLOOKUP($E31,武器奇术!$A:$R,2,FALSE))*(1+CQ31)*(1+CR31)*CS31</f>
        <v>0</v>
      </c>
      <c r="DA31" s="104">
        <f t="shared" si="33"/>
        <v>0.0311</v>
      </c>
      <c r="DB31" s="112">
        <f t="shared" si="34"/>
        <v>0</v>
      </c>
      <c r="DC31" s="110">
        <f t="shared" si="35"/>
        <v>66</v>
      </c>
      <c r="DD31" s="102">
        <f t="shared" si="36"/>
        <v>125.8</v>
      </c>
      <c r="DE31" s="102">
        <f t="shared" si="37"/>
        <v>185.6</v>
      </c>
      <c r="DF31" s="104">
        <f>IF((IF(VLOOKUP($E31,武器奇术!$A:$R,17,FALSE)="鸣金",$D$7,0)+IF(VLOOKUP($E31,武器奇术!$A:$R,17,FALSE)="裂石",$D$9,0)+IF(VLOOKUP($E31,武器奇术!$A:$R,17,FALSE)="牵丝",$D$11,0)+IF(VLOOKUP($E31,武器奇术!$A:$R,17,FALSE)="破竹",$D$13,0)+$D$15-VLOOKUP($F$7,目标属性!$A:$R,6,FALSE))&gt;0,(IF(VLOOKUP($E31,武器奇术!$A:$R,17,FALSE)="鸣金",$D$7,0)+IF(VLOOKUP($E31,武器奇术!$A:$R,17,FALSE)="裂石",$D$9,0)+IF(VLOOKUP($E31,武器奇术!$A:$R,17,FALSE)="牵丝",$D$11,0)+IF(VLOOKUP($E31,武器奇术!$A:$R,17,FALSE)="破竹",$D$13,0)+$D$15-VLOOKUP($F$7,目标属性!$A:$R,6,FALSE))/200,(IF(VLOOKUP($E31,武器奇术!$A:$R,17,FALSE)="鸣金",$D$7,0)+IF(VLOOKUP($E31,武器奇术!$A:$R,17,FALSE)="裂石",$D$9,0)+IF(VLOOKUP($E31,武器奇术!$A:$R,17,FALSE)="牵丝",$D$11,0)+IF(VLOOKUP($E31,武器奇术!$A:$R,17,FALSE)="破竹",$D$13,0)+$D$15-VLOOKUP($F$7,目标属性!$A:$R,6,FALSE))/100)</f>
        <v>0.028</v>
      </c>
      <c r="DG31" s="111">
        <f>$E$11+IF($G$5="烟柳",IF(VLOOKUP($E31,武器奇术!$A:$T,20,FALSE)=1,0.1,0),0)</f>
        <v>0.148</v>
      </c>
      <c r="DH31" s="102">
        <v>1</v>
      </c>
      <c r="DI31" s="103">
        <f>DC31*IF(VLOOKUP($E31,武器奇术!$A:$R,17,FALSE)="牵丝",VLOOKUP($E31,武器奇术!$A:$R,4,FALSE),VLOOKUP($E31,武器奇术!$A:$R,2,FALSE))*(1+DF31)*(1+DG31)*DH31</f>
        <v>62.973663984</v>
      </c>
      <c r="DJ31" s="104">
        <f>(1-IF(VLOOKUP($E31,武器奇术!$A:$R,18,FALSE)="叶龙",1,$N31))*(1-$M31)</f>
        <v>0</v>
      </c>
      <c r="DK31" s="124">
        <f>DD31*IF(VLOOKUP($E31,武器奇术!$A:$R,17,FALSE)="牵丝",VLOOKUP($E31,武器奇术!$A:$R,4,FALSE),VLOOKUP($E31,武器奇术!$A:$R,2,FALSE))*(1+DF31)*(1+DG31)*DH31*(1+$E$16+VLOOKUP($E31,武器奇术!$A:$R,8,FALSE))</f>
        <v>197.331983508845</v>
      </c>
      <c r="DL31" s="104">
        <f t="shared" si="38"/>
        <v>0.8703</v>
      </c>
      <c r="DM31" s="103">
        <f>DE31*IF(VLOOKUP($E31,武器奇术!$A:$R,17,FALSE)="牵丝",VLOOKUP($E31,武器奇术!$A:$R,4,FALSE),VLOOKUP($E31,武器奇术!$A:$R,2,FALSE))*(1+DF31)*(1+DG31)*DH31*(1+$E$17+VLOOKUP($E31,武器奇术!$A:$R,10,FALSE))</f>
        <v>239.07092799744</v>
      </c>
      <c r="DN31" s="104">
        <f t="shared" si="39"/>
        <v>0.0986</v>
      </c>
      <c r="DO31" s="124">
        <f>DD31*IF(VLOOKUP($E31,武器奇术!$A:$R,17,FALSE)="牵丝",VLOOKUP($E31,武器奇术!$A:$R,4,FALSE),VLOOKUP($E31,武器奇术!$A:$R,2,FALSE))*(1+DF31)*(1+DG31)*DH31</f>
        <v>120.0316201392</v>
      </c>
      <c r="DP31" s="104">
        <f t="shared" si="40"/>
        <v>0.0311</v>
      </c>
      <c r="DQ31" s="112">
        <f t="shared" si="41"/>
        <v>199.043402134624</v>
      </c>
    </row>
    <row r="32" spans="1:121">
      <c r="B32" s="125"/>
      <c r="C32" s="21"/>
      <c r="D32" s="126"/>
      <c r="E32" s="115" t="str">
        <f>期望!E32</f>
        <v>扇～(小纵)</v>
      </c>
      <c r="F32" s="116">
        <f>期望!F32</f>
        <v>1</v>
      </c>
      <c r="G32" s="117"/>
      <c r="H32" s="103">
        <f>IF(VLOOKUP($E32,武器奇术!$A:$R,18,FALSE)="天工",AE32,(AE32+AT32+BI32+BX32+CM32+DB32+DQ32))*(1+J32)*F32*K32*(1+G32)</f>
        <v>19593.2548974584</v>
      </c>
      <c r="I32" s="104">
        <f t="shared" si="0"/>
        <v>0.00225812180147682</v>
      </c>
      <c r="J32" s="118">
        <f>$F$3+VLOOKUP($E32,武器奇术!$A:$R,12,FALSE)+VLOOKUP($E32,武器奇术!$A:$R,14,FALSE)*$G$3+$P32+IF($F$21="√",5%,0)</f>
        <v>0.467</v>
      </c>
      <c r="K32" s="105">
        <f>VLOOKUP($E32,武器奇术!$A:$R,11,FALSE)</f>
        <v>1</v>
      </c>
      <c r="L32" s="119">
        <f>IF(VLOOKUP($E32,武器奇术!$A:$R,15,FALSE)="天工",0%,IF($C$17+VLOOKUP($E32,武器奇术!$A:$R,7,FALSE)&gt;80%,80%,$C$17+VLOOKUP($E32,武器奇术!$A:$R,7,FALSE))+IF($C$19&gt;20%,20%,$C$19))</f>
        <v>0.8703</v>
      </c>
      <c r="M32" s="120">
        <f>IF(VLOOKUP($E32,武器奇术!$A:$R,15,FALSE)="天工",0%,IF($C$18+VLOOKUP($E32,武器奇术!$A:$R,9,FALSE)&gt;40%,40%,$C$18+VLOOKUP($E32,武器奇术!$A:$R,9,FALSE))+IF($C$20&gt;10%,10%,$C$20))</f>
        <v>0.0986</v>
      </c>
      <c r="N32" s="121">
        <f>IF(VLOOKUP($E32,武器奇术!$A:$R,15,FALSE)="天工",100%,MIN($C$16,1))</f>
        <v>1</v>
      </c>
      <c r="O32" s="122" t="str">
        <f>VLOOKUP($E32,武器奇术!$A:$R,16,FALSE)</f>
        <v>扇</v>
      </c>
      <c r="P32" s="123">
        <f t="shared" si="1"/>
        <v>0.084</v>
      </c>
      <c r="Q32" s="110">
        <f>$B$5*(1+VLOOKUP($E32,武器奇术!$A:$R,5,FALSE))*(1+VLOOKUP($E32,武器奇术!$A:$S,19,FALSE)+IF($G$5="飞隼",0.1,0)+IF($G$5="撼天",0.05,0))-$F$9+IF($J$5="√",160,0)</f>
        <v>3081.85</v>
      </c>
      <c r="R32" s="102">
        <f>IF(VLOOKUP($E32,武器奇术!$A:$Z,18,FALSE)="叶龙",(S32-(Q32+S32)*0.5)*($G$15-0.5)*2+(Q32+S32)*0.5,(Q32+S32)*0.5)</f>
        <v>3161.85</v>
      </c>
      <c r="S32" s="102">
        <f>MAX($C$5,$B$5)*(1+VLOOKUP($E32,武器奇术!$A:$R,6,FALSE))*(1+VLOOKUP($E32,武器奇术!$A:$S,19,FALSE)+IF($G$5="飞隼",0.1,0)+IF($G$5="撼天",0.05,0))-$F$9+IF($J$5="√",320,0)</f>
        <v>3241.85</v>
      </c>
      <c r="T32" s="104">
        <f>IF(($D$5+VLOOKUP($E32,武器奇术!$A:$R,13,FALSE)+IF($I$3="√",10,0)-VLOOKUP($F$7,目标属性!$A:$R,5,FALSE))&gt;0,($D$5+VLOOKUP($E32,武器奇术!$A:$R,13,FALSE)+IF($I$3="√",10,0)-VLOOKUP($F$7,目标属性!$A:$R,5,FALSE))/200,($D$5+VLOOKUP($E32,武器奇术!$A:$R,13,FALSE)+IF($I$3="√",10,0)-VLOOKUP($F$7,目标属性!$A:$R,5,FALSE))/100)</f>
        <v>0.2675</v>
      </c>
      <c r="U32" s="111">
        <f>$E$5+IF($G$5="烟柳",IF(VLOOKUP($E32,武器奇术!$A:$T,20,FALSE)=1,0.1,0),0)</f>
        <v>0</v>
      </c>
      <c r="V32" s="102">
        <v>1</v>
      </c>
      <c r="W32" s="103">
        <f>Q32*VLOOKUP($E32,武器奇术!$A:$R,2,FALSE)*(1+T32)*(1+U32)*V32</f>
        <v>4997.2590685875</v>
      </c>
      <c r="X32" s="104">
        <f>(1-IF(VLOOKUP($E32,武器奇术!$A:$R,18,FALSE)="叶龙",1,$N32))*(1-$M32)</f>
        <v>0</v>
      </c>
      <c r="Y32" s="103">
        <f>R32*VLOOKUP($E32,武器奇术!$A:$R,2,FALSE)*(1+T32)*(1+U32)*V32*(1+$E$16+VLOOKUP($E32,武器奇术!$A:$R,8,FALSE))</f>
        <v>8428.75526563785</v>
      </c>
      <c r="Z32" s="104">
        <f t="shared" si="2"/>
        <v>0.8703</v>
      </c>
      <c r="AA32" s="103">
        <f>S32*VLOOKUP($E32,武器奇术!$A:$R,2,FALSE)*(1+T32)*(1+U32)*V32*(1+$E$17+VLOOKUP($E32,武器奇术!$A:$R,10,FALSE))</f>
        <v>7096.54649659313</v>
      </c>
      <c r="AB32" s="104">
        <f t="shared" si="3"/>
        <v>0.0986</v>
      </c>
      <c r="AC32" s="103">
        <f>R32*VLOOKUP($E32,武器奇术!$A:$R,2,FALSE)*(1+T32)*(1+U32)*V32</f>
        <v>5126.9800885875</v>
      </c>
      <c r="AD32" s="104">
        <f t="shared" si="4"/>
        <v>0.0311</v>
      </c>
      <c r="AE32" s="112">
        <f t="shared" si="5"/>
        <v>8194.71427300377</v>
      </c>
      <c r="AF32" s="113">
        <f>VLOOKUP($E32,武器奇术!$A:$R,3,FALSE)*(1+IF(VLOOKUP($E32,武器奇术!$A:$R,15,FALSE)="武器",$E$15,0))</f>
        <v>384.8</v>
      </c>
      <c r="AG32" s="103">
        <f t="shared" si="6"/>
        <v>384.8</v>
      </c>
      <c r="AH32" s="103">
        <f>VLOOKUP($E32,武器奇术!$A:$R,3,FALSE)*(1+IF(VLOOKUP($E32,武器奇术!$A:$R,15,FALSE)="武器",$E$15,0))</f>
        <v>384.8</v>
      </c>
      <c r="AI32" s="104">
        <f>IF(($D$5+VLOOKUP($E32,武器奇术!$A:$R,13,FALSE)+IF($I$3="√",10,0)-VLOOKUP($F$7,目标属性!$A:$R,5,FALSE))&gt;0,($D$5+VLOOKUP($E32,武器奇术!$A:$R,13,FALSE)+IF($I$3="√",10,0)-VLOOKUP($F$7,目标属性!$A:$R,5,FALSE))/200,($D$5+VLOOKUP($E32,武器奇术!$A:$R,13,FALSE)+IF($I$3="√",10,0)-VLOOKUP($F$7,目标属性!$A:$R,5,FALSE))/100)</f>
        <v>0.2675</v>
      </c>
      <c r="AJ32" s="111">
        <f>$E$5+IF($G$5="烟柳",IF(VLOOKUP($E32,武器奇术!$A:$T,20,FALSE)=1,0.1,0),0)</f>
        <v>0</v>
      </c>
      <c r="AK32" s="102">
        <v>1</v>
      </c>
      <c r="AL32" s="103">
        <f t="shared" si="7"/>
        <v>487.734</v>
      </c>
      <c r="AM32" s="104">
        <f>(1-IF(VLOOKUP($E32,武器奇术!$A:$R,18,FALSE)="叶龙",1,$N32))*(1-$M32)</f>
        <v>0</v>
      </c>
      <c r="AN32" s="103">
        <f>AG32*(1+AI32)*(1+AJ32)*AK32*(1+$E$16+VLOOKUP($E32,武器奇术!$A:$R,8,FALSE))</f>
        <v>801.834696</v>
      </c>
      <c r="AO32" s="104">
        <f t="shared" si="8"/>
        <v>0.8703</v>
      </c>
      <c r="AP32" s="103">
        <f>AH32*(1+AI32)*(1+AJ32)*AK32*(1+$E$17+VLOOKUP($E32,武器奇术!$A:$R,10,FALSE))</f>
        <v>658.4409</v>
      </c>
      <c r="AQ32" s="104">
        <f t="shared" si="9"/>
        <v>0.0986</v>
      </c>
      <c r="AR32" s="103">
        <f t="shared" si="10"/>
        <v>487.734</v>
      </c>
      <c r="AS32" s="104">
        <f t="shared" si="11"/>
        <v>0.0311</v>
      </c>
      <c r="AT32" s="112">
        <f t="shared" si="12"/>
        <v>777.9275360688</v>
      </c>
      <c r="AU32" s="110">
        <f>$B$7*IF($G$5="撼天",1.05,1)+IF(AND(VLOOKUP($E32,武器奇术!$A:$R,15,FALSE)="武器",VLOOKUP($E32,武器奇术!$A:$R,17,FALSE)="鸣金"),$E$3*(1+$E$15),0)</f>
        <v>0</v>
      </c>
      <c r="AV32" s="102">
        <f t="shared" si="13"/>
        <v>0</v>
      </c>
      <c r="AW32" s="102">
        <f>MAX($C$7*IF($G$5="撼天",1.05,1)+IF(AND(VLOOKUP($E32,武器奇术!$A:$R,15,FALSE)="武器",VLOOKUP($E32,武器奇术!$A:$R,17,FALSE)="鸣金"),$E$3*(1+$E$15),0),AU32)</f>
        <v>0</v>
      </c>
      <c r="AX32" s="104">
        <f>IF(($D$7+IF(VLOOKUP($E32,武器奇术!$A:$R,17,FALSE)="鸣金",$D$15,0)-VLOOKUP($F$7,目标属性!$A:$R,6,FALSE))&gt;0,($D$7+IF(VLOOKUP($E32,武器奇术!$A:$R,17,FALSE)="鸣金",$D$15,0)-VLOOKUP($F$7,目标属性!$A:$R,6,FALSE))/200,($D$7+IF(VLOOKUP($E32,武器奇术!$A:$R,17,FALSE)="鸣金",$D$15,0)-VLOOKUP($F$7,目标属性!$A:$R,6,FALSE))/100)</f>
        <v>-0.24</v>
      </c>
      <c r="AY32" s="111">
        <f t="shared" si="14"/>
        <v>0</v>
      </c>
      <c r="AZ32" s="102">
        <v>1</v>
      </c>
      <c r="BA32" s="103">
        <f>AU32*IF(VLOOKUP($E32,武器奇术!$A:$R,17,FALSE)="鸣金",VLOOKUP($E32,武器奇术!$A:$R,4,FALSE),VLOOKUP($E32,武器奇术!$A:$R,2,FALSE))*(1+AX32)*(1+AY32)*AZ32</f>
        <v>0</v>
      </c>
      <c r="BB32" s="104">
        <f>(1-IF(VLOOKUP($E32,武器奇术!$A:$R,18,FALSE)="叶龙",1,$N32))*(1-$M32)</f>
        <v>0</v>
      </c>
      <c r="BC32" s="103">
        <f>AV32*IF(VLOOKUP($E32,武器奇术!$A:$R,17,FALSE)="鸣金",VLOOKUP($E32,武器奇术!$A:$R,4,FALSE),VLOOKUP($E32,武器奇术!$A:$R,2,FALSE))*(1+AX32)*(1+AY32)*AZ32*(1+$E$16+VLOOKUP($E32,武器奇术!$A:$R,8,FALSE))</f>
        <v>0</v>
      </c>
      <c r="BD32" s="104">
        <f t="shared" si="15"/>
        <v>0.8703</v>
      </c>
      <c r="BE32" s="103">
        <f>AW32*IF(VLOOKUP($E32,武器奇术!$A:$R,17,FALSE)="鸣金",VLOOKUP($E32,武器奇术!$A:$R,4,FALSE),VLOOKUP($E32,武器奇术!$A:$R,2,FALSE))*(1+AX32)*(1+AY32)*AZ32*(1+$E$17+VLOOKUP($E32,武器奇术!$A:$R,10,FALSE))</f>
        <v>0</v>
      </c>
      <c r="BF32" s="104">
        <f t="shared" si="16"/>
        <v>0.0986</v>
      </c>
      <c r="BG32" s="103">
        <f>AV32*IF(VLOOKUP($E32,武器奇术!$A:$R,17,FALSE)="鸣金",VLOOKUP($E32,武器奇术!$A:$R,4,FALSE),VLOOKUP($E32,武器奇术!$A:$R,2,FALSE))*(1+AX32)*(1+AY32)*AZ32</f>
        <v>0</v>
      </c>
      <c r="BH32" s="104">
        <f t="shared" si="17"/>
        <v>0.0311</v>
      </c>
      <c r="BI32" s="112">
        <f t="shared" si="18"/>
        <v>0</v>
      </c>
      <c r="BJ32" s="110">
        <f>$B$9*IF($G$5="撼天",1.05,1)+IF(AND(VLOOKUP($E32,武器奇术!$A:$R,15,FALSE)="武器",VLOOKUP($E32,武器奇术!$A:$R,17,FALSE)="裂石"),$E$3*(1+$E$15),0)</f>
        <v>0</v>
      </c>
      <c r="BK32" s="102">
        <f t="shared" si="19"/>
        <v>0</v>
      </c>
      <c r="BL32" s="102">
        <f>MAX($C$9*IF($G$5="撼天",1.05,1)+IF(AND(VLOOKUP($E32,武器奇术!$A:$R,15,FALSE)="武器",VLOOKUP($E32,武器奇术!$A:$R,17,FALSE)="裂石"),$E$3*(1+$E$15),0),BJ32)</f>
        <v>0</v>
      </c>
      <c r="BM32" s="104">
        <f>IF(($D$9+IF(VLOOKUP($E32,武器奇术!$A:$R,17,FALSE)="裂石",$D$15,0)-VLOOKUP($F$7,目标属性!$A:$R,6,FALSE))&gt;0,($D$9+IF(VLOOKUP($E32,武器奇术!$A:$R,17,FALSE)="裂石",$D$15,0)-VLOOKUP($F$7,目标属性!$A:$R,6,FALSE))/200,($D$9+IF(VLOOKUP($E32,武器奇术!$A:$R,17,FALSE)="裂石",$D$15,0)-VLOOKUP($F$7,目标属性!$A:$R,6,FALSE))/100)</f>
        <v>-0.24</v>
      </c>
      <c r="BN32" s="111">
        <f t="shared" si="20"/>
        <v>0</v>
      </c>
      <c r="BO32" s="102">
        <v>1</v>
      </c>
      <c r="BP32" s="103">
        <f>BJ32*IF(VLOOKUP($E32,武器奇术!$A:$R,17,FALSE)="裂石",VLOOKUP($E32,武器奇术!$A:$R,4,FALSE),VLOOKUP($E32,武器奇术!$A:$R,2,FALSE))*(1+BM32)*(1+BN32)*BO32</f>
        <v>0</v>
      </c>
      <c r="BQ32" s="104">
        <f>(1-IF(VLOOKUP($E32,武器奇术!$A:$R,18,FALSE)="叶龙",1,$N32))*(1-$M32)</f>
        <v>0</v>
      </c>
      <c r="BR32" s="103">
        <f>BK32*IF(VLOOKUP($E32,武器奇术!$A:$R,17,FALSE)="裂石",VLOOKUP($E32,武器奇术!$A:$R,4,FALSE),VLOOKUP($E32,武器奇术!$A:$R,2,FALSE))*(1+BM32)*(1+BN32)*BO32*(1+$E$16+VLOOKUP($E32,武器奇术!$A:$R,8,FALSE))</f>
        <v>0</v>
      </c>
      <c r="BS32" s="104">
        <f t="shared" si="21"/>
        <v>0.8703</v>
      </c>
      <c r="BT32" s="103">
        <f>BL32*IF(VLOOKUP($E32,武器奇术!$A:$R,17,FALSE)="裂石",VLOOKUP($E32,武器奇术!$A:$R,4,FALSE),VLOOKUP($E32,武器奇术!$A:$R,2,FALSE))*(1+BM32)*(1+BN32)*BO32*(1+$E$17+VLOOKUP($E32,武器奇术!$A:$R,10,FALSE))</f>
        <v>0</v>
      </c>
      <c r="BU32" s="104">
        <f t="shared" si="22"/>
        <v>0.0986</v>
      </c>
      <c r="BV32" s="103">
        <f>BK32*IF(VLOOKUP($E32,武器奇术!$A:$R,17,FALSE)="裂石",VLOOKUP($E32,武器奇术!$A:$R,4,FALSE),VLOOKUP($E32,武器奇术!$A:$R,2,FALSE))*(1+BM32)*(1+BN32)*BO32</f>
        <v>0</v>
      </c>
      <c r="BW32" s="104">
        <f t="shared" si="23"/>
        <v>0.0311</v>
      </c>
      <c r="BX32" s="112">
        <f t="shared" si="24"/>
        <v>0</v>
      </c>
      <c r="BY32" s="110">
        <f>$B$11*IF($G$5="撼天",1.05,1)+IF(AND(VLOOKUP($E32,武器奇术!$A:$R,15,FALSE)="武器",VLOOKUP($E32,武器奇术!$A:$R,17,FALSE)="牵丝"),$E$3*(1+$E$15),0)</f>
        <v>686.71</v>
      </c>
      <c r="BZ32" s="102">
        <f>IF(VLOOKUP($E32,武器奇术!$A:$Z,18,FALSE)="叶龙",(CA32-(BY32+CA32)*0.5)*($G$15-0.5)*2+(BY32+CA32)*0.5,(BY32+CA32)*0.5)</f>
        <v>1052.21</v>
      </c>
      <c r="CA32" s="102">
        <f>MAX($C$11*IF($G$5="撼天",1.05,1)+IF(AND(VLOOKUP($E32,武器奇术!$A:$R,15,FALSE)="武器",VLOOKUP($E32,武器奇术!$A:$R,17,FALSE)="牵丝"),$E$3*(1+$E$15),0),BY32)</f>
        <v>1417.71</v>
      </c>
      <c r="CB32" s="104">
        <f>IF(($D$11+IF(VLOOKUP($E32,武器奇术!$A:$R,17,FALSE)="牵丝",$D$15,0)-VLOOKUP($F$7,目标属性!$A:$R,6,FALSE))&gt;0,($D$11+IF(VLOOKUP($E32,武器奇术!$A:$R,17,FALSE)="牵丝",$D$15,0)-VLOOKUP($F$7,目标属性!$A:$R,6,FALSE))/200,($D$11+IF(VLOOKUP($E32,武器奇术!$A:$R,17,FALSE)="牵丝",$D$15,0)-VLOOKUP($F$7,目标属性!$A:$R,6,FALSE))/100)</f>
        <v>0.028</v>
      </c>
      <c r="CC32" s="111">
        <f>$E$11+IF($G$5="烟柳",IF(VLOOKUP($E32,武器奇术!$A:$T,20,FALSE)=1,0.1,0),0)</f>
        <v>0.148</v>
      </c>
      <c r="CD32" s="102">
        <v>1</v>
      </c>
      <c r="CE32" s="103">
        <f>BY32*IF(VLOOKUP($E32,武器奇术!$A:$R,17,FALSE)="牵丝",VLOOKUP($E32,武器奇术!$A:$R,4,FALSE),VLOOKUP($E32,武器奇术!$A:$R,2,FALSE))*(1+CB32)*(1+CC32)*CD32</f>
        <v>1555.18962089456</v>
      </c>
      <c r="CF32" s="104">
        <f>(1-IF(VLOOKUP($E32,武器奇术!$A:$R,18,FALSE)="叶龙",1,$N32))*(1-$M32)</f>
        <v>0</v>
      </c>
      <c r="CG32" s="124">
        <f>BZ32*IF(VLOOKUP($E32,武器奇术!$A:$R,17,FALSE)="牵丝",VLOOKUP($E32,武器奇术!$A:$R,4,FALSE),VLOOKUP($E32,武器奇术!$A:$R,2,FALSE))*(1+CB32)*(1+CC32)*CD32*(1+$E$16+VLOOKUP($E32,武器奇术!$A:$R,8,FALSE))</f>
        <v>3917.54700051901</v>
      </c>
      <c r="CH32" s="104">
        <f t="shared" si="25"/>
        <v>0.8703</v>
      </c>
      <c r="CI32" s="103">
        <f>CA32*IF(VLOOKUP($E32,武器奇术!$A:$R,17,FALSE)="牵丝",VLOOKUP($E32,武器奇术!$A:$R,4,FALSE),VLOOKUP($E32,武器奇术!$A:$R,2,FALSE))*(1+CB32)*(1+CC32)*CD32*(1+$E$17+VLOOKUP($E32,武器奇术!$A:$R,10,FALSE))</f>
        <v>4334.42156738926</v>
      </c>
      <c r="CJ32" s="104">
        <f t="shared" si="26"/>
        <v>0.0986</v>
      </c>
      <c r="CK32" s="124">
        <f>BZ32*IF(VLOOKUP($E32,武器奇术!$A:$R,17,FALSE)="牵丝",VLOOKUP($E32,武器奇术!$A:$R,4,FALSE),VLOOKUP($E32,武器奇术!$A:$R,2,FALSE))*(1+CB32)*(1+CC32)*CD32</f>
        <v>2382.93613170256</v>
      </c>
      <c r="CL32" s="104">
        <f t="shared" si="27"/>
        <v>0.0311</v>
      </c>
      <c r="CM32" s="112">
        <f t="shared" si="28"/>
        <v>3910.92443479222</v>
      </c>
      <c r="CN32" s="110">
        <f>$B$13*IF($G$5="撼天",1.05,1)+IF(AND(VLOOKUP($E32,武器奇术!$A:$R,15,FALSE)="武器",VLOOKUP($E32,武器奇术!$A:$R,17,FALSE)="破竹"),$E$3*(1+$E$15),0)</f>
        <v>0</v>
      </c>
      <c r="CO32" s="102">
        <f t="shared" si="29"/>
        <v>0</v>
      </c>
      <c r="CP32" s="102">
        <f>MAX($C$13*IF($G$5="撼天",1.05,1)+IF(AND(VLOOKUP($E32,武器奇术!$A:$R,15,FALSE)="武器",VLOOKUP($E32,武器奇术!$A:$R,17,FALSE)="破竹"),$E$3*(1+$E$15),0),CN32)</f>
        <v>0</v>
      </c>
      <c r="CQ32" s="104">
        <f>IF(($D$13+IF(VLOOKUP($E32,武器奇术!$A:$R,17,FALSE)="破竹",$D$15,0)-VLOOKUP($F$7,目标属性!$A:$R,6,FALSE))&gt;0,($D$13+IF(VLOOKUP($E32,武器奇术!$A:$R,17,FALSE)="破竹",$D$15,0)-VLOOKUP($F$7,目标属性!$A:$R,6,FALSE))/200,($D$13+IF(VLOOKUP($E32,武器奇术!$A:$R,17,FALSE)="破竹",$D$15,0)-VLOOKUP($F$7,目标属性!$A:$R,6,FALSE))/100)</f>
        <v>-0.24</v>
      </c>
      <c r="CR32" s="111">
        <f t="shared" si="30"/>
        <v>0</v>
      </c>
      <c r="CS32" s="102">
        <v>1</v>
      </c>
      <c r="CT32" s="103">
        <f>CN32*IF(VLOOKUP($E32,武器奇术!$A:$R,17,FALSE)="破竹",VLOOKUP($E32,武器奇术!$A:$R,4,FALSE),VLOOKUP($E32,武器奇术!$A:$R,2,FALSE))*(1+CQ32)*(1+CR32)*CS32</f>
        <v>0</v>
      </c>
      <c r="CU32" s="104">
        <f>(1-IF(VLOOKUP($E32,武器奇术!$A:$R,18,FALSE)="叶龙",1,$N32))*(1-$M32)</f>
        <v>0</v>
      </c>
      <c r="CV32" s="103">
        <f>CO32*IF(VLOOKUP($E32,武器奇术!$A:$R,17,FALSE)="破竹",VLOOKUP($E32,武器奇术!$A:$R,4,FALSE),VLOOKUP($E32,武器奇术!$A:$R,2,FALSE))*(1+CQ32)*(1+CR32)*CS32*(1+$E$16+VLOOKUP($E32,武器奇术!$A:$R,8,FALSE))</f>
        <v>0</v>
      </c>
      <c r="CW32" s="104">
        <f t="shared" si="31"/>
        <v>0.8703</v>
      </c>
      <c r="CX32" s="103">
        <f>CP32*IF(VLOOKUP($E32,武器奇术!$A:$R,17,FALSE)="破竹",VLOOKUP($E32,武器奇术!$A:$R,4,FALSE),VLOOKUP($E32,武器奇术!$A:$R,2,FALSE))*(1+CQ32)*(1+CR32)*CS32*(1+$E$17+VLOOKUP($E32,武器奇术!$A:$R,10,FALSE))</f>
        <v>0</v>
      </c>
      <c r="CY32" s="104">
        <f t="shared" si="32"/>
        <v>0.0986</v>
      </c>
      <c r="CZ32" s="103">
        <f>CO32*IF(VLOOKUP($E32,武器奇术!$A:$R,17,FALSE)="破竹",VLOOKUP($E32,武器奇术!$A:$R,4,FALSE),VLOOKUP($E32,武器奇术!$A:$R,2,FALSE))*(1+CQ32)*(1+CR32)*CS32</f>
        <v>0</v>
      </c>
      <c r="DA32" s="104">
        <f t="shared" si="33"/>
        <v>0.0311</v>
      </c>
      <c r="DB32" s="112">
        <f t="shared" si="34"/>
        <v>0</v>
      </c>
      <c r="DC32" s="110">
        <f t="shared" si="35"/>
        <v>66</v>
      </c>
      <c r="DD32" s="102">
        <f t="shared" si="36"/>
        <v>125.8</v>
      </c>
      <c r="DE32" s="102">
        <f t="shared" si="37"/>
        <v>185.6</v>
      </c>
      <c r="DF32" s="104">
        <f>IF((IF(VLOOKUP($E32,武器奇术!$A:$R,17,FALSE)="鸣金",$D$7,0)+IF(VLOOKUP($E32,武器奇术!$A:$R,17,FALSE)="裂石",$D$9,0)+IF(VLOOKUP($E32,武器奇术!$A:$R,17,FALSE)="牵丝",$D$11,0)+IF(VLOOKUP($E32,武器奇术!$A:$R,17,FALSE)="破竹",$D$13,0)+$D$15-VLOOKUP($F$7,目标属性!$A:$R,6,FALSE))&gt;0,(IF(VLOOKUP($E32,武器奇术!$A:$R,17,FALSE)="鸣金",$D$7,0)+IF(VLOOKUP($E32,武器奇术!$A:$R,17,FALSE)="裂石",$D$9,0)+IF(VLOOKUP($E32,武器奇术!$A:$R,17,FALSE)="牵丝",$D$11,0)+IF(VLOOKUP($E32,武器奇术!$A:$R,17,FALSE)="破竹",$D$13,0)+$D$15-VLOOKUP($F$7,目标属性!$A:$R,6,FALSE))/200,(IF(VLOOKUP($E32,武器奇术!$A:$R,17,FALSE)="鸣金",$D$7,0)+IF(VLOOKUP($E32,武器奇术!$A:$R,17,FALSE)="裂石",$D$9,0)+IF(VLOOKUP($E32,武器奇术!$A:$R,17,FALSE)="牵丝",$D$11,0)+IF(VLOOKUP($E32,武器奇术!$A:$R,17,FALSE)="破竹",$D$13,0)+$D$15-VLOOKUP($F$7,目标属性!$A:$R,6,FALSE))/100)</f>
        <v>0.028</v>
      </c>
      <c r="DG32" s="111">
        <f>$E$11+IF($G$5="烟柳",IF(VLOOKUP($E32,武器奇术!$A:$T,20,FALSE)=1,0.1,0),0)</f>
        <v>0.148</v>
      </c>
      <c r="DH32" s="102">
        <v>1</v>
      </c>
      <c r="DI32" s="103">
        <f>DC32*IF(VLOOKUP($E32,武器奇术!$A:$R,17,FALSE)="牵丝",VLOOKUP($E32,武器奇术!$A:$R,4,FALSE),VLOOKUP($E32,武器奇术!$A:$R,2,FALSE))*(1+DF32)*(1+DG32)*DH32</f>
        <v>149.469958176</v>
      </c>
      <c r="DJ32" s="104">
        <f>(1-IF(VLOOKUP($E32,武器奇术!$A:$R,18,FALSE)="叶龙",1,$N32))*(1-$M32)</f>
        <v>0</v>
      </c>
      <c r="DK32" s="124">
        <f>DD32*IF(VLOOKUP($E32,武器奇术!$A:$R,17,FALSE)="牵丝",VLOOKUP($E32,武器奇术!$A:$R,4,FALSE),VLOOKUP($E32,武器奇术!$A:$R,2,FALSE))*(1+DF32)*(1+DG32)*DH32*(1+$E$16+VLOOKUP($E32,武器奇术!$A:$R,8,FALSE))</f>
        <v>468.373625669107</v>
      </c>
      <c r="DL32" s="104">
        <f t="shared" si="38"/>
        <v>0.8703</v>
      </c>
      <c r="DM32" s="103">
        <f>DE32*IF(VLOOKUP($E32,武器奇术!$A:$R,17,FALSE)="牵丝",VLOOKUP($E32,武器奇术!$A:$R,4,FALSE),VLOOKUP($E32,武器奇术!$A:$R,2,FALSE))*(1+DF32)*(1+DG32)*DH32*(1+$E$17+VLOOKUP($E32,武器奇术!$A:$R,10,FALSE))</f>
        <v>567.44231394816</v>
      </c>
      <c r="DN32" s="104">
        <f t="shared" si="39"/>
        <v>0.0986</v>
      </c>
      <c r="DO32" s="124">
        <f>DD32*IF(VLOOKUP($E32,武器奇术!$A:$R,17,FALSE)="牵丝",VLOOKUP($E32,武器奇术!$A:$R,4,FALSE),VLOOKUP($E32,武器奇术!$A:$R,2,FALSE))*(1+DF32)*(1+DG32)*DH32</f>
        <v>284.8987990688</v>
      </c>
      <c r="DP32" s="104">
        <f t="shared" si="40"/>
        <v>0.0311</v>
      </c>
      <c r="DQ32" s="112">
        <f t="shared" si="41"/>
        <v>472.435731226152</v>
      </c>
    </row>
    <row r="33" spans="2:121">
      <c r="B33" s="125"/>
      <c r="C33" s="21"/>
      <c r="D33" s="126"/>
      <c r="E33" s="115" t="str">
        <f>期望!E33</f>
        <v>扇Q(小纵)</v>
      </c>
      <c r="F33" s="116">
        <f>期望!F33</f>
        <v>1</v>
      </c>
      <c r="G33" s="117"/>
      <c r="H33" s="103">
        <f>IF(VLOOKUP($E33,武器奇术!$A:$R,18,FALSE)="天工",AE33,(AE33+AT33+BI33+BX33+CM33+DB33+DQ33))*(1+J33)*F33*K33*(1+G33)</f>
        <v>14193.6576261809</v>
      </c>
      <c r="I33" s="104">
        <f t="shared" si="0"/>
        <v>0.00163581844344476</v>
      </c>
      <c r="J33" s="118">
        <f>$F$3+VLOOKUP($E33,武器奇术!$A:$R,12,FALSE)+VLOOKUP($E33,武器奇术!$A:$R,14,FALSE)*$G$3+$P33+IF($F$21="√",5%,0)</f>
        <v>0.467</v>
      </c>
      <c r="K33" s="105">
        <f>VLOOKUP($E33,武器奇术!$A:$R,11,FALSE)</f>
        <v>1</v>
      </c>
      <c r="L33" s="119">
        <f>IF(VLOOKUP($E33,武器奇术!$A:$R,15,FALSE)="天工",0%,IF($C$17+VLOOKUP($E33,武器奇术!$A:$R,7,FALSE)&gt;80%,80%,$C$17+VLOOKUP($E33,武器奇术!$A:$R,7,FALSE))+IF($C$19&gt;20%,20%,$C$19))</f>
        <v>0.8703</v>
      </c>
      <c r="M33" s="120">
        <f>IF(VLOOKUP($E33,武器奇术!$A:$R,15,FALSE)="天工",0%,IF($C$18+VLOOKUP($E33,武器奇术!$A:$R,9,FALSE)&gt;40%,40%,$C$18+VLOOKUP($E33,武器奇术!$A:$R,9,FALSE))+IF($C$20&gt;10%,10%,$C$20))</f>
        <v>0.0986</v>
      </c>
      <c r="N33" s="121">
        <f>IF(VLOOKUP($E33,武器奇术!$A:$R,15,FALSE)="天工",100%,MIN($C$16,1))</f>
        <v>1</v>
      </c>
      <c r="O33" s="122" t="str">
        <f>VLOOKUP($E33,武器奇术!$A:$R,16,FALSE)</f>
        <v>扇</v>
      </c>
      <c r="P33" s="123">
        <f t="shared" si="1"/>
        <v>0.084</v>
      </c>
      <c r="Q33" s="110">
        <f>$B$5*(1+VLOOKUP($E33,武器奇术!$A:$R,5,FALSE))*(1+VLOOKUP($E33,武器奇术!$A:$S,19,FALSE)+IF($G$5="飞隼",0.1,0)+IF($G$5="撼天",0.05,0))-$F$9+IF($J$5="√",160,0)</f>
        <v>3081.85</v>
      </c>
      <c r="R33" s="102">
        <f>IF(VLOOKUP($E33,武器奇术!$A:$Z,18,FALSE)="叶龙",(S33-(Q33+S33)*0.5)*($G$15-0.5)*2+(Q33+S33)*0.5,(Q33+S33)*0.5)</f>
        <v>3161.85</v>
      </c>
      <c r="S33" s="102">
        <f>MAX($C$5,$B$5)*(1+VLOOKUP($E33,武器奇术!$A:$R,6,FALSE))*(1+VLOOKUP($E33,武器奇术!$A:$S,19,FALSE)+IF($G$5="飞隼",0.1,0)+IF($G$5="撼天",0.05,0))-$F$9+IF($J$5="√",320,0)</f>
        <v>3241.85</v>
      </c>
      <c r="T33" s="104">
        <f>IF(($D$5+VLOOKUP($E33,武器奇术!$A:$R,13,FALSE)+IF($I$3="√",10,0)-VLOOKUP($F$7,目标属性!$A:$R,5,FALSE))&gt;0,($D$5+VLOOKUP($E33,武器奇术!$A:$R,13,FALSE)+IF($I$3="√",10,0)-VLOOKUP($F$7,目标属性!$A:$R,5,FALSE))/200,($D$5+VLOOKUP($E33,武器奇术!$A:$R,13,FALSE)+IF($I$3="√",10,0)-VLOOKUP($F$7,目标属性!$A:$R,5,FALSE))/100)</f>
        <v>0.2675</v>
      </c>
      <c r="U33" s="111">
        <f>$E$5+IF($G$5="烟柳",IF(VLOOKUP($E33,武器奇术!$A:$T,20,FALSE)=1,0.1,0),0)</f>
        <v>0</v>
      </c>
      <c r="V33" s="102">
        <v>1</v>
      </c>
      <c r="W33" s="103">
        <f>Q33*VLOOKUP($E33,武器奇术!$A:$R,2,FALSE)*(1+T33)*(1+U33)*V33</f>
        <v>3619.526501175</v>
      </c>
      <c r="X33" s="104">
        <f>(1-IF(VLOOKUP($E33,武器奇术!$A:$R,18,FALSE)="叶龙",1,$N33))*(1-$M33)</f>
        <v>0</v>
      </c>
      <c r="Y33" s="103">
        <f>R33*VLOOKUP($E33,武器奇术!$A:$R,2,FALSE)*(1+T33)*(1+U33)*V33*(1+$E$16+VLOOKUP($E33,武器奇术!$A:$R,8,FALSE))</f>
        <v>6104.9672704917</v>
      </c>
      <c r="Z33" s="104">
        <f t="shared" si="2"/>
        <v>0.8703</v>
      </c>
      <c r="AA33" s="103">
        <f>S33*VLOOKUP($E33,武器奇术!$A:$R,2,FALSE)*(1+T33)*(1+U33)*V33*(1+$E$17+VLOOKUP($E33,武器奇术!$A:$R,10,FALSE))</f>
        <v>5140.04532458625</v>
      </c>
      <c r="AB33" s="104">
        <f t="shared" si="3"/>
        <v>0.0986</v>
      </c>
      <c r="AC33" s="103">
        <f>R33*VLOOKUP($E33,武器奇术!$A:$R,2,FALSE)*(1+T33)*(1+U33)*V33</f>
        <v>3713.483741175</v>
      </c>
      <c r="AD33" s="104">
        <f t="shared" si="4"/>
        <v>0.0311</v>
      </c>
      <c r="AE33" s="112">
        <f t="shared" si="5"/>
        <v>5935.45082886367</v>
      </c>
      <c r="AF33" s="113">
        <f>VLOOKUP($E33,武器奇术!$A:$R,3,FALSE)*(1+IF(VLOOKUP($E33,武器奇术!$A:$R,15,FALSE)="武器",$E$15,0))</f>
        <v>279.5</v>
      </c>
      <c r="AG33" s="103">
        <f t="shared" si="6"/>
        <v>279.5</v>
      </c>
      <c r="AH33" s="103">
        <f>VLOOKUP($E33,武器奇术!$A:$R,3,FALSE)*(1+IF(VLOOKUP($E33,武器奇术!$A:$R,15,FALSE)="武器",$E$15,0))</f>
        <v>279.5</v>
      </c>
      <c r="AI33" s="104">
        <f>IF(($D$5+VLOOKUP($E33,武器奇术!$A:$R,13,FALSE)+IF($I$3="√",10,0)-VLOOKUP($F$7,目标属性!$A:$R,5,FALSE))&gt;0,($D$5+VLOOKUP($E33,武器奇术!$A:$R,13,FALSE)+IF($I$3="√",10,0)-VLOOKUP($F$7,目标属性!$A:$R,5,FALSE))/200,($D$5+VLOOKUP($E33,武器奇术!$A:$R,13,FALSE)+IF($I$3="√",10,0)-VLOOKUP($F$7,目标属性!$A:$R,5,FALSE))/100)</f>
        <v>0.2675</v>
      </c>
      <c r="AJ33" s="111">
        <f>$E$5+IF($G$5="烟柳",IF(VLOOKUP($E33,武器奇术!$A:$T,20,FALSE)=1,0.1,0),0)</f>
        <v>0</v>
      </c>
      <c r="AK33" s="102">
        <v>1</v>
      </c>
      <c r="AL33" s="103">
        <f t="shared" si="7"/>
        <v>354.26625</v>
      </c>
      <c r="AM33" s="104">
        <f>(1-IF(VLOOKUP($E33,武器奇术!$A:$R,18,FALSE)="叶龙",1,$N33))*(1-$M33)</f>
        <v>0</v>
      </c>
      <c r="AN33" s="103">
        <f>AG33*(1+AI33)*(1+AJ33)*AK33*(1+$E$16+VLOOKUP($E33,武器奇术!$A:$R,8,FALSE))</f>
        <v>582.413715</v>
      </c>
      <c r="AO33" s="104">
        <f t="shared" si="8"/>
        <v>0.8703</v>
      </c>
      <c r="AP33" s="103">
        <f>AH33*(1+AI33)*(1+AJ33)*AK33*(1+$E$17+VLOOKUP($E33,武器奇术!$A:$R,10,FALSE))</f>
        <v>478.2594375</v>
      </c>
      <c r="AQ33" s="104">
        <f t="shared" si="9"/>
        <v>0.0986</v>
      </c>
      <c r="AR33" s="103">
        <f t="shared" si="10"/>
        <v>354.26625</v>
      </c>
      <c r="AS33" s="104">
        <f t="shared" si="11"/>
        <v>0.0311</v>
      </c>
      <c r="AT33" s="112">
        <f t="shared" si="12"/>
        <v>565.048717077</v>
      </c>
      <c r="AU33" s="110">
        <f>$B$7*IF($G$5="撼天",1.05,1)+IF(AND(VLOOKUP($E33,武器奇术!$A:$R,15,FALSE)="武器",VLOOKUP($E33,武器奇术!$A:$R,17,FALSE)="鸣金"),$E$3*(1+$E$15),0)</f>
        <v>0</v>
      </c>
      <c r="AV33" s="102">
        <f t="shared" si="13"/>
        <v>0</v>
      </c>
      <c r="AW33" s="102">
        <f>MAX($C$7*IF($G$5="撼天",1.05,1)+IF(AND(VLOOKUP($E33,武器奇术!$A:$R,15,FALSE)="武器",VLOOKUP($E33,武器奇术!$A:$R,17,FALSE)="鸣金"),$E$3*(1+$E$15),0),AU33)</f>
        <v>0</v>
      </c>
      <c r="AX33" s="104">
        <f>IF(($D$7+IF(VLOOKUP($E33,武器奇术!$A:$R,17,FALSE)="鸣金",$D$15,0)-VLOOKUP($F$7,目标属性!$A:$R,6,FALSE))&gt;0,($D$7+IF(VLOOKUP($E33,武器奇术!$A:$R,17,FALSE)="鸣金",$D$15,0)-VLOOKUP($F$7,目标属性!$A:$R,6,FALSE))/200,($D$7+IF(VLOOKUP($E33,武器奇术!$A:$R,17,FALSE)="鸣金",$D$15,0)-VLOOKUP($F$7,目标属性!$A:$R,6,FALSE))/100)</f>
        <v>-0.24</v>
      </c>
      <c r="AY33" s="111">
        <f t="shared" si="14"/>
        <v>0</v>
      </c>
      <c r="AZ33" s="102">
        <v>1</v>
      </c>
      <c r="BA33" s="103">
        <f>AU33*IF(VLOOKUP($E33,武器奇术!$A:$R,17,FALSE)="鸣金",VLOOKUP($E33,武器奇术!$A:$R,4,FALSE),VLOOKUP($E33,武器奇术!$A:$R,2,FALSE))*(1+AX33)*(1+AY33)*AZ33</f>
        <v>0</v>
      </c>
      <c r="BB33" s="104">
        <f>(1-IF(VLOOKUP($E33,武器奇术!$A:$R,18,FALSE)="叶龙",1,$N33))*(1-$M33)</f>
        <v>0</v>
      </c>
      <c r="BC33" s="103">
        <f>AV33*IF(VLOOKUP($E33,武器奇术!$A:$R,17,FALSE)="鸣金",VLOOKUP($E33,武器奇术!$A:$R,4,FALSE),VLOOKUP($E33,武器奇术!$A:$R,2,FALSE))*(1+AX33)*(1+AY33)*AZ33*(1+$E$16+VLOOKUP($E33,武器奇术!$A:$R,8,FALSE))</f>
        <v>0</v>
      </c>
      <c r="BD33" s="104">
        <f t="shared" si="15"/>
        <v>0.8703</v>
      </c>
      <c r="BE33" s="103">
        <f>AW33*IF(VLOOKUP($E33,武器奇术!$A:$R,17,FALSE)="鸣金",VLOOKUP($E33,武器奇术!$A:$R,4,FALSE),VLOOKUP($E33,武器奇术!$A:$R,2,FALSE))*(1+AX33)*(1+AY33)*AZ33*(1+$E$17+VLOOKUP($E33,武器奇术!$A:$R,10,FALSE))</f>
        <v>0</v>
      </c>
      <c r="BF33" s="104">
        <f t="shared" si="16"/>
        <v>0.0986</v>
      </c>
      <c r="BG33" s="103">
        <f>AV33*IF(VLOOKUP($E33,武器奇术!$A:$R,17,FALSE)="鸣金",VLOOKUP($E33,武器奇术!$A:$R,4,FALSE),VLOOKUP($E33,武器奇术!$A:$R,2,FALSE))*(1+AX33)*(1+AY33)*AZ33</f>
        <v>0</v>
      </c>
      <c r="BH33" s="104">
        <f t="shared" si="17"/>
        <v>0.0311</v>
      </c>
      <c r="BI33" s="112">
        <f t="shared" si="18"/>
        <v>0</v>
      </c>
      <c r="BJ33" s="110">
        <f>$B$9*IF($G$5="撼天",1.05,1)+IF(AND(VLOOKUP($E33,武器奇术!$A:$R,15,FALSE)="武器",VLOOKUP($E33,武器奇术!$A:$R,17,FALSE)="裂石"),$E$3*(1+$E$15),0)</f>
        <v>0</v>
      </c>
      <c r="BK33" s="102">
        <f t="shared" si="19"/>
        <v>0</v>
      </c>
      <c r="BL33" s="102">
        <f>MAX($C$9*IF($G$5="撼天",1.05,1)+IF(AND(VLOOKUP($E33,武器奇术!$A:$R,15,FALSE)="武器",VLOOKUP($E33,武器奇术!$A:$R,17,FALSE)="裂石"),$E$3*(1+$E$15),0),BJ33)</f>
        <v>0</v>
      </c>
      <c r="BM33" s="104">
        <f>IF(($D$9+IF(VLOOKUP($E33,武器奇术!$A:$R,17,FALSE)="裂石",$D$15,0)-VLOOKUP($F$7,目标属性!$A:$R,6,FALSE))&gt;0,($D$9+IF(VLOOKUP($E33,武器奇术!$A:$R,17,FALSE)="裂石",$D$15,0)-VLOOKUP($F$7,目标属性!$A:$R,6,FALSE))/200,($D$9+IF(VLOOKUP($E33,武器奇术!$A:$R,17,FALSE)="裂石",$D$15,0)-VLOOKUP($F$7,目标属性!$A:$R,6,FALSE))/100)</f>
        <v>-0.24</v>
      </c>
      <c r="BN33" s="111">
        <f t="shared" si="20"/>
        <v>0</v>
      </c>
      <c r="BO33" s="102">
        <v>1</v>
      </c>
      <c r="BP33" s="103">
        <f>BJ33*IF(VLOOKUP($E33,武器奇术!$A:$R,17,FALSE)="裂石",VLOOKUP($E33,武器奇术!$A:$R,4,FALSE),VLOOKUP($E33,武器奇术!$A:$R,2,FALSE))*(1+BM33)*(1+BN33)*BO33</f>
        <v>0</v>
      </c>
      <c r="BQ33" s="104">
        <f>(1-IF(VLOOKUP($E33,武器奇术!$A:$R,18,FALSE)="叶龙",1,$N33))*(1-$M33)</f>
        <v>0</v>
      </c>
      <c r="BR33" s="103">
        <f>BK33*IF(VLOOKUP($E33,武器奇术!$A:$R,17,FALSE)="裂石",VLOOKUP($E33,武器奇术!$A:$R,4,FALSE),VLOOKUP($E33,武器奇术!$A:$R,2,FALSE))*(1+BM33)*(1+BN33)*BO33*(1+$E$16+VLOOKUP($E33,武器奇术!$A:$R,8,FALSE))</f>
        <v>0</v>
      </c>
      <c r="BS33" s="104">
        <f t="shared" si="21"/>
        <v>0.8703</v>
      </c>
      <c r="BT33" s="103">
        <f>BL33*IF(VLOOKUP($E33,武器奇术!$A:$R,17,FALSE)="裂石",VLOOKUP($E33,武器奇术!$A:$R,4,FALSE),VLOOKUP($E33,武器奇术!$A:$R,2,FALSE))*(1+BM33)*(1+BN33)*BO33*(1+$E$17+VLOOKUP($E33,武器奇术!$A:$R,10,FALSE))</f>
        <v>0</v>
      </c>
      <c r="BU33" s="104">
        <f t="shared" si="22"/>
        <v>0.0986</v>
      </c>
      <c r="BV33" s="103">
        <f>BK33*IF(VLOOKUP($E33,武器奇术!$A:$R,17,FALSE)="裂石",VLOOKUP($E33,武器奇术!$A:$R,4,FALSE),VLOOKUP($E33,武器奇术!$A:$R,2,FALSE))*(1+BM33)*(1+BN33)*BO33</f>
        <v>0</v>
      </c>
      <c r="BW33" s="104">
        <f t="shared" si="23"/>
        <v>0.0311</v>
      </c>
      <c r="BX33" s="112">
        <f t="shared" si="24"/>
        <v>0</v>
      </c>
      <c r="BY33" s="110">
        <f>$B$11*IF($G$5="撼天",1.05,1)+IF(AND(VLOOKUP($E33,武器奇术!$A:$R,15,FALSE)="武器",VLOOKUP($E33,武器奇术!$A:$R,17,FALSE)="牵丝"),$E$3*(1+$E$15),0)</f>
        <v>686.71</v>
      </c>
      <c r="BZ33" s="102">
        <f>IF(VLOOKUP($E33,武器奇术!$A:$Z,18,FALSE)="叶龙",(CA33-(BY33+CA33)*0.5)*($G$15-0.5)*2+(BY33+CA33)*0.5,(BY33+CA33)*0.5)</f>
        <v>1052.21</v>
      </c>
      <c r="CA33" s="102">
        <f>MAX($C$11*IF($G$5="撼天",1.05,1)+IF(AND(VLOOKUP($E33,武器奇术!$A:$R,15,FALSE)="武器",VLOOKUP($E33,武器奇术!$A:$R,17,FALSE)="牵丝"),$E$3*(1+$E$15),0),BY33)</f>
        <v>1417.71</v>
      </c>
      <c r="CB33" s="104">
        <f>IF(($D$11+IF(VLOOKUP($E33,武器奇术!$A:$R,17,FALSE)="牵丝",$D$15,0)-VLOOKUP($F$7,目标属性!$A:$R,6,FALSE))&gt;0,($D$11+IF(VLOOKUP($E33,武器奇术!$A:$R,17,FALSE)="牵丝",$D$15,0)-VLOOKUP($F$7,目标属性!$A:$R,6,FALSE))/200,($D$11+IF(VLOOKUP($E33,武器奇术!$A:$R,17,FALSE)="牵丝",$D$15,0)-VLOOKUP($F$7,目标属性!$A:$R,6,FALSE))/100)</f>
        <v>0.028</v>
      </c>
      <c r="CC33" s="111">
        <f>$E$11+IF($G$5="烟柳",IF(VLOOKUP($E33,武器奇术!$A:$T,20,FALSE)=1,0.1,0),0)</f>
        <v>0.148</v>
      </c>
      <c r="CD33" s="102">
        <v>1</v>
      </c>
      <c r="CE33" s="103">
        <f>BY33*IF(VLOOKUP($E33,武器奇术!$A:$R,17,FALSE)="牵丝",VLOOKUP($E33,武器奇术!$A:$R,4,FALSE),VLOOKUP($E33,武器奇术!$A:$R,2,FALSE))*(1+CB33)*(1+CC33)*CD33</f>
        <v>1126.39815220498</v>
      </c>
      <c r="CF33" s="104">
        <f>(1-IF(VLOOKUP($E33,武器奇术!$A:$R,18,FALSE)="叶龙",1,$N33))*(1-$M33)</f>
        <v>0</v>
      </c>
      <c r="CG33" s="124">
        <f>BZ33*IF(VLOOKUP($E33,武器奇术!$A:$R,17,FALSE)="牵丝",VLOOKUP($E33,武器奇术!$A:$R,4,FALSE),VLOOKUP($E33,武器奇术!$A:$R,2,FALSE))*(1+CB33)*(1+CC33)*CD33*(1+$E$16+VLOOKUP($E33,武器奇术!$A:$R,8,FALSE))</f>
        <v>2837.4145784374</v>
      </c>
      <c r="CH33" s="104">
        <f t="shared" si="25"/>
        <v>0.8703</v>
      </c>
      <c r="CI33" s="103">
        <f>CA33*IF(VLOOKUP($E33,武器奇术!$A:$R,17,FALSE)="牵丝",VLOOKUP($E33,武器奇术!$A:$R,4,FALSE),VLOOKUP($E33,武器奇术!$A:$R,2,FALSE))*(1+CB33)*(1+CC33)*CD33*(1+$E$17+VLOOKUP($E33,武器奇术!$A:$R,10,FALSE))</f>
        <v>3139.34994086208</v>
      </c>
      <c r="CJ33" s="104">
        <f t="shared" si="26"/>
        <v>0.0986</v>
      </c>
      <c r="CK33" s="124">
        <f>BZ33*IF(VLOOKUP($E33,武器奇术!$A:$R,17,FALSE)="牵丝",VLOOKUP($E33,武器奇术!$A:$R,4,FALSE),VLOOKUP($E33,武器奇术!$A:$R,2,FALSE))*(1+CB33)*(1+CC33)*CD33</f>
        <v>1725.92127642178</v>
      </c>
      <c r="CL33" s="104">
        <f t="shared" si="27"/>
        <v>0.0311</v>
      </c>
      <c r="CM33" s="112">
        <f t="shared" si="28"/>
        <v>2832.61796347979</v>
      </c>
      <c r="CN33" s="110">
        <f>$B$13*IF($G$5="撼天",1.05,1)+IF(AND(VLOOKUP($E33,武器奇术!$A:$R,15,FALSE)="武器",VLOOKUP($E33,武器奇术!$A:$R,17,FALSE)="破竹"),$E$3*(1+$E$15),0)</f>
        <v>0</v>
      </c>
      <c r="CO33" s="102">
        <f t="shared" si="29"/>
        <v>0</v>
      </c>
      <c r="CP33" s="102">
        <f>MAX($C$13*IF($G$5="撼天",1.05,1)+IF(AND(VLOOKUP($E33,武器奇术!$A:$R,15,FALSE)="武器",VLOOKUP($E33,武器奇术!$A:$R,17,FALSE)="破竹"),$E$3*(1+$E$15),0),CN33)</f>
        <v>0</v>
      </c>
      <c r="CQ33" s="104">
        <f>IF(($D$13+IF(VLOOKUP($E33,武器奇术!$A:$R,17,FALSE)="破竹",$D$15,0)-VLOOKUP($F$7,目标属性!$A:$R,6,FALSE))&gt;0,($D$13+IF(VLOOKUP($E33,武器奇术!$A:$R,17,FALSE)="破竹",$D$15,0)-VLOOKUP($F$7,目标属性!$A:$R,6,FALSE))/200,($D$13+IF(VLOOKUP($E33,武器奇术!$A:$R,17,FALSE)="破竹",$D$15,0)-VLOOKUP($F$7,目标属性!$A:$R,6,FALSE))/100)</f>
        <v>-0.24</v>
      </c>
      <c r="CR33" s="111">
        <f t="shared" si="30"/>
        <v>0</v>
      </c>
      <c r="CS33" s="102">
        <v>1</v>
      </c>
      <c r="CT33" s="103">
        <f>CN33*IF(VLOOKUP($E33,武器奇术!$A:$R,17,FALSE)="破竹",VLOOKUP($E33,武器奇术!$A:$R,4,FALSE),VLOOKUP($E33,武器奇术!$A:$R,2,FALSE))*(1+CQ33)*(1+CR33)*CS33</f>
        <v>0</v>
      </c>
      <c r="CU33" s="104">
        <f>(1-IF(VLOOKUP($E33,武器奇术!$A:$R,18,FALSE)="叶龙",1,$N33))*(1-$M33)</f>
        <v>0</v>
      </c>
      <c r="CV33" s="103">
        <f>CO33*IF(VLOOKUP($E33,武器奇术!$A:$R,17,FALSE)="破竹",VLOOKUP($E33,武器奇术!$A:$R,4,FALSE),VLOOKUP($E33,武器奇术!$A:$R,2,FALSE))*(1+CQ33)*(1+CR33)*CS33*(1+$E$16+VLOOKUP($E33,武器奇术!$A:$R,8,FALSE))</f>
        <v>0</v>
      </c>
      <c r="CW33" s="104">
        <f t="shared" si="31"/>
        <v>0.8703</v>
      </c>
      <c r="CX33" s="103">
        <f>CP33*IF(VLOOKUP($E33,武器奇术!$A:$R,17,FALSE)="破竹",VLOOKUP($E33,武器奇术!$A:$R,4,FALSE),VLOOKUP($E33,武器奇术!$A:$R,2,FALSE))*(1+CQ33)*(1+CR33)*CS33*(1+$E$17+VLOOKUP($E33,武器奇术!$A:$R,10,FALSE))</f>
        <v>0</v>
      </c>
      <c r="CY33" s="104">
        <f t="shared" si="32"/>
        <v>0.0986</v>
      </c>
      <c r="CZ33" s="103">
        <f>CO33*IF(VLOOKUP($E33,武器奇术!$A:$R,17,FALSE)="破竹",VLOOKUP($E33,武器奇术!$A:$R,4,FALSE),VLOOKUP($E33,武器奇术!$A:$R,2,FALSE))*(1+CQ33)*(1+CR33)*CS33</f>
        <v>0</v>
      </c>
      <c r="DA33" s="104">
        <f t="shared" si="33"/>
        <v>0.0311</v>
      </c>
      <c r="DB33" s="112">
        <f t="shared" si="34"/>
        <v>0</v>
      </c>
      <c r="DC33" s="110">
        <f t="shared" si="35"/>
        <v>66</v>
      </c>
      <c r="DD33" s="102">
        <f t="shared" si="36"/>
        <v>125.8</v>
      </c>
      <c r="DE33" s="102">
        <f t="shared" si="37"/>
        <v>185.6</v>
      </c>
      <c r="DF33" s="104">
        <f>IF((IF(VLOOKUP($E33,武器奇术!$A:$R,17,FALSE)="鸣金",$D$7,0)+IF(VLOOKUP($E33,武器奇术!$A:$R,17,FALSE)="裂石",$D$9,0)+IF(VLOOKUP($E33,武器奇术!$A:$R,17,FALSE)="牵丝",$D$11,0)+IF(VLOOKUP($E33,武器奇术!$A:$R,17,FALSE)="破竹",$D$13,0)+$D$15-VLOOKUP($F$7,目标属性!$A:$R,6,FALSE))&gt;0,(IF(VLOOKUP($E33,武器奇术!$A:$R,17,FALSE)="鸣金",$D$7,0)+IF(VLOOKUP($E33,武器奇术!$A:$R,17,FALSE)="裂石",$D$9,0)+IF(VLOOKUP($E33,武器奇术!$A:$R,17,FALSE)="牵丝",$D$11,0)+IF(VLOOKUP($E33,武器奇术!$A:$R,17,FALSE)="破竹",$D$13,0)+$D$15-VLOOKUP($F$7,目标属性!$A:$R,6,FALSE))/200,(IF(VLOOKUP($E33,武器奇术!$A:$R,17,FALSE)="鸣金",$D$7,0)+IF(VLOOKUP($E33,武器奇术!$A:$R,17,FALSE)="裂石",$D$9,0)+IF(VLOOKUP($E33,武器奇术!$A:$R,17,FALSE)="牵丝",$D$11,0)+IF(VLOOKUP($E33,武器奇术!$A:$R,17,FALSE)="破竹",$D$13,0)+$D$15-VLOOKUP($F$7,目标属性!$A:$R,6,FALSE))/100)</f>
        <v>0.028</v>
      </c>
      <c r="DG33" s="111">
        <f>$E$11+IF($G$5="烟柳",IF(VLOOKUP($E33,武器奇术!$A:$T,20,FALSE)=1,0.1,0),0)</f>
        <v>0.148</v>
      </c>
      <c r="DH33" s="102">
        <v>1</v>
      </c>
      <c r="DI33" s="103">
        <f>DC33*IF(VLOOKUP($E33,武器奇术!$A:$R,17,FALSE)="牵丝",VLOOKUP($E33,武器奇术!$A:$R,4,FALSE),VLOOKUP($E33,武器奇术!$A:$R,2,FALSE))*(1+DF33)*(1+DG33)*DH33</f>
        <v>108.2586216096</v>
      </c>
      <c r="DJ33" s="104">
        <f>(1-IF(VLOOKUP($E33,武器奇术!$A:$R,18,FALSE)="叶龙",1,$N33))*(1-$M33)</f>
        <v>0</v>
      </c>
      <c r="DK33" s="124">
        <f>DD33*IF(VLOOKUP($E33,武器奇术!$A:$R,17,FALSE)="牵丝",VLOOKUP($E33,武器奇术!$A:$R,4,FALSE),VLOOKUP($E33,武器奇术!$A:$R,2,FALSE))*(1+DF33)*(1+DG33)*DH33*(1+$E$16+VLOOKUP($E33,武器奇术!$A:$R,8,FALSE))</f>
        <v>339.235279998693</v>
      </c>
      <c r="DL33" s="104">
        <f t="shared" si="38"/>
        <v>0.8703</v>
      </c>
      <c r="DM33" s="103">
        <f>DE33*IF(VLOOKUP($E33,武器奇术!$A:$R,17,FALSE)="牵丝",VLOOKUP($E33,武器奇术!$A:$R,4,FALSE),VLOOKUP($E33,武器奇术!$A:$R,2,FALSE))*(1+DF33)*(1+DG33)*DH33*(1+$E$17+VLOOKUP($E33,武器奇术!$A:$R,10,FALSE))</f>
        <v>410.989094401536</v>
      </c>
      <c r="DN33" s="104">
        <f t="shared" si="39"/>
        <v>0.0986</v>
      </c>
      <c r="DO33" s="124">
        <f>DD33*IF(VLOOKUP($E33,武器奇术!$A:$R,17,FALSE)="牵丝",VLOOKUP($E33,武器奇术!$A:$R,4,FALSE),VLOOKUP($E33,武器奇术!$A:$R,2,FALSE))*(1+DF33)*(1+DG33)*DH33</f>
        <v>206.34749391648</v>
      </c>
      <c r="DP33" s="104">
        <f t="shared" si="40"/>
        <v>0.0311</v>
      </c>
      <c r="DQ33" s="112">
        <f t="shared" si="41"/>
        <v>342.177395951657</v>
      </c>
    </row>
    <row r="34" ht="14.25" spans="2:121">
      <c r="B34" s="98"/>
      <c r="C34" s="127"/>
      <c r="D34" s="128"/>
      <c r="E34" s="115" t="str">
        <f>期望!E34</f>
        <v>扇普通重击派生(风墙小纵)</v>
      </c>
      <c r="F34" s="116">
        <f>期望!F34</f>
        <v>1</v>
      </c>
      <c r="G34" s="117"/>
      <c r="H34" s="103">
        <f>IF(VLOOKUP($E34,武器奇术!$A:$R,18,FALSE)="天工",AE34,(AE34+AT34+BI34+BX34+CM34+DB34+DQ34))*(1+J34)*F34*K34*(1+G34)</f>
        <v>39185.809438957</v>
      </c>
      <c r="I34" s="104">
        <f t="shared" si="0"/>
        <v>0.00451616288695877</v>
      </c>
      <c r="J34" s="118">
        <f>$F$3+VLOOKUP($E34,武器奇术!$A:$R,12,FALSE)+VLOOKUP($E34,武器奇术!$A:$R,14,FALSE)*$G$3+$P34+IF($F$21="√",5%,0)</f>
        <v>0.567</v>
      </c>
      <c r="K34" s="105">
        <f>VLOOKUP($E34,武器奇术!$A:$R,11,FALSE)</f>
        <v>1</v>
      </c>
      <c r="L34" s="119">
        <f>IF(VLOOKUP($E34,武器奇术!$A:$R,15,FALSE)="天工",0%,IF($C$17+VLOOKUP($E34,武器奇术!$A:$R,7,FALSE)&gt;80%,80%,$C$17+VLOOKUP($E34,武器奇术!$A:$R,7,FALSE))+IF($C$19&gt;20%,20%,$C$19))</f>
        <v>0.8703</v>
      </c>
      <c r="M34" s="120">
        <f>IF(VLOOKUP($E34,武器奇术!$A:$R,15,FALSE)="天工",0%,IF($C$18+VLOOKUP($E34,武器奇术!$A:$R,9,FALSE)&gt;40%,40%,$C$18+VLOOKUP($E34,武器奇术!$A:$R,9,FALSE))+IF($C$20&gt;10%,10%,$C$20))</f>
        <v>0.0986</v>
      </c>
      <c r="N34" s="121">
        <f>IF(VLOOKUP($E34,武器奇术!$A:$R,15,FALSE)="天工",100%,MIN($C$16,1))</f>
        <v>1</v>
      </c>
      <c r="O34" s="122" t="str">
        <f>VLOOKUP($E34,武器奇术!$A:$R,16,FALSE)</f>
        <v>扇</v>
      </c>
      <c r="P34" s="123">
        <f t="shared" si="1"/>
        <v>0.084</v>
      </c>
      <c r="Q34" s="110">
        <f>$B$5*(1+VLOOKUP($E34,武器奇术!$A:$R,5,FALSE))*(1+VLOOKUP($E34,武器奇术!$A:$S,19,FALSE)+IF($G$5="飞隼",0.1,0)+IF($G$5="撼天",0.05,0))-$F$9+IF($J$5="√",160,0)</f>
        <v>3081.85</v>
      </c>
      <c r="R34" s="102">
        <f>IF(VLOOKUP($E34,武器奇术!$A:$Z,18,FALSE)="叶龙",(S34-(Q34+S34)*0.5)*($G$15-0.5)*2+(Q34+S34)*0.5,(Q34+S34)*0.5)</f>
        <v>3161.85</v>
      </c>
      <c r="S34" s="102">
        <f>MAX($C$5,$B$5)*(1+VLOOKUP($E34,武器奇术!$A:$R,6,FALSE))*(1+VLOOKUP($E34,武器奇术!$A:$S,19,FALSE)+IF($G$5="飞隼",0.1,0)+IF($G$5="撼天",0.05,0))-$F$9+IF($J$5="√",320,0)</f>
        <v>3241.85</v>
      </c>
      <c r="T34" s="104">
        <f>IF(($D$5+VLOOKUP($E34,武器奇术!$A:$R,13,FALSE)+IF($I$3="√",10,0)-VLOOKUP($F$7,目标属性!$A:$R,5,FALSE))&gt;0,($D$5+VLOOKUP($E34,武器奇术!$A:$R,13,FALSE)+IF($I$3="√",10,0)-VLOOKUP($F$7,目标属性!$A:$R,5,FALSE))/200,($D$5+VLOOKUP($E34,武器奇术!$A:$R,13,FALSE)+IF($I$3="√",10,0)-VLOOKUP($F$7,目标属性!$A:$R,5,FALSE))/100)</f>
        <v>0.2675</v>
      </c>
      <c r="U34" s="111">
        <f>$E$5+IF($G$5="烟柳",IF(VLOOKUP($E34,武器奇术!$A:$T,20,FALSE)=1,0.1,0),0)</f>
        <v>0.1</v>
      </c>
      <c r="V34" s="102">
        <v>1</v>
      </c>
      <c r="W34" s="103">
        <f>Q34*VLOOKUP($E34,武器奇术!$A:$R,2,FALSE)*(1+T34)*(1+U34)*V34</f>
        <v>7774.36870626488</v>
      </c>
      <c r="X34" s="104">
        <f>(1-IF(VLOOKUP($E34,武器奇术!$A:$R,18,FALSE)="叶龙",1,$N34))*(1-$M34)</f>
        <v>0</v>
      </c>
      <c r="Y34" s="103">
        <f>R34*VLOOKUP($E34,武器奇术!$A:$R,2,FALSE)*(1+T34)*(1+U34)*V34*(1+$E$16+VLOOKUP($E34,武器奇术!$A:$R,8,FALSE))</f>
        <v>15984.2630039044</v>
      </c>
      <c r="Z34" s="104">
        <f t="shared" si="2"/>
        <v>0.8703</v>
      </c>
      <c r="AA34" s="103">
        <f>S34*VLOOKUP($E34,武器奇术!$A:$R,2,FALSE)*(1+T34)*(1+U34)*V34*(1+$E$17+VLOOKUP($E34,武器奇术!$A:$R,10,FALSE))</f>
        <v>11040.2859344376</v>
      </c>
      <c r="AB34" s="104">
        <f t="shared" si="3"/>
        <v>0.0986</v>
      </c>
      <c r="AC34" s="103">
        <f>R34*VLOOKUP($E34,武器奇术!$A:$R,2,FALSE)*(1+T34)*(1+U34)*V34</f>
        <v>7976.17914366488</v>
      </c>
      <c r="AD34" s="104">
        <f t="shared" si="4"/>
        <v>0.0311</v>
      </c>
      <c r="AE34" s="112">
        <f t="shared" si="5"/>
        <v>15247.7354568015</v>
      </c>
      <c r="AF34" s="113">
        <f>VLOOKUP($E34,武器奇术!$A:$R,3,FALSE)*(1+IF(VLOOKUP($E34,武器奇术!$A:$R,15,FALSE)="武器",$E$15,0))</f>
        <v>652.21</v>
      </c>
      <c r="AG34" s="103">
        <f t="shared" si="6"/>
        <v>652.21</v>
      </c>
      <c r="AH34" s="103">
        <f>VLOOKUP($E34,武器奇术!$A:$R,3,FALSE)*(1+IF(VLOOKUP($E34,武器奇术!$A:$R,15,FALSE)="武器",$E$15,0))</f>
        <v>652.21</v>
      </c>
      <c r="AI34" s="104">
        <f>IF(($D$5+VLOOKUP($E34,武器奇术!$A:$R,13,FALSE)+IF($I$3="√",10,0)-VLOOKUP($F$7,目标属性!$A:$R,5,FALSE))&gt;0,($D$5+VLOOKUP($E34,武器奇术!$A:$R,13,FALSE)+IF($I$3="√",10,0)-VLOOKUP($F$7,目标属性!$A:$R,5,FALSE))/200,($D$5+VLOOKUP($E34,武器奇术!$A:$R,13,FALSE)+IF($I$3="√",10,0)-VLOOKUP($F$7,目标属性!$A:$R,5,FALSE))/100)</f>
        <v>0.2675</v>
      </c>
      <c r="AJ34" s="111">
        <f>$E$5+IF($G$5="烟柳",IF(VLOOKUP($E34,武器奇术!$A:$T,20,FALSE)=1,0.1,0),0)</f>
        <v>0.1</v>
      </c>
      <c r="AK34" s="102">
        <v>1</v>
      </c>
      <c r="AL34" s="103">
        <f t="shared" si="7"/>
        <v>909.3437925</v>
      </c>
      <c r="AM34" s="104">
        <f>(1-IF(VLOOKUP($E34,武器奇术!$A:$R,18,FALSE)="叶龙",1,$N34))*(1-$M34)</f>
        <v>0</v>
      </c>
      <c r="AN34" s="103">
        <f>AG34*(1+AI34)*(1+AJ34)*AK34*(1+$E$16+VLOOKUP($E34,武器奇术!$A:$R,8,FALSE))</f>
        <v>1822.32496017</v>
      </c>
      <c r="AO34" s="104">
        <f t="shared" si="8"/>
        <v>0.8703</v>
      </c>
      <c r="AP34" s="103">
        <f>AH34*(1+AI34)*(1+AJ34)*AK34*(1+$E$17+VLOOKUP($E34,武器奇术!$A:$R,10,FALSE))</f>
        <v>1227.614119875</v>
      </c>
      <c r="AQ34" s="104">
        <f t="shared" si="9"/>
        <v>0.0986</v>
      </c>
      <c r="AR34" s="103">
        <f t="shared" si="10"/>
        <v>909.3437925</v>
      </c>
      <c r="AS34" s="104">
        <f t="shared" si="11"/>
        <v>0.0311</v>
      </c>
      <c r="AT34" s="112">
        <f t="shared" si="12"/>
        <v>1735.29275700238</v>
      </c>
      <c r="AU34" s="110">
        <f>$B$7*IF($G$5="撼天",1.05,1)+IF(AND(VLOOKUP($E34,武器奇术!$A:$R,15,FALSE)="武器",VLOOKUP($E34,武器奇术!$A:$R,17,FALSE)="鸣金"),$E$3*(1+$E$15),0)</f>
        <v>0</v>
      </c>
      <c r="AV34" s="102">
        <f t="shared" si="13"/>
        <v>0</v>
      </c>
      <c r="AW34" s="102">
        <f>MAX($C$7*IF($G$5="撼天",1.05,1)+IF(AND(VLOOKUP($E34,武器奇术!$A:$R,15,FALSE)="武器",VLOOKUP($E34,武器奇术!$A:$R,17,FALSE)="鸣金"),$E$3*(1+$E$15),0),AU34)</f>
        <v>0</v>
      </c>
      <c r="AX34" s="104">
        <f>IF(($D$7+IF(VLOOKUP($E34,武器奇术!$A:$R,17,FALSE)="鸣金",$D$15,0)-VLOOKUP($F$7,目标属性!$A:$R,6,FALSE))&gt;0,($D$7+IF(VLOOKUP($E34,武器奇术!$A:$R,17,FALSE)="鸣金",$D$15,0)-VLOOKUP($F$7,目标属性!$A:$R,6,FALSE))/200,($D$7+IF(VLOOKUP($E34,武器奇术!$A:$R,17,FALSE)="鸣金",$D$15,0)-VLOOKUP($F$7,目标属性!$A:$R,6,FALSE))/100)</f>
        <v>-0.24</v>
      </c>
      <c r="AY34" s="111">
        <f t="shared" si="14"/>
        <v>0</v>
      </c>
      <c r="AZ34" s="102">
        <v>1</v>
      </c>
      <c r="BA34" s="103">
        <f>AU34*IF(VLOOKUP($E34,武器奇术!$A:$R,17,FALSE)="鸣金",VLOOKUP($E34,武器奇术!$A:$R,4,FALSE),VLOOKUP($E34,武器奇术!$A:$R,2,FALSE))*(1+AX34)*(1+AY34)*AZ34</f>
        <v>0</v>
      </c>
      <c r="BB34" s="104">
        <f>(1-IF(VLOOKUP($E34,武器奇术!$A:$R,18,FALSE)="叶龙",1,$N34))*(1-$M34)</f>
        <v>0</v>
      </c>
      <c r="BC34" s="103">
        <f>AV34*IF(VLOOKUP($E34,武器奇术!$A:$R,17,FALSE)="鸣金",VLOOKUP($E34,武器奇术!$A:$R,4,FALSE),VLOOKUP($E34,武器奇术!$A:$R,2,FALSE))*(1+AX34)*(1+AY34)*AZ34*(1+$E$16+VLOOKUP($E34,武器奇术!$A:$R,8,FALSE))</f>
        <v>0</v>
      </c>
      <c r="BD34" s="104">
        <f t="shared" si="15"/>
        <v>0.8703</v>
      </c>
      <c r="BE34" s="103">
        <f>AW34*IF(VLOOKUP($E34,武器奇术!$A:$R,17,FALSE)="鸣金",VLOOKUP($E34,武器奇术!$A:$R,4,FALSE),VLOOKUP($E34,武器奇术!$A:$R,2,FALSE))*(1+AX34)*(1+AY34)*AZ34*(1+$E$17+VLOOKUP($E34,武器奇术!$A:$R,10,FALSE))</f>
        <v>0</v>
      </c>
      <c r="BF34" s="104">
        <f t="shared" si="16"/>
        <v>0.0986</v>
      </c>
      <c r="BG34" s="103">
        <f>AV34*IF(VLOOKUP($E34,武器奇术!$A:$R,17,FALSE)="鸣金",VLOOKUP($E34,武器奇术!$A:$R,4,FALSE),VLOOKUP($E34,武器奇术!$A:$R,2,FALSE))*(1+AX34)*(1+AY34)*AZ34</f>
        <v>0</v>
      </c>
      <c r="BH34" s="104">
        <f t="shared" si="17"/>
        <v>0.0311</v>
      </c>
      <c r="BI34" s="112">
        <f t="shared" si="18"/>
        <v>0</v>
      </c>
      <c r="BJ34" s="110">
        <f>$B$9*IF($G$5="撼天",1.05,1)+IF(AND(VLOOKUP($E34,武器奇术!$A:$R,15,FALSE)="武器",VLOOKUP($E34,武器奇术!$A:$R,17,FALSE)="裂石"),$E$3*(1+$E$15),0)</f>
        <v>0</v>
      </c>
      <c r="BK34" s="102">
        <f t="shared" si="19"/>
        <v>0</v>
      </c>
      <c r="BL34" s="102">
        <f>MAX($C$9*IF($G$5="撼天",1.05,1)+IF(AND(VLOOKUP($E34,武器奇术!$A:$R,15,FALSE)="武器",VLOOKUP($E34,武器奇术!$A:$R,17,FALSE)="裂石"),$E$3*(1+$E$15),0),BJ34)</f>
        <v>0</v>
      </c>
      <c r="BM34" s="104">
        <f>IF(($D$9+IF(VLOOKUP($E34,武器奇术!$A:$R,17,FALSE)="裂石",$D$15,0)-VLOOKUP($F$7,目标属性!$A:$R,6,FALSE))&gt;0,($D$9+IF(VLOOKUP($E34,武器奇术!$A:$R,17,FALSE)="裂石",$D$15,0)-VLOOKUP($F$7,目标属性!$A:$R,6,FALSE))/200,($D$9+IF(VLOOKUP($E34,武器奇术!$A:$R,17,FALSE)="裂石",$D$15,0)-VLOOKUP($F$7,目标属性!$A:$R,6,FALSE))/100)</f>
        <v>-0.24</v>
      </c>
      <c r="BN34" s="111">
        <f t="shared" si="20"/>
        <v>0</v>
      </c>
      <c r="BO34" s="102">
        <v>1</v>
      </c>
      <c r="BP34" s="103">
        <f>BJ34*IF(VLOOKUP($E34,武器奇术!$A:$R,17,FALSE)="裂石",VLOOKUP($E34,武器奇术!$A:$R,4,FALSE),VLOOKUP($E34,武器奇术!$A:$R,2,FALSE))*(1+BM34)*(1+BN34)*BO34</f>
        <v>0</v>
      </c>
      <c r="BQ34" s="104">
        <f>(1-IF(VLOOKUP($E34,武器奇术!$A:$R,18,FALSE)="叶龙",1,$N34))*(1-$M34)</f>
        <v>0</v>
      </c>
      <c r="BR34" s="103">
        <f>BK34*IF(VLOOKUP($E34,武器奇术!$A:$R,17,FALSE)="裂石",VLOOKUP($E34,武器奇术!$A:$R,4,FALSE),VLOOKUP($E34,武器奇术!$A:$R,2,FALSE))*(1+BM34)*(1+BN34)*BO34*(1+$E$16+VLOOKUP($E34,武器奇术!$A:$R,8,FALSE))</f>
        <v>0</v>
      </c>
      <c r="BS34" s="104">
        <f t="shared" si="21"/>
        <v>0.8703</v>
      </c>
      <c r="BT34" s="103">
        <f>BL34*IF(VLOOKUP($E34,武器奇术!$A:$R,17,FALSE)="裂石",VLOOKUP($E34,武器奇术!$A:$R,4,FALSE),VLOOKUP($E34,武器奇术!$A:$R,2,FALSE))*(1+BM34)*(1+BN34)*BO34*(1+$E$17+VLOOKUP($E34,武器奇术!$A:$R,10,FALSE))</f>
        <v>0</v>
      </c>
      <c r="BU34" s="104">
        <f t="shared" si="22"/>
        <v>0.0986</v>
      </c>
      <c r="BV34" s="103">
        <f>BK34*IF(VLOOKUP($E34,武器奇术!$A:$R,17,FALSE)="裂石",VLOOKUP($E34,武器奇术!$A:$R,4,FALSE),VLOOKUP($E34,武器奇术!$A:$R,2,FALSE))*(1+BM34)*(1+BN34)*BO34</f>
        <v>0</v>
      </c>
      <c r="BW34" s="104">
        <f t="shared" si="23"/>
        <v>0.0311</v>
      </c>
      <c r="BX34" s="112">
        <f t="shared" si="24"/>
        <v>0</v>
      </c>
      <c r="BY34" s="110">
        <f>$B$11*IF($G$5="撼天",1.05,1)+IF(AND(VLOOKUP($E34,武器奇术!$A:$R,15,FALSE)="武器",VLOOKUP($E34,武器奇术!$A:$R,17,FALSE)="牵丝"),$E$3*(1+$E$15),0)</f>
        <v>686.71</v>
      </c>
      <c r="BZ34" s="102">
        <f>IF(VLOOKUP($E34,武器奇术!$A:$Z,18,FALSE)="叶龙",(CA34-(BY34+CA34)*0.5)*($G$15-0.5)*2+(BY34+CA34)*0.5,(BY34+CA34)*0.5)</f>
        <v>1052.21</v>
      </c>
      <c r="CA34" s="102">
        <f>MAX($C$11*IF($G$5="撼天",1.05,1)+IF(AND(VLOOKUP($E34,武器奇术!$A:$R,15,FALSE)="武器",VLOOKUP($E34,武器奇术!$A:$R,17,FALSE)="牵丝"),$E$3*(1+$E$15),0),BY34)</f>
        <v>1417.71</v>
      </c>
      <c r="CB34" s="104">
        <f>IF(($D$11+IF(VLOOKUP($E34,武器奇术!$A:$R,17,FALSE)="牵丝",$D$15,0)-VLOOKUP($F$7,目标属性!$A:$R,6,FALSE))&gt;0,($D$11+IF(VLOOKUP($E34,武器奇术!$A:$R,17,FALSE)="牵丝",$D$15,0)-VLOOKUP($F$7,目标属性!$A:$R,6,FALSE))/200,($D$11+IF(VLOOKUP($E34,武器奇术!$A:$R,17,FALSE)="牵丝",$D$15,0)-VLOOKUP($F$7,目标属性!$A:$R,6,FALSE))/100)</f>
        <v>0.028</v>
      </c>
      <c r="CC34" s="111">
        <f>$E$11+IF($G$5="烟柳",IF(VLOOKUP($E34,武器奇术!$A:$T,20,FALSE)=1,0.1,0),0)</f>
        <v>0.248</v>
      </c>
      <c r="CD34" s="102">
        <v>1</v>
      </c>
      <c r="CE34" s="103">
        <f>BY34*IF(VLOOKUP($E34,武器奇术!$A:$R,17,FALSE)="牵丝",VLOOKUP($E34,武器奇术!$A:$R,4,FALSE),VLOOKUP($E34,武器奇术!$A:$R,2,FALSE))*(1+CB34)*(1+CC34)*CD34</f>
        <v>2390.903845202</v>
      </c>
      <c r="CF34" s="104">
        <f>(1-IF(VLOOKUP($E34,武器奇术!$A:$R,18,FALSE)="叶龙",1,$N34))*(1-$M34)</f>
        <v>0</v>
      </c>
      <c r="CG34" s="124">
        <f>BZ34*IF(VLOOKUP($E34,武器奇术!$A:$R,17,FALSE)="牵丝",VLOOKUP($E34,武器奇术!$A:$R,4,FALSE),VLOOKUP($E34,武器奇术!$A:$R,2,FALSE))*(1+CB34)*(1+CC34)*CD34*(1+$E$16+VLOOKUP($E34,武器奇术!$A:$R,8,FALSE))</f>
        <v>7341.56893253313</v>
      </c>
      <c r="CH34" s="104">
        <f t="shared" si="25"/>
        <v>0.8703</v>
      </c>
      <c r="CI34" s="103">
        <f>CA34*IF(VLOOKUP($E34,武器奇术!$A:$R,17,FALSE)="牵丝",VLOOKUP($E34,武器奇术!$A:$R,4,FALSE),VLOOKUP($E34,武器奇术!$A:$R,2,FALSE))*(1+CB34)*(1+CC34)*CD34*(1+$E$17+VLOOKUP($E34,武器奇术!$A:$R,10,FALSE))</f>
        <v>6663.61519712074</v>
      </c>
      <c r="CJ34" s="104">
        <f t="shared" si="26"/>
        <v>0.0986</v>
      </c>
      <c r="CK34" s="124">
        <f>BZ34*IF(VLOOKUP($E34,武器奇术!$A:$R,17,FALSE)="牵丝",VLOOKUP($E34,武器奇术!$A:$R,4,FALSE),VLOOKUP($E34,武器奇术!$A:$R,2,FALSE))*(1+CB34)*(1+CC34)*CD34</f>
        <v>3663.45755116424</v>
      </c>
      <c r="CL34" s="104">
        <f t="shared" si="27"/>
        <v>0.0311</v>
      </c>
      <c r="CM34" s="112">
        <f t="shared" si="28"/>
        <v>7160.3334302609</v>
      </c>
      <c r="CN34" s="110">
        <f>$B$13*IF($G$5="撼天",1.05,1)+IF(AND(VLOOKUP($E34,武器奇术!$A:$R,15,FALSE)="武器",VLOOKUP($E34,武器奇术!$A:$R,17,FALSE)="破竹"),$E$3*(1+$E$15),0)</f>
        <v>0</v>
      </c>
      <c r="CO34" s="102">
        <f t="shared" si="29"/>
        <v>0</v>
      </c>
      <c r="CP34" s="102">
        <f>MAX($C$13*IF($G$5="撼天",1.05,1)+IF(AND(VLOOKUP($E34,武器奇术!$A:$R,15,FALSE)="武器",VLOOKUP($E34,武器奇术!$A:$R,17,FALSE)="破竹"),$E$3*(1+$E$15),0),CN34)</f>
        <v>0</v>
      </c>
      <c r="CQ34" s="104">
        <f>IF(($D$13+IF(VLOOKUP($E34,武器奇术!$A:$R,17,FALSE)="破竹",$D$15,0)-VLOOKUP($F$7,目标属性!$A:$R,6,FALSE))&gt;0,($D$13+IF(VLOOKUP($E34,武器奇术!$A:$R,17,FALSE)="破竹",$D$15,0)-VLOOKUP($F$7,目标属性!$A:$R,6,FALSE))/200,($D$13+IF(VLOOKUP($E34,武器奇术!$A:$R,17,FALSE)="破竹",$D$15,0)-VLOOKUP($F$7,目标属性!$A:$R,6,FALSE))/100)</f>
        <v>-0.24</v>
      </c>
      <c r="CR34" s="111">
        <f t="shared" si="30"/>
        <v>0</v>
      </c>
      <c r="CS34" s="102">
        <v>1</v>
      </c>
      <c r="CT34" s="103">
        <f>CN34*IF(VLOOKUP($E34,武器奇术!$A:$R,17,FALSE)="破竹",VLOOKUP($E34,武器奇术!$A:$R,4,FALSE),VLOOKUP($E34,武器奇术!$A:$R,2,FALSE))*(1+CQ34)*(1+CR34)*CS34</f>
        <v>0</v>
      </c>
      <c r="CU34" s="104">
        <f>(1-IF(VLOOKUP($E34,武器奇术!$A:$R,18,FALSE)="叶龙",1,$N34))*(1-$M34)</f>
        <v>0</v>
      </c>
      <c r="CV34" s="103">
        <f>CO34*IF(VLOOKUP($E34,武器奇术!$A:$R,17,FALSE)="破竹",VLOOKUP($E34,武器奇术!$A:$R,4,FALSE),VLOOKUP($E34,武器奇术!$A:$R,2,FALSE))*(1+CQ34)*(1+CR34)*CS34*(1+$E$16+VLOOKUP($E34,武器奇术!$A:$R,8,FALSE))</f>
        <v>0</v>
      </c>
      <c r="CW34" s="104">
        <f t="shared" si="31"/>
        <v>0.8703</v>
      </c>
      <c r="CX34" s="103">
        <f>CP34*IF(VLOOKUP($E34,武器奇术!$A:$R,17,FALSE)="破竹",VLOOKUP($E34,武器奇术!$A:$R,4,FALSE),VLOOKUP($E34,武器奇术!$A:$R,2,FALSE))*(1+CQ34)*(1+CR34)*CS34*(1+$E$17+VLOOKUP($E34,武器奇术!$A:$R,10,FALSE))</f>
        <v>0</v>
      </c>
      <c r="CY34" s="104">
        <f t="shared" si="32"/>
        <v>0.0986</v>
      </c>
      <c r="CZ34" s="103">
        <f>CO34*IF(VLOOKUP($E34,武器奇术!$A:$R,17,FALSE)="破竹",VLOOKUP($E34,武器奇术!$A:$R,4,FALSE),VLOOKUP($E34,武器奇术!$A:$R,2,FALSE))*(1+CQ34)*(1+CR34)*CS34</f>
        <v>0</v>
      </c>
      <c r="DA34" s="104">
        <f t="shared" si="33"/>
        <v>0.0311</v>
      </c>
      <c r="DB34" s="112">
        <f t="shared" si="34"/>
        <v>0</v>
      </c>
      <c r="DC34" s="110">
        <f t="shared" si="35"/>
        <v>66</v>
      </c>
      <c r="DD34" s="102">
        <f t="shared" si="36"/>
        <v>125.8</v>
      </c>
      <c r="DE34" s="102">
        <f t="shared" si="37"/>
        <v>185.6</v>
      </c>
      <c r="DF34" s="104">
        <f>IF((IF(VLOOKUP($E34,武器奇术!$A:$R,17,FALSE)="鸣金",$D$7,0)+IF(VLOOKUP($E34,武器奇术!$A:$R,17,FALSE)="裂石",$D$9,0)+IF(VLOOKUP($E34,武器奇术!$A:$R,17,FALSE)="牵丝",$D$11,0)+IF(VLOOKUP($E34,武器奇术!$A:$R,17,FALSE)="破竹",$D$13,0)+$D$15-VLOOKUP($F$7,目标属性!$A:$R,6,FALSE))&gt;0,(IF(VLOOKUP($E34,武器奇术!$A:$R,17,FALSE)="鸣金",$D$7,0)+IF(VLOOKUP($E34,武器奇术!$A:$R,17,FALSE)="裂石",$D$9,0)+IF(VLOOKUP($E34,武器奇术!$A:$R,17,FALSE)="牵丝",$D$11,0)+IF(VLOOKUP($E34,武器奇术!$A:$R,17,FALSE)="破竹",$D$13,0)+$D$15-VLOOKUP($F$7,目标属性!$A:$R,6,FALSE))/200,(IF(VLOOKUP($E34,武器奇术!$A:$R,17,FALSE)="鸣金",$D$7,0)+IF(VLOOKUP($E34,武器奇术!$A:$R,17,FALSE)="裂石",$D$9,0)+IF(VLOOKUP($E34,武器奇术!$A:$R,17,FALSE)="牵丝",$D$11,0)+IF(VLOOKUP($E34,武器奇术!$A:$R,17,FALSE)="破竹",$D$13,0)+$D$15-VLOOKUP($F$7,目标属性!$A:$R,6,FALSE))/100)</f>
        <v>0.028</v>
      </c>
      <c r="DG34" s="111">
        <f>$E$11+IF($G$5="烟柳",IF(VLOOKUP($E34,武器奇术!$A:$T,20,FALSE)=1,0.1,0),0)</f>
        <v>0.248</v>
      </c>
      <c r="DH34" s="102">
        <v>1</v>
      </c>
      <c r="DI34" s="103">
        <f>DC34*IF(VLOOKUP($E34,武器奇术!$A:$R,17,FALSE)="牵丝",VLOOKUP($E34,武器奇术!$A:$R,4,FALSE),VLOOKUP($E34,武器奇术!$A:$R,2,FALSE))*(1+DF34)*(1+DG34)*DH34</f>
        <v>229.79081968128</v>
      </c>
      <c r="DJ34" s="104">
        <f>(1-IF(VLOOKUP($E34,武器奇术!$A:$R,18,FALSE)="叶龙",1,$N34))*(1-$M34)</f>
        <v>0</v>
      </c>
      <c r="DK34" s="124">
        <f>DD34*IF(VLOOKUP($E34,武器奇术!$A:$R,17,FALSE)="牵丝",VLOOKUP($E34,武器奇术!$A:$R,4,FALSE),VLOOKUP($E34,武器奇术!$A:$R,2,FALSE))*(1+DF34)*(1+DG34)*DH34*(1+$E$16+VLOOKUP($E34,武器奇术!$A:$R,8,FALSE))</f>
        <v>877.742438973843</v>
      </c>
      <c r="DL34" s="104">
        <f t="shared" si="38"/>
        <v>0.8703</v>
      </c>
      <c r="DM34" s="103">
        <f>DE34*IF(VLOOKUP($E34,武器奇术!$A:$R,17,FALSE)="牵丝",VLOOKUP($E34,武器奇术!$A:$R,4,FALSE),VLOOKUP($E34,武器奇术!$A:$R,2,FALSE))*(1+DF34)*(1+DG34)*DH34*(1+$E$17+VLOOKUP($E34,武器奇术!$A:$R,10,FALSE))</f>
        <v>872.369511808205</v>
      </c>
      <c r="DN34" s="104">
        <f t="shared" si="39"/>
        <v>0.0986</v>
      </c>
      <c r="DO34" s="124">
        <f>DD34*IF(VLOOKUP($E34,武器奇术!$A:$R,17,FALSE)="牵丝",VLOOKUP($E34,武器奇术!$A:$R,4,FALSE),VLOOKUP($E34,武器奇术!$A:$R,2,FALSE))*(1+DF34)*(1+DG34)*DH34</f>
        <v>437.995229028864</v>
      </c>
      <c r="DP34" s="104">
        <f t="shared" si="40"/>
        <v>0.0311</v>
      </c>
      <c r="DQ34" s="112">
        <f t="shared" si="41"/>
        <v>863.536530126023</v>
      </c>
    </row>
    <row r="35" spans="2:121">
      <c r="B35" s="83" t="s">
        <v>133</v>
      </c>
      <c r="C35" s="20">
        <f>C30/C28</f>
        <v>114168.325784848</v>
      </c>
      <c r="D35" s="114"/>
      <c r="E35" s="115" t="str">
        <f>期望!E35</f>
        <v>扇左蓄(风墙3惊春小纵)</v>
      </c>
      <c r="F35" s="116">
        <f>期望!F35</f>
        <v>1</v>
      </c>
      <c r="G35" s="117"/>
      <c r="H35" s="103">
        <f>IF(VLOOKUP($E35,武器奇术!$A:$R,18,FALSE)="天工",AE35,(AE35+AT35+BI35+BX35+CM35+DB35+DQ35))*(1+J35)*F35*K35*(1+G35)</f>
        <v>75681.3225241113</v>
      </c>
      <c r="I35" s="104">
        <f t="shared" si="0"/>
        <v>0.00872226923248278</v>
      </c>
      <c r="J35" s="118">
        <f>$F$3+VLOOKUP($E35,武器奇术!$A:$R,12,FALSE)+VLOOKUP($E35,武器奇术!$A:$R,14,FALSE)*$G$3+$P35+IF($F$21="√",5%,0)</f>
        <v>0.957</v>
      </c>
      <c r="K35" s="105">
        <f>VLOOKUP($E35,武器奇术!$A:$R,11,FALSE)</f>
        <v>1</v>
      </c>
      <c r="L35" s="119">
        <f>IF(VLOOKUP($E35,武器奇术!$A:$R,15,FALSE)="天工",0%,IF($C$17+VLOOKUP($E35,武器奇术!$A:$R,7,FALSE)&gt;80%,80%,$C$17+VLOOKUP($E35,武器奇术!$A:$R,7,FALSE))+IF($C$19&gt;20%,20%,$C$19))</f>
        <v>0.8703</v>
      </c>
      <c r="M35" s="120">
        <f>IF(VLOOKUP($E35,武器奇术!$A:$R,15,FALSE)="天工",0%,IF($C$18+VLOOKUP($E35,武器奇术!$A:$R,9,FALSE)&gt;40%,40%,$C$18+VLOOKUP($E35,武器奇术!$A:$R,9,FALSE))+IF($C$20&gt;10%,10%,$C$20))</f>
        <v>0.0986</v>
      </c>
      <c r="N35" s="121">
        <f>IF(VLOOKUP($E35,武器奇术!$A:$R,15,FALSE)="天工",100%,MIN($C$16,1))</f>
        <v>1</v>
      </c>
      <c r="O35" s="122" t="str">
        <f>VLOOKUP($E35,武器奇术!$A:$R,16,FALSE)</f>
        <v>扇</v>
      </c>
      <c r="P35" s="123">
        <f t="shared" si="1"/>
        <v>0.084</v>
      </c>
      <c r="Q35" s="110">
        <f>$B$5*(1+VLOOKUP($E35,武器奇术!$A:$R,5,FALSE))*(1+VLOOKUP($E35,武器奇术!$A:$S,19,FALSE)+IF($G$5="飞隼",0.1,0)+IF($G$5="撼天",0.05,0))-$F$9+IF($J$5="√",160,0)</f>
        <v>3081.85</v>
      </c>
      <c r="R35" s="102">
        <f>IF(VLOOKUP($E35,武器奇术!$A:$Z,18,FALSE)="叶龙",(S35-(Q35+S35)*0.5)*($G$15-0.5)*2+(Q35+S35)*0.5,(Q35+S35)*0.5)</f>
        <v>3161.85</v>
      </c>
      <c r="S35" s="102">
        <f>MAX($C$5,$B$5)*(1+VLOOKUP($E35,武器奇术!$A:$R,6,FALSE))*(1+VLOOKUP($E35,武器奇术!$A:$S,19,FALSE)+IF($G$5="飞隼",0.1,0)+IF($G$5="撼天",0.05,0))-$F$9+IF($J$5="√",320,0)</f>
        <v>3241.85</v>
      </c>
      <c r="T35" s="104">
        <f>IF(($D$5+VLOOKUP($E35,武器奇术!$A:$R,13,FALSE)+IF($I$3="√",10,0)-VLOOKUP($F$7,目标属性!$A:$R,5,FALSE))&gt;0,($D$5+VLOOKUP($E35,武器奇术!$A:$R,13,FALSE)+IF($I$3="√",10,0)-VLOOKUP($F$7,目标属性!$A:$R,5,FALSE))/200,($D$5+VLOOKUP($E35,武器奇术!$A:$R,13,FALSE)+IF($I$3="√",10,0)-VLOOKUP($F$7,目标属性!$A:$R,5,FALSE))/100)</f>
        <v>0.2925</v>
      </c>
      <c r="U35" s="111">
        <f>$E$5+IF($G$5="烟柳",IF(VLOOKUP($E35,武器奇术!$A:$T,20,FALSE)=1,0.1,0),0)</f>
        <v>0.1</v>
      </c>
      <c r="V35" s="102">
        <v>1</v>
      </c>
      <c r="W35" s="103">
        <f>Q35*VLOOKUP($E35,武器奇术!$A:$R,2,FALSE)*(1+T35)*(1+U35)*V35</f>
        <v>12099.3184914278</v>
      </c>
      <c r="X35" s="104">
        <f>(1-IF(VLOOKUP($E35,武器奇术!$A:$R,18,FALSE)="叶龙",1,$N35))*(1-$M35)</f>
        <v>0</v>
      </c>
      <c r="Y35" s="103">
        <f>R35*VLOOKUP($E35,武器奇术!$A:$R,2,FALSE)*(1+T35)*(1+U35)*V35*(1+$E$16+VLOOKUP($E35,武器奇术!$A:$R,8,FALSE))</f>
        <v>24876.449296666</v>
      </c>
      <c r="Z35" s="104">
        <f t="shared" si="2"/>
        <v>0.8703</v>
      </c>
      <c r="AA35" s="103">
        <f>S35*VLOOKUP($E35,武器奇术!$A:$R,2,FALSE)*(1+T35)*(1+U35)*V35*(1+$E$17+VLOOKUP($E35,武器奇术!$A:$R,10,FALSE))</f>
        <v>17182.0942386675</v>
      </c>
      <c r="AB35" s="104">
        <f t="shared" si="3"/>
        <v>0.0986</v>
      </c>
      <c r="AC35" s="103">
        <f>R35*VLOOKUP($E35,武器奇术!$A:$R,2,FALSE)*(1+T35)*(1+U35)*V35</f>
        <v>12413.3978526277</v>
      </c>
      <c r="AD35" s="104">
        <f t="shared" si="4"/>
        <v>0.0311</v>
      </c>
      <c r="AE35" s="112">
        <f t="shared" si="5"/>
        <v>23730.1849880378</v>
      </c>
      <c r="AF35" s="113">
        <f>VLOOKUP($E35,武器奇术!$A:$R,3,FALSE)*(1+IF(VLOOKUP($E35,武器奇术!$A:$R,15,FALSE)="武器",$E$15,0))</f>
        <v>993.395</v>
      </c>
      <c r="AG35" s="103">
        <f t="shared" si="6"/>
        <v>993.395</v>
      </c>
      <c r="AH35" s="103">
        <f>VLOOKUP($E35,武器奇术!$A:$R,3,FALSE)*(1+IF(VLOOKUP($E35,武器奇术!$A:$R,15,FALSE)="武器",$E$15,0))</f>
        <v>993.395</v>
      </c>
      <c r="AI35" s="104">
        <f>IF(($D$5+VLOOKUP($E35,武器奇术!$A:$R,13,FALSE)+IF($I$3="√",10,0)-VLOOKUP($F$7,目标属性!$A:$R,5,FALSE))&gt;0,($D$5+VLOOKUP($E35,武器奇术!$A:$R,13,FALSE)+IF($I$3="√",10,0)-VLOOKUP($F$7,目标属性!$A:$R,5,FALSE))/200,($D$5+VLOOKUP($E35,武器奇术!$A:$R,13,FALSE)+IF($I$3="√",10,0)-VLOOKUP($F$7,目标属性!$A:$R,5,FALSE))/100)</f>
        <v>0.2925</v>
      </c>
      <c r="AJ35" s="111">
        <f>$E$5+IF($G$5="烟柳",IF(VLOOKUP($E35,武器奇术!$A:$T,20,FALSE)=1,0.1,0),0)</f>
        <v>0.1</v>
      </c>
      <c r="AK35" s="102">
        <v>1</v>
      </c>
      <c r="AL35" s="103">
        <f t="shared" si="7"/>
        <v>1412.35934125</v>
      </c>
      <c r="AM35" s="104">
        <f>(1-IF(VLOOKUP($E35,武器奇术!$A:$R,18,FALSE)="叶龙",1,$N35))*(1-$M35)</f>
        <v>0</v>
      </c>
      <c r="AN35" s="103">
        <f>AG35*(1+AI35)*(1+AJ35)*AK35*(1+$E$16+VLOOKUP($E35,武器奇术!$A:$R,8,FALSE))</f>
        <v>2830.368119865</v>
      </c>
      <c r="AO35" s="104">
        <f t="shared" si="8"/>
        <v>0.8703</v>
      </c>
      <c r="AP35" s="103">
        <f>AH35*(1+AI35)*(1+AJ35)*AK35*(1+$E$17+VLOOKUP($E35,武器奇术!$A:$R,10,FALSE))</f>
        <v>1906.6851106875</v>
      </c>
      <c r="AQ35" s="104">
        <f t="shared" si="9"/>
        <v>0.0986</v>
      </c>
      <c r="AR35" s="103">
        <f t="shared" si="10"/>
        <v>1412.35934125</v>
      </c>
      <c r="AS35" s="104">
        <f t="shared" si="11"/>
        <v>0.0311</v>
      </c>
      <c r="AT35" s="112">
        <f t="shared" si="12"/>
        <v>2695.19290214517</v>
      </c>
      <c r="AU35" s="110">
        <f>$B$7*IF($G$5="撼天",1.05,1)+IF(AND(VLOOKUP($E35,武器奇术!$A:$R,15,FALSE)="武器",VLOOKUP($E35,武器奇术!$A:$R,17,FALSE)="鸣金"),$E$3*(1+$E$15),0)</f>
        <v>0</v>
      </c>
      <c r="AV35" s="102">
        <f t="shared" si="13"/>
        <v>0</v>
      </c>
      <c r="AW35" s="102">
        <f>MAX($C$7*IF($G$5="撼天",1.05,1)+IF(AND(VLOOKUP($E35,武器奇术!$A:$R,15,FALSE)="武器",VLOOKUP($E35,武器奇术!$A:$R,17,FALSE)="鸣金"),$E$3*(1+$E$15),0),AU35)</f>
        <v>0</v>
      </c>
      <c r="AX35" s="104">
        <f>IF(($D$7+IF(VLOOKUP($E35,武器奇术!$A:$R,17,FALSE)="鸣金",$D$15,0)-VLOOKUP($F$7,目标属性!$A:$R,6,FALSE))&gt;0,($D$7+IF(VLOOKUP($E35,武器奇术!$A:$R,17,FALSE)="鸣金",$D$15,0)-VLOOKUP($F$7,目标属性!$A:$R,6,FALSE))/200,($D$7+IF(VLOOKUP($E35,武器奇术!$A:$R,17,FALSE)="鸣金",$D$15,0)-VLOOKUP($F$7,目标属性!$A:$R,6,FALSE))/100)</f>
        <v>-0.24</v>
      </c>
      <c r="AY35" s="111">
        <f t="shared" si="14"/>
        <v>0</v>
      </c>
      <c r="AZ35" s="102">
        <v>1</v>
      </c>
      <c r="BA35" s="103">
        <f>AU35*IF(VLOOKUP($E35,武器奇术!$A:$R,17,FALSE)="鸣金",VLOOKUP($E35,武器奇术!$A:$R,4,FALSE),VLOOKUP($E35,武器奇术!$A:$R,2,FALSE))*(1+AX35)*(1+AY35)*AZ35</f>
        <v>0</v>
      </c>
      <c r="BB35" s="104">
        <f>(1-IF(VLOOKUP($E35,武器奇术!$A:$R,18,FALSE)="叶龙",1,$N35))*(1-$M35)</f>
        <v>0</v>
      </c>
      <c r="BC35" s="103">
        <f>AV35*IF(VLOOKUP($E35,武器奇术!$A:$R,17,FALSE)="鸣金",VLOOKUP($E35,武器奇术!$A:$R,4,FALSE),VLOOKUP($E35,武器奇术!$A:$R,2,FALSE))*(1+AX35)*(1+AY35)*AZ35*(1+$E$16+VLOOKUP($E35,武器奇术!$A:$R,8,FALSE))</f>
        <v>0</v>
      </c>
      <c r="BD35" s="104">
        <f t="shared" si="15"/>
        <v>0.8703</v>
      </c>
      <c r="BE35" s="103">
        <f>AW35*IF(VLOOKUP($E35,武器奇术!$A:$R,17,FALSE)="鸣金",VLOOKUP($E35,武器奇术!$A:$R,4,FALSE),VLOOKUP($E35,武器奇术!$A:$R,2,FALSE))*(1+AX35)*(1+AY35)*AZ35*(1+$E$17+VLOOKUP($E35,武器奇术!$A:$R,10,FALSE))</f>
        <v>0</v>
      </c>
      <c r="BF35" s="104">
        <f t="shared" si="16"/>
        <v>0.0986</v>
      </c>
      <c r="BG35" s="103">
        <f>AV35*IF(VLOOKUP($E35,武器奇术!$A:$R,17,FALSE)="鸣金",VLOOKUP($E35,武器奇术!$A:$R,4,FALSE),VLOOKUP($E35,武器奇术!$A:$R,2,FALSE))*(1+AX35)*(1+AY35)*AZ35</f>
        <v>0</v>
      </c>
      <c r="BH35" s="104">
        <f t="shared" si="17"/>
        <v>0.0311</v>
      </c>
      <c r="BI35" s="112">
        <f t="shared" si="18"/>
        <v>0</v>
      </c>
      <c r="BJ35" s="110">
        <f>$B$9*IF($G$5="撼天",1.05,1)+IF(AND(VLOOKUP($E35,武器奇术!$A:$R,15,FALSE)="武器",VLOOKUP($E35,武器奇术!$A:$R,17,FALSE)="裂石"),$E$3*(1+$E$15),0)</f>
        <v>0</v>
      </c>
      <c r="BK35" s="102">
        <f t="shared" si="19"/>
        <v>0</v>
      </c>
      <c r="BL35" s="102">
        <f>MAX($C$9*IF($G$5="撼天",1.05,1)+IF(AND(VLOOKUP($E35,武器奇术!$A:$R,15,FALSE)="武器",VLOOKUP($E35,武器奇术!$A:$R,17,FALSE)="裂石"),$E$3*(1+$E$15),0),BJ35)</f>
        <v>0</v>
      </c>
      <c r="BM35" s="104">
        <f>IF(($D$9+IF(VLOOKUP($E35,武器奇术!$A:$R,17,FALSE)="裂石",$D$15,0)-VLOOKUP($F$7,目标属性!$A:$R,6,FALSE))&gt;0,($D$9+IF(VLOOKUP($E35,武器奇术!$A:$R,17,FALSE)="裂石",$D$15,0)-VLOOKUP($F$7,目标属性!$A:$R,6,FALSE))/200,($D$9+IF(VLOOKUP($E35,武器奇术!$A:$R,17,FALSE)="裂石",$D$15,0)-VLOOKUP($F$7,目标属性!$A:$R,6,FALSE))/100)</f>
        <v>-0.24</v>
      </c>
      <c r="BN35" s="111">
        <f t="shared" si="20"/>
        <v>0</v>
      </c>
      <c r="BO35" s="102">
        <v>1</v>
      </c>
      <c r="BP35" s="103">
        <f>BJ35*IF(VLOOKUP($E35,武器奇术!$A:$R,17,FALSE)="裂石",VLOOKUP($E35,武器奇术!$A:$R,4,FALSE),VLOOKUP($E35,武器奇术!$A:$R,2,FALSE))*(1+BM35)*(1+BN35)*BO35</f>
        <v>0</v>
      </c>
      <c r="BQ35" s="104">
        <f>(1-IF(VLOOKUP($E35,武器奇术!$A:$R,18,FALSE)="叶龙",1,$N35))*(1-$M35)</f>
        <v>0</v>
      </c>
      <c r="BR35" s="103">
        <f>BK35*IF(VLOOKUP($E35,武器奇术!$A:$R,17,FALSE)="裂石",VLOOKUP($E35,武器奇术!$A:$R,4,FALSE),VLOOKUP($E35,武器奇术!$A:$R,2,FALSE))*(1+BM35)*(1+BN35)*BO35*(1+$E$16+VLOOKUP($E35,武器奇术!$A:$R,8,FALSE))</f>
        <v>0</v>
      </c>
      <c r="BS35" s="104">
        <f t="shared" si="21"/>
        <v>0.8703</v>
      </c>
      <c r="BT35" s="103">
        <f>BL35*IF(VLOOKUP($E35,武器奇术!$A:$R,17,FALSE)="裂石",VLOOKUP($E35,武器奇术!$A:$R,4,FALSE),VLOOKUP($E35,武器奇术!$A:$R,2,FALSE))*(1+BM35)*(1+BN35)*BO35*(1+$E$17+VLOOKUP($E35,武器奇术!$A:$R,10,FALSE))</f>
        <v>0</v>
      </c>
      <c r="BU35" s="104">
        <f t="shared" si="22"/>
        <v>0.0986</v>
      </c>
      <c r="BV35" s="103">
        <f>BK35*IF(VLOOKUP($E35,武器奇术!$A:$R,17,FALSE)="裂石",VLOOKUP($E35,武器奇术!$A:$R,4,FALSE),VLOOKUP($E35,武器奇术!$A:$R,2,FALSE))*(1+BM35)*(1+BN35)*BO35</f>
        <v>0</v>
      </c>
      <c r="BW35" s="104">
        <f t="shared" si="23"/>
        <v>0.0311</v>
      </c>
      <c r="BX35" s="112">
        <f t="shared" si="24"/>
        <v>0</v>
      </c>
      <c r="BY35" s="110">
        <f>$B$11*IF($G$5="撼天",1.05,1)+IF(AND(VLOOKUP($E35,武器奇术!$A:$R,15,FALSE)="武器",VLOOKUP($E35,武器奇术!$A:$R,17,FALSE)="牵丝"),$E$3*(1+$E$15),0)</f>
        <v>686.71</v>
      </c>
      <c r="BZ35" s="102">
        <f>IF(VLOOKUP($E35,武器奇术!$A:$Z,18,FALSE)="叶龙",(CA35-(BY35+CA35)*0.5)*($G$15-0.5)*2+(BY35+CA35)*0.5,(BY35+CA35)*0.5)</f>
        <v>1052.21</v>
      </c>
      <c r="CA35" s="102">
        <f>MAX($C$11*IF($G$5="撼天",1.05,1)+IF(AND(VLOOKUP($E35,武器奇术!$A:$R,15,FALSE)="武器",VLOOKUP($E35,武器奇术!$A:$R,17,FALSE)="牵丝"),$E$3*(1+$E$15),0),BY35)</f>
        <v>1417.71</v>
      </c>
      <c r="CB35" s="104">
        <f>IF(($D$11+IF(VLOOKUP($E35,武器奇术!$A:$R,17,FALSE)="牵丝",$D$15,0)-VLOOKUP($F$7,目标属性!$A:$R,6,FALSE))&gt;0,($D$11+IF(VLOOKUP($E35,武器奇术!$A:$R,17,FALSE)="牵丝",$D$15,0)-VLOOKUP($F$7,目标属性!$A:$R,6,FALSE))/200,($D$11+IF(VLOOKUP($E35,武器奇术!$A:$R,17,FALSE)="牵丝",$D$15,0)-VLOOKUP($F$7,目标属性!$A:$R,6,FALSE))/100)</f>
        <v>0.028</v>
      </c>
      <c r="CC35" s="111">
        <f>$E$11+IF($G$5="烟柳",IF(VLOOKUP($E35,武器奇术!$A:$T,20,FALSE)=1,0.1,0),0)</f>
        <v>0.248</v>
      </c>
      <c r="CD35" s="102">
        <v>1</v>
      </c>
      <c r="CE35" s="103">
        <f>BY35*IF(VLOOKUP($E35,武器奇术!$A:$R,17,FALSE)="牵丝",VLOOKUP($E35,武器奇术!$A:$R,4,FALSE),VLOOKUP($E35,武器奇术!$A:$R,2,FALSE))*(1+CB35)*(1+CC35)*CD35</f>
        <v>3649.20705503528</v>
      </c>
      <c r="CF35" s="104">
        <f>(1-IF(VLOOKUP($E35,武器奇术!$A:$R,18,FALSE)="叶龙",1,$N35))*(1-$M35)</f>
        <v>0</v>
      </c>
      <c r="CG35" s="124">
        <f>BZ35*IF(VLOOKUP($E35,武器奇术!$A:$R,17,FALSE)="牵丝",VLOOKUP($E35,武器奇术!$A:$R,4,FALSE),VLOOKUP($E35,武器奇术!$A:$R,2,FALSE))*(1+CB35)*(1+CC35)*CD35*(1+$E$16+VLOOKUP($E35,武器奇术!$A:$R,8,FALSE))</f>
        <v>11205.3461277378</v>
      </c>
      <c r="CH35" s="104">
        <f t="shared" si="25"/>
        <v>0.8703</v>
      </c>
      <c r="CI35" s="103">
        <f>CA35*IF(VLOOKUP($E35,武器奇术!$A:$R,17,FALSE)="牵丝",VLOOKUP($E35,武器奇术!$A:$R,4,FALSE),VLOOKUP($E35,武器奇术!$A:$R,2,FALSE))*(1+CB35)*(1+CC35)*CD35*(1+$E$17+VLOOKUP($E35,武器奇术!$A:$R,10,FALSE))</f>
        <v>10170.5937016965</v>
      </c>
      <c r="CJ35" s="104">
        <f t="shared" si="26"/>
        <v>0.0986</v>
      </c>
      <c r="CK35" s="124">
        <f>BZ35*IF(VLOOKUP($E35,武器奇术!$A:$R,17,FALSE)="牵丝",VLOOKUP($E35,武器奇术!$A:$R,4,FALSE),VLOOKUP($E35,武器奇术!$A:$R,2,FALSE))*(1+CB35)*(1+CC35)*CD35</f>
        <v>5591.49008370152</v>
      </c>
      <c r="CL35" s="104">
        <f t="shared" si="27"/>
        <v>0.0311</v>
      </c>
      <c r="CM35" s="112">
        <f t="shared" si="28"/>
        <v>10928.7286155606</v>
      </c>
      <c r="CN35" s="110">
        <f>$B$13*IF($G$5="撼天",1.05,1)+IF(AND(VLOOKUP($E35,武器奇术!$A:$R,15,FALSE)="武器",VLOOKUP($E35,武器奇术!$A:$R,17,FALSE)="破竹"),$E$3*(1+$E$15),0)</f>
        <v>0</v>
      </c>
      <c r="CO35" s="102">
        <f t="shared" si="29"/>
        <v>0</v>
      </c>
      <c r="CP35" s="102">
        <f>MAX($C$13*IF($G$5="撼天",1.05,1)+IF(AND(VLOOKUP($E35,武器奇术!$A:$R,15,FALSE)="武器",VLOOKUP($E35,武器奇术!$A:$R,17,FALSE)="破竹"),$E$3*(1+$E$15),0),CN35)</f>
        <v>0</v>
      </c>
      <c r="CQ35" s="104">
        <f>IF(($D$13+IF(VLOOKUP($E35,武器奇术!$A:$R,17,FALSE)="破竹",$D$15,0)-VLOOKUP($F$7,目标属性!$A:$R,6,FALSE))&gt;0,($D$13+IF(VLOOKUP($E35,武器奇术!$A:$R,17,FALSE)="破竹",$D$15,0)-VLOOKUP($F$7,目标属性!$A:$R,6,FALSE))/200,($D$13+IF(VLOOKUP($E35,武器奇术!$A:$R,17,FALSE)="破竹",$D$15,0)-VLOOKUP($F$7,目标属性!$A:$R,6,FALSE))/100)</f>
        <v>-0.24</v>
      </c>
      <c r="CR35" s="111">
        <f t="shared" si="30"/>
        <v>0</v>
      </c>
      <c r="CS35" s="102">
        <v>1</v>
      </c>
      <c r="CT35" s="103">
        <f>CN35*IF(VLOOKUP($E35,武器奇术!$A:$R,17,FALSE)="破竹",VLOOKUP($E35,武器奇术!$A:$R,4,FALSE),VLOOKUP($E35,武器奇术!$A:$R,2,FALSE))*(1+CQ35)*(1+CR35)*CS35</f>
        <v>0</v>
      </c>
      <c r="CU35" s="104">
        <f>(1-IF(VLOOKUP($E35,武器奇术!$A:$R,18,FALSE)="叶龙",1,$N35))*(1-$M35)</f>
        <v>0</v>
      </c>
      <c r="CV35" s="103">
        <f>CO35*IF(VLOOKUP($E35,武器奇术!$A:$R,17,FALSE)="破竹",VLOOKUP($E35,武器奇术!$A:$R,4,FALSE),VLOOKUP($E35,武器奇术!$A:$R,2,FALSE))*(1+CQ35)*(1+CR35)*CS35*(1+$E$16+VLOOKUP($E35,武器奇术!$A:$R,8,FALSE))</f>
        <v>0</v>
      </c>
      <c r="CW35" s="104">
        <f t="shared" si="31"/>
        <v>0.8703</v>
      </c>
      <c r="CX35" s="103">
        <f>CP35*IF(VLOOKUP($E35,武器奇术!$A:$R,17,FALSE)="破竹",VLOOKUP($E35,武器奇术!$A:$R,4,FALSE),VLOOKUP($E35,武器奇术!$A:$R,2,FALSE))*(1+CQ35)*(1+CR35)*CS35*(1+$E$17+VLOOKUP($E35,武器奇术!$A:$R,10,FALSE))</f>
        <v>0</v>
      </c>
      <c r="CY35" s="104">
        <f t="shared" si="32"/>
        <v>0.0986</v>
      </c>
      <c r="CZ35" s="103">
        <f>CO35*IF(VLOOKUP($E35,武器奇术!$A:$R,17,FALSE)="破竹",VLOOKUP($E35,武器奇术!$A:$R,4,FALSE),VLOOKUP($E35,武器奇术!$A:$R,2,FALSE))*(1+CQ35)*(1+CR35)*CS35</f>
        <v>0</v>
      </c>
      <c r="DA35" s="104">
        <f t="shared" si="33"/>
        <v>0.0311</v>
      </c>
      <c r="DB35" s="112">
        <f t="shared" si="34"/>
        <v>0</v>
      </c>
      <c r="DC35" s="110">
        <f t="shared" si="35"/>
        <v>66</v>
      </c>
      <c r="DD35" s="102">
        <f t="shared" si="36"/>
        <v>125.8</v>
      </c>
      <c r="DE35" s="102">
        <f t="shared" si="37"/>
        <v>185.6</v>
      </c>
      <c r="DF35" s="104">
        <f>IF((IF(VLOOKUP($E35,武器奇术!$A:$R,17,FALSE)="鸣金",$D$7,0)+IF(VLOOKUP($E35,武器奇术!$A:$R,17,FALSE)="裂石",$D$9,0)+IF(VLOOKUP($E35,武器奇术!$A:$R,17,FALSE)="牵丝",$D$11,0)+IF(VLOOKUP($E35,武器奇术!$A:$R,17,FALSE)="破竹",$D$13,0)+$D$15-VLOOKUP($F$7,目标属性!$A:$R,6,FALSE))&gt;0,(IF(VLOOKUP($E35,武器奇术!$A:$R,17,FALSE)="鸣金",$D$7,0)+IF(VLOOKUP($E35,武器奇术!$A:$R,17,FALSE)="裂石",$D$9,0)+IF(VLOOKUP($E35,武器奇术!$A:$R,17,FALSE)="牵丝",$D$11,0)+IF(VLOOKUP($E35,武器奇术!$A:$R,17,FALSE)="破竹",$D$13,0)+$D$15-VLOOKUP($F$7,目标属性!$A:$R,6,FALSE))/200,(IF(VLOOKUP($E35,武器奇术!$A:$R,17,FALSE)="鸣金",$D$7,0)+IF(VLOOKUP($E35,武器奇术!$A:$R,17,FALSE)="裂石",$D$9,0)+IF(VLOOKUP($E35,武器奇术!$A:$R,17,FALSE)="牵丝",$D$11,0)+IF(VLOOKUP($E35,武器奇术!$A:$R,17,FALSE)="破竹",$D$13,0)+$D$15-VLOOKUP($F$7,目标属性!$A:$R,6,FALSE))/100)</f>
        <v>0.028</v>
      </c>
      <c r="DG35" s="111">
        <f>$E$11+IF($G$5="烟柳",IF(VLOOKUP($E35,武器奇术!$A:$T,20,FALSE)=1,0.1,0),0)</f>
        <v>0.248</v>
      </c>
      <c r="DH35" s="102">
        <v>1</v>
      </c>
      <c r="DI35" s="103">
        <f>DC35*IF(VLOOKUP($E35,武器奇术!$A:$R,17,FALSE)="牵丝",VLOOKUP($E35,武器奇术!$A:$R,4,FALSE),VLOOKUP($E35,武器奇术!$A:$R,2,FALSE))*(1+DF35)*(1+DG35)*DH35</f>
        <v>350.72689436928</v>
      </c>
      <c r="DJ35" s="104">
        <f>(1-IF(VLOOKUP($E35,武器奇术!$A:$R,18,FALSE)="叶龙",1,$N35))*(1-$M35)</f>
        <v>0</v>
      </c>
      <c r="DK35" s="124">
        <f>DD35*IF(VLOOKUP($E35,武器奇术!$A:$R,17,FALSE)="牵丝",VLOOKUP($E35,武器奇术!$A:$R,4,FALSE),VLOOKUP($E35,武器奇术!$A:$R,2,FALSE))*(1+DF35)*(1+DG35)*DH35*(1+$E$16+VLOOKUP($E35,武器奇术!$A:$R,8,FALSE))</f>
        <v>1339.6874605539</v>
      </c>
      <c r="DL35" s="104">
        <f t="shared" si="38"/>
        <v>0.8703</v>
      </c>
      <c r="DM35" s="103">
        <f>DE35*IF(VLOOKUP($E35,武器奇术!$A:$R,17,FALSE)="牵丝",VLOOKUP($E35,武器奇术!$A:$R,4,FALSE),VLOOKUP($E35,武器奇术!$A:$R,2,FALSE))*(1+DF35)*(1+DG35)*DH35*(1+$E$17+VLOOKUP($E35,武器奇术!$A:$R,10,FALSE))</f>
        <v>1331.48682807829</v>
      </c>
      <c r="DN35" s="104">
        <f t="shared" si="39"/>
        <v>0.0986</v>
      </c>
      <c r="DO35" s="124">
        <f>DD35*IF(VLOOKUP($E35,武器奇术!$A:$R,17,FALSE)="牵丝",VLOOKUP($E35,武器奇术!$A:$R,4,FALSE),VLOOKUP($E35,武器奇术!$A:$R,2,FALSE))*(1+DF35)*(1+DG35)*DH35</f>
        <v>668.506716843264</v>
      </c>
      <c r="DP35" s="104">
        <f t="shared" si="40"/>
        <v>0.0311</v>
      </c>
      <c r="DQ35" s="112">
        <f t="shared" si="41"/>
        <v>1318.0051570624</v>
      </c>
    </row>
    <row r="36" spans="2:121">
      <c r="B36" s="125"/>
      <c r="C36" s="21"/>
      <c r="D36" s="129"/>
      <c r="E36" s="115" t="str">
        <f>期望!E36</f>
        <v>伞～(连中小纵无滞骨)</v>
      </c>
      <c r="F36" s="116">
        <f>期望!F36</f>
        <v>0.5</v>
      </c>
      <c r="G36" s="117">
        <f t="shared" ref="G36:G38" si="42">$E$23</f>
        <v>0.32</v>
      </c>
      <c r="H36" s="103">
        <f>IF(VLOOKUP($E36,武器奇术!$A:$R,18,FALSE)="天工",AE36,(AE36+AT36+BI36+BX36+CM36+DB36+DQ36))*(1+J36)*F36*K36*(1+G36)</f>
        <v>18708.5117064144</v>
      </c>
      <c r="I36" s="104">
        <f t="shared" si="0"/>
        <v>0.00215615518598284</v>
      </c>
      <c r="J36" s="118">
        <f>$F$3+VLOOKUP($E36,武器奇术!$A:$R,12,FALSE)+VLOOKUP($E36,武器奇术!$A:$R,14,FALSE)*$G$3+$P36+IF($F$21="√",5%,0)</f>
        <v>0.723</v>
      </c>
      <c r="K36" s="105">
        <f>VLOOKUP($E36,武器奇术!$A:$R,11,FALSE)</f>
        <v>1</v>
      </c>
      <c r="L36" s="119">
        <f>IF(VLOOKUP($E36,武器奇术!$A:$R,15,FALSE)="天工",0%,IF($C$17+VLOOKUP($E36,武器奇术!$A:$R,7,FALSE)&gt;80%,80%,$C$17+VLOOKUP($E36,武器奇术!$A:$R,7,FALSE))+IF($C$19&gt;20%,20%,$C$19))</f>
        <v>0.8703</v>
      </c>
      <c r="M36" s="120">
        <f>IF(VLOOKUP($E36,武器奇术!$A:$R,15,FALSE)="天工",0%,IF($C$18+VLOOKUP($E36,武器奇术!$A:$R,9,FALSE)&gt;40%,40%,$C$18+VLOOKUP($E36,武器奇术!$A:$R,9,FALSE))+IF($C$20&gt;10%,10%,$C$20))</f>
        <v>0.0986</v>
      </c>
      <c r="N36" s="121">
        <f>IF(VLOOKUP($E36,武器奇术!$A:$R,15,FALSE)="天工",100%,MIN($C$16,1))</f>
        <v>1</v>
      </c>
      <c r="O36" s="122" t="str">
        <f>VLOOKUP($E36,武器奇术!$A:$R,16,FALSE)</f>
        <v>伞</v>
      </c>
      <c r="P36" s="123">
        <f t="shared" si="1"/>
        <v>0.17</v>
      </c>
      <c r="Q36" s="110">
        <f>$B$5*(1+VLOOKUP($E36,武器奇术!$A:$R,5,FALSE))*(1+VLOOKUP($E36,武器奇术!$A:$S,19,FALSE)+IF($G$5="飞隼",0.1,0)+IF($G$5="撼天",0.05,0))-$F$9+IF($J$5="√",160,0)</f>
        <v>3081.85</v>
      </c>
      <c r="R36" s="102">
        <f>IF(VLOOKUP($E36,武器奇术!$A:$Z,18,FALSE)="叶龙",(S36-(Q36+S36)*0.5)*($G$15-0.5)*2+(Q36+S36)*0.5,(Q36+S36)*0.5)</f>
        <v>3161.85</v>
      </c>
      <c r="S36" s="102">
        <f>MAX($C$5,$B$5)*(1+VLOOKUP($E36,武器奇术!$A:$R,6,FALSE))*(1+VLOOKUP($E36,武器奇术!$A:$S,19,FALSE)+IF($G$5="飞隼",0.1,0)+IF($G$5="撼天",0.05,0))-$F$9+IF($J$5="√",320,0)</f>
        <v>3241.85</v>
      </c>
      <c r="T36" s="104">
        <f>IF(($D$5+VLOOKUP($E36,武器奇术!$A:$R,13,FALSE)+IF($I$3="√",10,0)-VLOOKUP($F$7,目标属性!$A:$R,5,FALSE))&gt;0,($D$5+VLOOKUP($E36,武器奇术!$A:$R,13,FALSE)+IF($I$3="√",10,0)-VLOOKUP($F$7,目标属性!$A:$R,5,FALSE))/200,($D$5+VLOOKUP($E36,武器奇术!$A:$R,13,FALSE)+IF($I$3="√",10,0)-VLOOKUP($F$7,目标属性!$A:$R,5,FALSE))/100)</f>
        <v>0.2925</v>
      </c>
      <c r="U36" s="111">
        <f>$E$5+IF($G$5="烟柳",IF(VLOOKUP($E36,武器奇术!$A:$T,20,FALSE)=1,0.1,0),0)</f>
        <v>0.1</v>
      </c>
      <c r="V36" s="102">
        <v>1</v>
      </c>
      <c r="W36" s="103">
        <f>Q36*VLOOKUP($E36,武器奇术!$A:$R,2,FALSE)*(1+T36)*(1+U36)*V36</f>
        <v>5148.20660615181</v>
      </c>
      <c r="X36" s="104">
        <f>(1-IF(VLOOKUP($E36,武器奇术!$A:$R,18,FALSE)="叶龙",1,$N36))*(1-$M36)</f>
        <v>0</v>
      </c>
      <c r="Y36" s="103">
        <f>R36*VLOOKUP($E36,武器奇术!$A:$R,2,FALSE)*(1+T36)*(1+U36)*V36*(1+$E$16+VLOOKUP($E36,武器奇术!$A:$R,8,FALSE))</f>
        <v>10584.819359655</v>
      </c>
      <c r="Z36" s="104">
        <f t="shared" si="2"/>
        <v>0.8703</v>
      </c>
      <c r="AA36" s="103">
        <f>S36*VLOOKUP($E36,武器奇术!$A:$R,2,FALSE)*(1+T36)*(1+U36)*V36*(1+$E$17+VLOOKUP($E36,武器奇术!$A:$R,10,FALSE))</f>
        <v>7310.90524889495</v>
      </c>
      <c r="AB36" s="104">
        <f t="shared" si="3"/>
        <v>0.0986</v>
      </c>
      <c r="AC36" s="103">
        <f>R36*VLOOKUP($E36,武器奇术!$A:$R,2,FALSE)*(1+T36)*(1+U36)*V36</f>
        <v>5281.84598785181</v>
      </c>
      <c r="AD36" s="104">
        <f t="shared" si="4"/>
        <v>0.0311</v>
      </c>
      <c r="AE36" s="112">
        <f t="shared" si="5"/>
        <v>10097.088956471</v>
      </c>
      <c r="AF36" s="113">
        <f>VLOOKUP($E36,武器奇术!$A:$R,3,FALSE)*(1+IF(VLOOKUP($E36,武器奇术!$A:$R,15,FALSE)="武器",$E$15,0))</f>
        <v>421.59</v>
      </c>
      <c r="AG36" s="103">
        <f t="shared" si="6"/>
        <v>421.59</v>
      </c>
      <c r="AH36" s="103">
        <f>VLOOKUP($E36,武器奇术!$A:$R,3,FALSE)*(1+IF(VLOOKUP($E36,武器奇术!$A:$R,15,FALSE)="武器",$E$15,0))</f>
        <v>421.59</v>
      </c>
      <c r="AI36" s="104">
        <f>IF(($D$5+VLOOKUP($E36,武器奇术!$A:$R,13,FALSE)+IF($I$3="√",10,0)-VLOOKUP($F$7,目标属性!$A:$R,5,FALSE))&gt;0,($D$5+VLOOKUP($E36,武器奇术!$A:$R,13,FALSE)+IF($I$3="√",10,0)-VLOOKUP($F$7,目标属性!$A:$R,5,FALSE))/200,($D$5+VLOOKUP($E36,武器奇术!$A:$R,13,FALSE)+IF($I$3="√",10,0)-VLOOKUP($F$7,目标属性!$A:$R,5,FALSE))/100)</f>
        <v>0.2925</v>
      </c>
      <c r="AJ36" s="111">
        <f>$E$5+IF($G$5="烟柳",IF(VLOOKUP($E36,武器奇术!$A:$T,20,FALSE)=1,0.1,0),0)</f>
        <v>0.1</v>
      </c>
      <c r="AK36" s="102">
        <v>1</v>
      </c>
      <c r="AL36" s="103">
        <f t="shared" si="7"/>
        <v>599.3955825</v>
      </c>
      <c r="AM36" s="104">
        <f>(1-IF(VLOOKUP($E36,武器奇术!$A:$R,18,FALSE)="叶龙",1,$N36))*(1-$M36)</f>
        <v>0</v>
      </c>
      <c r="AN36" s="103">
        <f>AG36*(1+AI36)*(1+AJ36)*AK36*(1+$E$16+VLOOKUP($E36,武器奇术!$A:$R,8,FALSE))</f>
        <v>1201.18874733</v>
      </c>
      <c r="AO36" s="104">
        <f t="shared" si="8"/>
        <v>0.8703</v>
      </c>
      <c r="AP36" s="103">
        <f>AH36*(1+AI36)*(1+AJ36)*AK36*(1+$E$17+VLOOKUP($E36,武器奇术!$A:$R,10,FALSE))</f>
        <v>809.184036375</v>
      </c>
      <c r="AQ36" s="104">
        <f t="shared" si="9"/>
        <v>0.0986</v>
      </c>
      <c r="AR36" s="103">
        <f t="shared" si="10"/>
        <v>599.3955825</v>
      </c>
      <c r="AS36" s="104">
        <f t="shared" si="11"/>
        <v>0.0311</v>
      </c>
      <c r="AT36" s="112">
        <f t="shared" si="12"/>
        <v>1143.82131540362</v>
      </c>
      <c r="AU36" s="110">
        <f>$B$7*IF($G$5="撼天",1.05,1)+IF(AND(VLOOKUP($E36,武器奇术!$A:$R,15,FALSE)="武器",VLOOKUP($E36,武器奇术!$A:$R,17,FALSE)="鸣金"),$E$3*(1+$E$15),0)</f>
        <v>0</v>
      </c>
      <c r="AV36" s="102">
        <f t="shared" si="13"/>
        <v>0</v>
      </c>
      <c r="AW36" s="102">
        <f>MAX($C$7*IF($G$5="撼天",1.05,1)+IF(AND(VLOOKUP($E36,武器奇术!$A:$R,15,FALSE)="武器",VLOOKUP($E36,武器奇术!$A:$R,17,FALSE)="鸣金"),$E$3*(1+$E$15),0),AU36)</f>
        <v>0</v>
      </c>
      <c r="AX36" s="104">
        <f>IF(($D$7+IF(VLOOKUP($E36,武器奇术!$A:$R,17,FALSE)="鸣金",$D$15,0)-VLOOKUP($F$7,目标属性!$A:$R,6,FALSE))&gt;0,($D$7+IF(VLOOKUP($E36,武器奇术!$A:$R,17,FALSE)="鸣金",$D$15,0)-VLOOKUP($F$7,目标属性!$A:$R,6,FALSE))/200,($D$7+IF(VLOOKUP($E36,武器奇术!$A:$R,17,FALSE)="鸣金",$D$15,0)-VLOOKUP($F$7,目标属性!$A:$R,6,FALSE))/100)</f>
        <v>-0.24</v>
      </c>
      <c r="AY36" s="111">
        <f t="shared" si="14"/>
        <v>0</v>
      </c>
      <c r="AZ36" s="102">
        <v>1</v>
      </c>
      <c r="BA36" s="103">
        <f>AU36*IF(VLOOKUP($E36,武器奇术!$A:$R,17,FALSE)="鸣金",VLOOKUP($E36,武器奇术!$A:$R,4,FALSE),VLOOKUP($E36,武器奇术!$A:$R,2,FALSE))*(1+AX36)*(1+AY36)*AZ36</f>
        <v>0</v>
      </c>
      <c r="BB36" s="104">
        <f>(1-IF(VLOOKUP($E36,武器奇术!$A:$R,18,FALSE)="叶龙",1,$N36))*(1-$M36)</f>
        <v>0</v>
      </c>
      <c r="BC36" s="103">
        <f>AV36*IF(VLOOKUP($E36,武器奇术!$A:$R,17,FALSE)="鸣金",VLOOKUP($E36,武器奇术!$A:$R,4,FALSE),VLOOKUP($E36,武器奇术!$A:$R,2,FALSE))*(1+AX36)*(1+AY36)*AZ36*(1+$E$16+VLOOKUP($E36,武器奇术!$A:$R,8,FALSE))</f>
        <v>0</v>
      </c>
      <c r="BD36" s="104">
        <f t="shared" si="15"/>
        <v>0.8703</v>
      </c>
      <c r="BE36" s="103">
        <f>AW36*IF(VLOOKUP($E36,武器奇术!$A:$R,17,FALSE)="鸣金",VLOOKUP($E36,武器奇术!$A:$R,4,FALSE),VLOOKUP($E36,武器奇术!$A:$R,2,FALSE))*(1+AX36)*(1+AY36)*AZ36*(1+$E$17+VLOOKUP($E36,武器奇术!$A:$R,10,FALSE))</f>
        <v>0</v>
      </c>
      <c r="BF36" s="104">
        <f t="shared" si="16"/>
        <v>0.0986</v>
      </c>
      <c r="BG36" s="103">
        <f>AV36*IF(VLOOKUP($E36,武器奇术!$A:$R,17,FALSE)="鸣金",VLOOKUP($E36,武器奇术!$A:$R,4,FALSE),VLOOKUP($E36,武器奇术!$A:$R,2,FALSE))*(1+AX36)*(1+AY36)*AZ36</f>
        <v>0</v>
      </c>
      <c r="BH36" s="104">
        <f t="shared" si="17"/>
        <v>0.0311</v>
      </c>
      <c r="BI36" s="112">
        <f t="shared" si="18"/>
        <v>0</v>
      </c>
      <c r="BJ36" s="110">
        <f>$B$9*IF($G$5="撼天",1.05,1)+IF(AND(VLOOKUP($E36,武器奇术!$A:$R,15,FALSE)="武器",VLOOKUP($E36,武器奇术!$A:$R,17,FALSE)="裂石"),$E$3*(1+$E$15),0)</f>
        <v>0</v>
      </c>
      <c r="BK36" s="102">
        <f t="shared" si="19"/>
        <v>0</v>
      </c>
      <c r="BL36" s="102">
        <f>MAX($C$9*IF($G$5="撼天",1.05,1)+IF(AND(VLOOKUP($E36,武器奇术!$A:$R,15,FALSE)="武器",VLOOKUP($E36,武器奇术!$A:$R,17,FALSE)="裂石"),$E$3*(1+$E$15),0),BJ36)</f>
        <v>0</v>
      </c>
      <c r="BM36" s="104">
        <f>IF(($D$9+IF(VLOOKUP($E36,武器奇术!$A:$R,17,FALSE)="裂石",$D$15,0)-VLOOKUP($F$7,目标属性!$A:$R,6,FALSE))&gt;0,($D$9+IF(VLOOKUP($E36,武器奇术!$A:$R,17,FALSE)="裂石",$D$15,0)-VLOOKUP($F$7,目标属性!$A:$R,6,FALSE))/200,($D$9+IF(VLOOKUP($E36,武器奇术!$A:$R,17,FALSE)="裂石",$D$15,0)-VLOOKUP($F$7,目标属性!$A:$R,6,FALSE))/100)</f>
        <v>-0.24</v>
      </c>
      <c r="BN36" s="111">
        <f t="shared" si="20"/>
        <v>0</v>
      </c>
      <c r="BO36" s="102">
        <v>1</v>
      </c>
      <c r="BP36" s="103">
        <f>BJ36*IF(VLOOKUP($E36,武器奇术!$A:$R,17,FALSE)="裂石",VLOOKUP($E36,武器奇术!$A:$R,4,FALSE),VLOOKUP($E36,武器奇术!$A:$R,2,FALSE))*(1+BM36)*(1+BN36)*BO36</f>
        <v>0</v>
      </c>
      <c r="BQ36" s="104">
        <f>(1-IF(VLOOKUP($E36,武器奇术!$A:$R,18,FALSE)="叶龙",1,$N36))*(1-$M36)</f>
        <v>0</v>
      </c>
      <c r="BR36" s="103">
        <f>BK36*IF(VLOOKUP($E36,武器奇术!$A:$R,17,FALSE)="裂石",VLOOKUP($E36,武器奇术!$A:$R,4,FALSE),VLOOKUP($E36,武器奇术!$A:$R,2,FALSE))*(1+BM36)*(1+BN36)*BO36*(1+$E$16+VLOOKUP($E36,武器奇术!$A:$R,8,FALSE))</f>
        <v>0</v>
      </c>
      <c r="BS36" s="104">
        <f t="shared" si="21"/>
        <v>0.8703</v>
      </c>
      <c r="BT36" s="103">
        <f>BL36*IF(VLOOKUP($E36,武器奇术!$A:$R,17,FALSE)="裂石",VLOOKUP($E36,武器奇术!$A:$R,4,FALSE),VLOOKUP($E36,武器奇术!$A:$R,2,FALSE))*(1+BM36)*(1+BN36)*BO36*(1+$E$17+VLOOKUP($E36,武器奇术!$A:$R,10,FALSE))</f>
        <v>0</v>
      </c>
      <c r="BU36" s="104">
        <f t="shared" si="22"/>
        <v>0.0986</v>
      </c>
      <c r="BV36" s="103">
        <f>BK36*IF(VLOOKUP($E36,武器奇术!$A:$R,17,FALSE)="裂石",VLOOKUP($E36,武器奇术!$A:$R,4,FALSE),VLOOKUP($E36,武器奇术!$A:$R,2,FALSE))*(1+BM36)*(1+BN36)*BO36</f>
        <v>0</v>
      </c>
      <c r="BW36" s="104">
        <f t="shared" si="23"/>
        <v>0.0311</v>
      </c>
      <c r="BX36" s="112">
        <f t="shared" si="24"/>
        <v>0</v>
      </c>
      <c r="BY36" s="110">
        <f>$B$11*IF($G$5="撼天",1.05,1)+IF(AND(VLOOKUP($E36,武器奇术!$A:$R,15,FALSE)="武器",VLOOKUP($E36,武器奇术!$A:$R,17,FALSE)="牵丝"),$E$3*(1+$E$15),0)</f>
        <v>686.71</v>
      </c>
      <c r="BZ36" s="102">
        <f>IF(VLOOKUP($E36,武器奇术!$A:$Z,18,FALSE)="叶龙",(CA36-(BY36+CA36)*0.5)*($G$15-0.5)*2+(BY36+CA36)*0.5,(BY36+CA36)*0.5)</f>
        <v>1052.21</v>
      </c>
      <c r="CA36" s="102">
        <f>MAX($C$11*IF($G$5="撼天",1.05,1)+IF(AND(VLOOKUP($E36,武器奇术!$A:$R,15,FALSE)="武器",VLOOKUP($E36,武器奇术!$A:$R,17,FALSE)="牵丝"),$E$3*(1+$E$15),0),BY36)</f>
        <v>1417.71</v>
      </c>
      <c r="CB36" s="104">
        <f>IF(($D$11+IF(VLOOKUP($E36,武器奇术!$A:$R,17,FALSE)="牵丝",$D$15,0)-VLOOKUP($F$7,目标属性!$A:$R,6,FALSE))&gt;0,($D$11+IF(VLOOKUP($E36,武器奇术!$A:$R,17,FALSE)="牵丝",$D$15,0)-VLOOKUP($F$7,目标属性!$A:$R,6,FALSE))/200,($D$11+IF(VLOOKUP($E36,武器奇术!$A:$R,17,FALSE)="牵丝",$D$15,0)-VLOOKUP($F$7,目标属性!$A:$R,6,FALSE))/100)</f>
        <v>0.028</v>
      </c>
      <c r="CC36" s="111">
        <f>$E$11+IF($G$5="烟柳",IF(VLOOKUP($E36,武器奇术!$A:$T,20,FALSE)=1,0.1,0),0)</f>
        <v>0.248</v>
      </c>
      <c r="CD36" s="102">
        <v>1</v>
      </c>
      <c r="CE36" s="103">
        <f>BY36*IF(VLOOKUP($E36,武器奇术!$A:$R,17,FALSE)="牵丝",VLOOKUP($E36,武器奇术!$A:$R,4,FALSE),VLOOKUP($E36,武器奇术!$A:$R,2,FALSE))*(1+CB36)*(1+CC36)*CD36</f>
        <v>1552.67083453872</v>
      </c>
      <c r="CF36" s="104">
        <f>(1-IF(VLOOKUP($E36,武器奇术!$A:$R,18,FALSE)="叶龙",1,$N36))*(1-$M36)</f>
        <v>0</v>
      </c>
      <c r="CG36" s="124">
        <f>BZ36*IF(VLOOKUP($E36,武器奇术!$A:$R,17,FALSE)="牵丝",VLOOKUP($E36,武器奇术!$A:$R,4,FALSE),VLOOKUP($E36,武器奇术!$A:$R,2,FALSE))*(1+CB36)*(1+CC36)*CD36*(1+$E$16+VLOOKUP($E36,武器奇术!$A:$R,8,FALSE))</f>
        <v>4767.66975977518</v>
      </c>
      <c r="CH36" s="104">
        <f t="shared" si="25"/>
        <v>0.8703</v>
      </c>
      <c r="CI36" s="103">
        <f>CA36*IF(VLOOKUP($E36,武器奇术!$A:$R,17,FALSE)="牵丝",VLOOKUP($E36,武器奇术!$A:$R,4,FALSE),VLOOKUP($E36,武器奇术!$A:$R,2,FALSE))*(1+CB36)*(1+CC36)*CD36*(1+$E$17+VLOOKUP($E36,武器奇术!$A:$R,10,FALSE))</f>
        <v>4327.40153474647</v>
      </c>
      <c r="CJ36" s="104">
        <f t="shared" si="26"/>
        <v>0.0986</v>
      </c>
      <c r="CK36" s="124">
        <f>BZ36*IF(VLOOKUP($E36,武器奇术!$A:$R,17,FALSE)="牵丝",VLOOKUP($E36,武器奇术!$A:$R,4,FALSE),VLOOKUP($E36,武器奇术!$A:$R,2,FALSE))*(1+CB36)*(1+CC36)*CD36</f>
        <v>2379.07672643472</v>
      </c>
      <c r="CL36" s="104">
        <f t="shared" si="27"/>
        <v>0.0311</v>
      </c>
      <c r="CM36" s="112">
        <f t="shared" si="28"/>
        <v>4649.97406945046</v>
      </c>
      <c r="CN36" s="110">
        <f>$B$13*IF($G$5="撼天",1.05,1)+IF(AND(VLOOKUP($E36,武器奇术!$A:$R,15,FALSE)="武器",VLOOKUP($E36,武器奇术!$A:$R,17,FALSE)="破竹"),$E$3*(1+$E$15),0)</f>
        <v>0</v>
      </c>
      <c r="CO36" s="102">
        <f t="shared" si="29"/>
        <v>0</v>
      </c>
      <c r="CP36" s="102">
        <f>MAX($C$13*IF($G$5="撼天",1.05,1)+IF(AND(VLOOKUP($E36,武器奇术!$A:$R,15,FALSE)="武器",VLOOKUP($E36,武器奇术!$A:$R,17,FALSE)="破竹"),$E$3*(1+$E$15),0),CN36)</f>
        <v>0</v>
      </c>
      <c r="CQ36" s="104">
        <f>IF(($D$13+IF(VLOOKUP($E36,武器奇术!$A:$R,17,FALSE)="破竹",$D$15,0)-VLOOKUP($F$7,目标属性!$A:$R,6,FALSE))&gt;0,($D$13+IF(VLOOKUP($E36,武器奇术!$A:$R,17,FALSE)="破竹",$D$15,0)-VLOOKUP($F$7,目标属性!$A:$R,6,FALSE))/200,($D$13+IF(VLOOKUP($E36,武器奇术!$A:$R,17,FALSE)="破竹",$D$15,0)-VLOOKUP($F$7,目标属性!$A:$R,6,FALSE))/100)</f>
        <v>-0.24</v>
      </c>
      <c r="CR36" s="111">
        <f t="shared" si="30"/>
        <v>0</v>
      </c>
      <c r="CS36" s="102">
        <v>1</v>
      </c>
      <c r="CT36" s="103">
        <f>CN36*IF(VLOOKUP($E36,武器奇术!$A:$R,17,FALSE)="破竹",VLOOKUP($E36,武器奇术!$A:$R,4,FALSE),VLOOKUP($E36,武器奇术!$A:$R,2,FALSE))*(1+CQ36)*(1+CR36)*CS36</f>
        <v>0</v>
      </c>
      <c r="CU36" s="104">
        <f>(1-IF(VLOOKUP($E36,武器奇术!$A:$R,18,FALSE)="叶龙",1,$N36))*(1-$M36)</f>
        <v>0</v>
      </c>
      <c r="CV36" s="103">
        <f>CO36*IF(VLOOKUP($E36,武器奇术!$A:$R,17,FALSE)="破竹",VLOOKUP($E36,武器奇术!$A:$R,4,FALSE),VLOOKUP($E36,武器奇术!$A:$R,2,FALSE))*(1+CQ36)*(1+CR36)*CS36*(1+$E$16+VLOOKUP($E36,武器奇术!$A:$R,8,FALSE))</f>
        <v>0</v>
      </c>
      <c r="CW36" s="104">
        <f t="shared" si="31"/>
        <v>0.8703</v>
      </c>
      <c r="CX36" s="103">
        <f>CP36*IF(VLOOKUP($E36,武器奇术!$A:$R,17,FALSE)="破竹",VLOOKUP($E36,武器奇术!$A:$R,4,FALSE),VLOOKUP($E36,武器奇术!$A:$R,2,FALSE))*(1+CQ36)*(1+CR36)*CS36*(1+$E$17+VLOOKUP($E36,武器奇术!$A:$R,10,FALSE))</f>
        <v>0</v>
      </c>
      <c r="CY36" s="104">
        <f t="shared" si="32"/>
        <v>0.0986</v>
      </c>
      <c r="CZ36" s="103">
        <f>CO36*IF(VLOOKUP($E36,武器奇术!$A:$R,17,FALSE)="破竹",VLOOKUP($E36,武器奇术!$A:$R,4,FALSE),VLOOKUP($E36,武器奇术!$A:$R,2,FALSE))*(1+CQ36)*(1+CR36)*CS36</f>
        <v>0</v>
      </c>
      <c r="DA36" s="104">
        <f t="shared" si="33"/>
        <v>0.0311</v>
      </c>
      <c r="DB36" s="112">
        <f t="shared" si="34"/>
        <v>0</v>
      </c>
      <c r="DC36" s="110">
        <f t="shared" si="35"/>
        <v>66</v>
      </c>
      <c r="DD36" s="102">
        <f t="shared" si="36"/>
        <v>125.8</v>
      </c>
      <c r="DE36" s="102">
        <f t="shared" si="37"/>
        <v>185.6</v>
      </c>
      <c r="DF36" s="104">
        <f>IF((IF(VLOOKUP($E36,武器奇术!$A:$R,17,FALSE)="鸣金",$D$7,0)+IF(VLOOKUP($E36,武器奇术!$A:$R,17,FALSE)="裂石",$D$9,0)+IF(VLOOKUP($E36,武器奇术!$A:$R,17,FALSE)="牵丝",$D$11,0)+IF(VLOOKUP($E36,武器奇术!$A:$R,17,FALSE)="破竹",$D$13,0)+$D$15-VLOOKUP($F$7,目标属性!$A:$R,6,FALSE))&gt;0,(IF(VLOOKUP($E36,武器奇术!$A:$R,17,FALSE)="鸣金",$D$7,0)+IF(VLOOKUP($E36,武器奇术!$A:$R,17,FALSE)="裂石",$D$9,0)+IF(VLOOKUP($E36,武器奇术!$A:$R,17,FALSE)="牵丝",$D$11,0)+IF(VLOOKUP($E36,武器奇术!$A:$R,17,FALSE)="破竹",$D$13,0)+$D$15-VLOOKUP($F$7,目标属性!$A:$R,6,FALSE))/200,(IF(VLOOKUP($E36,武器奇术!$A:$R,17,FALSE)="鸣金",$D$7,0)+IF(VLOOKUP($E36,武器奇术!$A:$R,17,FALSE)="裂石",$D$9,0)+IF(VLOOKUP($E36,武器奇术!$A:$R,17,FALSE)="牵丝",$D$11,0)+IF(VLOOKUP($E36,武器奇术!$A:$R,17,FALSE)="破竹",$D$13,0)+$D$15-VLOOKUP($F$7,目标属性!$A:$R,6,FALSE))/100)</f>
        <v>0.028</v>
      </c>
      <c r="DG36" s="111">
        <f>$E$11+IF($G$5="烟柳",IF(VLOOKUP($E36,武器奇术!$A:$T,20,FALSE)=1,0.1,0),0)</f>
        <v>0.248</v>
      </c>
      <c r="DH36" s="102">
        <v>1</v>
      </c>
      <c r="DI36" s="103">
        <f>DC36*IF(VLOOKUP($E36,武器奇术!$A:$R,17,FALSE)="牵丝",VLOOKUP($E36,武器奇术!$A:$R,4,FALSE),VLOOKUP($E36,武器奇术!$A:$R,2,FALSE))*(1+DF36)*(1+DG36)*DH36</f>
        <v>149.227876512</v>
      </c>
      <c r="DJ36" s="104">
        <f>(1-IF(VLOOKUP($E36,武器奇术!$A:$R,18,FALSE)="叶龙",1,$N36))*(1-$M36)</f>
        <v>0</v>
      </c>
      <c r="DK36" s="124">
        <f>DD36*IF(VLOOKUP($E36,武器奇术!$A:$R,17,FALSE)="牵丝",VLOOKUP($E36,武器奇术!$A:$R,4,FALSE),VLOOKUP($E36,武器奇术!$A:$R,2,FALSE))*(1+DF36)*(1+DG36)*DH36*(1+$E$16+VLOOKUP($E36,武器奇术!$A:$R,8,FALSE))</f>
        <v>570.012502998182</v>
      </c>
      <c r="DL36" s="104">
        <f t="shared" si="38"/>
        <v>0.8703</v>
      </c>
      <c r="DM36" s="103">
        <f>DE36*IF(VLOOKUP($E36,武器奇术!$A:$R,17,FALSE)="牵丝",VLOOKUP($E36,武器奇术!$A:$R,4,FALSE),VLOOKUP($E36,武器奇术!$A:$R,2,FALSE))*(1+DF36)*(1+DG36)*DH36*(1+$E$17+VLOOKUP($E36,武器奇术!$A:$R,10,FALSE))</f>
        <v>566.52328392192</v>
      </c>
      <c r="DN36" s="104">
        <f t="shared" si="39"/>
        <v>0.0986</v>
      </c>
      <c r="DO36" s="124">
        <f>DD36*IF(VLOOKUP($E36,武器奇术!$A:$R,17,FALSE)="牵丝",VLOOKUP($E36,武器奇术!$A:$R,4,FALSE),VLOOKUP($E36,武器奇术!$A:$R,2,FALSE))*(1+DF36)*(1+DG36)*DH36</f>
        <v>284.4373767456</v>
      </c>
      <c r="DP36" s="104">
        <f t="shared" si="40"/>
        <v>0.0311</v>
      </c>
      <c r="DQ36" s="112">
        <f t="shared" si="41"/>
        <v>560.787079570808</v>
      </c>
    </row>
    <row r="37" spans="2:121">
      <c r="B37" s="125"/>
      <c r="C37" s="21"/>
      <c r="D37" s="129"/>
      <c r="E37" s="115" t="str">
        <f>期望!E37</f>
        <v>伞～(连中小纵)</v>
      </c>
      <c r="F37" s="116">
        <f>期望!F37</f>
        <v>1</v>
      </c>
      <c r="G37" s="117">
        <f t="shared" si="42"/>
        <v>0.32</v>
      </c>
      <c r="H37" s="103">
        <f>IF(VLOOKUP($E37,武器奇术!$A:$R,18,FALSE)="天工",AE37,(AE37+AT37+BI37+BX37+CM37+DB37+DQ37))*(1+J37)*F37*K37*(1+G37)</f>
        <v>38068.5096010963</v>
      </c>
      <c r="I37" s="104">
        <f t="shared" si="0"/>
        <v>0.00438739412771668</v>
      </c>
      <c r="J37" s="118">
        <f>$F$3+VLOOKUP($E37,武器奇术!$A:$R,12,FALSE)+VLOOKUP($E37,武器奇术!$A:$R,14,FALSE)*$G$3+$P37+IF($F$21="√",5%,0)</f>
        <v>0.753</v>
      </c>
      <c r="K37" s="105">
        <f>VLOOKUP($E37,武器奇术!$A:$R,11,FALSE)</f>
        <v>1</v>
      </c>
      <c r="L37" s="119">
        <f>IF(VLOOKUP($E37,武器奇术!$A:$R,15,FALSE)="天工",0%,IF($C$17+VLOOKUP($E37,武器奇术!$A:$R,7,FALSE)&gt;80%,80%,$C$17+VLOOKUP($E37,武器奇术!$A:$R,7,FALSE))+IF($C$19&gt;20%,20%,$C$19))</f>
        <v>0.8703</v>
      </c>
      <c r="M37" s="120">
        <f>IF(VLOOKUP($E37,武器奇术!$A:$R,15,FALSE)="天工",0%,IF($C$18+VLOOKUP($E37,武器奇术!$A:$R,9,FALSE)&gt;40%,40%,$C$18+VLOOKUP($E37,武器奇术!$A:$R,9,FALSE))+IF($C$20&gt;10%,10%,$C$20))</f>
        <v>0.0986</v>
      </c>
      <c r="N37" s="121">
        <f>IF(VLOOKUP($E37,武器奇术!$A:$R,15,FALSE)="天工",100%,MIN($C$16,1))</f>
        <v>1</v>
      </c>
      <c r="O37" s="122" t="str">
        <f>VLOOKUP($E37,武器奇术!$A:$R,16,FALSE)</f>
        <v>伞</v>
      </c>
      <c r="P37" s="123">
        <f t="shared" si="1"/>
        <v>0.17</v>
      </c>
      <c r="Q37" s="110">
        <f>$B$5*(1+VLOOKUP($E37,武器奇术!$A:$R,5,FALSE))*(1+VLOOKUP($E37,武器奇术!$A:$S,19,FALSE)+IF($G$5="飞隼",0.1,0)+IF($G$5="撼天",0.05,0))-$F$9+IF($J$5="√",160,0)</f>
        <v>3081.85</v>
      </c>
      <c r="R37" s="102">
        <f>IF(VLOOKUP($E37,武器奇术!$A:$Z,18,FALSE)="叶龙",(S37-(Q37+S37)*0.5)*($G$15-0.5)*2+(Q37+S37)*0.5,(Q37+S37)*0.5)</f>
        <v>3161.85</v>
      </c>
      <c r="S37" s="102">
        <f>MAX($C$5,$B$5)*(1+VLOOKUP($E37,武器奇术!$A:$R,6,FALSE))*(1+VLOOKUP($E37,武器奇术!$A:$S,19,FALSE)+IF($G$5="飞隼",0.1,0)+IF($G$5="撼天",0.05,0))-$F$9+IF($J$5="√",320,0)</f>
        <v>3241.85</v>
      </c>
      <c r="T37" s="104">
        <f>IF(($D$5+VLOOKUP($E37,武器奇术!$A:$R,13,FALSE)+IF($I$3="√",10,0)-VLOOKUP($F$7,目标属性!$A:$R,5,FALSE))&gt;0,($D$5+VLOOKUP($E37,武器奇术!$A:$R,13,FALSE)+IF($I$3="√",10,0)-VLOOKUP($F$7,目标属性!$A:$R,5,FALSE))/200,($D$5+VLOOKUP($E37,武器奇术!$A:$R,13,FALSE)+IF($I$3="√",10,0)-VLOOKUP($F$7,目标属性!$A:$R,5,FALSE))/100)</f>
        <v>0.2925</v>
      </c>
      <c r="U37" s="111">
        <f>$E$5+IF($G$5="烟柳",IF(VLOOKUP($E37,武器奇术!$A:$T,20,FALSE)=1,0.1,0),0)</f>
        <v>0.1</v>
      </c>
      <c r="V37" s="102">
        <v>1</v>
      </c>
      <c r="W37" s="103">
        <f>Q37*VLOOKUP($E37,武器奇术!$A:$R,2,FALSE)*(1+T37)*(1+U37)*V37</f>
        <v>5148.20660615181</v>
      </c>
      <c r="X37" s="104">
        <f>(1-IF(VLOOKUP($E37,武器奇术!$A:$R,18,FALSE)="叶龙",1,$N37))*(1-$M37)</f>
        <v>0</v>
      </c>
      <c r="Y37" s="103">
        <f>R37*VLOOKUP($E37,武器奇术!$A:$R,2,FALSE)*(1+T37)*(1+U37)*V37*(1+$E$16+VLOOKUP($E37,武器奇术!$A:$R,8,FALSE))</f>
        <v>10584.819359655</v>
      </c>
      <c r="Z37" s="104">
        <f t="shared" si="2"/>
        <v>0.8703</v>
      </c>
      <c r="AA37" s="103">
        <f>S37*VLOOKUP($E37,武器奇术!$A:$R,2,FALSE)*(1+T37)*(1+U37)*V37*(1+$E$17+VLOOKUP($E37,武器奇术!$A:$R,10,FALSE))</f>
        <v>7310.90524889495</v>
      </c>
      <c r="AB37" s="104">
        <f t="shared" si="3"/>
        <v>0.0986</v>
      </c>
      <c r="AC37" s="103">
        <f>R37*VLOOKUP($E37,武器奇术!$A:$R,2,FALSE)*(1+T37)*(1+U37)*V37</f>
        <v>5281.84598785181</v>
      </c>
      <c r="AD37" s="104">
        <f t="shared" si="4"/>
        <v>0.0311</v>
      </c>
      <c r="AE37" s="112">
        <f t="shared" si="5"/>
        <v>10097.088956471</v>
      </c>
      <c r="AF37" s="113">
        <f>VLOOKUP($E37,武器奇术!$A:$R,3,FALSE)*(1+IF(VLOOKUP($E37,武器奇术!$A:$R,15,FALSE)="武器",$E$15,0))</f>
        <v>421.59</v>
      </c>
      <c r="AG37" s="103">
        <f t="shared" si="6"/>
        <v>421.59</v>
      </c>
      <c r="AH37" s="103">
        <f>VLOOKUP($E37,武器奇术!$A:$R,3,FALSE)*(1+IF(VLOOKUP($E37,武器奇术!$A:$R,15,FALSE)="武器",$E$15,0))</f>
        <v>421.59</v>
      </c>
      <c r="AI37" s="104">
        <f>IF(($D$5+VLOOKUP($E37,武器奇术!$A:$R,13,FALSE)+IF($I$3="√",10,0)-VLOOKUP($F$7,目标属性!$A:$R,5,FALSE))&gt;0,($D$5+VLOOKUP($E37,武器奇术!$A:$R,13,FALSE)+IF($I$3="√",10,0)-VLOOKUP($F$7,目标属性!$A:$R,5,FALSE))/200,($D$5+VLOOKUP($E37,武器奇术!$A:$R,13,FALSE)+IF($I$3="√",10,0)-VLOOKUP($F$7,目标属性!$A:$R,5,FALSE))/100)</f>
        <v>0.2925</v>
      </c>
      <c r="AJ37" s="111">
        <f>$E$5+IF($G$5="烟柳",IF(VLOOKUP($E37,武器奇术!$A:$T,20,FALSE)=1,0.1,0),0)</f>
        <v>0.1</v>
      </c>
      <c r="AK37" s="102">
        <v>1</v>
      </c>
      <c r="AL37" s="103">
        <f t="shared" si="7"/>
        <v>599.3955825</v>
      </c>
      <c r="AM37" s="104">
        <f>(1-IF(VLOOKUP($E37,武器奇术!$A:$R,18,FALSE)="叶龙",1,$N37))*(1-$M37)</f>
        <v>0</v>
      </c>
      <c r="AN37" s="103">
        <f>AG37*(1+AI37)*(1+AJ37)*AK37*(1+$E$16+VLOOKUP($E37,武器奇术!$A:$R,8,FALSE))</f>
        <v>1201.18874733</v>
      </c>
      <c r="AO37" s="104">
        <f t="shared" si="8"/>
        <v>0.8703</v>
      </c>
      <c r="AP37" s="103">
        <f>AH37*(1+AI37)*(1+AJ37)*AK37*(1+$E$17+VLOOKUP($E37,武器奇术!$A:$R,10,FALSE))</f>
        <v>809.184036375</v>
      </c>
      <c r="AQ37" s="104">
        <f t="shared" si="9"/>
        <v>0.0986</v>
      </c>
      <c r="AR37" s="103">
        <f t="shared" si="10"/>
        <v>599.3955825</v>
      </c>
      <c r="AS37" s="104">
        <f t="shared" si="11"/>
        <v>0.0311</v>
      </c>
      <c r="AT37" s="112">
        <f t="shared" si="12"/>
        <v>1143.82131540362</v>
      </c>
      <c r="AU37" s="110">
        <f>$B$7*IF($G$5="撼天",1.05,1)+IF(AND(VLOOKUP($E37,武器奇术!$A:$R,15,FALSE)="武器",VLOOKUP($E37,武器奇术!$A:$R,17,FALSE)="鸣金"),$E$3*(1+$E$15),0)</f>
        <v>0</v>
      </c>
      <c r="AV37" s="102">
        <f t="shared" si="13"/>
        <v>0</v>
      </c>
      <c r="AW37" s="102">
        <f>MAX($C$7*IF($G$5="撼天",1.05,1)+IF(AND(VLOOKUP($E37,武器奇术!$A:$R,15,FALSE)="武器",VLOOKUP($E37,武器奇术!$A:$R,17,FALSE)="鸣金"),$E$3*(1+$E$15),0),AU37)</f>
        <v>0</v>
      </c>
      <c r="AX37" s="104">
        <f>IF(($D$7+IF(VLOOKUP($E37,武器奇术!$A:$R,17,FALSE)="鸣金",$D$15,0)-VLOOKUP($F$7,目标属性!$A:$R,6,FALSE))&gt;0,($D$7+IF(VLOOKUP($E37,武器奇术!$A:$R,17,FALSE)="鸣金",$D$15,0)-VLOOKUP($F$7,目标属性!$A:$R,6,FALSE))/200,($D$7+IF(VLOOKUP($E37,武器奇术!$A:$R,17,FALSE)="鸣金",$D$15,0)-VLOOKUP($F$7,目标属性!$A:$R,6,FALSE))/100)</f>
        <v>-0.24</v>
      </c>
      <c r="AY37" s="111">
        <f t="shared" si="14"/>
        <v>0</v>
      </c>
      <c r="AZ37" s="102">
        <v>1</v>
      </c>
      <c r="BA37" s="103">
        <f>AU37*IF(VLOOKUP($E37,武器奇术!$A:$R,17,FALSE)="鸣金",VLOOKUP($E37,武器奇术!$A:$R,4,FALSE),VLOOKUP($E37,武器奇术!$A:$R,2,FALSE))*(1+AX37)*(1+AY37)*AZ37</f>
        <v>0</v>
      </c>
      <c r="BB37" s="104">
        <f>(1-IF(VLOOKUP($E37,武器奇术!$A:$R,18,FALSE)="叶龙",1,$N37))*(1-$M37)</f>
        <v>0</v>
      </c>
      <c r="BC37" s="103">
        <f>AV37*IF(VLOOKUP($E37,武器奇术!$A:$R,17,FALSE)="鸣金",VLOOKUP($E37,武器奇术!$A:$R,4,FALSE),VLOOKUP($E37,武器奇术!$A:$R,2,FALSE))*(1+AX37)*(1+AY37)*AZ37*(1+$E$16+VLOOKUP($E37,武器奇术!$A:$R,8,FALSE))</f>
        <v>0</v>
      </c>
      <c r="BD37" s="104">
        <f t="shared" si="15"/>
        <v>0.8703</v>
      </c>
      <c r="BE37" s="103">
        <f>AW37*IF(VLOOKUP($E37,武器奇术!$A:$R,17,FALSE)="鸣金",VLOOKUP($E37,武器奇术!$A:$R,4,FALSE),VLOOKUP($E37,武器奇术!$A:$R,2,FALSE))*(1+AX37)*(1+AY37)*AZ37*(1+$E$17+VLOOKUP($E37,武器奇术!$A:$R,10,FALSE))</f>
        <v>0</v>
      </c>
      <c r="BF37" s="104">
        <f t="shared" si="16"/>
        <v>0.0986</v>
      </c>
      <c r="BG37" s="103">
        <f>AV37*IF(VLOOKUP($E37,武器奇术!$A:$R,17,FALSE)="鸣金",VLOOKUP($E37,武器奇术!$A:$R,4,FALSE),VLOOKUP($E37,武器奇术!$A:$R,2,FALSE))*(1+AX37)*(1+AY37)*AZ37</f>
        <v>0</v>
      </c>
      <c r="BH37" s="104">
        <f t="shared" si="17"/>
        <v>0.0311</v>
      </c>
      <c r="BI37" s="112">
        <f t="shared" si="18"/>
        <v>0</v>
      </c>
      <c r="BJ37" s="110">
        <f>$B$9*IF($G$5="撼天",1.05,1)+IF(AND(VLOOKUP($E37,武器奇术!$A:$R,15,FALSE)="武器",VLOOKUP($E37,武器奇术!$A:$R,17,FALSE)="裂石"),$E$3*(1+$E$15),0)</f>
        <v>0</v>
      </c>
      <c r="BK37" s="102">
        <f t="shared" si="19"/>
        <v>0</v>
      </c>
      <c r="BL37" s="102">
        <f>MAX($C$9*IF($G$5="撼天",1.05,1)+IF(AND(VLOOKUP($E37,武器奇术!$A:$R,15,FALSE)="武器",VLOOKUP($E37,武器奇术!$A:$R,17,FALSE)="裂石"),$E$3*(1+$E$15),0),BJ37)</f>
        <v>0</v>
      </c>
      <c r="BM37" s="104">
        <f>IF(($D$9+IF(VLOOKUP($E37,武器奇术!$A:$R,17,FALSE)="裂石",$D$15,0)-VLOOKUP($F$7,目标属性!$A:$R,6,FALSE))&gt;0,($D$9+IF(VLOOKUP($E37,武器奇术!$A:$R,17,FALSE)="裂石",$D$15,0)-VLOOKUP($F$7,目标属性!$A:$R,6,FALSE))/200,($D$9+IF(VLOOKUP($E37,武器奇术!$A:$R,17,FALSE)="裂石",$D$15,0)-VLOOKUP($F$7,目标属性!$A:$R,6,FALSE))/100)</f>
        <v>-0.24</v>
      </c>
      <c r="BN37" s="111">
        <f t="shared" si="20"/>
        <v>0</v>
      </c>
      <c r="BO37" s="102">
        <v>1</v>
      </c>
      <c r="BP37" s="103">
        <f>BJ37*IF(VLOOKUP($E37,武器奇术!$A:$R,17,FALSE)="裂石",VLOOKUP($E37,武器奇术!$A:$R,4,FALSE),VLOOKUP($E37,武器奇术!$A:$R,2,FALSE))*(1+BM37)*(1+BN37)*BO37</f>
        <v>0</v>
      </c>
      <c r="BQ37" s="104">
        <f>(1-IF(VLOOKUP($E37,武器奇术!$A:$R,18,FALSE)="叶龙",1,$N37))*(1-$M37)</f>
        <v>0</v>
      </c>
      <c r="BR37" s="103">
        <f>BK37*IF(VLOOKUP($E37,武器奇术!$A:$R,17,FALSE)="裂石",VLOOKUP($E37,武器奇术!$A:$R,4,FALSE),VLOOKUP($E37,武器奇术!$A:$R,2,FALSE))*(1+BM37)*(1+BN37)*BO37*(1+$E$16+VLOOKUP($E37,武器奇术!$A:$R,8,FALSE))</f>
        <v>0</v>
      </c>
      <c r="BS37" s="104">
        <f t="shared" si="21"/>
        <v>0.8703</v>
      </c>
      <c r="BT37" s="103">
        <f>BL37*IF(VLOOKUP($E37,武器奇术!$A:$R,17,FALSE)="裂石",VLOOKUP($E37,武器奇术!$A:$R,4,FALSE),VLOOKUP($E37,武器奇术!$A:$R,2,FALSE))*(1+BM37)*(1+BN37)*BO37*(1+$E$17+VLOOKUP($E37,武器奇术!$A:$R,10,FALSE))</f>
        <v>0</v>
      </c>
      <c r="BU37" s="104">
        <f t="shared" si="22"/>
        <v>0.0986</v>
      </c>
      <c r="BV37" s="103">
        <f>BK37*IF(VLOOKUP($E37,武器奇术!$A:$R,17,FALSE)="裂石",VLOOKUP($E37,武器奇术!$A:$R,4,FALSE),VLOOKUP($E37,武器奇术!$A:$R,2,FALSE))*(1+BM37)*(1+BN37)*BO37</f>
        <v>0</v>
      </c>
      <c r="BW37" s="104">
        <f t="shared" si="23"/>
        <v>0.0311</v>
      </c>
      <c r="BX37" s="112">
        <f t="shared" si="24"/>
        <v>0</v>
      </c>
      <c r="BY37" s="110">
        <f>$B$11*IF($G$5="撼天",1.05,1)+IF(AND(VLOOKUP($E37,武器奇术!$A:$R,15,FALSE)="武器",VLOOKUP($E37,武器奇术!$A:$R,17,FALSE)="牵丝"),$E$3*(1+$E$15),0)</f>
        <v>686.71</v>
      </c>
      <c r="BZ37" s="102">
        <f>IF(VLOOKUP($E37,武器奇术!$A:$Z,18,FALSE)="叶龙",(CA37-(BY37+CA37)*0.5)*($G$15-0.5)*2+(BY37+CA37)*0.5,(BY37+CA37)*0.5)</f>
        <v>1052.21</v>
      </c>
      <c r="CA37" s="102">
        <f>MAX($C$11*IF($G$5="撼天",1.05,1)+IF(AND(VLOOKUP($E37,武器奇术!$A:$R,15,FALSE)="武器",VLOOKUP($E37,武器奇术!$A:$R,17,FALSE)="牵丝"),$E$3*(1+$E$15),0),BY37)</f>
        <v>1417.71</v>
      </c>
      <c r="CB37" s="104">
        <f>IF(($D$11+IF(VLOOKUP($E37,武器奇术!$A:$R,17,FALSE)="牵丝",$D$15,0)-VLOOKUP($F$7,目标属性!$A:$R,6,FALSE))&gt;0,($D$11+IF(VLOOKUP($E37,武器奇术!$A:$R,17,FALSE)="牵丝",$D$15,0)-VLOOKUP($F$7,目标属性!$A:$R,6,FALSE))/200,($D$11+IF(VLOOKUP($E37,武器奇术!$A:$R,17,FALSE)="牵丝",$D$15,0)-VLOOKUP($F$7,目标属性!$A:$R,6,FALSE))/100)</f>
        <v>0.028</v>
      </c>
      <c r="CC37" s="111">
        <f>$E$11+IF($G$5="烟柳",IF(VLOOKUP($E37,武器奇术!$A:$T,20,FALSE)=1,0.1,0),0)</f>
        <v>0.248</v>
      </c>
      <c r="CD37" s="102">
        <v>1</v>
      </c>
      <c r="CE37" s="103">
        <f>BY37*IF(VLOOKUP($E37,武器奇术!$A:$R,17,FALSE)="牵丝",VLOOKUP($E37,武器奇术!$A:$R,4,FALSE),VLOOKUP($E37,武器奇术!$A:$R,2,FALSE))*(1+CB37)*(1+CC37)*CD37</f>
        <v>1552.67083453872</v>
      </c>
      <c r="CF37" s="104">
        <f>(1-IF(VLOOKUP($E37,武器奇术!$A:$R,18,FALSE)="叶龙",1,$N37))*(1-$M37)</f>
        <v>0</v>
      </c>
      <c r="CG37" s="124">
        <f>BZ37*IF(VLOOKUP($E37,武器奇术!$A:$R,17,FALSE)="牵丝",VLOOKUP($E37,武器奇术!$A:$R,4,FALSE),VLOOKUP($E37,武器奇术!$A:$R,2,FALSE))*(1+CB37)*(1+CC37)*CD37*(1+$E$16+VLOOKUP($E37,武器奇术!$A:$R,8,FALSE))</f>
        <v>4767.66975977518</v>
      </c>
      <c r="CH37" s="104">
        <f t="shared" si="25"/>
        <v>0.8703</v>
      </c>
      <c r="CI37" s="103">
        <f>CA37*IF(VLOOKUP($E37,武器奇术!$A:$R,17,FALSE)="牵丝",VLOOKUP($E37,武器奇术!$A:$R,4,FALSE),VLOOKUP($E37,武器奇术!$A:$R,2,FALSE))*(1+CB37)*(1+CC37)*CD37*(1+$E$17+VLOOKUP($E37,武器奇术!$A:$R,10,FALSE))</f>
        <v>4327.40153474647</v>
      </c>
      <c r="CJ37" s="104">
        <f t="shared" si="26"/>
        <v>0.0986</v>
      </c>
      <c r="CK37" s="124">
        <f>BZ37*IF(VLOOKUP($E37,武器奇术!$A:$R,17,FALSE)="牵丝",VLOOKUP($E37,武器奇术!$A:$R,4,FALSE),VLOOKUP($E37,武器奇术!$A:$R,2,FALSE))*(1+CB37)*(1+CC37)*CD37</f>
        <v>2379.07672643472</v>
      </c>
      <c r="CL37" s="104">
        <f t="shared" si="27"/>
        <v>0.0311</v>
      </c>
      <c r="CM37" s="112">
        <f t="shared" si="28"/>
        <v>4649.97406945046</v>
      </c>
      <c r="CN37" s="110">
        <f>$B$13*IF($G$5="撼天",1.05,1)+IF(AND(VLOOKUP($E37,武器奇术!$A:$R,15,FALSE)="武器",VLOOKUP($E37,武器奇术!$A:$R,17,FALSE)="破竹"),$E$3*(1+$E$15),0)</f>
        <v>0</v>
      </c>
      <c r="CO37" s="102">
        <f t="shared" si="29"/>
        <v>0</v>
      </c>
      <c r="CP37" s="102">
        <f>MAX($C$13*IF($G$5="撼天",1.05,1)+IF(AND(VLOOKUP($E37,武器奇术!$A:$R,15,FALSE)="武器",VLOOKUP($E37,武器奇术!$A:$R,17,FALSE)="破竹"),$E$3*(1+$E$15),0),CN37)</f>
        <v>0</v>
      </c>
      <c r="CQ37" s="104">
        <f>IF(($D$13+IF(VLOOKUP($E37,武器奇术!$A:$R,17,FALSE)="破竹",$D$15,0)-VLOOKUP($F$7,目标属性!$A:$R,6,FALSE))&gt;0,($D$13+IF(VLOOKUP($E37,武器奇术!$A:$R,17,FALSE)="破竹",$D$15,0)-VLOOKUP($F$7,目标属性!$A:$R,6,FALSE))/200,($D$13+IF(VLOOKUP($E37,武器奇术!$A:$R,17,FALSE)="破竹",$D$15,0)-VLOOKUP($F$7,目标属性!$A:$R,6,FALSE))/100)</f>
        <v>-0.24</v>
      </c>
      <c r="CR37" s="111">
        <f t="shared" si="30"/>
        <v>0</v>
      </c>
      <c r="CS37" s="102">
        <v>1</v>
      </c>
      <c r="CT37" s="103">
        <f>CN37*IF(VLOOKUP($E37,武器奇术!$A:$R,17,FALSE)="破竹",VLOOKUP($E37,武器奇术!$A:$R,4,FALSE),VLOOKUP($E37,武器奇术!$A:$R,2,FALSE))*(1+CQ37)*(1+CR37)*CS37</f>
        <v>0</v>
      </c>
      <c r="CU37" s="104">
        <f>(1-IF(VLOOKUP($E37,武器奇术!$A:$R,18,FALSE)="叶龙",1,$N37))*(1-$M37)</f>
        <v>0</v>
      </c>
      <c r="CV37" s="103">
        <f>CO37*IF(VLOOKUP($E37,武器奇术!$A:$R,17,FALSE)="破竹",VLOOKUP($E37,武器奇术!$A:$R,4,FALSE),VLOOKUP($E37,武器奇术!$A:$R,2,FALSE))*(1+CQ37)*(1+CR37)*CS37*(1+$E$16+VLOOKUP($E37,武器奇术!$A:$R,8,FALSE))</f>
        <v>0</v>
      </c>
      <c r="CW37" s="104">
        <f t="shared" si="31"/>
        <v>0.8703</v>
      </c>
      <c r="CX37" s="103">
        <f>CP37*IF(VLOOKUP($E37,武器奇术!$A:$R,17,FALSE)="破竹",VLOOKUP($E37,武器奇术!$A:$R,4,FALSE),VLOOKUP($E37,武器奇术!$A:$R,2,FALSE))*(1+CQ37)*(1+CR37)*CS37*(1+$E$17+VLOOKUP($E37,武器奇术!$A:$R,10,FALSE))</f>
        <v>0</v>
      </c>
      <c r="CY37" s="104">
        <f t="shared" si="32"/>
        <v>0.0986</v>
      </c>
      <c r="CZ37" s="103">
        <f>CO37*IF(VLOOKUP($E37,武器奇术!$A:$R,17,FALSE)="破竹",VLOOKUP($E37,武器奇术!$A:$R,4,FALSE),VLOOKUP($E37,武器奇术!$A:$R,2,FALSE))*(1+CQ37)*(1+CR37)*CS37</f>
        <v>0</v>
      </c>
      <c r="DA37" s="104">
        <f t="shared" si="33"/>
        <v>0.0311</v>
      </c>
      <c r="DB37" s="112">
        <f t="shared" si="34"/>
        <v>0</v>
      </c>
      <c r="DC37" s="110">
        <f t="shared" si="35"/>
        <v>66</v>
      </c>
      <c r="DD37" s="102">
        <f t="shared" si="36"/>
        <v>125.8</v>
      </c>
      <c r="DE37" s="102">
        <f t="shared" si="37"/>
        <v>185.6</v>
      </c>
      <c r="DF37" s="104">
        <f>IF((IF(VLOOKUP($E37,武器奇术!$A:$R,17,FALSE)="鸣金",$D$7,0)+IF(VLOOKUP($E37,武器奇术!$A:$R,17,FALSE)="裂石",$D$9,0)+IF(VLOOKUP($E37,武器奇术!$A:$R,17,FALSE)="牵丝",$D$11,0)+IF(VLOOKUP($E37,武器奇术!$A:$R,17,FALSE)="破竹",$D$13,0)+$D$15-VLOOKUP($F$7,目标属性!$A:$R,6,FALSE))&gt;0,(IF(VLOOKUP($E37,武器奇术!$A:$R,17,FALSE)="鸣金",$D$7,0)+IF(VLOOKUP($E37,武器奇术!$A:$R,17,FALSE)="裂石",$D$9,0)+IF(VLOOKUP($E37,武器奇术!$A:$R,17,FALSE)="牵丝",$D$11,0)+IF(VLOOKUP($E37,武器奇术!$A:$R,17,FALSE)="破竹",$D$13,0)+$D$15-VLOOKUP($F$7,目标属性!$A:$R,6,FALSE))/200,(IF(VLOOKUP($E37,武器奇术!$A:$R,17,FALSE)="鸣金",$D$7,0)+IF(VLOOKUP($E37,武器奇术!$A:$R,17,FALSE)="裂石",$D$9,0)+IF(VLOOKUP($E37,武器奇术!$A:$R,17,FALSE)="牵丝",$D$11,0)+IF(VLOOKUP($E37,武器奇术!$A:$R,17,FALSE)="破竹",$D$13,0)+$D$15-VLOOKUP($F$7,目标属性!$A:$R,6,FALSE))/100)</f>
        <v>0.028</v>
      </c>
      <c r="DG37" s="111">
        <f>$E$11+IF($G$5="烟柳",IF(VLOOKUP($E37,武器奇术!$A:$T,20,FALSE)=1,0.1,0),0)</f>
        <v>0.248</v>
      </c>
      <c r="DH37" s="102">
        <v>1</v>
      </c>
      <c r="DI37" s="103">
        <f>DC37*IF(VLOOKUP($E37,武器奇术!$A:$R,17,FALSE)="牵丝",VLOOKUP($E37,武器奇术!$A:$R,4,FALSE),VLOOKUP($E37,武器奇术!$A:$R,2,FALSE))*(1+DF37)*(1+DG37)*DH37</f>
        <v>149.227876512</v>
      </c>
      <c r="DJ37" s="104">
        <f>(1-IF(VLOOKUP($E37,武器奇术!$A:$R,18,FALSE)="叶龙",1,$N37))*(1-$M37)</f>
        <v>0</v>
      </c>
      <c r="DK37" s="124">
        <f>DD37*IF(VLOOKUP($E37,武器奇术!$A:$R,17,FALSE)="牵丝",VLOOKUP($E37,武器奇术!$A:$R,4,FALSE),VLOOKUP($E37,武器奇术!$A:$R,2,FALSE))*(1+DF37)*(1+DG37)*DH37*(1+$E$16+VLOOKUP($E37,武器奇术!$A:$R,8,FALSE))</f>
        <v>570.012502998182</v>
      </c>
      <c r="DL37" s="104">
        <f t="shared" si="38"/>
        <v>0.8703</v>
      </c>
      <c r="DM37" s="103">
        <f>DE37*IF(VLOOKUP($E37,武器奇术!$A:$R,17,FALSE)="牵丝",VLOOKUP($E37,武器奇术!$A:$R,4,FALSE),VLOOKUP($E37,武器奇术!$A:$R,2,FALSE))*(1+DF37)*(1+DG37)*DH37*(1+$E$17+VLOOKUP($E37,武器奇术!$A:$R,10,FALSE))</f>
        <v>566.52328392192</v>
      </c>
      <c r="DN37" s="104">
        <f t="shared" si="39"/>
        <v>0.0986</v>
      </c>
      <c r="DO37" s="124">
        <f>DD37*IF(VLOOKUP($E37,武器奇术!$A:$R,17,FALSE)="牵丝",VLOOKUP($E37,武器奇术!$A:$R,4,FALSE),VLOOKUP($E37,武器奇术!$A:$R,2,FALSE))*(1+DF37)*(1+DG37)*DH37</f>
        <v>284.4373767456</v>
      </c>
      <c r="DP37" s="104">
        <f t="shared" si="40"/>
        <v>0.0311</v>
      </c>
      <c r="DQ37" s="112">
        <f t="shared" si="41"/>
        <v>560.787079570808</v>
      </c>
    </row>
    <row r="38" spans="2:121">
      <c r="B38" s="125"/>
      <c r="C38" s="21"/>
      <c r="D38" s="129"/>
      <c r="E38" s="115" t="str">
        <f>期望!E38</f>
        <v>伞～(连中风墙小纵)</v>
      </c>
      <c r="F38" s="116">
        <f>期望!F38</f>
        <v>8.5</v>
      </c>
      <c r="G38" s="117">
        <f t="shared" si="42"/>
        <v>0.32</v>
      </c>
      <c r="H38" s="103">
        <f>IF(VLOOKUP($E38,武器奇术!$A:$R,18,FALSE)="天工",AE38,(AE38+AT38+BI38+BX38+CM38+DB38+DQ38))*(1+J38)*F38*K38*(1+G38)</f>
        <v>397417.432946299</v>
      </c>
      <c r="I38" s="104">
        <f t="shared" si="0"/>
        <v>0.0458023424040382</v>
      </c>
      <c r="J38" s="118">
        <f>$F$3+VLOOKUP($E38,武器奇术!$A:$R,12,FALSE)+VLOOKUP($E38,武器奇术!$A:$R,14,FALSE)*$G$3+$P38+IF($F$21="√",5%,0)</f>
        <v>1.153</v>
      </c>
      <c r="K38" s="105">
        <f>VLOOKUP($E38,武器奇术!$A:$R,11,FALSE)</f>
        <v>1</v>
      </c>
      <c r="L38" s="119">
        <f>IF(VLOOKUP($E38,武器奇术!$A:$R,15,FALSE)="天工",0%,IF($C$17+VLOOKUP($E38,武器奇术!$A:$R,7,FALSE)&gt;80%,80%,$C$17+VLOOKUP($E38,武器奇术!$A:$R,7,FALSE))+IF($C$19&gt;20%,20%,$C$19))</f>
        <v>0.8703</v>
      </c>
      <c r="M38" s="120">
        <f>IF(VLOOKUP($E38,武器奇术!$A:$R,15,FALSE)="天工",0%,IF($C$18+VLOOKUP($E38,武器奇术!$A:$R,9,FALSE)&gt;40%,40%,$C$18+VLOOKUP($E38,武器奇术!$A:$R,9,FALSE))+IF($C$20&gt;10%,10%,$C$20))</f>
        <v>0.0986</v>
      </c>
      <c r="N38" s="121">
        <f>IF(VLOOKUP($E38,武器奇术!$A:$R,15,FALSE)="天工",100%,MIN($C$16,1))</f>
        <v>1</v>
      </c>
      <c r="O38" s="122" t="str">
        <f>VLOOKUP($E38,武器奇术!$A:$R,16,FALSE)</f>
        <v>伞</v>
      </c>
      <c r="P38" s="123">
        <f t="shared" si="1"/>
        <v>0.17</v>
      </c>
      <c r="Q38" s="110">
        <f>$B$5*(1+VLOOKUP($E38,武器奇术!$A:$R,5,FALSE))*(1+VLOOKUP($E38,武器奇术!$A:$S,19,FALSE)+IF($G$5="飞隼",0.1,0)+IF($G$5="撼天",0.05,0))-$F$9+IF($J$5="√",160,0)</f>
        <v>3081.85</v>
      </c>
      <c r="R38" s="102">
        <f>IF(VLOOKUP($E38,武器奇术!$A:$Z,18,FALSE)="叶龙",(S38-(Q38+S38)*0.5)*($G$15-0.5)*2+(Q38+S38)*0.5,(Q38+S38)*0.5)</f>
        <v>3161.85</v>
      </c>
      <c r="S38" s="102">
        <f>MAX($C$5,$B$5)*(1+VLOOKUP($E38,武器奇术!$A:$R,6,FALSE))*(1+VLOOKUP($E38,武器奇术!$A:$S,19,FALSE)+IF($G$5="飞隼",0.1,0)+IF($G$5="撼天",0.05,0))-$F$9+IF($J$5="√",320,0)</f>
        <v>3241.85</v>
      </c>
      <c r="T38" s="104">
        <f>IF(($D$5+VLOOKUP($E38,武器奇术!$A:$R,13,FALSE)+IF($I$3="√",10,0)-VLOOKUP($F$7,目标属性!$A:$R,5,FALSE))&gt;0,($D$5+VLOOKUP($E38,武器奇术!$A:$R,13,FALSE)+IF($I$3="√",10,0)-VLOOKUP($F$7,目标属性!$A:$R,5,FALSE))/200,($D$5+VLOOKUP($E38,武器奇术!$A:$R,13,FALSE)+IF($I$3="√",10,0)-VLOOKUP($F$7,目标属性!$A:$R,5,FALSE))/100)</f>
        <v>0.2925</v>
      </c>
      <c r="U38" s="111">
        <f>$E$5+IF($G$5="烟柳",IF(VLOOKUP($E38,武器奇术!$A:$T,20,FALSE)=1,0.1,0),0)</f>
        <v>0.1</v>
      </c>
      <c r="V38" s="102">
        <v>1</v>
      </c>
      <c r="W38" s="103">
        <f>Q38*VLOOKUP($E38,武器奇术!$A:$R,2,FALSE)*(1+T38)*(1+U38)*V38</f>
        <v>5148.20660615181</v>
      </c>
      <c r="X38" s="104">
        <f>(1-IF(VLOOKUP($E38,武器奇术!$A:$R,18,FALSE)="叶龙",1,$N38))*(1-$M38)</f>
        <v>0</v>
      </c>
      <c r="Y38" s="103">
        <f>R38*VLOOKUP($E38,武器奇术!$A:$R,2,FALSE)*(1+T38)*(1+U38)*V38*(1+$E$16+VLOOKUP($E38,武器奇术!$A:$R,8,FALSE))</f>
        <v>10584.819359655</v>
      </c>
      <c r="Z38" s="104">
        <f t="shared" si="2"/>
        <v>0.8703</v>
      </c>
      <c r="AA38" s="103">
        <f>S38*VLOOKUP($E38,武器奇术!$A:$R,2,FALSE)*(1+T38)*(1+U38)*V38*(1+$E$17+VLOOKUP($E38,武器奇术!$A:$R,10,FALSE))</f>
        <v>7310.90524889495</v>
      </c>
      <c r="AB38" s="104">
        <f t="shared" si="3"/>
        <v>0.0986</v>
      </c>
      <c r="AC38" s="103">
        <f>R38*VLOOKUP($E38,武器奇术!$A:$R,2,FALSE)*(1+T38)*(1+U38)*V38</f>
        <v>5281.84598785181</v>
      </c>
      <c r="AD38" s="104">
        <f t="shared" si="4"/>
        <v>0.0311</v>
      </c>
      <c r="AE38" s="112">
        <f t="shared" si="5"/>
        <v>10097.088956471</v>
      </c>
      <c r="AF38" s="113">
        <f>VLOOKUP($E38,武器奇术!$A:$R,3,FALSE)*(1+IF(VLOOKUP($E38,武器奇术!$A:$R,15,FALSE)="武器",$E$15,0))</f>
        <v>421.59</v>
      </c>
      <c r="AG38" s="103">
        <f t="shared" si="6"/>
        <v>421.59</v>
      </c>
      <c r="AH38" s="103">
        <f>VLOOKUP($E38,武器奇术!$A:$R,3,FALSE)*(1+IF(VLOOKUP($E38,武器奇术!$A:$R,15,FALSE)="武器",$E$15,0))</f>
        <v>421.59</v>
      </c>
      <c r="AI38" s="104">
        <f>IF(($D$5+VLOOKUP($E38,武器奇术!$A:$R,13,FALSE)+IF($I$3="√",10,0)-VLOOKUP($F$7,目标属性!$A:$R,5,FALSE))&gt;0,($D$5+VLOOKUP($E38,武器奇术!$A:$R,13,FALSE)+IF($I$3="√",10,0)-VLOOKUP($F$7,目标属性!$A:$R,5,FALSE))/200,($D$5+VLOOKUP($E38,武器奇术!$A:$R,13,FALSE)+IF($I$3="√",10,0)-VLOOKUP($F$7,目标属性!$A:$R,5,FALSE))/100)</f>
        <v>0.2925</v>
      </c>
      <c r="AJ38" s="111">
        <f>$E$5+IF($G$5="烟柳",IF(VLOOKUP($E38,武器奇术!$A:$T,20,FALSE)=1,0.1,0),0)</f>
        <v>0.1</v>
      </c>
      <c r="AK38" s="102">
        <v>1</v>
      </c>
      <c r="AL38" s="103">
        <f t="shared" si="7"/>
        <v>599.3955825</v>
      </c>
      <c r="AM38" s="104">
        <f>(1-IF(VLOOKUP($E38,武器奇术!$A:$R,18,FALSE)="叶龙",1,$N38))*(1-$M38)</f>
        <v>0</v>
      </c>
      <c r="AN38" s="103">
        <f>AG38*(1+AI38)*(1+AJ38)*AK38*(1+$E$16+VLOOKUP($E38,武器奇术!$A:$R,8,FALSE))</f>
        <v>1201.18874733</v>
      </c>
      <c r="AO38" s="104">
        <f t="shared" si="8"/>
        <v>0.8703</v>
      </c>
      <c r="AP38" s="103">
        <f>AH38*(1+AI38)*(1+AJ38)*AK38*(1+$E$17+VLOOKUP($E38,武器奇术!$A:$R,10,FALSE))</f>
        <v>809.184036375</v>
      </c>
      <c r="AQ38" s="104">
        <f t="shared" si="9"/>
        <v>0.0986</v>
      </c>
      <c r="AR38" s="103">
        <f t="shared" si="10"/>
        <v>599.3955825</v>
      </c>
      <c r="AS38" s="104">
        <f t="shared" si="11"/>
        <v>0.0311</v>
      </c>
      <c r="AT38" s="112">
        <f t="shared" si="12"/>
        <v>1143.82131540362</v>
      </c>
      <c r="AU38" s="110">
        <f>$B$7*IF($G$5="撼天",1.05,1)+IF(AND(VLOOKUP($E38,武器奇术!$A:$R,15,FALSE)="武器",VLOOKUP($E38,武器奇术!$A:$R,17,FALSE)="鸣金"),$E$3*(1+$E$15),0)</f>
        <v>0</v>
      </c>
      <c r="AV38" s="102">
        <f t="shared" si="13"/>
        <v>0</v>
      </c>
      <c r="AW38" s="102">
        <f>MAX($C$7*IF($G$5="撼天",1.05,1)+IF(AND(VLOOKUP($E38,武器奇术!$A:$R,15,FALSE)="武器",VLOOKUP($E38,武器奇术!$A:$R,17,FALSE)="鸣金"),$E$3*(1+$E$15),0),AU38)</f>
        <v>0</v>
      </c>
      <c r="AX38" s="104">
        <f>IF(($D$7+IF(VLOOKUP($E38,武器奇术!$A:$R,17,FALSE)="鸣金",$D$15,0)-VLOOKUP($F$7,目标属性!$A:$R,6,FALSE))&gt;0,($D$7+IF(VLOOKUP($E38,武器奇术!$A:$R,17,FALSE)="鸣金",$D$15,0)-VLOOKUP($F$7,目标属性!$A:$R,6,FALSE))/200,($D$7+IF(VLOOKUP($E38,武器奇术!$A:$R,17,FALSE)="鸣金",$D$15,0)-VLOOKUP($F$7,目标属性!$A:$R,6,FALSE))/100)</f>
        <v>-0.24</v>
      </c>
      <c r="AY38" s="111">
        <f t="shared" si="14"/>
        <v>0</v>
      </c>
      <c r="AZ38" s="102">
        <v>1</v>
      </c>
      <c r="BA38" s="103">
        <f>AU38*IF(VLOOKUP($E38,武器奇术!$A:$R,17,FALSE)="鸣金",VLOOKUP($E38,武器奇术!$A:$R,4,FALSE),VLOOKUP($E38,武器奇术!$A:$R,2,FALSE))*(1+AX38)*(1+AY38)*AZ38</f>
        <v>0</v>
      </c>
      <c r="BB38" s="104">
        <f>(1-IF(VLOOKUP($E38,武器奇术!$A:$R,18,FALSE)="叶龙",1,$N38))*(1-$M38)</f>
        <v>0</v>
      </c>
      <c r="BC38" s="103">
        <f>AV38*IF(VLOOKUP($E38,武器奇术!$A:$R,17,FALSE)="鸣金",VLOOKUP($E38,武器奇术!$A:$R,4,FALSE),VLOOKUP($E38,武器奇术!$A:$R,2,FALSE))*(1+AX38)*(1+AY38)*AZ38*(1+$E$16+VLOOKUP($E38,武器奇术!$A:$R,8,FALSE))</f>
        <v>0</v>
      </c>
      <c r="BD38" s="104">
        <f t="shared" si="15"/>
        <v>0.8703</v>
      </c>
      <c r="BE38" s="103">
        <f>AW38*IF(VLOOKUP($E38,武器奇术!$A:$R,17,FALSE)="鸣金",VLOOKUP($E38,武器奇术!$A:$R,4,FALSE),VLOOKUP($E38,武器奇术!$A:$R,2,FALSE))*(1+AX38)*(1+AY38)*AZ38*(1+$E$17+VLOOKUP($E38,武器奇术!$A:$R,10,FALSE))</f>
        <v>0</v>
      </c>
      <c r="BF38" s="104">
        <f t="shared" si="16"/>
        <v>0.0986</v>
      </c>
      <c r="BG38" s="103">
        <f>AV38*IF(VLOOKUP($E38,武器奇术!$A:$R,17,FALSE)="鸣金",VLOOKUP($E38,武器奇术!$A:$R,4,FALSE),VLOOKUP($E38,武器奇术!$A:$R,2,FALSE))*(1+AX38)*(1+AY38)*AZ38</f>
        <v>0</v>
      </c>
      <c r="BH38" s="104">
        <f t="shared" si="17"/>
        <v>0.0311</v>
      </c>
      <c r="BI38" s="112">
        <f t="shared" si="18"/>
        <v>0</v>
      </c>
      <c r="BJ38" s="110">
        <f>$B$9*IF($G$5="撼天",1.05,1)+IF(AND(VLOOKUP($E38,武器奇术!$A:$R,15,FALSE)="武器",VLOOKUP($E38,武器奇术!$A:$R,17,FALSE)="裂石"),$E$3*(1+$E$15),0)</f>
        <v>0</v>
      </c>
      <c r="BK38" s="102">
        <f t="shared" si="19"/>
        <v>0</v>
      </c>
      <c r="BL38" s="102">
        <f>MAX($C$9*IF($G$5="撼天",1.05,1)+IF(AND(VLOOKUP($E38,武器奇术!$A:$R,15,FALSE)="武器",VLOOKUP($E38,武器奇术!$A:$R,17,FALSE)="裂石"),$E$3*(1+$E$15),0),BJ38)</f>
        <v>0</v>
      </c>
      <c r="BM38" s="104">
        <f>IF(($D$9+IF(VLOOKUP($E38,武器奇术!$A:$R,17,FALSE)="裂石",$D$15,0)-VLOOKUP($F$7,目标属性!$A:$R,6,FALSE))&gt;0,($D$9+IF(VLOOKUP($E38,武器奇术!$A:$R,17,FALSE)="裂石",$D$15,0)-VLOOKUP($F$7,目标属性!$A:$R,6,FALSE))/200,($D$9+IF(VLOOKUP($E38,武器奇术!$A:$R,17,FALSE)="裂石",$D$15,0)-VLOOKUP($F$7,目标属性!$A:$R,6,FALSE))/100)</f>
        <v>-0.24</v>
      </c>
      <c r="BN38" s="111">
        <f t="shared" si="20"/>
        <v>0</v>
      </c>
      <c r="BO38" s="102">
        <v>1</v>
      </c>
      <c r="BP38" s="103">
        <f>BJ38*IF(VLOOKUP($E38,武器奇术!$A:$R,17,FALSE)="裂石",VLOOKUP($E38,武器奇术!$A:$R,4,FALSE),VLOOKUP($E38,武器奇术!$A:$R,2,FALSE))*(1+BM38)*(1+BN38)*BO38</f>
        <v>0</v>
      </c>
      <c r="BQ38" s="104">
        <f>(1-IF(VLOOKUP($E38,武器奇术!$A:$R,18,FALSE)="叶龙",1,$N38))*(1-$M38)</f>
        <v>0</v>
      </c>
      <c r="BR38" s="103">
        <f>BK38*IF(VLOOKUP($E38,武器奇术!$A:$R,17,FALSE)="裂石",VLOOKUP($E38,武器奇术!$A:$R,4,FALSE),VLOOKUP($E38,武器奇术!$A:$R,2,FALSE))*(1+BM38)*(1+BN38)*BO38*(1+$E$16+VLOOKUP($E38,武器奇术!$A:$R,8,FALSE))</f>
        <v>0</v>
      </c>
      <c r="BS38" s="104">
        <f t="shared" si="21"/>
        <v>0.8703</v>
      </c>
      <c r="BT38" s="103">
        <f>BL38*IF(VLOOKUP($E38,武器奇术!$A:$R,17,FALSE)="裂石",VLOOKUP($E38,武器奇术!$A:$R,4,FALSE),VLOOKUP($E38,武器奇术!$A:$R,2,FALSE))*(1+BM38)*(1+BN38)*BO38*(1+$E$17+VLOOKUP($E38,武器奇术!$A:$R,10,FALSE))</f>
        <v>0</v>
      </c>
      <c r="BU38" s="104">
        <f t="shared" si="22"/>
        <v>0.0986</v>
      </c>
      <c r="BV38" s="103">
        <f>BK38*IF(VLOOKUP($E38,武器奇术!$A:$R,17,FALSE)="裂石",VLOOKUP($E38,武器奇术!$A:$R,4,FALSE),VLOOKUP($E38,武器奇术!$A:$R,2,FALSE))*(1+BM38)*(1+BN38)*BO38</f>
        <v>0</v>
      </c>
      <c r="BW38" s="104">
        <f t="shared" si="23"/>
        <v>0.0311</v>
      </c>
      <c r="BX38" s="112">
        <f t="shared" si="24"/>
        <v>0</v>
      </c>
      <c r="BY38" s="110">
        <f>$B$11*IF($G$5="撼天",1.05,1)+IF(AND(VLOOKUP($E38,武器奇术!$A:$R,15,FALSE)="武器",VLOOKUP($E38,武器奇术!$A:$R,17,FALSE)="牵丝"),$E$3*(1+$E$15),0)</f>
        <v>686.71</v>
      </c>
      <c r="BZ38" s="102">
        <f>IF(VLOOKUP($E38,武器奇术!$A:$Z,18,FALSE)="叶龙",(CA38-(BY38+CA38)*0.5)*($G$15-0.5)*2+(BY38+CA38)*0.5,(BY38+CA38)*0.5)</f>
        <v>1052.21</v>
      </c>
      <c r="CA38" s="102">
        <f>MAX($C$11*IF($G$5="撼天",1.05,1)+IF(AND(VLOOKUP($E38,武器奇术!$A:$R,15,FALSE)="武器",VLOOKUP($E38,武器奇术!$A:$R,17,FALSE)="牵丝"),$E$3*(1+$E$15),0),BY38)</f>
        <v>1417.71</v>
      </c>
      <c r="CB38" s="104">
        <f>IF(($D$11+IF(VLOOKUP($E38,武器奇术!$A:$R,17,FALSE)="牵丝",$D$15,0)-VLOOKUP($F$7,目标属性!$A:$R,6,FALSE))&gt;0,($D$11+IF(VLOOKUP($E38,武器奇术!$A:$R,17,FALSE)="牵丝",$D$15,0)-VLOOKUP($F$7,目标属性!$A:$R,6,FALSE))/200,($D$11+IF(VLOOKUP($E38,武器奇术!$A:$R,17,FALSE)="牵丝",$D$15,0)-VLOOKUP($F$7,目标属性!$A:$R,6,FALSE))/100)</f>
        <v>0.028</v>
      </c>
      <c r="CC38" s="111">
        <f>$E$11+IF($G$5="烟柳",IF(VLOOKUP($E38,武器奇术!$A:$T,20,FALSE)=1,0.1,0),0)</f>
        <v>0.248</v>
      </c>
      <c r="CD38" s="102">
        <v>1</v>
      </c>
      <c r="CE38" s="103">
        <f>BY38*IF(VLOOKUP($E38,武器奇术!$A:$R,17,FALSE)="牵丝",VLOOKUP($E38,武器奇术!$A:$R,4,FALSE),VLOOKUP($E38,武器奇术!$A:$R,2,FALSE))*(1+CB38)*(1+CC38)*CD38</f>
        <v>1552.67083453872</v>
      </c>
      <c r="CF38" s="104">
        <f>(1-IF(VLOOKUP($E38,武器奇术!$A:$R,18,FALSE)="叶龙",1,$N38))*(1-$M38)</f>
        <v>0</v>
      </c>
      <c r="CG38" s="124">
        <f>BZ38*IF(VLOOKUP($E38,武器奇术!$A:$R,17,FALSE)="牵丝",VLOOKUP($E38,武器奇术!$A:$R,4,FALSE),VLOOKUP($E38,武器奇术!$A:$R,2,FALSE))*(1+CB38)*(1+CC38)*CD38*(1+$E$16+VLOOKUP($E38,武器奇术!$A:$R,8,FALSE))</f>
        <v>4767.66975977518</v>
      </c>
      <c r="CH38" s="104">
        <f t="shared" si="25"/>
        <v>0.8703</v>
      </c>
      <c r="CI38" s="103">
        <f>CA38*IF(VLOOKUP($E38,武器奇术!$A:$R,17,FALSE)="牵丝",VLOOKUP($E38,武器奇术!$A:$R,4,FALSE),VLOOKUP($E38,武器奇术!$A:$R,2,FALSE))*(1+CB38)*(1+CC38)*CD38*(1+$E$17+VLOOKUP($E38,武器奇术!$A:$R,10,FALSE))</f>
        <v>4327.40153474647</v>
      </c>
      <c r="CJ38" s="104">
        <f t="shared" si="26"/>
        <v>0.0986</v>
      </c>
      <c r="CK38" s="124">
        <f>BZ38*IF(VLOOKUP($E38,武器奇术!$A:$R,17,FALSE)="牵丝",VLOOKUP($E38,武器奇术!$A:$R,4,FALSE),VLOOKUP($E38,武器奇术!$A:$R,2,FALSE))*(1+CB38)*(1+CC38)*CD38</f>
        <v>2379.07672643472</v>
      </c>
      <c r="CL38" s="104">
        <f t="shared" si="27"/>
        <v>0.0311</v>
      </c>
      <c r="CM38" s="112">
        <f t="shared" si="28"/>
        <v>4649.97406945046</v>
      </c>
      <c r="CN38" s="110">
        <f>$B$13*IF($G$5="撼天",1.05,1)+IF(AND(VLOOKUP($E38,武器奇术!$A:$R,15,FALSE)="武器",VLOOKUP($E38,武器奇术!$A:$R,17,FALSE)="破竹"),$E$3*(1+$E$15),0)</f>
        <v>0</v>
      </c>
      <c r="CO38" s="102">
        <f t="shared" si="29"/>
        <v>0</v>
      </c>
      <c r="CP38" s="102">
        <f>MAX($C$13*IF($G$5="撼天",1.05,1)+IF(AND(VLOOKUP($E38,武器奇术!$A:$R,15,FALSE)="武器",VLOOKUP($E38,武器奇术!$A:$R,17,FALSE)="破竹"),$E$3*(1+$E$15),0),CN38)</f>
        <v>0</v>
      </c>
      <c r="CQ38" s="104">
        <f>IF(($D$13+IF(VLOOKUP($E38,武器奇术!$A:$R,17,FALSE)="破竹",$D$15,0)-VLOOKUP($F$7,目标属性!$A:$R,6,FALSE))&gt;0,($D$13+IF(VLOOKUP($E38,武器奇术!$A:$R,17,FALSE)="破竹",$D$15,0)-VLOOKUP($F$7,目标属性!$A:$R,6,FALSE))/200,($D$13+IF(VLOOKUP($E38,武器奇术!$A:$R,17,FALSE)="破竹",$D$15,0)-VLOOKUP($F$7,目标属性!$A:$R,6,FALSE))/100)</f>
        <v>-0.24</v>
      </c>
      <c r="CR38" s="111">
        <f t="shared" si="30"/>
        <v>0</v>
      </c>
      <c r="CS38" s="102">
        <v>1</v>
      </c>
      <c r="CT38" s="103">
        <f>CN38*IF(VLOOKUP($E38,武器奇术!$A:$R,17,FALSE)="破竹",VLOOKUP($E38,武器奇术!$A:$R,4,FALSE),VLOOKUP($E38,武器奇术!$A:$R,2,FALSE))*(1+CQ38)*(1+CR38)*CS38</f>
        <v>0</v>
      </c>
      <c r="CU38" s="104">
        <f>(1-IF(VLOOKUP($E38,武器奇术!$A:$R,18,FALSE)="叶龙",1,$N38))*(1-$M38)</f>
        <v>0</v>
      </c>
      <c r="CV38" s="103">
        <f>CO38*IF(VLOOKUP($E38,武器奇术!$A:$R,17,FALSE)="破竹",VLOOKUP($E38,武器奇术!$A:$R,4,FALSE),VLOOKUP($E38,武器奇术!$A:$R,2,FALSE))*(1+CQ38)*(1+CR38)*CS38*(1+$E$16+VLOOKUP($E38,武器奇术!$A:$R,8,FALSE))</f>
        <v>0</v>
      </c>
      <c r="CW38" s="104">
        <f t="shared" si="31"/>
        <v>0.8703</v>
      </c>
      <c r="CX38" s="103">
        <f>CP38*IF(VLOOKUP($E38,武器奇术!$A:$R,17,FALSE)="破竹",VLOOKUP($E38,武器奇术!$A:$R,4,FALSE),VLOOKUP($E38,武器奇术!$A:$R,2,FALSE))*(1+CQ38)*(1+CR38)*CS38*(1+$E$17+VLOOKUP($E38,武器奇术!$A:$R,10,FALSE))</f>
        <v>0</v>
      </c>
      <c r="CY38" s="104">
        <f t="shared" si="32"/>
        <v>0.0986</v>
      </c>
      <c r="CZ38" s="103">
        <f>CO38*IF(VLOOKUP($E38,武器奇术!$A:$R,17,FALSE)="破竹",VLOOKUP($E38,武器奇术!$A:$R,4,FALSE),VLOOKUP($E38,武器奇术!$A:$R,2,FALSE))*(1+CQ38)*(1+CR38)*CS38</f>
        <v>0</v>
      </c>
      <c r="DA38" s="104">
        <f t="shared" si="33"/>
        <v>0.0311</v>
      </c>
      <c r="DB38" s="112">
        <f t="shared" si="34"/>
        <v>0</v>
      </c>
      <c r="DC38" s="110">
        <f t="shared" si="35"/>
        <v>66</v>
      </c>
      <c r="DD38" s="102">
        <f t="shared" si="36"/>
        <v>125.8</v>
      </c>
      <c r="DE38" s="102">
        <f t="shared" si="37"/>
        <v>185.6</v>
      </c>
      <c r="DF38" s="104">
        <f>IF((IF(VLOOKUP($E38,武器奇术!$A:$R,17,FALSE)="鸣金",$D$7,0)+IF(VLOOKUP($E38,武器奇术!$A:$R,17,FALSE)="裂石",$D$9,0)+IF(VLOOKUP($E38,武器奇术!$A:$R,17,FALSE)="牵丝",$D$11,0)+IF(VLOOKUP($E38,武器奇术!$A:$R,17,FALSE)="破竹",$D$13,0)+$D$15-VLOOKUP($F$7,目标属性!$A:$R,6,FALSE))&gt;0,(IF(VLOOKUP($E38,武器奇术!$A:$R,17,FALSE)="鸣金",$D$7,0)+IF(VLOOKUP($E38,武器奇术!$A:$R,17,FALSE)="裂石",$D$9,0)+IF(VLOOKUP($E38,武器奇术!$A:$R,17,FALSE)="牵丝",$D$11,0)+IF(VLOOKUP($E38,武器奇术!$A:$R,17,FALSE)="破竹",$D$13,0)+$D$15-VLOOKUP($F$7,目标属性!$A:$R,6,FALSE))/200,(IF(VLOOKUP($E38,武器奇术!$A:$R,17,FALSE)="鸣金",$D$7,0)+IF(VLOOKUP($E38,武器奇术!$A:$R,17,FALSE)="裂石",$D$9,0)+IF(VLOOKUP($E38,武器奇术!$A:$R,17,FALSE)="牵丝",$D$11,0)+IF(VLOOKUP($E38,武器奇术!$A:$R,17,FALSE)="破竹",$D$13,0)+$D$15-VLOOKUP($F$7,目标属性!$A:$R,6,FALSE))/100)</f>
        <v>0.028</v>
      </c>
      <c r="DG38" s="111">
        <f>$E$11+IF($G$5="烟柳",IF(VLOOKUP($E38,武器奇术!$A:$T,20,FALSE)=1,0.1,0),0)</f>
        <v>0.248</v>
      </c>
      <c r="DH38" s="102">
        <v>1</v>
      </c>
      <c r="DI38" s="103">
        <f>DC38*IF(VLOOKUP($E38,武器奇术!$A:$R,17,FALSE)="牵丝",VLOOKUP($E38,武器奇术!$A:$R,4,FALSE),VLOOKUP($E38,武器奇术!$A:$R,2,FALSE))*(1+DF38)*(1+DG38)*DH38</f>
        <v>149.227876512</v>
      </c>
      <c r="DJ38" s="104">
        <f>(1-IF(VLOOKUP($E38,武器奇术!$A:$R,18,FALSE)="叶龙",1,$N38))*(1-$M38)</f>
        <v>0</v>
      </c>
      <c r="DK38" s="124">
        <f>DD38*IF(VLOOKUP($E38,武器奇术!$A:$R,17,FALSE)="牵丝",VLOOKUP($E38,武器奇术!$A:$R,4,FALSE),VLOOKUP($E38,武器奇术!$A:$R,2,FALSE))*(1+DF38)*(1+DG38)*DH38*(1+$E$16+VLOOKUP($E38,武器奇术!$A:$R,8,FALSE))</f>
        <v>570.012502998182</v>
      </c>
      <c r="DL38" s="104">
        <f t="shared" si="38"/>
        <v>0.8703</v>
      </c>
      <c r="DM38" s="103">
        <f>DE38*IF(VLOOKUP($E38,武器奇术!$A:$R,17,FALSE)="牵丝",VLOOKUP($E38,武器奇术!$A:$R,4,FALSE),VLOOKUP($E38,武器奇术!$A:$R,2,FALSE))*(1+DF38)*(1+DG38)*DH38*(1+$E$17+VLOOKUP($E38,武器奇术!$A:$R,10,FALSE))</f>
        <v>566.52328392192</v>
      </c>
      <c r="DN38" s="104">
        <f t="shared" si="39"/>
        <v>0.0986</v>
      </c>
      <c r="DO38" s="124">
        <f>DD38*IF(VLOOKUP($E38,武器奇术!$A:$R,17,FALSE)="牵丝",VLOOKUP($E38,武器奇术!$A:$R,4,FALSE),VLOOKUP($E38,武器奇术!$A:$R,2,FALSE))*(1+DF38)*(1+DG38)*DH38</f>
        <v>284.4373767456</v>
      </c>
      <c r="DP38" s="104">
        <f t="shared" si="40"/>
        <v>0.0311</v>
      </c>
      <c r="DQ38" s="112">
        <f t="shared" si="41"/>
        <v>560.787079570808</v>
      </c>
    </row>
    <row r="39" spans="2:121">
      <c r="B39" s="98"/>
      <c r="C39" s="127"/>
      <c r="D39" s="128"/>
      <c r="E39" s="115" t="str">
        <f>期望!E39</f>
        <v>伞Q(连中风墙小纵)</v>
      </c>
      <c r="F39" s="116">
        <f>期望!F39</f>
        <v>1</v>
      </c>
      <c r="G39" s="117"/>
      <c r="H39" s="103">
        <f>IF(VLOOKUP($E39,武器奇术!$A:$R,18,FALSE)="天工",AE39,(AE39+AT39+BI39+BX39+CM39+DB39+DQ39))*(1+J39)*F39*K39*(1+G39)</f>
        <v>70550.3582652119</v>
      </c>
      <c r="I39" s="104">
        <f t="shared" si="0"/>
        <v>0.00813092581780992</v>
      </c>
      <c r="J39" s="118">
        <f>$F$3+VLOOKUP($E39,武器奇术!$A:$R,12,FALSE)+VLOOKUP($E39,武器奇术!$A:$R,14,FALSE)*$G$3+$P39+IF($F$21="√",5%,0)</f>
        <v>1.153</v>
      </c>
      <c r="K39" s="105">
        <f>VLOOKUP($E39,武器奇术!$A:$R,11,FALSE)</f>
        <v>1</v>
      </c>
      <c r="L39" s="119">
        <f>IF(VLOOKUP($E39,武器奇术!$A:$R,15,FALSE)="天工",0%,IF($C$17+VLOOKUP($E39,武器奇术!$A:$R,7,FALSE)&gt;80%,80%,$C$17+VLOOKUP($E39,武器奇术!$A:$R,7,FALSE))+IF($C$19&gt;20%,20%,$C$19))</f>
        <v>0.8703</v>
      </c>
      <c r="M39" s="120">
        <f>IF(VLOOKUP($E39,武器奇术!$A:$R,15,FALSE)="天工",0%,IF($C$18+VLOOKUP($E39,武器奇术!$A:$R,9,FALSE)&gt;40%,40%,$C$18+VLOOKUP($E39,武器奇术!$A:$R,9,FALSE))+IF($C$20&gt;10%,10%,$C$20))</f>
        <v>0.0986</v>
      </c>
      <c r="N39" s="121">
        <f>IF(VLOOKUP($E39,武器奇术!$A:$R,15,FALSE)="天工",100%,MIN($C$16,1))</f>
        <v>1</v>
      </c>
      <c r="O39" s="122" t="str">
        <f>VLOOKUP($E39,武器奇术!$A:$R,16,FALSE)</f>
        <v>伞</v>
      </c>
      <c r="P39" s="123">
        <f t="shared" si="1"/>
        <v>0.17</v>
      </c>
      <c r="Q39" s="110">
        <f>$B$5*(1+VLOOKUP($E39,武器奇术!$A:$R,5,FALSE))*(1+VLOOKUP($E39,武器奇术!$A:$S,19,FALSE)+IF($G$5="飞隼",0.1,0)+IF($G$5="撼天",0.05,0))-$F$9+IF($J$5="√",160,0)</f>
        <v>3081.85</v>
      </c>
      <c r="R39" s="102">
        <f>IF(VLOOKUP($E39,武器奇术!$A:$Z,18,FALSE)="叶龙",(S39-(Q39+S39)*0.5)*($G$15-0.5)*2+(Q39+S39)*0.5,(Q39+S39)*0.5)</f>
        <v>3161.85</v>
      </c>
      <c r="S39" s="102">
        <f>MAX($C$5,$B$5)*(1+VLOOKUP($E39,武器奇术!$A:$R,6,FALSE))*(1+VLOOKUP($E39,武器奇术!$A:$S,19,FALSE)+IF($G$5="飞隼",0.1,0)+IF($G$5="撼天",0.05,0))-$F$9+IF($J$5="√",320,0)</f>
        <v>3241.85</v>
      </c>
      <c r="T39" s="104">
        <f>IF(($D$5+VLOOKUP($E39,武器奇术!$A:$R,13,FALSE)+IF($I$3="√",10,0)-VLOOKUP($F$7,目标属性!$A:$R,5,FALSE))&gt;0,($D$5+VLOOKUP($E39,武器奇术!$A:$R,13,FALSE)+IF($I$3="√",10,0)-VLOOKUP($F$7,目标属性!$A:$R,5,FALSE))/200,($D$5+VLOOKUP($E39,武器奇术!$A:$R,13,FALSE)+IF($I$3="√",10,0)-VLOOKUP($F$7,目标属性!$A:$R,5,FALSE))/100)</f>
        <v>0.2925</v>
      </c>
      <c r="U39" s="111">
        <f>$E$5+IF($G$5="烟柳",IF(VLOOKUP($E39,武器奇术!$A:$T,20,FALSE)=1,0.1,0),0)</f>
        <v>0.1</v>
      </c>
      <c r="V39" s="102">
        <v>1</v>
      </c>
      <c r="W39" s="103">
        <f>Q39*VLOOKUP($E39,武器奇术!$A:$R,2,FALSE)*(1+T39)*(1+U39)*V39</f>
        <v>10251.6768696788</v>
      </c>
      <c r="X39" s="104">
        <f>(1-IF(VLOOKUP($E39,武器奇术!$A:$R,18,FALSE)="叶龙",1,$N39))*(1-$M39)</f>
        <v>0</v>
      </c>
      <c r="Y39" s="103">
        <f>R39*VLOOKUP($E39,武器奇术!$A:$R,2,FALSE)*(1+T39)*(1+U39)*V39*(1+$E$16+VLOOKUP($E39,武器奇术!$A:$R,8,FALSE))</f>
        <v>21077.6598727482</v>
      </c>
      <c r="Z39" s="104">
        <f t="shared" si="2"/>
        <v>0.8703</v>
      </c>
      <c r="AA39" s="103">
        <f>S39*VLOOKUP($E39,武器奇术!$A:$R,2,FALSE)*(1+T39)*(1+U39)*V39*(1+$E$17+VLOOKUP($E39,武器奇术!$A:$R,10,FALSE))</f>
        <v>14558.2809646663</v>
      </c>
      <c r="AB39" s="104">
        <f t="shared" si="3"/>
        <v>0.0986</v>
      </c>
      <c r="AC39" s="103">
        <f>R39*VLOOKUP($E39,武器奇术!$A:$R,2,FALSE)*(1+T39)*(1+U39)*V39</f>
        <v>10517.7943476788</v>
      </c>
      <c r="AD39" s="104">
        <f t="shared" si="4"/>
        <v>0.0311</v>
      </c>
      <c r="AE39" s="112">
        <f t="shared" si="5"/>
        <v>20106.4372945817</v>
      </c>
      <c r="AF39" s="113">
        <f>VLOOKUP($E39,武器奇术!$A:$R,3,FALSE)*(1+IF(VLOOKUP($E39,武器奇术!$A:$R,15,FALSE)="武器",$E$15,0))</f>
        <v>842.4</v>
      </c>
      <c r="AG39" s="103">
        <f t="shared" si="6"/>
        <v>842.4</v>
      </c>
      <c r="AH39" s="103">
        <f>VLOOKUP($E39,武器奇术!$A:$R,3,FALSE)*(1+IF(VLOOKUP($E39,武器奇术!$A:$R,15,FALSE)="武器",$E$15,0))</f>
        <v>842.4</v>
      </c>
      <c r="AI39" s="104">
        <f>IF(($D$5+VLOOKUP($E39,武器奇术!$A:$R,13,FALSE)+IF($I$3="√",10,0)-VLOOKUP($F$7,目标属性!$A:$R,5,FALSE))&gt;0,($D$5+VLOOKUP($E39,武器奇术!$A:$R,13,FALSE)+IF($I$3="√",10,0)-VLOOKUP($F$7,目标属性!$A:$R,5,FALSE))/200,($D$5+VLOOKUP($E39,武器奇术!$A:$R,13,FALSE)+IF($I$3="√",10,0)-VLOOKUP($F$7,目标属性!$A:$R,5,FALSE))/100)</f>
        <v>0.2925</v>
      </c>
      <c r="AJ39" s="111">
        <f>$E$5+IF($G$5="烟柳",IF(VLOOKUP($E39,武器奇术!$A:$T,20,FALSE)=1,0.1,0),0)</f>
        <v>0.1</v>
      </c>
      <c r="AK39" s="102">
        <v>1</v>
      </c>
      <c r="AL39" s="103">
        <f t="shared" si="7"/>
        <v>1197.6822</v>
      </c>
      <c r="AM39" s="104">
        <f>(1-IF(VLOOKUP($E39,武器奇术!$A:$R,18,FALSE)="叶龙",1,$N39))*(1-$M39)</f>
        <v>0</v>
      </c>
      <c r="AN39" s="103">
        <f>AG39*(1+AI39)*(1+AJ39)*AK39*(1+$E$16+VLOOKUP($E39,武器奇术!$A:$R,8,FALSE))</f>
        <v>2400.1551288</v>
      </c>
      <c r="AO39" s="104">
        <f t="shared" si="8"/>
        <v>0.8703</v>
      </c>
      <c r="AP39" s="103">
        <f>AH39*(1+AI39)*(1+AJ39)*AK39*(1+$E$17+VLOOKUP($E39,武器奇术!$A:$R,10,FALSE))</f>
        <v>1616.87097</v>
      </c>
      <c r="AQ39" s="104">
        <f t="shared" si="9"/>
        <v>0.0986</v>
      </c>
      <c r="AR39" s="103">
        <f t="shared" si="10"/>
        <v>1197.6822</v>
      </c>
      <c r="AS39" s="104">
        <f t="shared" si="11"/>
        <v>0.0311</v>
      </c>
      <c r="AT39" s="112">
        <f t="shared" si="12"/>
        <v>2285.52640265664</v>
      </c>
      <c r="AU39" s="110">
        <f>$B$7*IF($G$5="撼天",1.05,1)+IF(AND(VLOOKUP($E39,武器奇术!$A:$R,15,FALSE)="武器",VLOOKUP($E39,武器奇术!$A:$R,17,FALSE)="鸣金"),$E$3*(1+$E$15),0)</f>
        <v>0</v>
      </c>
      <c r="AV39" s="102">
        <f t="shared" si="13"/>
        <v>0</v>
      </c>
      <c r="AW39" s="102">
        <f>MAX($C$7*IF($G$5="撼天",1.05,1)+IF(AND(VLOOKUP($E39,武器奇术!$A:$R,15,FALSE)="武器",VLOOKUP($E39,武器奇术!$A:$R,17,FALSE)="鸣金"),$E$3*(1+$E$15),0),AU39)</f>
        <v>0</v>
      </c>
      <c r="AX39" s="104">
        <f>IF(($D$7+IF(VLOOKUP($E39,武器奇术!$A:$R,17,FALSE)="鸣金",$D$15,0)-VLOOKUP($F$7,目标属性!$A:$R,6,FALSE))&gt;0,($D$7+IF(VLOOKUP($E39,武器奇术!$A:$R,17,FALSE)="鸣金",$D$15,0)-VLOOKUP($F$7,目标属性!$A:$R,6,FALSE))/200,($D$7+IF(VLOOKUP($E39,武器奇术!$A:$R,17,FALSE)="鸣金",$D$15,0)-VLOOKUP($F$7,目标属性!$A:$R,6,FALSE))/100)</f>
        <v>-0.24</v>
      </c>
      <c r="AY39" s="111">
        <f t="shared" si="14"/>
        <v>0</v>
      </c>
      <c r="AZ39" s="102">
        <v>1</v>
      </c>
      <c r="BA39" s="103">
        <f>AU39*IF(VLOOKUP($E39,武器奇术!$A:$R,17,FALSE)="鸣金",VLOOKUP($E39,武器奇术!$A:$R,4,FALSE),VLOOKUP($E39,武器奇术!$A:$R,2,FALSE))*(1+AX39)*(1+AY39)*AZ39</f>
        <v>0</v>
      </c>
      <c r="BB39" s="104">
        <f>(1-IF(VLOOKUP($E39,武器奇术!$A:$R,18,FALSE)="叶龙",1,$N39))*(1-$M39)</f>
        <v>0</v>
      </c>
      <c r="BC39" s="103">
        <f>AV39*IF(VLOOKUP($E39,武器奇术!$A:$R,17,FALSE)="鸣金",VLOOKUP($E39,武器奇术!$A:$R,4,FALSE),VLOOKUP($E39,武器奇术!$A:$R,2,FALSE))*(1+AX39)*(1+AY39)*AZ39*(1+$E$16+VLOOKUP($E39,武器奇术!$A:$R,8,FALSE))</f>
        <v>0</v>
      </c>
      <c r="BD39" s="104">
        <f t="shared" si="15"/>
        <v>0.8703</v>
      </c>
      <c r="BE39" s="103">
        <f>AW39*IF(VLOOKUP($E39,武器奇术!$A:$R,17,FALSE)="鸣金",VLOOKUP($E39,武器奇术!$A:$R,4,FALSE),VLOOKUP($E39,武器奇术!$A:$R,2,FALSE))*(1+AX39)*(1+AY39)*AZ39*(1+$E$17+VLOOKUP($E39,武器奇术!$A:$R,10,FALSE))</f>
        <v>0</v>
      </c>
      <c r="BF39" s="104">
        <f t="shared" si="16"/>
        <v>0.0986</v>
      </c>
      <c r="BG39" s="103">
        <f>AV39*IF(VLOOKUP($E39,武器奇术!$A:$R,17,FALSE)="鸣金",VLOOKUP($E39,武器奇术!$A:$R,4,FALSE),VLOOKUP($E39,武器奇术!$A:$R,2,FALSE))*(1+AX39)*(1+AY39)*AZ39</f>
        <v>0</v>
      </c>
      <c r="BH39" s="104">
        <f t="shared" si="17"/>
        <v>0.0311</v>
      </c>
      <c r="BI39" s="112">
        <f t="shared" si="18"/>
        <v>0</v>
      </c>
      <c r="BJ39" s="110">
        <f>$B$9*IF($G$5="撼天",1.05,1)+IF(AND(VLOOKUP($E39,武器奇术!$A:$R,15,FALSE)="武器",VLOOKUP($E39,武器奇术!$A:$R,17,FALSE)="裂石"),$E$3*(1+$E$15),0)</f>
        <v>0</v>
      </c>
      <c r="BK39" s="102">
        <f t="shared" si="19"/>
        <v>0</v>
      </c>
      <c r="BL39" s="102">
        <f>MAX($C$9*IF($G$5="撼天",1.05,1)+IF(AND(VLOOKUP($E39,武器奇术!$A:$R,15,FALSE)="武器",VLOOKUP($E39,武器奇术!$A:$R,17,FALSE)="裂石"),$E$3*(1+$E$15),0),BJ39)</f>
        <v>0</v>
      </c>
      <c r="BM39" s="104">
        <f>IF(($D$9+IF(VLOOKUP($E39,武器奇术!$A:$R,17,FALSE)="裂石",$D$15,0)-VLOOKUP($F$7,目标属性!$A:$R,6,FALSE))&gt;0,($D$9+IF(VLOOKUP($E39,武器奇术!$A:$R,17,FALSE)="裂石",$D$15,0)-VLOOKUP($F$7,目标属性!$A:$R,6,FALSE))/200,($D$9+IF(VLOOKUP($E39,武器奇术!$A:$R,17,FALSE)="裂石",$D$15,0)-VLOOKUP($F$7,目标属性!$A:$R,6,FALSE))/100)</f>
        <v>-0.24</v>
      </c>
      <c r="BN39" s="111">
        <f t="shared" si="20"/>
        <v>0</v>
      </c>
      <c r="BO39" s="102">
        <v>1</v>
      </c>
      <c r="BP39" s="103">
        <f>BJ39*IF(VLOOKUP($E39,武器奇术!$A:$R,17,FALSE)="裂石",VLOOKUP($E39,武器奇术!$A:$R,4,FALSE),VLOOKUP($E39,武器奇术!$A:$R,2,FALSE))*(1+BM39)*(1+BN39)*BO39</f>
        <v>0</v>
      </c>
      <c r="BQ39" s="104">
        <f>(1-IF(VLOOKUP($E39,武器奇术!$A:$R,18,FALSE)="叶龙",1,$N39))*(1-$M39)</f>
        <v>0</v>
      </c>
      <c r="BR39" s="103">
        <f>BK39*IF(VLOOKUP($E39,武器奇术!$A:$R,17,FALSE)="裂石",VLOOKUP($E39,武器奇术!$A:$R,4,FALSE),VLOOKUP($E39,武器奇术!$A:$R,2,FALSE))*(1+BM39)*(1+BN39)*BO39*(1+$E$16+VLOOKUP($E39,武器奇术!$A:$R,8,FALSE))</f>
        <v>0</v>
      </c>
      <c r="BS39" s="104">
        <f t="shared" si="21"/>
        <v>0.8703</v>
      </c>
      <c r="BT39" s="103">
        <f>BL39*IF(VLOOKUP($E39,武器奇术!$A:$R,17,FALSE)="裂石",VLOOKUP($E39,武器奇术!$A:$R,4,FALSE),VLOOKUP($E39,武器奇术!$A:$R,2,FALSE))*(1+BM39)*(1+BN39)*BO39*(1+$E$17+VLOOKUP($E39,武器奇术!$A:$R,10,FALSE))</f>
        <v>0</v>
      </c>
      <c r="BU39" s="104">
        <f t="shared" si="22"/>
        <v>0.0986</v>
      </c>
      <c r="BV39" s="103">
        <f>BK39*IF(VLOOKUP($E39,武器奇术!$A:$R,17,FALSE)="裂石",VLOOKUP($E39,武器奇术!$A:$R,4,FALSE),VLOOKUP($E39,武器奇术!$A:$R,2,FALSE))*(1+BM39)*(1+BN39)*BO39</f>
        <v>0</v>
      </c>
      <c r="BW39" s="104">
        <f t="shared" si="23"/>
        <v>0.0311</v>
      </c>
      <c r="BX39" s="112">
        <f t="shared" si="24"/>
        <v>0</v>
      </c>
      <c r="BY39" s="110">
        <f>$B$11*IF($G$5="撼天",1.05,1)+IF(AND(VLOOKUP($E39,武器奇术!$A:$R,15,FALSE)="武器",VLOOKUP($E39,武器奇术!$A:$R,17,FALSE)="牵丝"),$E$3*(1+$E$15),0)</f>
        <v>686.71</v>
      </c>
      <c r="BZ39" s="102">
        <f>IF(VLOOKUP($E39,武器奇术!$A:$Z,18,FALSE)="叶龙",(CA39-(BY39+CA39)*0.5)*($G$15-0.5)*2+(BY39+CA39)*0.5,(BY39+CA39)*0.5)</f>
        <v>1052.21</v>
      </c>
      <c r="CA39" s="102">
        <f>MAX($C$11*IF($G$5="撼天",1.05,1)+IF(AND(VLOOKUP($E39,武器奇术!$A:$R,15,FALSE)="武器",VLOOKUP($E39,武器奇术!$A:$R,17,FALSE)="牵丝"),$E$3*(1+$E$15),0),BY39)</f>
        <v>1417.71</v>
      </c>
      <c r="CB39" s="104">
        <f>IF(($D$11+IF(VLOOKUP($E39,武器奇术!$A:$R,17,FALSE)="牵丝",$D$15,0)-VLOOKUP($F$7,目标属性!$A:$R,6,FALSE))&gt;0,($D$11+IF(VLOOKUP($E39,武器奇术!$A:$R,17,FALSE)="牵丝",$D$15,0)-VLOOKUP($F$7,目标属性!$A:$R,6,FALSE))/200,($D$11+IF(VLOOKUP($E39,武器奇术!$A:$R,17,FALSE)="牵丝",$D$15,0)-VLOOKUP($F$7,目标属性!$A:$R,6,FALSE))/100)</f>
        <v>0.028</v>
      </c>
      <c r="CC39" s="111">
        <f>$E$11+IF($G$5="烟柳",IF(VLOOKUP($E39,武器奇术!$A:$T,20,FALSE)=1,0.1,0),0)</f>
        <v>0.248</v>
      </c>
      <c r="CD39" s="102">
        <v>1</v>
      </c>
      <c r="CE39" s="103">
        <f>BY39*IF(VLOOKUP($E39,武器奇术!$A:$R,17,FALSE)="牵丝",VLOOKUP($E39,武器奇术!$A:$R,4,FALSE),VLOOKUP($E39,武器奇术!$A:$R,2,FALSE))*(1+CB39)*(1+CC39)*CD39</f>
        <v>3091.90625934528</v>
      </c>
      <c r="CF39" s="104">
        <f>(1-IF(VLOOKUP($E39,武器奇术!$A:$R,18,FALSE)="叶龙",1,$N39))*(1-$M39)</f>
        <v>0</v>
      </c>
      <c r="CG39" s="124">
        <f>BZ39*IF(VLOOKUP($E39,武器奇术!$A:$R,17,FALSE)="牵丝",VLOOKUP($E39,武器奇术!$A:$R,4,FALSE),VLOOKUP($E39,武器奇术!$A:$R,2,FALSE))*(1+CB39)*(1+CC39)*CD39*(1+$E$16+VLOOKUP($E39,武器奇术!$A:$R,8,FALSE))</f>
        <v>9494.08441559316</v>
      </c>
      <c r="CH39" s="104">
        <f t="shared" si="25"/>
        <v>0.8703</v>
      </c>
      <c r="CI39" s="103">
        <f>CA39*IF(VLOOKUP($E39,武器奇术!$A:$R,17,FALSE)="牵丝",VLOOKUP($E39,武器奇术!$A:$R,4,FALSE),VLOOKUP($E39,武器奇术!$A:$R,2,FALSE))*(1+CB39)*(1+CC39)*CD39*(1+$E$17+VLOOKUP($E39,武器奇术!$A:$R,10,FALSE))</f>
        <v>8617.35764873693</v>
      </c>
      <c r="CJ39" s="104">
        <f t="shared" si="26"/>
        <v>0.0986</v>
      </c>
      <c r="CK39" s="124">
        <f>BZ39*IF(VLOOKUP($E39,武器奇术!$A:$R,17,FALSE)="牵丝",VLOOKUP($E39,武器奇术!$A:$R,4,FALSE),VLOOKUP($E39,武器奇术!$A:$R,2,FALSE))*(1+CB39)*(1+CC39)*CD39</f>
        <v>4737.56707364928</v>
      </c>
      <c r="CL39" s="104">
        <f t="shared" si="27"/>
        <v>0.0311</v>
      </c>
      <c r="CM39" s="112">
        <f t="shared" si="28"/>
        <v>9259.71146704668</v>
      </c>
      <c r="CN39" s="110">
        <f>$B$13*IF($G$5="撼天",1.05,1)+IF(AND(VLOOKUP($E39,武器奇术!$A:$R,15,FALSE)="武器",VLOOKUP($E39,武器奇术!$A:$R,17,FALSE)="破竹"),$E$3*(1+$E$15),0)</f>
        <v>0</v>
      </c>
      <c r="CO39" s="102">
        <f t="shared" si="29"/>
        <v>0</v>
      </c>
      <c r="CP39" s="102">
        <f>MAX($C$13*IF($G$5="撼天",1.05,1)+IF(AND(VLOOKUP($E39,武器奇术!$A:$R,15,FALSE)="武器",VLOOKUP($E39,武器奇术!$A:$R,17,FALSE)="破竹"),$E$3*(1+$E$15),0),CN39)</f>
        <v>0</v>
      </c>
      <c r="CQ39" s="104">
        <f>IF(($D$13+IF(VLOOKUP($E39,武器奇术!$A:$R,17,FALSE)="破竹",$D$15,0)-VLOOKUP($F$7,目标属性!$A:$R,6,FALSE))&gt;0,($D$13+IF(VLOOKUP($E39,武器奇术!$A:$R,17,FALSE)="破竹",$D$15,0)-VLOOKUP($F$7,目标属性!$A:$R,6,FALSE))/200,($D$13+IF(VLOOKUP($E39,武器奇术!$A:$R,17,FALSE)="破竹",$D$15,0)-VLOOKUP($F$7,目标属性!$A:$R,6,FALSE))/100)</f>
        <v>-0.24</v>
      </c>
      <c r="CR39" s="111">
        <f t="shared" si="30"/>
        <v>0</v>
      </c>
      <c r="CS39" s="102">
        <v>1</v>
      </c>
      <c r="CT39" s="103">
        <f>CN39*IF(VLOOKUP($E39,武器奇术!$A:$R,17,FALSE)="破竹",VLOOKUP($E39,武器奇术!$A:$R,4,FALSE),VLOOKUP($E39,武器奇术!$A:$R,2,FALSE))*(1+CQ39)*(1+CR39)*CS39</f>
        <v>0</v>
      </c>
      <c r="CU39" s="104">
        <f>(1-IF(VLOOKUP($E39,武器奇术!$A:$R,18,FALSE)="叶龙",1,$N39))*(1-$M39)</f>
        <v>0</v>
      </c>
      <c r="CV39" s="103">
        <f>CO39*IF(VLOOKUP($E39,武器奇术!$A:$R,17,FALSE)="破竹",VLOOKUP($E39,武器奇术!$A:$R,4,FALSE),VLOOKUP($E39,武器奇术!$A:$R,2,FALSE))*(1+CQ39)*(1+CR39)*CS39*(1+$E$16+VLOOKUP($E39,武器奇术!$A:$R,8,FALSE))</f>
        <v>0</v>
      </c>
      <c r="CW39" s="104">
        <f t="shared" si="31"/>
        <v>0.8703</v>
      </c>
      <c r="CX39" s="103">
        <f>CP39*IF(VLOOKUP($E39,武器奇术!$A:$R,17,FALSE)="破竹",VLOOKUP($E39,武器奇术!$A:$R,4,FALSE),VLOOKUP($E39,武器奇术!$A:$R,2,FALSE))*(1+CQ39)*(1+CR39)*CS39*(1+$E$17+VLOOKUP($E39,武器奇术!$A:$R,10,FALSE))</f>
        <v>0</v>
      </c>
      <c r="CY39" s="104">
        <f t="shared" si="32"/>
        <v>0.0986</v>
      </c>
      <c r="CZ39" s="103">
        <f>CO39*IF(VLOOKUP($E39,武器奇术!$A:$R,17,FALSE)="破竹",VLOOKUP($E39,武器奇术!$A:$R,4,FALSE),VLOOKUP($E39,武器奇术!$A:$R,2,FALSE))*(1+CQ39)*(1+CR39)*CS39</f>
        <v>0</v>
      </c>
      <c r="DA39" s="104">
        <f t="shared" si="33"/>
        <v>0.0311</v>
      </c>
      <c r="DB39" s="112">
        <f t="shared" si="34"/>
        <v>0</v>
      </c>
      <c r="DC39" s="110">
        <f t="shared" si="35"/>
        <v>66</v>
      </c>
      <c r="DD39" s="102">
        <f t="shared" si="36"/>
        <v>125.8</v>
      </c>
      <c r="DE39" s="102">
        <f t="shared" si="37"/>
        <v>185.6</v>
      </c>
      <c r="DF39" s="104">
        <f>IF((IF(VLOOKUP($E39,武器奇术!$A:$R,17,FALSE)="鸣金",$D$7,0)+IF(VLOOKUP($E39,武器奇术!$A:$R,17,FALSE)="裂石",$D$9,0)+IF(VLOOKUP($E39,武器奇术!$A:$R,17,FALSE)="牵丝",$D$11,0)+IF(VLOOKUP($E39,武器奇术!$A:$R,17,FALSE)="破竹",$D$13,0)+$D$15-VLOOKUP($F$7,目标属性!$A:$R,6,FALSE))&gt;0,(IF(VLOOKUP($E39,武器奇术!$A:$R,17,FALSE)="鸣金",$D$7,0)+IF(VLOOKUP($E39,武器奇术!$A:$R,17,FALSE)="裂石",$D$9,0)+IF(VLOOKUP($E39,武器奇术!$A:$R,17,FALSE)="牵丝",$D$11,0)+IF(VLOOKUP($E39,武器奇术!$A:$R,17,FALSE)="破竹",$D$13,0)+$D$15-VLOOKUP($F$7,目标属性!$A:$R,6,FALSE))/200,(IF(VLOOKUP($E39,武器奇术!$A:$R,17,FALSE)="鸣金",$D$7,0)+IF(VLOOKUP($E39,武器奇术!$A:$R,17,FALSE)="裂石",$D$9,0)+IF(VLOOKUP($E39,武器奇术!$A:$R,17,FALSE)="牵丝",$D$11,0)+IF(VLOOKUP($E39,武器奇术!$A:$R,17,FALSE)="破竹",$D$13,0)+$D$15-VLOOKUP($F$7,目标属性!$A:$R,6,FALSE))/100)</f>
        <v>0.028</v>
      </c>
      <c r="DG39" s="111">
        <f>$E$11+IF($G$5="烟柳",IF(VLOOKUP($E39,武器奇术!$A:$T,20,FALSE)=1,0.1,0),0)</f>
        <v>0.248</v>
      </c>
      <c r="DH39" s="102">
        <v>1</v>
      </c>
      <c r="DI39" s="103">
        <f>DC39*IF(VLOOKUP($E39,武器奇术!$A:$R,17,FALSE)="牵丝",VLOOKUP($E39,武器奇术!$A:$R,4,FALSE),VLOOKUP($E39,武器奇术!$A:$R,2,FALSE))*(1+DF39)*(1+DG39)*DH39</f>
        <v>297.164469888</v>
      </c>
      <c r="DJ39" s="104">
        <f>(1-IF(VLOOKUP($E39,武器奇术!$A:$R,18,FALSE)="叶龙",1,$N39))*(1-$M39)</f>
        <v>0</v>
      </c>
      <c r="DK39" s="124">
        <f>DD39*IF(VLOOKUP($E39,武器奇术!$A:$R,17,FALSE)="牵丝",VLOOKUP($E39,武器奇术!$A:$R,4,FALSE),VLOOKUP($E39,武器奇术!$A:$R,2,FALSE))*(1+DF39)*(1+DG39)*DH39*(1+$E$16+VLOOKUP($E39,武器奇术!$A:$R,8,FALSE))</f>
        <v>1135.0926331071</v>
      </c>
      <c r="DL39" s="104">
        <f t="shared" si="38"/>
        <v>0.8703</v>
      </c>
      <c r="DM39" s="103">
        <f>DE39*IF(VLOOKUP($E39,武器奇术!$A:$R,17,FALSE)="牵丝",VLOOKUP($E39,武器奇术!$A:$R,4,FALSE),VLOOKUP($E39,武器奇术!$A:$R,2,FALSE))*(1+DF39)*(1+DG39)*DH39*(1+$E$17+VLOOKUP($E39,武器奇术!$A:$R,10,FALSE))</f>
        <v>1128.14438750208</v>
      </c>
      <c r="DN39" s="104">
        <f t="shared" si="39"/>
        <v>0.0986</v>
      </c>
      <c r="DO39" s="124">
        <f>DD39*IF(VLOOKUP($E39,武器奇术!$A:$R,17,FALSE)="牵丝",VLOOKUP($E39,武器奇术!$A:$R,4,FALSE),VLOOKUP($E39,武器奇术!$A:$R,2,FALSE))*(1+DF39)*(1+DG39)*DH39</f>
        <v>566.4134895744</v>
      </c>
      <c r="DP39" s="104">
        <f t="shared" si="40"/>
        <v>0.0311</v>
      </c>
      <c r="DQ39" s="112">
        <f t="shared" si="41"/>
        <v>1116.72161472658</v>
      </c>
    </row>
    <row r="40" spans="2:121">
      <c r="B40" s="106" t="s">
        <v>139</v>
      </c>
      <c r="C40" s="130">
        <f>C35/114168.33</f>
        <v>0.999999963079502</v>
      </c>
      <c r="D40" s="131"/>
      <c r="E40" s="115" t="str">
        <f>期望!E40</f>
        <v>伞重击派生(小纵)</v>
      </c>
      <c r="F40" s="116">
        <f>期望!F40</f>
        <v>1</v>
      </c>
      <c r="G40" s="117"/>
      <c r="H40" s="103">
        <f>IF(VLOOKUP($E40,武器奇术!$A:$R,18,FALSE)="天工",AE40,(AE40+AT40+BI40+BX40+CM40+DB40+DQ40))*(1+J40)*F40*K40*(1+G40)</f>
        <v>32525.1430100852</v>
      </c>
      <c r="I40" s="104">
        <f t="shared" si="0"/>
        <v>0.00374852136164226</v>
      </c>
      <c r="J40" s="118">
        <f>$F$3+VLOOKUP($E40,武器奇术!$A:$R,12,FALSE)+VLOOKUP($E40,武器奇术!$A:$R,14,FALSE)*$G$3+$P40+IF($F$21="√",5%,0)</f>
        <v>0.673</v>
      </c>
      <c r="K40" s="105">
        <f>VLOOKUP($E40,武器奇术!$A:$R,11,FALSE)</f>
        <v>1</v>
      </c>
      <c r="L40" s="119">
        <f>IF(VLOOKUP($E40,武器奇术!$A:$R,15,FALSE)="天工",0%,IF($C$17+VLOOKUP($E40,武器奇术!$A:$R,7,FALSE)&gt;80%,80%,$C$17+VLOOKUP($E40,武器奇术!$A:$R,7,FALSE))+IF($C$19&gt;20%,20%,$C$19))</f>
        <v>0.8703</v>
      </c>
      <c r="M40" s="120">
        <f>IF(VLOOKUP($E40,武器奇术!$A:$R,15,FALSE)="天工",0%,IF($C$18+VLOOKUP($E40,武器奇术!$A:$R,9,FALSE)&gt;40%,40%,$C$18+VLOOKUP($E40,武器奇术!$A:$R,9,FALSE))+IF($C$20&gt;10%,10%,$C$20))</f>
        <v>0.0986</v>
      </c>
      <c r="N40" s="121">
        <f>IF(VLOOKUP($E40,武器奇术!$A:$R,15,FALSE)="天工",100%,MIN($C$16,1))</f>
        <v>1</v>
      </c>
      <c r="O40" s="122" t="str">
        <f>VLOOKUP($E40,武器奇术!$A:$R,16,FALSE)</f>
        <v>伞</v>
      </c>
      <c r="P40" s="123">
        <f t="shared" si="1"/>
        <v>0.17</v>
      </c>
      <c r="Q40" s="110">
        <f>$B$5*(1+VLOOKUP($E40,武器奇术!$A:$R,5,FALSE))*(1+VLOOKUP($E40,武器奇术!$A:$S,19,FALSE)+IF($G$5="飞隼",0.1,0)+IF($G$5="撼天",0.05,0))-$F$9+IF($J$5="√",160,0)</f>
        <v>3081.85</v>
      </c>
      <c r="R40" s="102">
        <f>IF(VLOOKUP($E40,武器奇术!$A:$Z,18,FALSE)="叶龙",(S40-(Q40+S40)*0.5)*($G$15-0.5)*2+(Q40+S40)*0.5,(Q40+S40)*0.5)</f>
        <v>3161.85</v>
      </c>
      <c r="S40" s="102">
        <f>MAX($C$5,$B$5)*(1+VLOOKUP($E40,武器奇术!$A:$R,6,FALSE))*(1+VLOOKUP($E40,武器奇术!$A:$S,19,FALSE)+IF($G$5="飞隼",0.1,0)+IF($G$5="撼天",0.05,0))-$F$9+IF($J$5="√",320,0)</f>
        <v>3241.85</v>
      </c>
      <c r="T40" s="104">
        <f>IF(($D$5+VLOOKUP($E40,武器奇术!$A:$R,13,FALSE)+IF($I$3="√",10,0)-VLOOKUP($F$7,目标属性!$A:$R,5,FALSE))&gt;0,($D$5+VLOOKUP($E40,武器奇术!$A:$R,13,FALSE)+IF($I$3="√",10,0)-VLOOKUP($F$7,目标属性!$A:$R,5,FALSE))/200,($D$5+VLOOKUP($E40,武器奇术!$A:$R,13,FALSE)+IF($I$3="√",10,0)-VLOOKUP($F$7,目标属性!$A:$R,5,FALSE))/100)</f>
        <v>0.2675</v>
      </c>
      <c r="U40" s="111">
        <f>$E$5+IF($G$5="烟柳",IF(VLOOKUP($E40,武器奇术!$A:$T,20,FALSE)=1,0.1,0),0)</f>
        <v>0.1</v>
      </c>
      <c r="V40" s="102">
        <v>1</v>
      </c>
      <c r="W40" s="103">
        <f>Q40*VLOOKUP($E40,武器奇术!$A:$R,2,FALSE)*(1+T40)*(1+U40)*V40</f>
        <v>7302.52948156875</v>
      </c>
      <c r="X40" s="104">
        <f>(1-IF(VLOOKUP($E40,武器奇术!$A:$R,18,FALSE)="叶龙",1,$N40))*(1-$M40)</f>
        <v>0</v>
      </c>
      <c r="Y40" s="103">
        <f>R40*VLOOKUP($E40,武器奇术!$A:$R,2,FALSE)*(1+T40)*(1+U40)*V40*(1+$E$16+VLOOKUP($E40,武器奇术!$A:$R,8,FALSE))</f>
        <v>12316.998773819</v>
      </c>
      <c r="Z40" s="104">
        <f t="shared" si="2"/>
        <v>0.8703</v>
      </c>
      <c r="AA40" s="103">
        <f>S40*VLOOKUP($E40,武器奇术!$A:$R,2,FALSE)*(1+T40)*(1+U40)*V40*(1+$E$17+VLOOKUP($E40,武器奇术!$A:$R,10,FALSE))</f>
        <v>10370.2328211178</v>
      </c>
      <c r="AB40" s="104">
        <f t="shared" si="3"/>
        <v>0.0986</v>
      </c>
      <c r="AC40" s="103">
        <f>R40*VLOOKUP($E40,武器奇术!$A:$R,2,FALSE)*(1+T40)*(1+U40)*V40</f>
        <v>7492.09171156875</v>
      </c>
      <c r="AD40" s="104">
        <f t="shared" si="4"/>
        <v>0.0311</v>
      </c>
      <c r="AE40" s="112">
        <f t="shared" si="5"/>
        <v>11974.9930412467</v>
      </c>
      <c r="AF40" s="113">
        <f>VLOOKUP($E40,武器奇术!$A:$R,3,FALSE)*(1+IF(VLOOKUP($E40,武器奇术!$A:$R,15,FALSE)="武器",$E$15,0))</f>
        <v>510.9</v>
      </c>
      <c r="AG40" s="103">
        <f t="shared" si="6"/>
        <v>510.9</v>
      </c>
      <c r="AH40" s="103">
        <f>VLOOKUP($E40,武器奇术!$A:$R,3,FALSE)*(1+IF(VLOOKUP($E40,武器奇术!$A:$R,15,FALSE)="武器",$E$15,0))</f>
        <v>510.9</v>
      </c>
      <c r="AI40" s="104">
        <f>IF(($D$5+VLOOKUP($E40,武器奇术!$A:$R,13,FALSE)+IF($I$3="√",10,0)-VLOOKUP($F$7,目标属性!$A:$R,5,FALSE))&gt;0,($D$5+VLOOKUP($E40,武器奇术!$A:$R,13,FALSE)+IF($I$3="√",10,0)-VLOOKUP($F$7,目标属性!$A:$R,5,FALSE))/200,($D$5+VLOOKUP($E40,武器奇术!$A:$R,13,FALSE)+IF($I$3="√",10,0)-VLOOKUP($F$7,目标属性!$A:$R,5,FALSE))/100)</f>
        <v>0.2675</v>
      </c>
      <c r="AJ40" s="111">
        <f>$E$5+IF($G$5="烟柳",IF(VLOOKUP($E40,武器奇术!$A:$T,20,FALSE)=1,0.1,0),0)</f>
        <v>0.1</v>
      </c>
      <c r="AK40" s="102">
        <v>1</v>
      </c>
      <c r="AL40" s="103">
        <f t="shared" si="7"/>
        <v>712.322325</v>
      </c>
      <c r="AM40" s="104">
        <f>(1-IF(VLOOKUP($E40,武器奇术!$A:$R,18,FALSE)="叶龙",1,$N40))*(1-$M40)</f>
        <v>0</v>
      </c>
      <c r="AN40" s="103">
        <f>AG40*(1+AI40)*(1+AJ40)*AK40*(1+$E$16+VLOOKUP($E40,武器奇术!$A:$R,8,FALSE))</f>
        <v>1171.0579023</v>
      </c>
      <c r="AO40" s="104">
        <f t="shared" si="8"/>
        <v>0.8703</v>
      </c>
      <c r="AP40" s="103">
        <f>AH40*(1+AI40)*(1+AJ40)*AK40*(1+$E$17+VLOOKUP($E40,武器奇术!$A:$R,10,FALSE))</f>
        <v>961.63513875</v>
      </c>
      <c r="AQ40" s="104">
        <f t="shared" si="9"/>
        <v>0.0986</v>
      </c>
      <c r="AR40" s="103">
        <f t="shared" si="10"/>
        <v>712.322325</v>
      </c>
      <c r="AS40" s="104">
        <f t="shared" si="11"/>
        <v>0.0311</v>
      </c>
      <c r="AT40" s="112">
        <f t="shared" si="12"/>
        <v>1136.14214135994</v>
      </c>
      <c r="AU40" s="110">
        <f>$B$7*IF($G$5="撼天",1.05,1)+IF(AND(VLOOKUP($E40,武器奇术!$A:$R,15,FALSE)="武器",VLOOKUP($E40,武器奇术!$A:$R,17,FALSE)="鸣金"),$E$3*(1+$E$15),0)</f>
        <v>0</v>
      </c>
      <c r="AV40" s="102">
        <f t="shared" si="13"/>
        <v>0</v>
      </c>
      <c r="AW40" s="102">
        <f>MAX($C$7*IF($G$5="撼天",1.05,1)+IF(AND(VLOOKUP($E40,武器奇术!$A:$R,15,FALSE)="武器",VLOOKUP($E40,武器奇术!$A:$R,17,FALSE)="鸣金"),$E$3*(1+$E$15),0),AU40)</f>
        <v>0</v>
      </c>
      <c r="AX40" s="104">
        <f>IF(($D$7+IF(VLOOKUP($E40,武器奇术!$A:$R,17,FALSE)="鸣金",$D$15,0)-VLOOKUP($F$7,目标属性!$A:$R,6,FALSE))&gt;0,($D$7+IF(VLOOKUP($E40,武器奇术!$A:$R,17,FALSE)="鸣金",$D$15,0)-VLOOKUP($F$7,目标属性!$A:$R,6,FALSE))/200,($D$7+IF(VLOOKUP($E40,武器奇术!$A:$R,17,FALSE)="鸣金",$D$15,0)-VLOOKUP($F$7,目标属性!$A:$R,6,FALSE))/100)</f>
        <v>-0.24</v>
      </c>
      <c r="AY40" s="111">
        <f t="shared" si="14"/>
        <v>0</v>
      </c>
      <c r="AZ40" s="102">
        <v>1</v>
      </c>
      <c r="BA40" s="103">
        <f>AU40*IF(VLOOKUP($E40,武器奇术!$A:$R,17,FALSE)="鸣金",VLOOKUP($E40,武器奇术!$A:$R,4,FALSE),VLOOKUP($E40,武器奇术!$A:$R,2,FALSE))*(1+AX40)*(1+AY40)*AZ40</f>
        <v>0</v>
      </c>
      <c r="BB40" s="104">
        <f>(1-IF(VLOOKUP($E40,武器奇术!$A:$R,18,FALSE)="叶龙",1,$N40))*(1-$M40)</f>
        <v>0</v>
      </c>
      <c r="BC40" s="103">
        <f>AV40*IF(VLOOKUP($E40,武器奇术!$A:$R,17,FALSE)="鸣金",VLOOKUP($E40,武器奇术!$A:$R,4,FALSE),VLOOKUP($E40,武器奇术!$A:$R,2,FALSE))*(1+AX40)*(1+AY40)*AZ40*(1+$E$16+VLOOKUP($E40,武器奇术!$A:$R,8,FALSE))</f>
        <v>0</v>
      </c>
      <c r="BD40" s="104">
        <f t="shared" si="15"/>
        <v>0.8703</v>
      </c>
      <c r="BE40" s="103">
        <f>AW40*IF(VLOOKUP($E40,武器奇术!$A:$R,17,FALSE)="鸣金",VLOOKUP($E40,武器奇术!$A:$R,4,FALSE),VLOOKUP($E40,武器奇术!$A:$R,2,FALSE))*(1+AX40)*(1+AY40)*AZ40*(1+$E$17+VLOOKUP($E40,武器奇术!$A:$R,10,FALSE))</f>
        <v>0</v>
      </c>
      <c r="BF40" s="104">
        <f t="shared" si="16"/>
        <v>0.0986</v>
      </c>
      <c r="BG40" s="103">
        <f>AV40*IF(VLOOKUP($E40,武器奇术!$A:$R,17,FALSE)="鸣金",VLOOKUP($E40,武器奇术!$A:$R,4,FALSE),VLOOKUP($E40,武器奇术!$A:$R,2,FALSE))*(1+AX40)*(1+AY40)*AZ40</f>
        <v>0</v>
      </c>
      <c r="BH40" s="104">
        <f t="shared" si="17"/>
        <v>0.0311</v>
      </c>
      <c r="BI40" s="112">
        <f t="shared" si="18"/>
        <v>0</v>
      </c>
      <c r="BJ40" s="110">
        <f>$B$9*IF($G$5="撼天",1.05,1)+IF(AND(VLOOKUP($E40,武器奇术!$A:$R,15,FALSE)="武器",VLOOKUP($E40,武器奇术!$A:$R,17,FALSE)="裂石"),$E$3*(1+$E$15),0)</f>
        <v>0</v>
      </c>
      <c r="BK40" s="102">
        <f t="shared" si="19"/>
        <v>0</v>
      </c>
      <c r="BL40" s="102">
        <f>MAX($C$9*IF($G$5="撼天",1.05,1)+IF(AND(VLOOKUP($E40,武器奇术!$A:$R,15,FALSE)="武器",VLOOKUP($E40,武器奇术!$A:$R,17,FALSE)="裂石"),$E$3*(1+$E$15),0),BJ40)</f>
        <v>0</v>
      </c>
      <c r="BM40" s="104">
        <f>IF(($D$9+IF(VLOOKUP($E40,武器奇术!$A:$R,17,FALSE)="裂石",$D$15,0)-VLOOKUP($F$7,目标属性!$A:$R,6,FALSE))&gt;0,($D$9+IF(VLOOKUP($E40,武器奇术!$A:$R,17,FALSE)="裂石",$D$15,0)-VLOOKUP($F$7,目标属性!$A:$R,6,FALSE))/200,($D$9+IF(VLOOKUP($E40,武器奇术!$A:$R,17,FALSE)="裂石",$D$15,0)-VLOOKUP($F$7,目标属性!$A:$R,6,FALSE))/100)</f>
        <v>-0.24</v>
      </c>
      <c r="BN40" s="111">
        <f t="shared" si="20"/>
        <v>0</v>
      </c>
      <c r="BO40" s="102">
        <v>1</v>
      </c>
      <c r="BP40" s="103">
        <f>BJ40*IF(VLOOKUP($E40,武器奇术!$A:$R,17,FALSE)="裂石",VLOOKUP($E40,武器奇术!$A:$R,4,FALSE),VLOOKUP($E40,武器奇术!$A:$R,2,FALSE))*(1+BM40)*(1+BN40)*BO40</f>
        <v>0</v>
      </c>
      <c r="BQ40" s="104">
        <f>(1-IF(VLOOKUP($E40,武器奇术!$A:$R,18,FALSE)="叶龙",1,$N40))*(1-$M40)</f>
        <v>0</v>
      </c>
      <c r="BR40" s="103">
        <f>BK40*IF(VLOOKUP($E40,武器奇术!$A:$R,17,FALSE)="裂石",VLOOKUP($E40,武器奇术!$A:$R,4,FALSE),VLOOKUP($E40,武器奇术!$A:$R,2,FALSE))*(1+BM40)*(1+BN40)*BO40*(1+$E$16+VLOOKUP($E40,武器奇术!$A:$R,8,FALSE))</f>
        <v>0</v>
      </c>
      <c r="BS40" s="104">
        <f t="shared" si="21"/>
        <v>0.8703</v>
      </c>
      <c r="BT40" s="103">
        <f>BL40*IF(VLOOKUP($E40,武器奇术!$A:$R,17,FALSE)="裂石",VLOOKUP($E40,武器奇术!$A:$R,4,FALSE),VLOOKUP($E40,武器奇术!$A:$R,2,FALSE))*(1+BM40)*(1+BN40)*BO40*(1+$E$17+VLOOKUP($E40,武器奇术!$A:$R,10,FALSE))</f>
        <v>0</v>
      </c>
      <c r="BU40" s="104">
        <f t="shared" si="22"/>
        <v>0.0986</v>
      </c>
      <c r="BV40" s="103">
        <f>BK40*IF(VLOOKUP($E40,武器奇术!$A:$R,17,FALSE)="裂石",VLOOKUP($E40,武器奇术!$A:$R,4,FALSE),VLOOKUP($E40,武器奇术!$A:$R,2,FALSE))*(1+BM40)*(1+BN40)*BO40</f>
        <v>0</v>
      </c>
      <c r="BW40" s="104">
        <f t="shared" si="23"/>
        <v>0.0311</v>
      </c>
      <c r="BX40" s="112">
        <f t="shared" si="24"/>
        <v>0</v>
      </c>
      <c r="BY40" s="110">
        <f>$B$11*IF($G$5="撼天",1.05,1)+IF(AND(VLOOKUP($E40,武器奇术!$A:$R,15,FALSE)="武器",VLOOKUP($E40,武器奇术!$A:$R,17,FALSE)="牵丝"),$E$3*(1+$E$15),0)</f>
        <v>686.71</v>
      </c>
      <c r="BZ40" s="102">
        <f>IF(VLOOKUP($E40,武器奇术!$A:$Z,18,FALSE)="叶龙",(CA40-(BY40+CA40)*0.5)*($G$15-0.5)*2+(BY40+CA40)*0.5,(BY40+CA40)*0.5)</f>
        <v>1052.21</v>
      </c>
      <c r="CA40" s="102">
        <f>MAX($C$11*IF($G$5="撼天",1.05,1)+IF(AND(VLOOKUP($E40,武器奇术!$A:$R,15,FALSE)="武器",VLOOKUP($E40,武器奇术!$A:$R,17,FALSE)="牵丝"),$E$3*(1+$E$15),0),BY40)</f>
        <v>1417.71</v>
      </c>
      <c r="CB40" s="104">
        <f>IF(($D$11+IF(VLOOKUP($E40,武器奇术!$A:$R,17,FALSE)="牵丝",$D$15,0)-VLOOKUP($F$7,目标属性!$A:$R,6,FALSE))&gt;0,($D$11+IF(VLOOKUP($E40,武器奇术!$A:$R,17,FALSE)="牵丝",$D$15,0)-VLOOKUP($F$7,目标属性!$A:$R,6,FALSE))/200,($D$11+IF(VLOOKUP($E40,武器奇术!$A:$R,17,FALSE)="牵丝",$D$15,0)-VLOOKUP($F$7,目标属性!$A:$R,6,FALSE))/100)</f>
        <v>0.028</v>
      </c>
      <c r="CC40" s="111">
        <f>$E$11+IF($G$5="烟柳",IF(VLOOKUP($E40,武器奇术!$A:$T,20,FALSE)=1,0.1,0),0)</f>
        <v>0.248</v>
      </c>
      <c r="CD40" s="102">
        <v>1</v>
      </c>
      <c r="CE40" s="103">
        <f>BY40*IF(VLOOKUP($E40,武器奇术!$A:$R,17,FALSE)="牵丝",VLOOKUP($E40,武器奇术!$A:$R,4,FALSE),VLOOKUP($E40,武器奇术!$A:$R,2,FALSE))*(1+CB40)*(1+CC40)*CD40</f>
        <v>2245.87190093261</v>
      </c>
      <c r="CF40" s="104">
        <f>(1-IF(VLOOKUP($E40,武器奇术!$A:$R,18,FALSE)="叶龙",1,$N40))*(1-$M40)</f>
        <v>0</v>
      </c>
      <c r="CG40" s="124">
        <f>BZ40*IF(VLOOKUP($E40,武器奇术!$A:$R,17,FALSE)="牵丝",VLOOKUP($E40,武器奇术!$A:$R,4,FALSE),VLOOKUP($E40,武器奇术!$A:$R,2,FALSE))*(1+CB40)*(1+CC40)*CD40*(1+$E$16+VLOOKUP($E40,武器奇术!$A:$R,8,FALSE))</f>
        <v>5657.38647611832</v>
      </c>
      <c r="CH40" s="104">
        <f t="shared" si="25"/>
        <v>0.8703</v>
      </c>
      <c r="CI40" s="103">
        <f>CA40*IF(VLOOKUP($E40,武器奇术!$A:$R,17,FALSE)="牵丝",VLOOKUP($E40,武器奇术!$A:$R,4,FALSE),VLOOKUP($E40,武器奇术!$A:$R,2,FALSE))*(1+CB40)*(1+CC40)*CD40*(1+$E$17+VLOOKUP($E40,武器奇术!$A:$R,10,FALSE))</f>
        <v>6259.4010879499</v>
      </c>
      <c r="CJ40" s="104">
        <f t="shared" si="26"/>
        <v>0.0986</v>
      </c>
      <c r="CK40" s="124">
        <f>BZ40*IF(VLOOKUP($E40,武器奇术!$A:$R,17,FALSE)="牵丝",VLOOKUP($E40,武器奇术!$A:$R,4,FALSE),VLOOKUP($E40,武器奇术!$A:$R,2,FALSE))*(1+CB40)*(1+CC40)*CD40</f>
        <v>3441.23264970701</v>
      </c>
      <c r="CL40" s="104">
        <f t="shared" si="27"/>
        <v>0.0311</v>
      </c>
      <c r="CM40" s="112">
        <f t="shared" si="28"/>
        <v>5647.82273284352</v>
      </c>
      <c r="CN40" s="110">
        <f>$B$13*IF($G$5="撼天",1.05,1)+IF(AND(VLOOKUP($E40,武器奇术!$A:$R,15,FALSE)="武器",VLOOKUP($E40,武器奇术!$A:$R,17,FALSE)="破竹"),$E$3*(1+$E$15),0)</f>
        <v>0</v>
      </c>
      <c r="CO40" s="102">
        <f t="shared" si="29"/>
        <v>0</v>
      </c>
      <c r="CP40" s="102">
        <f>MAX($C$13*IF($G$5="撼天",1.05,1)+IF(AND(VLOOKUP($E40,武器奇术!$A:$R,15,FALSE)="武器",VLOOKUP($E40,武器奇术!$A:$R,17,FALSE)="破竹"),$E$3*(1+$E$15),0),CN40)</f>
        <v>0</v>
      </c>
      <c r="CQ40" s="104">
        <f>IF(($D$13+IF(VLOOKUP($E40,武器奇术!$A:$R,17,FALSE)="破竹",$D$15,0)-VLOOKUP($F$7,目标属性!$A:$R,6,FALSE))&gt;0,($D$13+IF(VLOOKUP($E40,武器奇术!$A:$R,17,FALSE)="破竹",$D$15,0)-VLOOKUP($F$7,目标属性!$A:$R,6,FALSE))/200,($D$13+IF(VLOOKUP($E40,武器奇术!$A:$R,17,FALSE)="破竹",$D$15,0)-VLOOKUP($F$7,目标属性!$A:$R,6,FALSE))/100)</f>
        <v>-0.24</v>
      </c>
      <c r="CR40" s="111">
        <f t="shared" si="30"/>
        <v>0</v>
      </c>
      <c r="CS40" s="102">
        <v>1</v>
      </c>
      <c r="CT40" s="103">
        <f>CN40*IF(VLOOKUP($E40,武器奇术!$A:$R,17,FALSE)="破竹",VLOOKUP($E40,武器奇术!$A:$R,4,FALSE),VLOOKUP($E40,武器奇术!$A:$R,2,FALSE))*(1+CQ40)*(1+CR40)*CS40</f>
        <v>0</v>
      </c>
      <c r="CU40" s="104">
        <f>(1-IF(VLOOKUP($E40,武器奇术!$A:$R,18,FALSE)="叶龙",1,$N40))*(1-$M40)</f>
        <v>0</v>
      </c>
      <c r="CV40" s="103">
        <f>CO40*IF(VLOOKUP($E40,武器奇术!$A:$R,17,FALSE)="破竹",VLOOKUP($E40,武器奇术!$A:$R,4,FALSE),VLOOKUP($E40,武器奇术!$A:$R,2,FALSE))*(1+CQ40)*(1+CR40)*CS40*(1+$E$16+VLOOKUP($E40,武器奇术!$A:$R,8,FALSE))</f>
        <v>0</v>
      </c>
      <c r="CW40" s="104">
        <f t="shared" si="31"/>
        <v>0.8703</v>
      </c>
      <c r="CX40" s="103">
        <f>CP40*IF(VLOOKUP($E40,武器奇术!$A:$R,17,FALSE)="破竹",VLOOKUP($E40,武器奇术!$A:$R,4,FALSE),VLOOKUP($E40,武器奇术!$A:$R,2,FALSE))*(1+CQ40)*(1+CR40)*CS40*(1+$E$17+VLOOKUP($E40,武器奇术!$A:$R,10,FALSE))</f>
        <v>0</v>
      </c>
      <c r="CY40" s="104">
        <f t="shared" si="32"/>
        <v>0.0986</v>
      </c>
      <c r="CZ40" s="103">
        <f>CO40*IF(VLOOKUP($E40,武器奇术!$A:$R,17,FALSE)="破竹",VLOOKUP($E40,武器奇术!$A:$R,4,FALSE),VLOOKUP($E40,武器奇术!$A:$R,2,FALSE))*(1+CQ40)*(1+CR40)*CS40</f>
        <v>0</v>
      </c>
      <c r="DA40" s="104">
        <f t="shared" si="33"/>
        <v>0.0311</v>
      </c>
      <c r="DB40" s="112">
        <f t="shared" si="34"/>
        <v>0</v>
      </c>
      <c r="DC40" s="110">
        <f t="shared" si="35"/>
        <v>66</v>
      </c>
      <c r="DD40" s="102">
        <f t="shared" si="36"/>
        <v>125.8</v>
      </c>
      <c r="DE40" s="102">
        <f t="shared" si="37"/>
        <v>185.6</v>
      </c>
      <c r="DF40" s="104">
        <f>IF((IF(VLOOKUP($E40,武器奇术!$A:$R,17,FALSE)="鸣金",$D$7,0)+IF(VLOOKUP($E40,武器奇术!$A:$R,17,FALSE)="裂石",$D$9,0)+IF(VLOOKUP($E40,武器奇术!$A:$R,17,FALSE)="牵丝",$D$11,0)+IF(VLOOKUP($E40,武器奇术!$A:$R,17,FALSE)="破竹",$D$13,0)+$D$15-VLOOKUP($F$7,目标属性!$A:$R,6,FALSE))&gt;0,(IF(VLOOKUP($E40,武器奇术!$A:$R,17,FALSE)="鸣金",$D$7,0)+IF(VLOOKUP($E40,武器奇术!$A:$R,17,FALSE)="裂石",$D$9,0)+IF(VLOOKUP($E40,武器奇术!$A:$R,17,FALSE)="牵丝",$D$11,0)+IF(VLOOKUP($E40,武器奇术!$A:$R,17,FALSE)="破竹",$D$13,0)+$D$15-VLOOKUP($F$7,目标属性!$A:$R,6,FALSE))/200,(IF(VLOOKUP($E40,武器奇术!$A:$R,17,FALSE)="鸣金",$D$7,0)+IF(VLOOKUP($E40,武器奇术!$A:$R,17,FALSE)="裂石",$D$9,0)+IF(VLOOKUP($E40,武器奇术!$A:$R,17,FALSE)="牵丝",$D$11,0)+IF(VLOOKUP($E40,武器奇术!$A:$R,17,FALSE)="破竹",$D$13,0)+$D$15-VLOOKUP($F$7,目标属性!$A:$R,6,FALSE))/100)</f>
        <v>0.028</v>
      </c>
      <c r="DG40" s="111">
        <f>$E$11+IF($G$5="烟柳",IF(VLOOKUP($E40,武器奇术!$A:$T,20,FALSE)=1,0.1,0),0)</f>
        <v>0.248</v>
      </c>
      <c r="DH40" s="102">
        <v>1</v>
      </c>
      <c r="DI40" s="103">
        <f>DC40*IF(VLOOKUP($E40,武器奇术!$A:$R,17,FALSE)="牵丝",VLOOKUP($E40,武器奇术!$A:$R,4,FALSE),VLOOKUP($E40,武器奇术!$A:$R,2,FALSE))*(1+DF40)*(1+DG40)*DH40</f>
        <v>215.8517357568</v>
      </c>
      <c r="DJ40" s="104">
        <f>(1-IF(VLOOKUP($E40,武器奇术!$A:$R,18,FALSE)="叶龙",1,$N40))*(1-$M40)</f>
        <v>0</v>
      </c>
      <c r="DK40" s="124">
        <f>DD40*IF(VLOOKUP($E40,武器奇术!$A:$R,17,FALSE)="牵丝",VLOOKUP($E40,武器奇术!$A:$R,4,FALSE),VLOOKUP($E40,武器奇术!$A:$R,2,FALSE))*(1+DF40)*(1+DG40)*DH40*(1+$E$16+VLOOKUP($E40,武器奇术!$A:$R,8,FALSE))</f>
        <v>676.385150013481</v>
      </c>
      <c r="DL40" s="104">
        <f t="shared" si="38"/>
        <v>0.8703</v>
      </c>
      <c r="DM40" s="103">
        <f>DE40*IF(VLOOKUP($E40,武器奇术!$A:$R,17,FALSE)="牵丝",VLOOKUP($E40,武器奇术!$A:$R,4,FALSE),VLOOKUP($E40,武器奇术!$A:$R,2,FALSE))*(1+DF40)*(1+DG40)*DH40*(1+$E$17+VLOOKUP($E40,武器奇术!$A:$R,10,FALSE))</f>
        <v>819.451680473088</v>
      </c>
      <c r="DN40" s="104">
        <f t="shared" si="39"/>
        <v>0.0986</v>
      </c>
      <c r="DO40" s="124">
        <f>DD40*IF(VLOOKUP($E40,武器奇术!$A:$R,17,FALSE)="牵丝",VLOOKUP($E40,武器奇术!$A:$R,4,FALSE),VLOOKUP($E40,武器奇术!$A:$R,2,FALSE))*(1+DF40)*(1+DG40)*DH40</f>
        <v>411.42649027584</v>
      </c>
      <c r="DP40" s="104">
        <f t="shared" si="40"/>
        <v>0.0311</v>
      </c>
      <c r="DQ40" s="112">
        <f t="shared" si="41"/>
        <v>682.251295598958</v>
      </c>
    </row>
    <row r="41" spans="2:121">
      <c r="B41" s="132"/>
      <c r="C41" s="133"/>
      <c r="D41" s="134"/>
      <c r="E41" s="115" t="str">
        <f>期望!E41</f>
        <v>丢伞(小纵)</v>
      </c>
      <c r="F41" s="116">
        <f>期望!F41</f>
        <v>1</v>
      </c>
      <c r="G41" s="117"/>
      <c r="H41" s="103">
        <f>IF(VLOOKUP($E41,武器奇术!$A:$R,18,FALSE)="天工",AE41,(AE41+AT41+BI41+BX41+CM41+DB41+DQ41))*(1+J41)*F41*K41*(1+G41)</f>
        <v>8738.14836313299</v>
      </c>
      <c r="I41" s="104">
        <f t="shared" si="0"/>
        <v>0.00100707123071671</v>
      </c>
      <c r="J41" s="118">
        <f>$F$3+VLOOKUP($E41,武器奇术!$A:$R,12,FALSE)+VLOOKUP($E41,武器奇术!$A:$R,14,FALSE)*$G$3+$P41+IF($F$21="√",5%,0)</f>
        <v>0.553</v>
      </c>
      <c r="K41" s="105">
        <f>VLOOKUP($E41,武器奇术!$A:$R,11,FALSE)</f>
        <v>1</v>
      </c>
      <c r="L41" s="119">
        <f>IF(VLOOKUP($E41,武器奇术!$A:$R,15,FALSE)="天工",0%,IF($C$17+VLOOKUP($E41,武器奇术!$A:$R,7,FALSE)&gt;80%,80%,$C$17+VLOOKUP($E41,武器奇术!$A:$R,7,FALSE))+IF($C$19&gt;20%,20%,$C$19))</f>
        <v>0.8703</v>
      </c>
      <c r="M41" s="120">
        <f>IF(VLOOKUP($E41,武器奇术!$A:$R,15,FALSE)="天工",0%,IF($C$18+VLOOKUP($E41,武器奇术!$A:$R,9,FALSE)&gt;40%,40%,$C$18+VLOOKUP($E41,武器奇术!$A:$R,9,FALSE))+IF($C$20&gt;10%,10%,$C$20))</f>
        <v>0.0986</v>
      </c>
      <c r="N41" s="121">
        <f>IF(VLOOKUP($E41,武器奇术!$A:$R,15,FALSE)="天工",100%,MIN($C$16,1))</f>
        <v>1</v>
      </c>
      <c r="O41" s="122" t="str">
        <f>VLOOKUP($E41,武器奇术!$A:$R,16,FALSE)</f>
        <v>伞</v>
      </c>
      <c r="P41" s="123">
        <f t="shared" si="1"/>
        <v>0.17</v>
      </c>
      <c r="Q41" s="110">
        <f>$B$5*(1+VLOOKUP($E41,武器奇术!$A:$R,5,FALSE))*(1+VLOOKUP($E41,武器奇术!$A:$S,19,FALSE)+IF($G$5="飞隼",0.1,0)+IF($G$5="撼天",0.05,0))-$F$9+IF($J$5="√",160,0)</f>
        <v>3081.85</v>
      </c>
      <c r="R41" s="102">
        <f>IF(VLOOKUP($E41,武器奇术!$A:$Z,18,FALSE)="叶龙",(S41-(Q41+S41)*0.5)*($G$15-0.5)*2+(Q41+S41)*0.5,(Q41+S41)*0.5)</f>
        <v>3161.85</v>
      </c>
      <c r="S41" s="102">
        <f>MAX($C$5,$B$5)*(1+VLOOKUP($E41,武器奇术!$A:$R,6,FALSE))*(1+VLOOKUP($E41,武器奇术!$A:$S,19,FALSE)+IF($G$5="飞隼",0.1,0)+IF($G$5="撼天",0.05,0))-$F$9+IF($J$5="√",320,0)</f>
        <v>3241.85</v>
      </c>
      <c r="T41" s="104">
        <f>IF(($D$5+VLOOKUP($E41,武器奇术!$A:$R,13,FALSE)+IF($I$3="√",10,0)-VLOOKUP($F$7,目标属性!$A:$R,5,FALSE))&gt;0,($D$5+VLOOKUP($E41,武器奇术!$A:$R,13,FALSE)+IF($I$3="√",10,0)-VLOOKUP($F$7,目标属性!$A:$R,5,FALSE))/200,($D$5+VLOOKUP($E41,武器奇术!$A:$R,13,FALSE)+IF($I$3="√",10,0)-VLOOKUP($F$7,目标属性!$A:$R,5,FALSE))/100)</f>
        <v>0.2675</v>
      </c>
      <c r="U41" s="111">
        <f>$E$5+IF($G$5="烟柳",IF(VLOOKUP($E41,武器奇术!$A:$T,20,FALSE)=1,0.1,0),0)</f>
        <v>0</v>
      </c>
      <c r="V41" s="102">
        <v>1</v>
      </c>
      <c r="W41" s="103">
        <f>Q41*VLOOKUP($E41,武器奇术!$A:$R,2,FALSE)*(1+T41)*(1+U41)*V41</f>
        <v>2105.465987625</v>
      </c>
      <c r="X41" s="104">
        <f>(1-IF(VLOOKUP($E41,武器奇术!$A:$R,18,FALSE)="叶龙",1,$N41))*(1-$M41)</f>
        <v>0</v>
      </c>
      <c r="Y41" s="103">
        <f>R41*VLOOKUP($E41,武器奇术!$A:$R,2,FALSE)*(1+T41)*(1+U41)*V41*(1+$E$16+VLOOKUP($E41,武器奇术!$A:$R,8,FALSE))</f>
        <v>3551.2382460555</v>
      </c>
      <c r="Z41" s="104">
        <f t="shared" si="2"/>
        <v>0.8703</v>
      </c>
      <c r="AA41" s="103">
        <f>S41*VLOOKUP($E41,武器奇术!$A:$R,2,FALSE)*(1+T41)*(1+U41)*V41*(1+$E$17+VLOOKUP($E41,武器奇术!$A:$R,10,FALSE))</f>
        <v>2989.94650329375</v>
      </c>
      <c r="AB41" s="104">
        <f t="shared" si="3"/>
        <v>0.0986</v>
      </c>
      <c r="AC41" s="103">
        <f>R41*VLOOKUP($E41,武器奇术!$A:$R,2,FALSE)*(1+T41)*(1+U41)*V41</f>
        <v>2160.120587625</v>
      </c>
      <c r="AD41" s="104">
        <f t="shared" si="4"/>
        <v>0.0311</v>
      </c>
      <c r="AE41" s="112">
        <f t="shared" si="5"/>
        <v>3452.631121042</v>
      </c>
      <c r="AF41" s="113">
        <f>VLOOKUP($E41,武器奇术!$A:$R,3,FALSE)*(1+IF(VLOOKUP($E41,武器奇术!$A:$R,15,FALSE)="武器",$E$15,0))</f>
        <v>161.8617</v>
      </c>
      <c r="AG41" s="103">
        <f t="shared" si="6"/>
        <v>161.8617</v>
      </c>
      <c r="AH41" s="103">
        <f>VLOOKUP($E41,武器奇术!$A:$R,3,FALSE)*(1+IF(VLOOKUP($E41,武器奇术!$A:$R,15,FALSE)="武器",$E$15,0))</f>
        <v>161.8617</v>
      </c>
      <c r="AI41" s="104">
        <f>IF(($D$5+VLOOKUP($E41,武器奇术!$A:$R,13,FALSE)+IF($I$3="√",10,0)-VLOOKUP($F$7,目标属性!$A:$R,5,FALSE))&gt;0,($D$5+VLOOKUP($E41,武器奇术!$A:$R,13,FALSE)+IF($I$3="√",10,0)-VLOOKUP($F$7,目标属性!$A:$R,5,FALSE))/200,($D$5+VLOOKUP($E41,武器奇术!$A:$R,13,FALSE)+IF($I$3="√",10,0)-VLOOKUP($F$7,目标属性!$A:$R,5,FALSE))/100)</f>
        <v>0.2675</v>
      </c>
      <c r="AJ41" s="111">
        <f>$E$5+IF($G$5="烟柳",IF(VLOOKUP($E41,武器奇术!$A:$T,20,FALSE)=1,0.1,0),0)</f>
        <v>0</v>
      </c>
      <c r="AK41" s="102">
        <v>1</v>
      </c>
      <c r="AL41" s="103">
        <f t="shared" si="7"/>
        <v>205.15970475</v>
      </c>
      <c r="AM41" s="104">
        <f>(1-IF(VLOOKUP($E41,武器奇术!$A:$R,18,FALSE)="叶龙",1,$N41))*(1-$M41)</f>
        <v>0</v>
      </c>
      <c r="AN41" s="103">
        <f>AG41*(1+AI41)*(1+AJ41)*AK41*(1+$E$16+VLOOKUP($E41,武器奇术!$A:$R,8,FALSE))</f>
        <v>337.282554609</v>
      </c>
      <c r="AO41" s="104">
        <f t="shared" si="8"/>
        <v>0.8703</v>
      </c>
      <c r="AP41" s="103">
        <f>AH41*(1+AI41)*(1+AJ41)*AK41*(1+$E$17+VLOOKUP($E41,武器奇术!$A:$R,10,FALSE))</f>
        <v>276.9656014125</v>
      </c>
      <c r="AQ41" s="104">
        <f t="shared" si="9"/>
        <v>0.0986</v>
      </c>
      <c r="AR41" s="103">
        <f t="shared" si="10"/>
        <v>205.15970475</v>
      </c>
      <c r="AS41" s="104">
        <f t="shared" si="11"/>
        <v>0.0311</v>
      </c>
      <c r="AT41" s="112">
        <f t="shared" si="12"/>
        <v>327.22628239321</v>
      </c>
      <c r="AU41" s="110">
        <f>$B$7*IF($G$5="撼天",1.05,1)+IF(AND(VLOOKUP($E41,武器奇术!$A:$R,15,FALSE)="武器",VLOOKUP($E41,武器奇术!$A:$R,17,FALSE)="鸣金"),$E$3*(1+$E$15),0)</f>
        <v>0</v>
      </c>
      <c r="AV41" s="102">
        <f t="shared" si="13"/>
        <v>0</v>
      </c>
      <c r="AW41" s="102">
        <f>MAX($C$7*IF($G$5="撼天",1.05,1)+IF(AND(VLOOKUP($E41,武器奇术!$A:$R,15,FALSE)="武器",VLOOKUP($E41,武器奇术!$A:$R,17,FALSE)="鸣金"),$E$3*(1+$E$15),0),AU41)</f>
        <v>0</v>
      </c>
      <c r="AX41" s="104">
        <f>IF(($D$7+IF(VLOOKUP($E41,武器奇术!$A:$R,17,FALSE)="鸣金",$D$15,0)-VLOOKUP($F$7,目标属性!$A:$R,6,FALSE))&gt;0,($D$7+IF(VLOOKUP($E41,武器奇术!$A:$R,17,FALSE)="鸣金",$D$15,0)-VLOOKUP($F$7,目标属性!$A:$R,6,FALSE))/200,($D$7+IF(VLOOKUP($E41,武器奇术!$A:$R,17,FALSE)="鸣金",$D$15,0)-VLOOKUP($F$7,目标属性!$A:$R,6,FALSE))/100)</f>
        <v>-0.24</v>
      </c>
      <c r="AY41" s="111">
        <f t="shared" si="14"/>
        <v>0</v>
      </c>
      <c r="AZ41" s="102">
        <v>1</v>
      </c>
      <c r="BA41" s="103">
        <f>AU41*IF(VLOOKUP($E41,武器奇术!$A:$R,17,FALSE)="鸣金",VLOOKUP($E41,武器奇术!$A:$R,4,FALSE),VLOOKUP($E41,武器奇术!$A:$R,2,FALSE))*(1+AX41)*(1+AY41)*AZ41</f>
        <v>0</v>
      </c>
      <c r="BB41" s="104">
        <f>(1-IF(VLOOKUP($E41,武器奇术!$A:$R,18,FALSE)="叶龙",1,$N41))*(1-$M41)</f>
        <v>0</v>
      </c>
      <c r="BC41" s="103">
        <f>AV41*IF(VLOOKUP($E41,武器奇术!$A:$R,17,FALSE)="鸣金",VLOOKUP($E41,武器奇术!$A:$R,4,FALSE),VLOOKUP($E41,武器奇术!$A:$R,2,FALSE))*(1+AX41)*(1+AY41)*AZ41*(1+$E$16+VLOOKUP($E41,武器奇术!$A:$R,8,FALSE))</f>
        <v>0</v>
      </c>
      <c r="BD41" s="104">
        <f t="shared" si="15"/>
        <v>0.8703</v>
      </c>
      <c r="BE41" s="103">
        <f>AW41*IF(VLOOKUP($E41,武器奇术!$A:$R,17,FALSE)="鸣金",VLOOKUP($E41,武器奇术!$A:$R,4,FALSE),VLOOKUP($E41,武器奇术!$A:$R,2,FALSE))*(1+AX41)*(1+AY41)*AZ41*(1+$E$17+VLOOKUP($E41,武器奇术!$A:$R,10,FALSE))</f>
        <v>0</v>
      </c>
      <c r="BF41" s="104">
        <f t="shared" si="16"/>
        <v>0.0986</v>
      </c>
      <c r="BG41" s="103">
        <f>AV41*IF(VLOOKUP($E41,武器奇术!$A:$R,17,FALSE)="鸣金",VLOOKUP($E41,武器奇术!$A:$R,4,FALSE),VLOOKUP($E41,武器奇术!$A:$R,2,FALSE))*(1+AX41)*(1+AY41)*AZ41</f>
        <v>0</v>
      </c>
      <c r="BH41" s="104">
        <f t="shared" si="17"/>
        <v>0.0311</v>
      </c>
      <c r="BI41" s="112">
        <f t="shared" si="18"/>
        <v>0</v>
      </c>
      <c r="BJ41" s="110">
        <f>$B$9*IF($G$5="撼天",1.05,1)+IF(AND(VLOOKUP($E41,武器奇术!$A:$R,15,FALSE)="武器",VLOOKUP($E41,武器奇术!$A:$R,17,FALSE)="裂石"),$E$3*(1+$E$15),0)</f>
        <v>0</v>
      </c>
      <c r="BK41" s="102">
        <f t="shared" si="19"/>
        <v>0</v>
      </c>
      <c r="BL41" s="102">
        <f>MAX($C$9*IF($G$5="撼天",1.05,1)+IF(AND(VLOOKUP($E41,武器奇术!$A:$R,15,FALSE)="武器",VLOOKUP($E41,武器奇术!$A:$R,17,FALSE)="裂石"),$E$3*(1+$E$15),0),BJ41)</f>
        <v>0</v>
      </c>
      <c r="BM41" s="104">
        <f>IF(($D$9+IF(VLOOKUP($E41,武器奇术!$A:$R,17,FALSE)="裂石",$D$15,0)-VLOOKUP($F$7,目标属性!$A:$R,6,FALSE))&gt;0,($D$9+IF(VLOOKUP($E41,武器奇术!$A:$R,17,FALSE)="裂石",$D$15,0)-VLOOKUP($F$7,目标属性!$A:$R,6,FALSE))/200,($D$9+IF(VLOOKUP($E41,武器奇术!$A:$R,17,FALSE)="裂石",$D$15,0)-VLOOKUP($F$7,目标属性!$A:$R,6,FALSE))/100)</f>
        <v>-0.24</v>
      </c>
      <c r="BN41" s="111">
        <f t="shared" si="20"/>
        <v>0</v>
      </c>
      <c r="BO41" s="102">
        <v>1</v>
      </c>
      <c r="BP41" s="103">
        <f>BJ41*IF(VLOOKUP($E41,武器奇术!$A:$R,17,FALSE)="裂石",VLOOKUP($E41,武器奇术!$A:$R,4,FALSE),VLOOKUP($E41,武器奇术!$A:$R,2,FALSE))*(1+BM41)*(1+BN41)*BO41</f>
        <v>0</v>
      </c>
      <c r="BQ41" s="104">
        <f>(1-IF(VLOOKUP($E41,武器奇术!$A:$R,18,FALSE)="叶龙",1,$N41))*(1-$M41)</f>
        <v>0</v>
      </c>
      <c r="BR41" s="103">
        <f>BK41*IF(VLOOKUP($E41,武器奇术!$A:$R,17,FALSE)="裂石",VLOOKUP($E41,武器奇术!$A:$R,4,FALSE),VLOOKUP($E41,武器奇术!$A:$R,2,FALSE))*(1+BM41)*(1+BN41)*BO41*(1+$E$16+VLOOKUP($E41,武器奇术!$A:$R,8,FALSE))</f>
        <v>0</v>
      </c>
      <c r="BS41" s="104">
        <f t="shared" si="21"/>
        <v>0.8703</v>
      </c>
      <c r="BT41" s="103">
        <f>BL41*IF(VLOOKUP($E41,武器奇术!$A:$R,17,FALSE)="裂石",VLOOKUP($E41,武器奇术!$A:$R,4,FALSE),VLOOKUP($E41,武器奇术!$A:$R,2,FALSE))*(1+BM41)*(1+BN41)*BO41*(1+$E$17+VLOOKUP($E41,武器奇术!$A:$R,10,FALSE))</f>
        <v>0</v>
      </c>
      <c r="BU41" s="104">
        <f t="shared" si="22"/>
        <v>0.0986</v>
      </c>
      <c r="BV41" s="103">
        <f>BK41*IF(VLOOKUP($E41,武器奇术!$A:$R,17,FALSE)="裂石",VLOOKUP($E41,武器奇术!$A:$R,4,FALSE),VLOOKUP($E41,武器奇术!$A:$R,2,FALSE))*(1+BM41)*(1+BN41)*BO41</f>
        <v>0</v>
      </c>
      <c r="BW41" s="104">
        <f t="shared" si="23"/>
        <v>0.0311</v>
      </c>
      <c r="BX41" s="112">
        <f t="shared" si="24"/>
        <v>0</v>
      </c>
      <c r="BY41" s="110">
        <f>$B$11*IF($G$5="撼天",1.05,1)+IF(AND(VLOOKUP($E41,武器奇术!$A:$R,15,FALSE)="武器",VLOOKUP($E41,武器奇术!$A:$R,17,FALSE)="牵丝"),$E$3*(1+$E$15),0)</f>
        <v>686.71</v>
      </c>
      <c r="BZ41" s="102">
        <f>IF(VLOOKUP($E41,武器奇术!$A:$Z,18,FALSE)="叶龙",(CA41-(BY41+CA41)*0.5)*($G$15-0.5)*2+(BY41+CA41)*0.5,(BY41+CA41)*0.5)</f>
        <v>1052.21</v>
      </c>
      <c r="CA41" s="102">
        <f>MAX($C$11*IF($G$5="撼天",1.05,1)+IF(AND(VLOOKUP($E41,武器奇术!$A:$R,15,FALSE)="武器",VLOOKUP($E41,武器奇术!$A:$R,17,FALSE)="牵丝"),$E$3*(1+$E$15),0),BY41)</f>
        <v>1417.71</v>
      </c>
      <c r="CB41" s="104">
        <f>IF(($D$11+IF(VLOOKUP($E41,武器奇术!$A:$R,17,FALSE)="牵丝",$D$15,0)-VLOOKUP($F$7,目标属性!$A:$R,6,FALSE))&gt;0,($D$11+IF(VLOOKUP($E41,武器奇术!$A:$R,17,FALSE)="牵丝",$D$15,0)-VLOOKUP($F$7,目标属性!$A:$R,6,FALSE))/200,($D$11+IF(VLOOKUP($E41,武器奇术!$A:$R,17,FALSE)="牵丝",$D$15,0)-VLOOKUP($F$7,目标属性!$A:$R,6,FALSE))/100)</f>
        <v>0.028</v>
      </c>
      <c r="CC41" s="111">
        <f>$E$11+IF($G$5="烟柳",IF(VLOOKUP($E41,武器奇术!$A:$T,20,FALSE)=1,0.1,0),0)</f>
        <v>0.148</v>
      </c>
      <c r="CD41" s="102">
        <v>1</v>
      </c>
      <c r="CE41" s="103">
        <f>BY41*IF(VLOOKUP($E41,武器奇术!$A:$R,17,FALSE)="牵丝",VLOOKUP($E41,武器奇术!$A:$R,4,FALSE),VLOOKUP($E41,武器奇术!$A:$R,2,FALSE))*(1+CB41)*(1+CC41)*CD41</f>
        <v>655.22189082504</v>
      </c>
      <c r="CF41" s="104">
        <f>(1-IF(VLOOKUP($E41,武器奇术!$A:$R,18,FALSE)="叶龙",1,$N41))*(1-$M41)</f>
        <v>0</v>
      </c>
      <c r="CG41" s="124">
        <f>BZ41*IF(VLOOKUP($E41,武器奇术!$A:$R,17,FALSE)="牵丝",VLOOKUP($E41,武器奇术!$A:$R,4,FALSE),VLOOKUP($E41,武器奇术!$A:$R,2,FALSE))*(1+CB41)*(1+CC41)*CD41*(1+$E$16+VLOOKUP($E41,武器奇术!$A:$R,8,FALSE))</f>
        <v>1650.51420006233</v>
      </c>
      <c r="CH41" s="104">
        <f t="shared" si="25"/>
        <v>0.8703</v>
      </c>
      <c r="CI41" s="103">
        <f>CA41*IF(VLOOKUP($E41,武器奇术!$A:$R,17,FALSE)="牵丝",VLOOKUP($E41,武器奇术!$A:$R,4,FALSE),VLOOKUP($E41,武器奇术!$A:$R,2,FALSE))*(1+CB41)*(1+CC41)*CD41*(1+$E$17+VLOOKUP($E41,武器奇术!$A:$R,10,FALSE))</f>
        <v>1826.1489511382</v>
      </c>
      <c r="CJ41" s="104">
        <f t="shared" si="26"/>
        <v>0.0986</v>
      </c>
      <c r="CK41" s="124">
        <f>BZ41*IF(VLOOKUP($E41,武器奇术!$A:$R,17,FALSE)="牵丝",VLOOKUP($E41,武器奇术!$A:$R,4,FALSE),VLOOKUP($E41,武器奇术!$A:$R,2,FALSE))*(1+CB41)*(1+CC41)*CD41</f>
        <v>1003.96240879704</v>
      </c>
      <c r="CL41" s="104">
        <f t="shared" si="27"/>
        <v>0.0311</v>
      </c>
      <c r="CM41" s="112">
        <f t="shared" si="28"/>
        <v>1647.72402581006</v>
      </c>
      <c r="CN41" s="110">
        <f>$B$13*IF($G$5="撼天",1.05,1)+IF(AND(VLOOKUP($E41,武器奇术!$A:$R,15,FALSE)="武器",VLOOKUP($E41,武器奇术!$A:$R,17,FALSE)="破竹"),$E$3*(1+$E$15),0)</f>
        <v>0</v>
      </c>
      <c r="CO41" s="102">
        <f t="shared" si="29"/>
        <v>0</v>
      </c>
      <c r="CP41" s="102">
        <f>MAX($C$13*IF($G$5="撼天",1.05,1)+IF(AND(VLOOKUP($E41,武器奇术!$A:$R,15,FALSE)="武器",VLOOKUP($E41,武器奇术!$A:$R,17,FALSE)="破竹"),$E$3*(1+$E$15),0),CN41)</f>
        <v>0</v>
      </c>
      <c r="CQ41" s="104">
        <f>IF(($D$13+IF(VLOOKUP($E41,武器奇术!$A:$R,17,FALSE)="破竹",$D$15,0)-VLOOKUP($F$7,目标属性!$A:$R,6,FALSE))&gt;0,($D$13+IF(VLOOKUP($E41,武器奇术!$A:$R,17,FALSE)="破竹",$D$15,0)-VLOOKUP($F$7,目标属性!$A:$R,6,FALSE))/200,($D$13+IF(VLOOKUP($E41,武器奇术!$A:$R,17,FALSE)="破竹",$D$15,0)-VLOOKUP($F$7,目标属性!$A:$R,6,FALSE))/100)</f>
        <v>-0.24</v>
      </c>
      <c r="CR41" s="111">
        <f t="shared" si="30"/>
        <v>0</v>
      </c>
      <c r="CS41" s="102">
        <v>1</v>
      </c>
      <c r="CT41" s="103">
        <f>CN41*IF(VLOOKUP($E41,武器奇术!$A:$R,17,FALSE)="破竹",VLOOKUP($E41,武器奇术!$A:$R,4,FALSE),VLOOKUP($E41,武器奇术!$A:$R,2,FALSE))*(1+CQ41)*(1+CR41)*CS41</f>
        <v>0</v>
      </c>
      <c r="CU41" s="104">
        <f>(1-IF(VLOOKUP($E41,武器奇术!$A:$R,18,FALSE)="叶龙",1,$N41))*(1-$M41)</f>
        <v>0</v>
      </c>
      <c r="CV41" s="103">
        <f>CO41*IF(VLOOKUP($E41,武器奇术!$A:$R,17,FALSE)="破竹",VLOOKUP($E41,武器奇术!$A:$R,4,FALSE),VLOOKUP($E41,武器奇术!$A:$R,2,FALSE))*(1+CQ41)*(1+CR41)*CS41*(1+$E$16+VLOOKUP($E41,武器奇术!$A:$R,8,FALSE))</f>
        <v>0</v>
      </c>
      <c r="CW41" s="104">
        <f t="shared" si="31"/>
        <v>0.8703</v>
      </c>
      <c r="CX41" s="103">
        <f>CP41*IF(VLOOKUP($E41,武器奇术!$A:$R,17,FALSE)="破竹",VLOOKUP($E41,武器奇术!$A:$R,4,FALSE),VLOOKUP($E41,武器奇术!$A:$R,2,FALSE))*(1+CQ41)*(1+CR41)*CS41*(1+$E$17+VLOOKUP($E41,武器奇术!$A:$R,10,FALSE))</f>
        <v>0</v>
      </c>
      <c r="CY41" s="104">
        <f t="shared" si="32"/>
        <v>0.0986</v>
      </c>
      <c r="CZ41" s="103">
        <f>CO41*IF(VLOOKUP($E41,武器奇术!$A:$R,17,FALSE)="破竹",VLOOKUP($E41,武器奇术!$A:$R,4,FALSE),VLOOKUP($E41,武器奇术!$A:$R,2,FALSE))*(1+CQ41)*(1+CR41)*CS41</f>
        <v>0</v>
      </c>
      <c r="DA41" s="104">
        <f t="shared" si="33"/>
        <v>0.0311</v>
      </c>
      <c r="DB41" s="112">
        <f t="shared" si="34"/>
        <v>0</v>
      </c>
      <c r="DC41" s="110">
        <f t="shared" si="35"/>
        <v>66</v>
      </c>
      <c r="DD41" s="102">
        <f t="shared" si="36"/>
        <v>125.8</v>
      </c>
      <c r="DE41" s="102">
        <f t="shared" si="37"/>
        <v>185.6</v>
      </c>
      <c r="DF41" s="104">
        <f>IF((IF(VLOOKUP($E41,武器奇术!$A:$R,17,FALSE)="鸣金",$D$7,0)+IF(VLOOKUP($E41,武器奇术!$A:$R,17,FALSE)="裂石",$D$9,0)+IF(VLOOKUP($E41,武器奇术!$A:$R,17,FALSE)="牵丝",$D$11,0)+IF(VLOOKUP($E41,武器奇术!$A:$R,17,FALSE)="破竹",$D$13,0)+$D$15-VLOOKUP($F$7,目标属性!$A:$R,6,FALSE))&gt;0,(IF(VLOOKUP($E41,武器奇术!$A:$R,17,FALSE)="鸣金",$D$7,0)+IF(VLOOKUP($E41,武器奇术!$A:$R,17,FALSE)="裂石",$D$9,0)+IF(VLOOKUP($E41,武器奇术!$A:$R,17,FALSE)="牵丝",$D$11,0)+IF(VLOOKUP($E41,武器奇术!$A:$R,17,FALSE)="破竹",$D$13,0)+$D$15-VLOOKUP($F$7,目标属性!$A:$R,6,FALSE))/200,(IF(VLOOKUP($E41,武器奇术!$A:$R,17,FALSE)="鸣金",$D$7,0)+IF(VLOOKUP($E41,武器奇术!$A:$R,17,FALSE)="裂石",$D$9,0)+IF(VLOOKUP($E41,武器奇术!$A:$R,17,FALSE)="牵丝",$D$11,0)+IF(VLOOKUP($E41,武器奇术!$A:$R,17,FALSE)="破竹",$D$13,0)+$D$15-VLOOKUP($F$7,目标属性!$A:$R,6,FALSE))/100)</f>
        <v>0.028</v>
      </c>
      <c r="DG41" s="111">
        <f>$E$11+IF($G$5="烟柳",IF(VLOOKUP($E41,武器奇术!$A:$T,20,FALSE)=1,0.1,0),0)</f>
        <v>0.148</v>
      </c>
      <c r="DH41" s="102">
        <v>1</v>
      </c>
      <c r="DI41" s="103">
        <f>DC41*IF(VLOOKUP($E41,武器奇术!$A:$R,17,FALSE)="牵丝",VLOOKUP($E41,武器奇术!$A:$R,4,FALSE),VLOOKUP($E41,武器奇术!$A:$R,2,FALSE))*(1+DF41)*(1+DG41)*DH41</f>
        <v>62.973663984</v>
      </c>
      <c r="DJ41" s="104">
        <f>(1-IF(VLOOKUP($E41,武器奇术!$A:$R,18,FALSE)="叶龙",1,$N41))*(1-$M41)</f>
        <v>0</v>
      </c>
      <c r="DK41" s="124">
        <f>DD41*IF(VLOOKUP($E41,武器奇术!$A:$R,17,FALSE)="牵丝",VLOOKUP($E41,武器奇术!$A:$R,4,FALSE),VLOOKUP($E41,武器奇术!$A:$R,2,FALSE))*(1+DF41)*(1+DG41)*DH41*(1+$E$16+VLOOKUP($E41,武器奇术!$A:$R,8,FALSE))</f>
        <v>197.331983508845</v>
      </c>
      <c r="DL41" s="104">
        <f t="shared" si="38"/>
        <v>0.8703</v>
      </c>
      <c r="DM41" s="103">
        <f>DE41*IF(VLOOKUP($E41,武器奇术!$A:$R,17,FALSE)="牵丝",VLOOKUP($E41,武器奇术!$A:$R,4,FALSE),VLOOKUP($E41,武器奇术!$A:$R,2,FALSE))*(1+DF41)*(1+DG41)*DH41*(1+$E$17+VLOOKUP($E41,武器奇术!$A:$R,10,FALSE))</f>
        <v>239.07092799744</v>
      </c>
      <c r="DN41" s="104">
        <f t="shared" si="39"/>
        <v>0.0986</v>
      </c>
      <c r="DO41" s="124">
        <f>DD41*IF(VLOOKUP($E41,武器奇术!$A:$R,17,FALSE)="牵丝",VLOOKUP($E41,武器奇术!$A:$R,4,FALSE),VLOOKUP($E41,武器奇术!$A:$R,2,FALSE))*(1+DF41)*(1+DG41)*DH41</f>
        <v>120.0316201392</v>
      </c>
      <c r="DP41" s="104">
        <f t="shared" si="40"/>
        <v>0.0311</v>
      </c>
      <c r="DQ41" s="112">
        <f t="shared" si="41"/>
        <v>199.043402134624</v>
      </c>
    </row>
    <row r="42" spans="2:121">
      <c r="B42" s="132"/>
      <c r="C42" s="133"/>
      <c r="D42" s="134"/>
      <c r="E42" s="115" t="str">
        <f>期望!E42</f>
        <v>扇左蓄(风墙3惊春小纵)</v>
      </c>
      <c r="F42" s="116">
        <f>期望!F42</f>
        <v>1</v>
      </c>
      <c r="G42" s="117"/>
      <c r="H42" s="103">
        <f>IF(VLOOKUP($E42,武器奇术!$A:$R,18,FALSE)="天工",AE42,(AE42+AT42+BI42+BX42+CM42+DB42+DQ42))*(1+J42)*F42*K42*(1+G42)</f>
        <v>75681.3225241113</v>
      </c>
      <c r="I42" s="104">
        <f t="shared" si="0"/>
        <v>0.00872226923248278</v>
      </c>
      <c r="J42" s="118">
        <f>$F$3+VLOOKUP($E42,武器奇术!$A:$R,12,FALSE)+VLOOKUP($E42,武器奇术!$A:$R,14,FALSE)*$G$3+$P42+IF($F$21="√",5%,0)</f>
        <v>0.957</v>
      </c>
      <c r="K42" s="105">
        <f>VLOOKUP($E42,武器奇术!$A:$R,11,FALSE)</f>
        <v>1</v>
      </c>
      <c r="L42" s="119">
        <f>IF(VLOOKUP($E42,武器奇术!$A:$R,15,FALSE)="天工",0%,IF($C$17+VLOOKUP($E42,武器奇术!$A:$R,7,FALSE)&gt;80%,80%,$C$17+VLOOKUP($E42,武器奇术!$A:$R,7,FALSE))+IF($C$19&gt;20%,20%,$C$19))</f>
        <v>0.8703</v>
      </c>
      <c r="M42" s="120">
        <f>IF(VLOOKUP($E42,武器奇术!$A:$R,15,FALSE)="天工",0%,IF($C$18+VLOOKUP($E42,武器奇术!$A:$R,9,FALSE)&gt;40%,40%,$C$18+VLOOKUP($E42,武器奇术!$A:$R,9,FALSE))+IF($C$20&gt;10%,10%,$C$20))</f>
        <v>0.0986</v>
      </c>
      <c r="N42" s="121">
        <f>IF(VLOOKUP($E42,武器奇术!$A:$R,15,FALSE)="天工",100%,MIN($C$16,1))</f>
        <v>1</v>
      </c>
      <c r="O42" s="122" t="str">
        <f>VLOOKUP($E42,武器奇术!$A:$R,16,FALSE)</f>
        <v>扇</v>
      </c>
      <c r="P42" s="123">
        <f t="shared" si="1"/>
        <v>0.084</v>
      </c>
      <c r="Q42" s="110">
        <f>$B$5*(1+VLOOKUP($E42,武器奇术!$A:$R,5,FALSE))*(1+VLOOKUP($E42,武器奇术!$A:$S,19,FALSE)+IF($G$5="飞隼",0.1,0)+IF($G$5="撼天",0.05,0))-$F$9+IF($J$5="√",160,0)</f>
        <v>3081.85</v>
      </c>
      <c r="R42" s="102">
        <f>IF(VLOOKUP($E42,武器奇术!$A:$Z,18,FALSE)="叶龙",(S42-(Q42+S42)*0.5)*($G$15-0.5)*2+(Q42+S42)*0.5,(Q42+S42)*0.5)</f>
        <v>3161.85</v>
      </c>
      <c r="S42" s="102">
        <f>MAX($C$5,$B$5)*(1+VLOOKUP($E42,武器奇术!$A:$R,6,FALSE))*(1+VLOOKUP($E42,武器奇术!$A:$S,19,FALSE)+IF($G$5="飞隼",0.1,0)+IF($G$5="撼天",0.05,0))-$F$9+IF($J$5="√",320,0)</f>
        <v>3241.85</v>
      </c>
      <c r="T42" s="104">
        <f>IF(($D$5+VLOOKUP($E42,武器奇术!$A:$R,13,FALSE)+IF($I$3="√",10,0)-VLOOKUP($F$7,目标属性!$A:$R,5,FALSE))&gt;0,($D$5+VLOOKUP($E42,武器奇术!$A:$R,13,FALSE)+IF($I$3="√",10,0)-VLOOKUP($F$7,目标属性!$A:$R,5,FALSE))/200,($D$5+VLOOKUP($E42,武器奇术!$A:$R,13,FALSE)+IF($I$3="√",10,0)-VLOOKUP($F$7,目标属性!$A:$R,5,FALSE))/100)</f>
        <v>0.2925</v>
      </c>
      <c r="U42" s="111">
        <f>$E$5+IF($G$5="烟柳",IF(VLOOKUP($E42,武器奇术!$A:$T,20,FALSE)=1,0.1,0),0)</f>
        <v>0.1</v>
      </c>
      <c r="V42" s="102">
        <v>1</v>
      </c>
      <c r="W42" s="103">
        <f>Q42*VLOOKUP($E42,武器奇术!$A:$R,2,FALSE)*(1+T42)*(1+U42)*V42</f>
        <v>12099.3184914278</v>
      </c>
      <c r="X42" s="104">
        <f>(1-IF(VLOOKUP($E42,武器奇术!$A:$R,18,FALSE)="叶龙",1,$N42))*(1-$M42)</f>
        <v>0</v>
      </c>
      <c r="Y42" s="103">
        <f>R42*VLOOKUP($E42,武器奇术!$A:$R,2,FALSE)*(1+T42)*(1+U42)*V42*(1+$E$16+VLOOKUP($E42,武器奇术!$A:$R,8,FALSE))</f>
        <v>24876.449296666</v>
      </c>
      <c r="Z42" s="104">
        <f t="shared" si="2"/>
        <v>0.8703</v>
      </c>
      <c r="AA42" s="103">
        <f>S42*VLOOKUP($E42,武器奇术!$A:$R,2,FALSE)*(1+T42)*(1+U42)*V42*(1+$E$17+VLOOKUP($E42,武器奇术!$A:$R,10,FALSE))</f>
        <v>17182.0942386675</v>
      </c>
      <c r="AB42" s="104">
        <f t="shared" si="3"/>
        <v>0.0986</v>
      </c>
      <c r="AC42" s="103">
        <f>R42*VLOOKUP($E42,武器奇术!$A:$R,2,FALSE)*(1+T42)*(1+U42)*V42</f>
        <v>12413.3978526277</v>
      </c>
      <c r="AD42" s="104">
        <f t="shared" si="4"/>
        <v>0.0311</v>
      </c>
      <c r="AE42" s="112">
        <f t="shared" si="5"/>
        <v>23730.1849880378</v>
      </c>
      <c r="AF42" s="113">
        <f>VLOOKUP($E42,武器奇术!$A:$R,3,FALSE)*(1+IF(VLOOKUP($E42,武器奇术!$A:$R,15,FALSE)="武器",$E$15,0))</f>
        <v>993.395</v>
      </c>
      <c r="AG42" s="103">
        <f t="shared" si="6"/>
        <v>993.395</v>
      </c>
      <c r="AH42" s="103">
        <f>VLOOKUP($E42,武器奇术!$A:$R,3,FALSE)*(1+IF(VLOOKUP($E42,武器奇术!$A:$R,15,FALSE)="武器",$E$15,0))</f>
        <v>993.395</v>
      </c>
      <c r="AI42" s="104">
        <f>IF(($D$5+VLOOKUP($E42,武器奇术!$A:$R,13,FALSE)+IF($I$3="√",10,0)-VLOOKUP($F$7,目标属性!$A:$R,5,FALSE))&gt;0,($D$5+VLOOKUP($E42,武器奇术!$A:$R,13,FALSE)+IF($I$3="√",10,0)-VLOOKUP($F$7,目标属性!$A:$R,5,FALSE))/200,($D$5+VLOOKUP($E42,武器奇术!$A:$R,13,FALSE)+IF($I$3="√",10,0)-VLOOKUP($F$7,目标属性!$A:$R,5,FALSE))/100)</f>
        <v>0.2925</v>
      </c>
      <c r="AJ42" s="111">
        <f>$E$5+IF($G$5="烟柳",IF(VLOOKUP($E42,武器奇术!$A:$T,20,FALSE)=1,0.1,0),0)</f>
        <v>0.1</v>
      </c>
      <c r="AK42" s="102">
        <v>1</v>
      </c>
      <c r="AL42" s="103">
        <f t="shared" si="7"/>
        <v>1412.35934125</v>
      </c>
      <c r="AM42" s="104">
        <f>(1-IF(VLOOKUP($E42,武器奇术!$A:$R,18,FALSE)="叶龙",1,$N42))*(1-$M42)</f>
        <v>0</v>
      </c>
      <c r="AN42" s="103">
        <f>AG42*(1+AI42)*(1+AJ42)*AK42*(1+$E$16+VLOOKUP($E42,武器奇术!$A:$R,8,FALSE))</f>
        <v>2830.368119865</v>
      </c>
      <c r="AO42" s="104">
        <f t="shared" si="8"/>
        <v>0.8703</v>
      </c>
      <c r="AP42" s="103">
        <f>AH42*(1+AI42)*(1+AJ42)*AK42*(1+$E$17+VLOOKUP($E42,武器奇术!$A:$R,10,FALSE))</f>
        <v>1906.6851106875</v>
      </c>
      <c r="AQ42" s="104">
        <f t="shared" si="9"/>
        <v>0.0986</v>
      </c>
      <c r="AR42" s="103">
        <f t="shared" si="10"/>
        <v>1412.35934125</v>
      </c>
      <c r="AS42" s="104">
        <f t="shared" si="11"/>
        <v>0.0311</v>
      </c>
      <c r="AT42" s="112">
        <f t="shared" si="12"/>
        <v>2695.19290214517</v>
      </c>
      <c r="AU42" s="110">
        <f>$B$7*IF($G$5="撼天",1.05,1)+IF(AND(VLOOKUP($E42,武器奇术!$A:$R,15,FALSE)="武器",VLOOKUP($E42,武器奇术!$A:$R,17,FALSE)="鸣金"),$E$3*(1+$E$15),0)</f>
        <v>0</v>
      </c>
      <c r="AV42" s="102">
        <f t="shared" si="13"/>
        <v>0</v>
      </c>
      <c r="AW42" s="102">
        <f>MAX($C$7*IF($G$5="撼天",1.05,1)+IF(AND(VLOOKUP($E42,武器奇术!$A:$R,15,FALSE)="武器",VLOOKUP($E42,武器奇术!$A:$R,17,FALSE)="鸣金"),$E$3*(1+$E$15),0),AU42)</f>
        <v>0</v>
      </c>
      <c r="AX42" s="104">
        <f>IF(($D$7+IF(VLOOKUP($E42,武器奇术!$A:$R,17,FALSE)="鸣金",$D$15,0)-VLOOKUP($F$7,目标属性!$A:$R,6,FALSE))&gt;0,($D$7+IF(VLOOKUP($E42,武器奇术!$A:$R,17,FALSE)="鸣金",$D$15,0)-VLOOKUP($F$7,目标属性!$A:$R,6,FALSE))/200,($D$7+IF(VLOOKUP($E42,武器奇术!$A:$R,17,FALSE)="鸣金",$D$15,0)-VLOOKUP($F$7,目标属性!$A:$R,6,FALSE))/100)</f>
        <v>-0.24</v>
      </c>
      <c r="AY42" s="111">
        <f t="shared" si="14"/>
        <v>0</v>
      </c>
      <c r="AZ42" s="102">
        <v>1</v>
      </c>
      <c r="BA42" s="103">
        <f>AU42*IF(VLOOKUP($E42,武器奇术!$A:$R,17,FALSE)="鸣金",VLOOKUP($E42,武器奇术!$A:$R,4,FALSE),VLOOKUP($E42,武器奇术!$A:$R,2,FALSE))*(1+AX42)*(1+AY42)*AZ42</f>
        <v>0</v>
      </c>
      <c r="BB42" s="104">
        <f>(1-IF(VLOOKUP($E42,武器奇术!$A:$R,18,FALSE)="叶龙",1,$N42))*(1-$M42)</f>
        <v>0</v>
      </c>
      <c r="BC42" s="103">
        <f>AV42*IF(VLOOKUP($E42,武器奇术!$A:$R,17,FALSE)="鸣金",VLOOKUP($E42,武器奇术!$A:$R,4,FALSE),VLOOKUP($E42,武器奇术!$A:$R,2,FALSE))*(1+AX42)*(1+AY42)*AZ42*(1+$E$16+VLOOKUP($E42,武器奇术!$A:$R,8,FALSE))</f>
        <v>0</v>
      </c>
      <c r="BD42" s="104">
        <f t="shared" si="15"/>
        <v>0.8703</v>
      </c>
      <c r="BE42" s="103">
        <f>AW42*IF(VLOOKUP($E42,武器奇术!$A:$R,17,FALSE)="鸣金",VLOOKUP($E42,武器奇术!$A:$R,4,FALSE),VLOOKUP($E42,武器奇术!$A:$R,2,FALSE))*(1+AX42)*(1+AY42)*AZ42*(1+$E$17+VLOOKUP($E42,武器奇术!$A:$R,10,FALSE))</f>
        <v>0</v>
      </c>
      <c r="BF42" s="104">
        <f t="shared" si="16"/>
        <v>0.0986</v>
      </c>
      <c r="BG42" s="103">
        <f>AV42*IF(VLOOKUP($E42,武器奇术!$A:$R,17,FALSE)="鸣金",VLOOKUP($E42,武器奇术!$A:$R,4,FALSE),VLOOKUP($E42,武器奇术!$A:$R,2,FALSE))*(1+AX42)*(1+AY42)*AZ42</f>
        <v>0</v>
      </c>
      <c r="BH42" s="104">
        <f t="shared" si="17"/>
        <v>0.0311</v>
      </c>
      <c r="BI42" s="112">
        <f t="shared" si="18"/>
        <v>0</v>
      </c>
      <c r="BJ42" s="110">
        <f>$B$9*IF($G$5="撼天",1.05,1)+IF(AND(VLOOKUP($E42,武器奇术!$A:$R,15,FALSE)="武器",VLOOKUP($E42,武器奇术!$A:$R,17,FALSE)="裂石"),$E$3*(1+$E$15),0)</f>
        <v>0</v>
      </c>
      <c r="BK42" s="102">
        <f t="shared" si="19"/>
        <v>0</v>
      </c>
      <c r="BL42" s="102">
        <f>MAX($C$9*IF($G$5="撼天",1.05,1)+IF(AND(VLOOKUP($E42,武器奇术!$A:$R,15,FALSE)="武器",VLOOKUP($E42,武器奇术!$A:$R,17,FALSE)="裂石"),$E$3*(1+$E$15),0),BJ42)</f>
        <v>0</v>
      </c>
      <c r="BM42" s="104">
        <f>IF(($D$9+IF(VLOOKUP($E42,武器奇术!$A:$R,17,FALSE)="裂石",$D$15,0)-VLOOKUP($F$7,目标属性!$A:$R,6,FALSE))&gt;0,($D$9+IF(VLOOKUP($E42,武器奇术!$A:$R,17,FALSE)="裂石",$D$15,0)-VLOOKUP($F$7,目标属性!$A:$R,6,FALSE))/200,($D$9+IF(VLOOKUP($E42,武器奇术!$A:$R,17,FALSE)="裂石",$D$15,0)-VLOOKUP($F$7,目标属性!$A:$R,6,FALSE))/100)</f>
        <v>-0.24</v>
      </c>
      <c r="BN42" s="111">
        <f t="shared" si="20"/>
        <v>0</v>
      </c>
      <c r="BO42" s="102">
        <v>1</v>
      </c>
      <c r="BP42" s="103">
        <f>BJ42*IF(VLOOKUP($E42,武器奇术!$A:$R,17,FALSE)="裂石",VLOOKUP($E42,武器奇术!$A:$R,4,FALSE),VLOOKUP($E42,武器奇术!$A:$R,2,FALSE))*(1+BM42)*(1+BN42)*BO42</f>
        <v>0</v>
      </c>
      <c r="BQ42" s="104">
        <f>(1-IF(VLOOKUP($E42,武器奇术!$A:$R,18,FALSE)="叶龙",1,$N42))*(1-$M42)</f>
        <v>0</v>
      </c>
      <c r="BR42" s="103">
        <f>BK42*IF(VLOOKUP($E42,武器奇术!$A:$R,17,FALSE)="裂石",VLOOKUP($E42,武器奇术!$A:$R,4,FALSE),VLOOKUP($E42,武器奇术!$A:$R,2,FALSE))*(1+BM42)*(1+BN42)*BO42*(1+$E$16+VLOOKUP($E42,武器奇术!$A:$R,8,FALSE))</f>
        <v>0</v>
      </c>
      <c r="BS42" s="104">
        <f t="shared" si="21"/>
        <v>0.8703</v>
      </c>
      <c r="BT42" s="103">
        <f>BL42*IF(VLOOKUP($E42,武器奇术!$A:$R,17,FALSE)="裂石",VLOOKUP($E42,武器奇术!$A:$R,4,FALSE),VLOOKUP($E42,武器奇术!$A:$R,2,FALSE))*(1+BM42)*(1+BN42)*BO42*(1+$E$17+VLOOKUP($E42,武器奇术!$A:$R,10,FALSE))</f>
        <v>0</v>
      </c>
      <c r="BU42" s="104">
        <f t="shared" si="22"/>
        <v>0.0986</v>
      </c>
      <c r="BV42" s="103">
        <f>BK42*IF(VLOOKUP($E42,武器奇术!$A:$R,17,FALSE)="裂石",VLOOKUP($E42,武器奇术!$A:$R,4,FALSE),VLOOKUP($E42,武器奇术!$A:$R,2,FALSE))*(1+BM42)*(1+BN42)*BO42</f>
        <v>0</v>
      </c>
      <c r="BW42" s="104">
        <f t="shared" si="23"/>
        <v>0.0311</v>
      </c>
      <c r="BX42" s="112">
        <f t="shared" si="24"/>
        <v>0</v>
      </c>
      <c r="BY42" s="110">
        <f>$B$11*IF($G$5="撼天",1.05,1)+IF(AND(VLOOKUP($E42,武器奇术!$A:$R,15,FALSE)="武器",VLOOKUP($E42,武器奇术!$A:$R,17,FALSE)="牵丝"),$E$3*(1+$E$15),0)</f>
        <v>686.71</v>
      </c>
      <c r="BZ42" s="102">
        <f>IF(VLOOKUP($E42,武器奇术!$A:$Z,18,FALSE)="叶龙",(CA42-(BY42+CA42)*0.5)*($G$15-0.5)*2+(BY42+CA42)*0.5,(BY42+CA42)*0.5)</f>
        <v>1052.21</v>
      </c>
      <c r="CA42" s="102">
        <f>MAX($C$11*IF($G$5="撼天",1.05,1)+IF(AND(VLOOKUP($E42,武器奇术!$A:$R,15,FALSE)="武器",VLOOKUP($E42,武器奇术!$A:$R,17,FALSE)="牵丝"),$E$3*(1+$E$15),0),BY42)</f>
        <v>1417.71</v>
      </c>
      <c r="CB42" s="104">
        <f>IF(($D$11+IF(VLOOKUP($E42,武器奇术!$A:$R,17,FALSE)="牵丝",$D$15,0)-VLOOKUP($F$7,目标属性!$A:$R,6,FALSE))&gt;0,($D$11+IF(VLOOKUP($E42,武器奇术!$A:$R,17,FALSE)="牵丝",$D$15,0)-VLOOKUP($F$7,目标属性!$A:$R,6,FALSE))/200,($D$11+IF(VLOOKUP($E42,武器奇术!$A:$R,17,FALSE)="牵丝",$D$15,0)-VLOOKUP($F$7,目标属性!$A:$R,6,FALSE))/100)</f>
        <v>0.028</v>
      </c>
      <c r="CC42" s="111">
        <f>$E$11+IF($G$5="烟柳",IF(VLOOKUP($E42,武器奇术!$A:$T,20,FALSE)=1,0.1,0),0)</f>
        <v>0.248</v>
      </c>
      <c r="CD42" s="102">
        <v>1</v>
      </c>
      <c r="CE42" s="103">
        <f>BY42*IF(VLOOKUP($E42,武器奇术!$A:$R,17,FALSE)="牵丝",VLOOKUP($E42,武器奇术!$A:$R,4,FALSE),VLOOKUP($E42,武器奇术!$A:$R,2,FALSE))*(1+CB42)*(1+CC42)*CD42</f>
        <v>3649.20705503528</v>
      </c>
      <c r="CF42" s="104">
        <f>(1-IF(VLOOKUP($E42,武器奇术!$A:$R,18,FALSE)="叶龙",1,$N42))*(1-$M42)</f>
        <v>0</v>
      </c>
      <c r="CG42" s="124">
        <f>BZ42*IF(VLOOKUP($E42,武器奇术!$A:$R,17,FALSE)="牵丝",VLOOKUP($E42,武器奇术!$A:$R,4,FALSE),VLOOKUP($E42,武器奇术!$A:$R,2,FALSE))*(1+CB42)*(1+CC42)*CD42*(1+$E$16+VLOOKUP($E42,武器奇术!$A:$R,8,FALSE))</f>
        <v>11205.3461277378</v>
      </c>
      <c r="CH42" s="104">
        <f t="shared" si="25"/>
        <v>0.8703</v>
      </c>
      <c r="CI42" s="103">
        <f>CA42*IF(VLOOKUP($E42,武器奇术!$A:$R,17,FALSE)="牵丝",VLOOKUP($E42,武器奇术!$A:$R,4,FALSE),VLOOKUP($E42,武器奇术!$A:$R,2,FALSE))*(1+CB42)*(1+CC42)*CD42*(1+$E$17+VLOOKUP($E42,武器奇术!$A:$R,10,FALSE))</f>
        <v>10170.5937016965</v>
      </c>
      <c r="CJ42" s="104">
        <f t="shared" si="26"/>
        <v>0.0986</v>
      </c>
      <c r="CK42" s="124">
        <f>BZ42*IF(VLOOKUP($E42,武器奇术!$A:$R,17,FALSE)="牵丝",VLOOKUP($E42,武器奇术!$A:$R,4,FALSE),VLOOKUP($E42,武器奇术!$A:$R,2,FALSE))*(1+CB42)*(1+CC42)*CD42</f>
        <v>5591.49008370152</v>
      </c>
      <c r="CL42" s="104">
        <f t="shared" si="27"/>
        <v>0.0311</v>
      </c>
      <c r="CM42" s="112">
        <f t="shared" si="28"/>
        <v>10928.7286155606</v>
      </c>
      <c r="CN42" s="110">
        <f>$B$13*IF($G$5="撼天",1.05,1)+IF(AND(VLOOKUP($E42,武器奇术!$A:$R,15,FALSE)="武器",VLOOKUP($E42,武器奇术!$A:$R,17,FALSE)="破竹"),$E$3*(1+$E$15),0)</f>
        <v>0</v>
      </c>
      <c r="CO42" s="102">
        <f t="shared" si="29"/>
        <v>0</v>
      </c>
      <c r="CP42" s="102">
        <f>MAX($C$13*IF($G$5="撼天",1.05,1)+IF(AND(VLOOKUP($E42,武器奇术!$A:$R,15,FALSE)="武器",VLOOKUP($E42,武器奇术!$A:$R,17,FALSE)="破竹"),$E$3*(1+$E$15),0),CN42)</f>
        <v>0</v>
      </c>
      <c r="CQ42" s="104">
        <f>IF(($D$13+IF(VLOOKUP($E42,武器奇术!$A:$R,17,FALSE)="破竹",$D$15,0)-VLOOKUP($F$7,目标属性!$A:$R,6,FALSE))&gt;0,($D$13+IF(VLOOKUP($E42,武器奇术!$A:$R,17,FALSE)="破竹",$D$15,0)-VLOOKUP($F$7,目标属性!$A:$R,6,FALSE))/200,($D$13+IF(VLOOKUP($E42,武器奇术!$A:$R,17,FALSE)="破竹",$D$15,0)-VLOOKUP($F$7,目标属性!$A:$R,6,FALSE))/100)</f>
        <v>-0.24</v>
      </c>
      <c r="CR42" s="111">
        <f t="shared" si="30"/>
        <v>0</v>
      </c>
      <c r="CS42" s="102">
        <v>1</v>
      </c>
      <c r="CT42" s="103">
        <f>CN42*IF(VLOOKUP($E42,武器奇术!$A:$R,17,FALSE)="破竹",VLOOKUP($E42,武器奇术!$A:$R,4,FALSE),VLOOKUP($E42,武器奇术!$A:$R,2,FALSE))*(1+CQ42)*(1+CR42)*CS42</f>
        <v>0</v>
      </c>
      <c r="CU42" s="104">
        <f>(1-IF(VLOOKUP($E42,武器奇术!$A:$R,18,FALSE)="叶龙",1,$N42))*(1-$M42)</f>
        <v>0</v>
      </c>
      <c r="CV42" s="103">
        <f>CO42*IF(VLOOKUP($E42,武器奇术!$A:$R,17,FALSE)="破竹",VLOOKUP($E42,武器奇术!$A:$R,4,FALSE),VLOOKUP($E42,武器奇术!$A:$R,2,FALSE))*(1+CQ42)*(1+CR42)*CS42*(1+$E$16+VLOOKUP($E42,武器奇术!$A:$R,8,FALSE))</f>
        <v>0</v>
      </c>
      <c r="CW42" s="104">
        <f t="shared" si="31"/>
        <v>0.8703</v>
      </c>
      <c r="CX42" s="103">
        <f>CP42*IF(VLOOKUP($E42,武器奇术!$A:$R,17,FALSE)="破竹",VLOOKUP($E42,武器奇术!$A:$R,4,FALSE),VLOOKUP($E42,武器奇术!$A:$R,2,FALSE))*(1+CQ42)*(1+CR42)*CS42*(1+$E$17+VLOOKUP($E42,武器奇术!$A:$R,10,FALSE))</f>
        <v>0</v>
      </c>
      <c r="CY42" s="104">
        <f t="shared" si="32"/>
        <v>0.0986</v>
      </c>
      <c r="CZ42" s="103">
        <f>CO42*IF(VLOOKUP($E42,武器奇术!$A:$R,17,FALSE)="破竹",VLOOKUP($E42,武器奇术!$A:$R,4,FALSE),VLOOKUP($E42,武器奇术!$A:$R,2,FALSE))*(1+CQ42)*(1+CR42)*CS42</f>
        <v>0</v>
      </c>
      <c r="DA42" s="104">
        <f t="shared" si="33"/>
        <v>0.0311</v>
      </c>
      <c r="DB42" s="112">
        <f t="shared" si="34"/>
        <v>0</v>
      </c>
      <c r="DC42" s="110">
        <f t="shared" si="35"/>
        <v>66</v>
      </c>
      <c r="DD42" s="102">
        <f t="shared" si="36"/>
        <v>125.8</v>
      </c>
      <c r="DE42" s="102">
        <f t="shared" si="37"/>
        <v>185.6</v>
      </c>
      <c r="DF42" s="104">
        <f>IF((IF(VLOOKUP($E42,武器奇术!$A:$R,17,FALSE)="鸣金",$D$7,0)+IF(VLOOKUP($E42,武器奇术!$A:$R,17,FALSE)="裂石",$D$9,0)+IF(VLOOKUP($E42,武器奇术!$A:$R,17,FALSE)="牵丝",$D$11,0)+IF(VLOOKUP($E42,武器奇术!$A:$R,17,FALSE)="破竹",$D$13,0)+$D$15-VLOOKUP($F$7,目标属性!$A:$R,6,FALSE))&gt;0,(IF(VLOOKUP($E42,武器奇术!$A:$R,17,FALSE)="鸣金",$D$7,0)+IF(VLOOKUP($E42,武器奇术!$A:$R,17,FALSE)="裂石",$D$9,0)+IF(VLOOKUP($E42,武器奇术!$A:$R,17,FALSE)="牵丝",$D$11,0)+IF(VLOOKUP($E42,武器奇术!$A:$R,17,FALSE)="破竹",$D$13,0)+$D$15-VLOOKUP($F$7,目标属性!$A:$R,6,FALSE))/200,(IF(VLOOKUP($E42,武器奇术!$A:$R,17,FALSE)="鸣金",$D$7,0)+IF(VLOOKUP($E42,武器奇术!$A:$R,17,FALSE)="裂石",$D$9,0)+IF(VLOOKUP($E42,武器奇术!$A:$R,17,FALSE)="牵丝",$D$11,0)+IF(VLOOKUP($E42,武器奇术!$A:$R,17,FALSE)="破竹",$D$13,0)+$D$15-VLOOKUP($F$7,目标属性!$A:$R,6,FALSE))/100)</f>
        <v>0.028</v>
      </c>
      <c r="DG42" s="111">
        <f>$E$11+IF($G$5="烟柳",IF(VLOOKUP($E42,武器奇术!$A:$T,20,FALSE)=1,0.1,0),0)</f>
        <v>0.248</v>
      </c>
      <c r="DH42" s="102">
        <v>1</v>
      </c>
      <c r="DI42" s="103">
        <f>DC42*IF(VLOOKUP($E42,武器奇术!$A:$R,17,FALSE)="牵丝",VLOOKUP($E42,武器奇术!$A:$R,4,FALSE),VLOOKUP($E42,武器奇术!$A:$R,2,FALSE))*(1+DF42)*(1+DG42)*DH42</f>
        <v>350.72689436928</v>
      </c>
      <c r="DJ42" s="104">
        <f>(1-IF(VLOOKUP($E42,武器奇术!$A:$R,18,FALSE)="叶龙",1,$N42))*(1-$M42)</f>
        <v>0</v>
      </c>
      <c r="DK42" s="124">
        <f>DD42*IF(VLOOKUP($E42,武器奇术!$A:$R,17,FALSE)="牵丝",VLOOKUP($E42,武器奇术!$A:$R,4,FALSE),VLOOKUP($E42,武器奇术!$A:$R,2,FALSE))*(1+DF42)*(1+DG42)*DH42*(1+$E$16+VLOOKUP($E42,武器奇术!$A:$R,8,FALSE))</f>
        <v>1339.6874605539</v>
      </c>
      <c r="DL42" s="104">
        <f t="shared" si="38"/>
        <v>0.8703</v>
      </c>
      <c r="DM42" s="103">
        <f>DE42*IF(VLOOKUP($E42,武器奇术!$A:$R,17,FALSE)="牵丝",VLOOKUP($E42,武器奇术!$A:$R,4,FALSE),VLOOKUP($E42,武器奇术!$A:$R,2,FALSE))*(1+DF42)*(1+DG42)*DH42*(1+$E$17+VLOOKUP($E42,武器奇术!$A:$R,10,FALSE))</f>
        <v>1331.48682807829</v>
      </c>
      <c r="DN42" s="104">
        <f t="shared" si="39"/>
        <v>0.0986</v>
      </c>
      <c r="DO42" s="124">
        <f>DD42*IF(VLOOKUP($E42,武器奇术!$A:$R,17,FALSE)="牵丝",VLOOKUP($E42,武器奇术!$A:$R,4,FALSE),VLOOKUP($E42,武器奇术!$A:$R,2,FALSE))*(1+DF42)*(1+DG42)*DH42</f>
        <v>668.506716843264</v>
      </c>
      <c r="DP42" s="104">
        <f t="shared" si="40"/>
        <v>0.0311</v>
      </c>
      <c r="DQ42" s="112">
        <f t="shared" si="41"/>
        <v>1318.0051570624</v>
      </c>
    </row>
    <row r="43" spans="2:121">
      <c r="B43" s="132"/>
      <c r="C43" s="133"/>
      <c r="D43" s="134"/>
      <c r="E43" s="115" t="str">
        <f>期望!E43</f>
        <v>扇普通重击派生(风墙小纵)</v>
      </c>
      <c r="F43" s="116">
        <f>期望!F43</f>
        <v>1</v>
      </c>
      <c r="G43" s="117"/>
      <c r="H43" s="103">
        <f>IF(VLOOKUP($E43,武器奇术!$A:$R,18,FALSE)="天工",AE43,(AE43+AT43+BI43+BX43+CM43+DB43+DQ43))*(1+J43)*F43*K43*(1+G43)</f>
        <v>39185.809438957</v>
      </c>
      <c r="I43" s="104">
        <f t="shared" si="0"/>
        <v>0.00451616288695877</v>
      </c>
      <c r="J43" s="118">
        <f>$F$3+VLOOKUP($E43,武器奇术!$A:$R,12,FALSE)+VLOOKUP($E43,武器奇术!$A:$R,14,FALSE)*$G$3+$P43+IF($F$21="√",5%,0)</f>
        <v>0.567</v>
      </c>
      <c r="K43" s="105">
        <f>VLOOKUP($E43,武器奇术!$A:$R,11,FALSE)</f>
        <v>1</v>
      </c>
      <c r="L43" s="119">
        <f>IF(VLOOKUP($E43,武器奇术!$A:$R,15,FALSE)="天工",0%,IF($C$17+VLOOKUP($E43,武器奇术!$A:$R,7,FALSE)&gt;80%,80%,$C$17+VLOOKUP($E43,武器奇术!$A:$R,7,FALSE))+IF($C$19&gt;20%,20%,$C$19))</f>
        <v>0.8703</v>
      </c>
      <c r="M43" s="120">
        <f>IF(VLOOKUP($E43,武器奇术!$A:$R,15,FALSE)="天工",0%,IF($C$18+VLOOKUP($E43,武器奇术!$A:$R,9,FALSE)&gt;40%,40%,$C$18+VLOOKUP($E43,武器奇术!$A:$R,9,FALSE))+IF($C$20&gt;10%,10%,$C$20))</f>
        <v>0.0986</v>
      </c>
      <c r="N43" s="121">
        <f>IF(VLOOKUP($E43,武器奇术!$A:$R,15,FALSE)="天工",100%,MIN($C$16,1))</f>
        <v>1</v>
      </c>
      <c r="O43" s="122" t="str">
        <f>VLOOKUP($E43,武器奇术!$A:$R,16,FALSE)</f>
        <v>扇</v>
      </c>
      <c r="P43" s="123">
        <f t="shared" si="1"/>
        <v>0.084</v>
      </c>
      <c r="Q43" s="110">
        <f>$B$5*(1+VLOOKUP($E43,武器奇术!$A:$R,5,FALSE))*(1+VLOOKUP($E43,武器奇术!$A:$S,19,FALSE)+IF($G$5="飞隼",0.1,0)+IF($G$5="撼天",0.05,0))-$F$9+IF($J$5="√",160,0)</f>
        <v>3081.85</v>
      </c>
      <c r="R43" s="102">
        <f>IF(VLOOKUP($E43,武器奇术!$A:$Z,18,FALSE)="叶龙",(S43-(Q43+S43)*0.5)*($G$15-0.5)*2+(Q43+S43)*0.5,(Q43+S43)*0.5)</f>
        <v>3161.85</v>
      </c>
      <c r="S43" s="102">
        <f>MAX($C$5,$B$5)*(1+VLOOKUP($E43,武器奇术!$A:$R,6,FALSE))*(1+VLOOKUP($E43,武器奇术!$A:$S,19,FALSE)+IF($G$5="飞隼",0.1,0)+IF($G$5="撼天",0.05,0))-$F$9+IF($J$5="√",320,0)</f>
        <v>3241.85</v>
      </c>
      <c r="T43" s="104">
        <f>IF(($D$5+VLOOKUP($E43,武器奇术!$A:$R,13,FALSE)+IF($I$3="√",10,0)-VLOOKUP($F$7,目标属性!$A:$R,5,FALSE))&gt;0,($D$5+VLOOKUP($E43,武器奇术!$A:$R,13,FALSE)+IF($I$3="√",10,0)-VLOOKUP($F$7,目标属性!$A:$R,5,FALSE))/200,($D$5+VLOOKUP($E43,武器奇术!$A:$R,13,FALSE)+IF($I$3="√",10,0)-VLOOKUP($F$7,目标属性!$A:$R,5,FALSE))/100)</f>
        <v>0.2675</v>
      </c>
      <c r="U43" s="111">
        <f>$E$5+IF($G$5="烟柳",IF(VLOOKUP($E43,武器奇术!$A:$T,20,FALSE)=1,0.1,0),0)</f>
        <v>0.1</v>
      </c>
      <c r="V43" s="102">
        <v>1</v>
      </c>
      <c r="W43" s="103">
        <f>Q43*VLOOKUP($E43,武器奇术!$A:$R,2,FALSE)*(1+T43)*(1+U43)*V43</f>
        <v>7774.36870626488</v>
      </c>
      <c r="X43" s="104">
        <f>(1-IF(VLOOKUP($E43,武器奇术!$A:$R,18,FALSE)="叶龙",1,$N43))*(1-$M43)</f>
        <v>0</v>
      </c>
      <c r="Y43" s="103">
        <f>R43*VLOOKUP($E43,武器奇术!$A:$R,2,FALSE)*(1+T43)*(1+U43)*V43*(1+$E$16+VLOOKUP($E43,武器奇术!$A:$R,8,FALSE))</f>
        <v>15984.2630039044</v>
      </c>
      <c r="Z43" s="104">
        <f t="shared" si="2"/>
        <v>0.8703</v>
      </c>
      <c r="AA43" s="103">
        <f>S43*VLOOKUP($E43,武器奇术!$A:$R,2,FALSE)*(1+T43)*(1+U43)*V43*(1+$E$17+VLOOKUP($E43,武器奇术!$A:$R,10,FALSE))</f>
        <v>11040.2859344376</v>
      </c>
      <c r="AB43" s="104">
        <f t="shared" si="3"/>
        <v>0.0986</v>
      </c>
      <c r="AC43" s="103">
        <f>R43*VLOOKUP($E43,武器奇术!$A:$R,2,FALSE)*(1+T43)*(1+U43)*V43</f>
        <v>7976.17914366488</v>
      </c>
      <c r="AD43" s="104">
        <f t="shared" si="4"/>
        <v>0.0311</v>
      </c>
      <c r="AE43" s="112">
        <f t="shared" si="5"/>
        <v>15247.7354568015</v>
      </c>
      <c r="AF43" s="113">
        <f>VLOOKUP($E43,武器奇术!$A:$R,3,FALSE)*(1+IF(VLOOKUP($E43,武器奇术!$A:$R,15,FALSE)="武器",$E$15,0))</f>
        <v>652.21</v>
      </c>
      <c r="AG43" s="103">
        <f t="shared" si="6"/>
        <v>652.21</v>
      </c>
      <c r="AH43" s="103">
        <f>VLOOKUP($E43,武器奇术!$A:$R,3,FALSE)*(1+IF(VLOOKUP($E43,武器奇术!$A:$R,15,FALSE)="武器",$E$15,0))</f>
        <v>652.21</v>
      </c>
      <c r="AI43" s="104">
        <f>IF(($D$5+VLOOKUP($E43,武器奇术!$A:$R,13,FALSE)+IF($I$3="√",10,0)-VLOOKUP($F$7,目标属性!$A:$R,5,FALSE))&gt;0,($D$5+VLOOKUP($E43,武器奇术!$A:$R,13,FALSE)+IF($I$3="√",10,0)-VLOOKUP($F$7,目标属性!$A:$R,5,FALSE))/200,($D$5+VLOOKUP($E43,武器奇术!$A:$R,13,FALSE)+IF($I$3="√",10,0)-VLOOKUP($F$7,目标属性!$A:$R,5,FALSE))/100)</f>
        <v>0.2675</v>
      </c>
      <c r="AJ43" s="111">
        <f>$E$5+IF($G$5="烟柳",IF(VLOOKUP($E43,武器奇术!$A:$T,20,FALSE)=1,0.1,0),0)</f>
        <v>0.1</v>
      </c>
      <c r="AK43" s="102">
        <v>1</v>
      </c>
      <c r="AL43" s="103">
        <f t="shared" si="7"/>
        <v>909.3437925</v>
      </c>
      <c r="AM43" s="104">
        <f>(1-IF(VLOOKUP($E43,武器奇术!$A:$R,18,FALSE)="叶龙",1,$N43))*(1-$M43)</f>
        <v>0</v>
      </c>
      <c r="AN43" s="103">
        <f>AG43*(1+AI43)*(1+AJ43)*AK43*(1+$E$16+VLOOKUP($E43,武器奇术!$A:$R,8,FALSE))</f>
        <v>1822.32496017</v>
      </c>
      <c r="AO43" s="104">
        <f t="shared" si="8"/>
        <v>0.8703</v>
      </c>
      <c r="AP43" s="103">
        <f>AH43*(1+AI43)*(1+AJ43)*AK43*(1+$E$17+VLOOKUP($E43,武器奇术!$A:$R,10,FALSE))</f>
        <v>1227.614119875</v>
      </c>
      <c r="AQ43" s="104">
        <f t="shared" si="9"/>
        <v>0.0986</v>
      </c>
      <c r="AR43" s="103">
        <f t="shared" si="10"/>
        <v>909.3437925</v>
      </c>
      <c r="AS43" s="104">
        <f t="shared" si="11"/>
        <v>0.0311</v>
      </c>
      <c r="AT43" s="112">
        <f t="shared" si="12"/>
        <v>1735.29275700238</v>
      </c>
      <c r="AU43" s="110">
        <f>$B$7*IF($G$5="撼天",1.05,1)+IF(AND(VLOOKUP($E43,武器奇术!$A:$R,15,FALSE)="武器",VLOOKUP($E43,武器奇术!$A:$R,17,FALSE)="鸣金"),$E$3*(1+$E$15),0)</f>
        <v>0</v>
      </c>
      <c r="AV43" s="102">
        <f t="shared" si="13"/>
        <v>0</v>
      </c>
      <c r="AW43" s="102">
        <f>MAX($C$7*IF($G$5="撼天",1.05,1)+IF(AND(VLOOKUP($E43,武器奇术!$A:$R,15,FALSE)="武器",VLOOKUP($E43,武器奇术!$A:$R,17,FALSE)="鸣金"),$E$3*(1+$E$15),0),AU43)</f>
        <v>0</v>
      </c>
      <c r="AX43" s="104">
        <f>IF(($D$7+IF(VLOOKUP($E43,武器奇术!$A:$R,17,FALSE)="鸣金",$D$15,0)-VLOOKUP($F$7,目标属性!$A:$R,6,FALSE))&gt;0,($D$7+IF(VLOOKUP($E43,武器奇术!$A:$R,17,FALSE)="鸣金",$D$15,0)-VLOOKUP($F$7,目标属性!$A:$R,6,FALSE))/200,($D$7+IF(VLOOKUP($E43,武器奇术!$A:$R,17,FALSE)="鸣金",$D$15,0)-VLOOKUP($F$7,目标属性!$A:$R,6,FALSE))/100)</f>
        <v>-0.24</v>
      </c>
      <c r="AY43" s="111">
        <f t="shared" si="14"/>
        <v>0</v>
      </c>
      <c r="AZ43" s="102">
        <v>1</v>
      </c>
      <c r="BA43" s="103">
        <f>AU43*IF(VLOOKUP($E43,武器奇术!$A:$R,17,FALSE)="鸣金",VLOOKUP($E43,武器奇术!$A:$R,4,FALSE),VLOOKUP($E43,武器奇术!$A:$R,2,FALSE))*(1+AX43)*(1+AY43)*AZ43</f>
        <v>0</v>
      </c>
      <c r="BB43" s="104">
        <f>(1-IF(VLOOKUP($E43,武器奇术!$A:$R,18,FALSE)="叶龙",1,$N43))*(1-$M43)</f>
        <v>0</v>
      </c>
      <c r="BC43" s="103">
        <f>AV43*IF(VLOOKUP($E43,武器奇术!$A:$R,17,FALSE)="鸣金",VLOOKUP($E43,武器奇术!$A:$R,4,FALSE),VLOOKUP($E43,武器奇术!$A:$R,2,FALSE))*(1+AX43)*(1+AY43)*AZ43*(1+$E$16+VLOOKUP($E43,武器奇术!$A:$R,8,FALSE))</f>
        <v>0</v>
      </c>
      <c r="BD43" s="104">
        <f t="shared" si="15"/>
        <v>0.8703</v>
      </c>
      <c r="BE43" s="103">
        <f>AW43*IF(VLOOKUP($E43,武器奇术!$A:$R,17,FALSE)="鸣金",VLOOKUP($E43,武器奇术!$A:$R,4,FALSE),VLOOKUP($E43,武器奇术!$A:$R,2,FALSE))*(1+AX43)*(1+AY43)*AZ43*(1+$E$17+VLOOKUP($E43,武器奇术!$A:$R,10,FALSE))</f>
        <v>0</v>
      </c>
      <c r="BF43" s="104">
        <f t="shared" si="16"/>
        <v>0.0986</v>
      </c>
      <c r="BG43" s="103">
        <f>AV43*IF(VLOOKUP($E43,武器奇术!$A:$R,17,FALSE)="鸣金",VLOOKUP($E43,武器奇术!$A:$R,4,FALSE),VLOOKUP($E43,武器奇术!$A:$R,2,FALSE))*(1+AX43)*(1+AY43)*AZ43</f>
        <v>0</v>
      </c>
      <c r="BH43" s="104">
        <f t="shared" si="17"/>
        <v>0.0311</v>
      </c>
      <c r="BI43" s="112">
        <f t="shared" si="18"/>
        <v>0</v>
      </c>
      <c r="BJ43" s="110">
        <f>$B$9*IF($G$5="撼天",1.05,1)+IF(AND(VLOOKUP($E43,武器奇术!$A:$R,15,FALSE)="武器",VLOOKUP($E43,武器奇术!$A:$R,17,FALSE)="裂石"),$E$3*(1+$E$15),0)</f>
        <v>0</v>
      </c>
      <c r="BK43" s="102">
        <f t="shared" si="19"/>
        <v>0</v>
      </c>
      <c r="BL43" s="102">
        <f>MAX($C$9*IF($G$5="撼天",1.05,1)+IF(AND(VLOOKUP($E43,武器奇术!$A:$R,15,FALSE)="武器",VLOOKUP($E43,武器奇术!$A:$R,17,FALSE)="裂石"),$E$3*(1+$E$15),0),BJ43)</f>
        <v>0</v>
      </c>
      <c r="BM43" s="104">
        <f>IF(($D$9+IF(VLOOKUP($E43,武器奇术!$A:$R,17,FALSE)="裂石",$D$15,0)-VLOOKUP($F$7,目标属性!$A:$R,6,FALSE))&gt;0,($D$9+IF(VLOOKUP($E43,武器奇术!$A:$R,17,FALSE)="裂石",$D$15,0)-VLOOKUP($F$7,目标属性!$A:$R,6,FALSE))/200,($D$9+IF(VLOOKUP($E43,武器奇术!$A:$R,17,FALSE)="裂石",$D$15,0)-VLOOKUP($F$7,目标属性!$A:$R,6,FALSE))/100)</f>
        <v>-0.24</v>
      </c>
      <c r="BN43" s="111">
        <f t="shared" si="20"/>
        <v>0</v>
      </c>
      <c r="BO43" s="102">
        <v>1</v>
      </c>
      <c r="BP43" s="103">
        <f>BJ43*IF(VLOOKUP($E43,武器奇术!$A:$R,17,FALSE)="裂石",VLOOKUP($E43,武器奇术!$A:$R,4,FALSE),VLOOKUP($E43,武器奇术!$A:$R,2,FALSE))*(1+BM43)*(1+BN43)*BO43</f>
        <v>0</v>
      </c>
      <c r="BQ43" s="104">
        <f>(1-IF(VLOOKUP($E43,武器奇术!$A:$R,18,FALSE)="叶龙",1,$N43))*(1-$M43)</f>
        <v>0</v>
      </c>
      <c r="BR43" s="103">
        <f>BK43*IF(VLOOKUP($E43,武器奇术!$A:$R,17,FALSE)="裂石",VLOOKUP($E43,武器奇术!$A:$R,4,FALSE),VLOOKUP($E43,武器奇术!$A:$R,2,FALSE))*(1+BM43)*(1+BN43)*BO43*(1+$E$16+VLOOKUP($E43,武器奇术!$A:$R,8,FALSE))</f>
        <v>0</v>
      </c>
      <c r="BS43" s="104">
        <f t="shared" si="21"/>
        <v>0.8703</v>
      </c>
      <c r="BT43" s="103">
        <f>BL43*IF(VLOOKUP($E43,武器奇术!$A:$R,17,FALSE)="裂石",VLOOKUP($E43,武器奇术!$A:$R,4,FALSE),VLOOKUP($E43,武器奇术!$A:$R,2,FALSE))*(1+BM43)*(1+BN43)*BO43*(1+$E$17+VLOOKUP($E43,武器奇术!$A:$R,10,FALSE))</f>
        <v>0</v>
      </c>
      <c r="BU43" s="104">
        <f t="shared" si="22"/>
        <v>0.0986</v>
      </c>
      <c r="BV43" s="103">
        <f>BK43*IF(VLOOKUP($E43,武器奇术!$A:$R,17,FALSE)="裂石",VLOOKUP($E43,武器奇术!$A:$R,4,FALSE),VLOOKUP($E43,武器奇术!$A:$R,2,FALSE))*(1+BM43)*(1+BN43)*BO43</f>
        <v>0</v>
      </c>
      <c r="BW43" s="104">
        <f t="shared" si="23"/>
        <v>0.0311</v>
      </c>
      <c r="BX43" s="112">
        <f t="shared" si="24"/>
        <v>0</v>
      </c>
      <c r="BY43" s="110">
        <f>$B$11*IF($G$5="撼天",1.05,1)+IF(AND(VLOOKUP($E43,武器奇术!$A:$R,15,FALSE)="武器",VLOOKUP($E43,武器奇术!$A:$R,17,FALSE)="牵丝"),$E$3*(1+$E$15),0)</f>
        <v>686.71</v>
      </c>
      <c r="BZ43" s="102">
        <f>IF(VLOOKUP($E43,武器奇术!$A:$Z,18,FALSE)="叶龙",(CA43-(BY43+CA43)*0.5)*($G$15-0.5)*2+(BY43+CA43)*0.5,(BY43+CA43)*0.5)</f>
        <v>1052.21</v>
      </c>
      <c r="CA43" s="102">
        <f>MAX($C$11*IF($G$5="撼天",1.05,1)+IF(AND(VLOOKUP($E43,武器奇术!$A:$R,15,FALSE)="武器",VLOOKUP($E43,武器奇术!$A:$R,17,FALSE)="牵丝"),$E$3*(1+$E$15),0),BY43)</f>
        <v>1417.71</v>
      </c>
      <c r="CB43" s="104">
        <f>IF(($D$11+IF(VLOOKUP($E43,武器奇术!$A:$R,17,FALSE)="牵丝",$D$15,0)-VLOOKUP($F$7,目标属性!$A:$R,6,FALSE))&gt;0,($D$11+IF(VLOOKUP($E43,武器奇术!$A:$R,17,FALSE)="牵丝",$D$15,0)-VLOOKUP($F$7,目标属性!$A:$R,6,FALSE))/200,($D$11+IF(VLOOKUP($E43,武器奇术!$A:$R,17,FALSE)="牵丝",$D$15,0)-VLOOKUP($F$7,目标属性!$A:$R,6,FALSE))/100)</f>
        <v>0.028</v>
      </c>
      <c r="CC43" s="111">
        <f>$E$11+IF($G$5="烟柳",IF(VLOOKUP($E43,武器奇术!$A:$T,20,FALSE)=1,0.1,0),0)</f>
        <v>0.248</v>
      </c>
      <c r="CD43" s="102">
        <v>1</v>
      </c>
      <c r="CE43" s="103">
        <f>BY43*IF(VLOOKUP($E43,武器奇术!$A:$R,17,FALSE)="牵丝",VLOOKUP($E43,武器奇术!$A:$R,4,FALSE),VLOOKUP($E43,武器奇术!$A:$R,2,FALSE))*(1+CB43)*(1+CC43)*CD43</f>
        <v>2390.903845202</v>
      </c>
      <c r="CF43" s="104">
        <f>(1-IF(VLOOKUP($E43,武器奇术!$A:$R,18,FALSE)="叶龙",1,$N43))*(1-$M43)</f>
        <v>0</v>
      </c>
      <c r="CG43" s="124">
        <f>BZ43*IF(VLOOKUP($E43,武器奇术!$A:$R,17,FALSE)="牵丝",VLOOKUP($E43,武器奇术!$A:$R,4,FALSE),VLOOKUP($E43,武器奇术!$A:$R,2,FALSE))*(1+CB43)*(1+CC43)*CD43*(1+$E$16+VLOOKUP($E43,武器奇术!$A:$R,8,FALSE))</f>
        <v>7341.56893253313</v>
      </c>
      <c r="CH43" s="104">
        <f t="shared" si="25"/>
        <v>0.8703</v>
      </c>
      <c r="CI43" s="103">
        <f>CA43*IF(VLOOKUP($E43,武器奇术!$A:$R,17,FALSE)="牵丝",VLOOKUP($E43,武器奇术!$A:$R,4,FALSE),VLOOKUP($E43,武器奇术!$A:$R,2,FALSE))*(1+CB43)*(1+CC43)*CD43*(1+$E$17+VLOOKUP($E43,武器奇术!$A:$R,10,FALSE))</f>
        <v>6663.61519712074</v>
      </c>
      <c r="CJ43" s="104">
        <f t="shared" si="26"/>
        <v>0.0986</v>
      </c>
      <c r="CK43" s="124">
        <f>BZ43*IF(VLOOKUP($E43,武器奇术!$A:$R,17,FALSE)="牵丝",VLOOKUP($E43,武器奇术!$A:$R,4,FALSE),VLOOKUP($E43,武器奇术!$A:$R,2,FALSE))*(1+CB43)*(1+CC43)*CD43</f>
        <v>3663.45755116424</v>
      </c>
      <c r="CL43" s="104">
        <f t="shared" si="27"/>
        <v>0.0311</v>
      </c>
      <c r="CM43" s="112">
        <f t="shared" si="28"/>
        <v>7160.3334302609</v>
      </c>
      <c r="CN43" s="110">
        <f>$B$13*IF($G$5="撼天",1.05,1)+IF(AND(VLOOKUP($E43,武器奇术!$A:$R,15,FALSE)="武器",VLOOKUP($E43,武器奇术!$A:$R,17,FALSE)="破竹"),$E$3*(1+$E$15),0)</f>
        <v>0</v>
      </c>
      <c r="CO43" s="102">
        <f t="shared" si="29"/>
        <v>0</v>
      </c>
      <c r="CP43" s="102">
        <f>MAX($C$13*IF($G$5="撼天",1.05,1)+IF(AND(VLOOKUP($E43,武器奇术!$A:$R,15,FALSE)="武器",VLOOKUP($E43,武器奇术!$A:$R,17,FALSE)="破竹"),$E$3*(1+$E$15),0),CN43)</f>
        <v>0</v>
      </c>
      <c r="CQ43" s="104">
        <f>IF(($D$13+IF(VLOOKUP($E43,武器奇术!$A:$R,17,FALSE)="破竹",$D$15,0)-VLOOKUP($F$7,目标属性!$A:$R,6,FALSE))&gt;0,($D$13+IF(VLOOKUP($E43,武器奇术!$A:$R,17,FALSE)="破竹",$D$15,0)-VLOOKUP($F$7,目标属性!$A:$R,6,FALSE))/200,($D$13+IF(VLOOKUP($E43,武器奇术!$A:$R,17,FALSE)="破竹",$D$15,0)-VLOOKUP($F$7,目标属性!$A:$R,6,FALSE))/100)</f>
        <v>-0.24</v>
      </c>
      <c r="CR43" s="111">
        <f t="shared" si="30"/>
        <v>0</v>
      </c>
      <c r="CS43" s="102">
        <v>1</v>
      </c>
      <c r="CT43" s="103">
        <f>CN43*IF(VLOOKUP($E43,武器奇术!$A:$R,17,FALSE)="破竹",VLOOKUP($E43,武器奇术!$A:$R,4,FALSE),VLOOKUP($E43,武器奇术!$A:$R,2,FALSE))*(1+CQ43)*(1+CR43)*CS43</f>
        <v>0</v>
      </c>
      <c r="CU43" s="104">
        <f>(1-IF(VLOOKUP($E43,武器奇术!$A:$R,18,FALSE)="叶龙",1,$N43))*(1-$M43)</f>
        <v>0</v>
      </c>
      <c r="CV43" s="103">
        <f>CO43*IF(VLOOKUP($E43,武器奇术!$A:$R,17,FALSE)="破竹",VLOOKUP($E43,武器奇术!$A:$R,4,FALSE),VLOOKUP($E43,武器奇术!$A:$R,2,FALSE))*(1+CQ43)*(1+CR43)*CS43*(1+$E$16+VLOOKUP($E43,武器奇术!$A:$R,8,FALSE))</f>
        <v>0</v>
      </c>
      <c r="CW43" s="104">
        <f t="shared" si="31"/>
        <v>0.8703</v>
      </c>
      <c r="CX43" s="103">
        <f>CP43*IF(VLOOKUP($E43,武器奇术!$A:$R,17,FALSE)="破竹",VLOOKUP($E43,武器奇术!$A:$R,4,FALSE),VLOOKUP($E43,武器奇术!$A:$R,2,FALSE))*(1+CQ43)*(1+CR43)*CS43*(1+$E$17+VLOOKUP($E43,武器奇术!$A:$R,10,FALSE))</f>
        <v>0</v>
      </c>
      <c r="CY43" s="104">
        <f t="shared" si="32"/>
        <v>0.0986</v>
      </c>
      <c r="CZ43" s="103">
        <f>CO43*IF(VLOOKUP($E43,武器奇术!$A:$R,17,FALSE)="破竹",VLOOKUP($E43,武器奇术!$A:$R,4,FALSE),VLOOKUP($E43,武器奇术!$A:$R,2,FALSE))*(1+CQ43)*(1+CR43)*CS43</f>
        <v>0</v>
      </c>
      <c r="DA43" s="104">
        <f t="shared" si="33"/>
        <v>0.0311</v>
      </c>
      <c r="DB43" s="112">
        <f t="shared" si="34"/>
        <v>0</v>
      </c>
      <c r="DC43" s="110">
        <f t="shared" si="35"/>
        <v>66</v>
      </c>
      <c r="DD43" s="102">
        <f t="shared" si="36"/>
        <v>125.8</v>
      </c>
      <c r="DE43" s="102">
        <f t="shared" si="37"/>
        <v>185.6</v>
      </c>
      <c r="DF43" s="104">
        <f>IF((IF(VLOOKUP($E43,武器奇术!$A:$R,17,FALSE)="鸣金",$D$7,0)+IF(VLOOKUP($E43,武器奇术!$A:$R,17,FALSE)="裂石",$D$9,0)+IF(VLOOKUP($E43,武器奇术!$A:$R,17,FALSE)="牵丝",$D$11,0)+IF(VLOOKUP($E43,武器奇术!$A:$R,17,FALSE)="破竹",$D$13,0)+$D$15-VLOOKUP($F$7,目标属性!$A:$R,6,FALSE))&gt;0,(IF(VLOOKUP($E43,武器奇术!$A:$R,17,FALSE)="鸣金",$D$7,0)+IF(VLOOKUP($E43,武器奇术!$A:$R,17,FALSE)="裂石",$D$9,0)+IF(VLOOKUP($E43,武器奇术!$A:$R,17,FALSE)="牵丝",$D$11,0)+IF(VLOOKUP($E43,武器奇术!$A:$R,17,FALSE)="破竹",$D$13,0)+$D$15-VLOOKUP($F$7,目标属性!$A:$R,6,FALSE))/200,(IF(VLOOKUP($E43,武器奇术!$A:$R,17,FALSE)="鸣金",$D$7,0)+IF(VLOOKUP($E43,武器奇术!$A:$R,17,FALSE)="裂石",$D$9,0)+IF(VLOOKUP($E43,武器奇术!$A:$R,17,FALSE)="牵丝",$D$11,0)+IF(VLOOKUP($E43,武器奇术!$A:$R,17,FALSE)="破竹",$D$13,0)+$D$15-VLOOKUP($F$7,目标属性!$A:$R,6,FALSE))/100)</f>
        <v>0.028</v>
      </c>
      <c r="DG43" s="111">
        <f>$E$11+IF($G$5="烟柳",IF(VLOOKUP($E43,武器奇术!$A:$T,20,FALSE)=1,0.1,0),0)</f>
        <v>0.248</v>
      </c>
      <c r="DH43" s="102">
        <v>1</v>
      </c>
      <c r="DI43" s="103">
        <f>DC43*IF(VLOOKUP($E43,武器奇术!$A:$R,17,FALSE)="牵丝",VLOOKUP($E43,武器奇术!$A:$R,4,FALSE),VLOOKUP($E43,武器奇术!$A:$R,2,FALSE))*(1+DF43)*(1+DG43)*DH43</f>
        <v>229.79081968128</v>
      </c>
      <c r="DJ43" s="104">
        <f>(1-IF(VLOOKUP($E43,武器奇术!$A:$R,18,FALSE)="叶龙",1,$N43))*(1-$M43)</f>
        <v>0</v>
      </c>
      <c r="DK43" s="124">
        <f>DD43*IF(VLOOKUP($E43,武器奇术!$A:$R,17,FALSE)="牵丝",VLOOKUP($E43,武器奇术!$A:$R,4,FALSE),VLOOKUP($E43,武器奇术!$A:$R,2,FALSE))*(1+DF43)*(1+DG43)*DH43*(1+$E$16+VLOOKUP($E43,武器奇术!$A:$R,8,FALSE))</f>
        <v>877.742438973843</v>
      </c>
      <c r="DL43" s="104">
        <f t="shared" si="38"/>
        <v>0.8703</v>
      </c>
      <c r="DM43" s="103">
        <f>DE43*IF(VLOOKUP($E43,武器奇术!$A:$R,17,FALSE)="牵丝",VLOOKUP($E43,武器奇术!$A:$R,4,FALSE),VLOOKUP($E43,武器奇术!$A:$R,2,FALSE))*(1+DF43)*(1+DG43)*DH43*(1+$E$17+VLOOKUP($E43,武器奇术!$A:$R,10,FALSE))</f>
        <v>872.369511808205</v>
      </c>
      <c r="DN43" s="104">
        <f t="shared" si="39"/>
        <v>0.0986</v>
      </c>
      <c r="DO43" s="124">
        <f>DD43*IF(VLOOKUP($E43,武器奇术!$A:$R,17,FALSE)="牵丝",VLOOKUP($E43,武器奇术!$A:$R,4,FALSE),VLOOKUP($E43,武器奇术!$A:$R,2,FALSE))*(1+DF43)*(1+DG43)*DH43</f>
        <v>437.995229028864</v>
      </c>
      <c r="DP43" s="104">
        <f t="shared" si="40"/>
        <v>0.0311</v>
      </c>
      <c r="DQ43" s="112">
        <f t="shared" si="41"/>
        <v>863.536530126023</v>
      </c>
    </row>
    <row r="44" customFormat="1" ht="14.25" spans="2:121">
      <c r="B44" s="135"/>
      <c r="C44" s="136"/>
      <c r="D44" s="137"/>
      <c r="E44" s="115" t="str">
        <f>期望!E44</f>
        <v>扇左蓄(风墙5惊春小纵)</v>
      </c>
      <c r="F44" s="116">
        <f>期望!F44</f>
        <v>1</v>
      </c>
      <c r="G44" s="117"/>
      <c r="H44" s="103">
        <f>IF(VLOOKUP($E44,武器奇术!$A:$R,18,FALSE)="天工",AE44,(AE44+AT44+BI44+BX44+CM44+DB44+DQ44))*(1+J44)*F44*K44*(1+G44)</f>
        <v>78775.0914571358</v>
      </c>
      <c r="I44" s="104">
        <f t="shared" si="0"/>
        <v>0.00907882597167472</v>
      </c>
      <c r="J44" s="118">
        <f>$F$3+VLOOKUP($E44,武器奇术!$A:$R,12,FALSE)+VLOOKUP($E44,武器奇术!$A:$R,14,FALSE)*$G$3+$P44+IF($F$21="√",5%,0)</f>
        <v>1.037</v>
      </c>
      <c r="K44" s="105">
        <f>VLOOKUP($E44,武器奇术!$A:$R,11,FALSE)</f>
        <v>1</v>
      </c>
      <c r="L44" s="119">
        <f>IF(VLOOKUP($E44,武器奇术!$A:$R,15,FALSE)="天工",0%,IF($C$17+VLOOKUP($E44,武器奇术!$A:$R,7,FALSE)&gt;80%,80%,$C$17+VLOOKUP($E44,武器奇术!$A:$R,7,FALSE))+IF($C$19&gt;20%,20%,$C$19))</f>
        <v>0.8703</v>
      </c>
      <c r="M44" s="120">
        <f>IF(VLOOKUP($E44,武器奇术!$A:$R,15,FALSE)="天工",0%,IF($C$18+VLOOKUP($E44,武器奇术!$A:$R,9,FALSE)&gt;40%,40%,$C$18+VLOOKUP($E44,武器奇术!$A:$R,9,FALSE))+IF($C$20&gt;10%,10%,$C$20))</f>
        <v>0.0986</v>
      </c>
      <c r="N44" s="121">
        <f>IF(VLOOKUP($E44,武器奇术!$A:$R,15,FALSE)="天工",100%,MIN($C$16,1))</f>
        <v>1</v>
      </c>
      <c r="O44" s="122" t="str">
        <f>VLOOKUP($E44,武器奇术!$A:$R,16,FALSE)</f>
        <v>扇</v>
      </c>
      <c r="P44" s="123">
        <f t="shared" si="1"/>
        <v>0.084</v>
      </c>
      <c r="Q44" s="110">
        <f>$B$5*(1+VLOOKUP($E44,武器奇术!$A:$R,5,FALSE))*(1+VLOOKUP($E44,武器奇术!$A:$S,19,FALSE)+IF($G$5="飞隼",0.1,0)+IF($G$5="撼天",0.05,0))-$F$9+IF($J$5="√",160,0)</f>
        <v>3081.85</v>
      </c>
      <c r="R44" s="102">
        <f>IF(VLOOKUP($E44,武器奇术!$A:$Z,18,FALSE)="叶龙",(S44-(Q44+S44)*0.5)*($G$15-0.5)*2+(Q44+S44)*0.5,(Q44+S44)*0.5)</f>
        <v>3161.85</v>
      </c>
      <c r="S44" s="102">
        <f>MAX($C$5,$B$5)*(1+VLOOKUP($E44,武器奇术!$A:$R,6,FALSE))*(1+VLOOKUP($E44,武器奇术!$A:$S,19,FALSE)+IF($G$5="飞隼",0.1,0)+IF($G$5="撼天",0.05,0))-$F$9+IF($J$5="√",320,0)</f>
        <v>3241.85</v>
      </c>
      <c r="T44" s="104">
        <f>IF(($D$5+VLOOKUP($E44,武器奇术!$A:$R,13,FALSE)+IF($I$3="√",10,0)-VLOOKUP($F$7,目标属性!$A:$R,5,FALSE))&gt;0,($D$5+VLOOKUP($E44,武器奇术!$A:$R,13,FALSE)+IF($I$3="√",10,0)-VLOOKUP($F$7,目标属性!$A:$R,5,FALSE))/200,($D$5+VLOOKUP($E44,武器奇术!$A:$R,13,FALSE)+IF($I$3="√",10,0)-VLOOKUP($F$7,目标属性!$A:$R,5,FALSE))/100)</f>
        <v>0.2925</v>
      </c>
      <c r="U44" s="111">
        <f>$E$5+IF($G$5="烟柳",IF(VLOOKUP($E44,武器奇术!$A:$T,20,FALSE)=1,0.1,0),0)</f>
        <v>0.1</v>
      </c>
      <c r="V44" s="102">
        <v>1</v>
      </c>
      <c r="W44" s="103">
        <f>Q44*VLOOKUP($E44,武器奇术!$A:$R,2,FALSE)*(1+T44)*(1+U44)*V44</f>
        <v>12099.3184914278</v>
      </c>
      <c r="X44" s="104">
        <f>(1-IF(VLOOKUP($E44,武器奇术!$A:$R,18,FALSE)="叶龙",1,$N44))*(1-$M44)</f>
        <v>0</v>
      </c>
      <c r="Y44" s="103">
        <f>R44*VLOOKUP($E44,武器奇术!$A:$R,2,FALSE)*(1+T44)*(1+U44)*V44*(1+$E$16+VLOOKUP($E44,武器奇术!$A:$R,8,FALSE))</f>
        <v>24876.449296666</v>
      </c>
      <c r="Z44" s="104">
        <f t="shared" si="2"/>
        <v>0.8703</v>
      </c>
      <c r="AA44" s="103">
        <f>S44*VLOOKUP($E44,武器奇术!$A:$R,2,FALSE)*(1+T44)*(1+U44)*V44*(1+$E$17+VLOOKUP($E44,武器奇术!$A:$R,10,FALSE))</f>
        <v>17182.0942386675</v>
      </c>
      <c r="AB44" s="104">
        <f t="shared" si="3"/>
        <v>0.0986</v>
      </c>
      <c r="AC44" s="103">
        <f>R44*VLOOKUP($E44,武器奇术!$A:$R,2,FALSE)*(1+T44)*(1+U44)*V44</f>
        <v>12413.3978526277</v>
      </c>
      <c r="AD44" s="104">
        <f t="shared" si="4"/>
        <v>0.0311</v>
      </c>
      <c r="AE44" s="112">
        <f t="shared" si="5"/>
        <v>23730.1849880378</v>
      </c>
      <c r="AF44" s="113">
        <f>VLOOKUP($E44,武器奇术!$A:$R,3,FALSE)*(1+IF(VLOOKUP($E44,武器奇术!$A:$R,15,FALSE)="武器",$E$15,0))</f>
        <v>993.395</v>
      </c>
      <c r="AG44" s="103">
        <f t="shared" si="6"/>
        <v>993.395</v>
      </c>
      <c r="AH44" s="103">
        <f>VLOOKUP($E44,武器奇术!$A:$R,3,FALSE)*(1+IF(VLOOKUP($E44,武器奇术!$A:$R,15,FALSE)="武器",$E$15,0))</f>
        <v>993.395</v>
      </c>
      <c r="AI44" s="104">
        <f>IF(($D$5+VLOOKUP($E44,武器奇术!$A:$R,13,FALSE)+IF($I$3="√",10,0)-VLOOKUP($F$7,目标属性!$A:$R,5,FALSE))&gt;0,($D$5+VLOOKUP($E44,武器奇术!$A:$R,13,FALSE)+IF($I$3="√",10,0)-VLOOKUP($F$7,目标属性!$A:$R,5,FALSE))/200,($D$5+VLOOKUP($E44,武器奇术!$A:$R,13,FALSE)+IF($I$3="√",10,0)-VLOOKUP($F$7,目标属性!$A:$R,5,FALSE))/100)</f>
        <v>0.2925</v>
      </c>
      <c r="AJ44" s="111">
        <f>$E$5+IF($G$5="烟柳",IF(VLOOKUP($E44,武器奇术!$A:$T,20,FALSE)=1,0.1,0),0)</f>
        <v>0.1</v>
      </c>
      <c r="AK44" s="102">
        <v>1</v>
      </c>
      <c r="AL44" s="103">
        <f t="shared" si="7"/>
        <v>1412.35934125</v>
      </c>
      <c r="AM44" s="104">
        <f>(1-IF(VLOOKUP($E44,武器奇术!$A:$R,18,FALSE)="叶龙",1,$N44))*(1-$M44)</f>
        <v>0</v>
      </c>
      <c r="AN44" s="103">
        <f>AG44*(1+AI44)*(1+AJ44)*AK44*(1+$E$16+VLOOKUP($E44,武器奇术!$A:$R,8,FALSE))</f>
        <v>2830.368119865</v>
      </c>
      <c r="AO44" s="104">
        <f t="shared" si="8"/>
        <v>0.8703</v>
      </c>
      <c r="AP44" s="103">
        <f>AH44*(1+AI44)*(1+AJ44)*AK44*(1+$E$17+VLOOKUP($E44,武器奇术!$A:$R,10,FALSE))</f>
        <v>1906.6851106875</v>
      </c>
      <c r="AQ44" s="104">
        <f t="shared" si="9"/>
        <v>0.0986</v>
      </c>
      <c r="AR44" s="103">
        <f t="shared" si="10"/>
        <v>1412.35934125</v>
      </c>
      <c r="AS44" s="104">
        <f t="shared" si="11"/>
        <v>0.0311</v>
      </c>
      <c r="AT44" s="112">
        <f t="shared" si="12"/>
        <v>2695.19290214517</v>
      </c>
      <c r="AU44" s="110">
        <f>$B$7*IF($G$5="撼天",1.05,1)+IF(AND(VLOOKUP($E44,武器奇术!$A:$R,15,FALSE)="武器",VLOOKUP($E44,武器奇术!$A:$R,17,FALSE)="鸣金"),$E$3*(1+$E$15),0)</f>
        <v>0</v>
      </c>
      <c r="AV44" s="102">
        <f t="shared" si="13"/>
        <v>0</v>
      </c>
      <c r="AW44" s="102">
        <f>MAX($C$7*IF($G$5="撼天",1.05,1)+IF(AND(VLOOKUP($E44,武器奇术!$A:$R,15,FALSE)="武器",VLOOKUP($E44,武器奇术!$A:$R,17,FALSE)="鸣金"),$E$3*(1+$E$15),0),AU44)</f>
        <v>0</v>
      </c>
      <c r="AX44" s="104">
        <f>IF(($D$7+IF(VLOOKUP($E44,武器奇术!$A:$R,17,FALSE)="鸣金",$D$15,0)-VLOOKUP($F$7,目标属性!$A:$R,6,FALSE))&gt;0,($D$7+IF(VLOOKUP($E44,武器奇术!$A:$R,17,FALSE)="鸣金",$D$15,0)-VLOOKUP($F$7,目标属性!$A:$R,6,FALSE))/200,($D$7+IF(VLOOKUP($E44,武器奇术!$A:$R,17,FALSE)="鸣金",$D$15,0)-VLOOKUP($F$7,目标属性!$A:$R,6,FALSE))/100)</f>
        <v>-0.24</v>
      </c>
      <c r="AY44" s="111">
        <f t="shared" si="14"/>
        <v>0</v>
      </c>
      <c r="AZ44" s="102">
        <v>1</v>
      </c>
      <c r="BA44" s="103">
        <f>AU44*IF(VLOOKUP($E44,武器奇术!$A:$R,17,FALSE)="鸣金",VLOOKUP($E44,武器奇术!$A:$R,4,FALSE),VLOOKUP($E44,武器奇术!$A:$R,2,FALSE))*(1+AX44)*(1+AY44)*AZ44</f>
        <v>0</v>
      </c>
      <c r="BB44" s="104">
        <f>(1-IF(VLOOKUP($E44,武器奇术!$A:$R,18,FALSE)="叶龙",1,$N44))*(1-$M44)</f>
        <v>0</v>
      </c>
      <c r="BC44" s="103">
        <f>AV44*IF(VLOOKUP($E44,武器奇术!$A:$R,17,FALSE)="鸣金",VLOOKUP($E44,武器奇术!$A:$R,4,FALSE),VLOOKUP($E44,武器奇术!$A:$R,2,FALSE))*(1+AX44)*(1+AY44)*AZ44*(1+$E$16+VLOOKUP($E44,武器奇术!$A:$R,8,FALSE))</f>
        <v>0</v>
      </c>
      <c r="BD44" s="104">
        <f t="shared" si="15"/>
        <v>0.8703</v>
      </c>
      <c r="BE44" s="103">
        <f>AW44*IF(VLOOKUP($E44,武器奇术!$A:$R,17,FALSE)="鸣金",VLOOKUP($E44,武器奇术!$A:$R,4,FALSE),VLOOKUP($E44,武器奇术!$A:$R,2,FALSE))*(1+AX44)*(1+AY44)*AZ44*(1+$E$17+VLOOKUP($E44,武器奇术!$A:$R,10,FALSE))</f>
        <v>0</v>
      </c>
      <c r="BF44" s="104">
        <f t="shared" si="16"/>
        <v>0.0986</v>
      </c>
      <c r="BG44" s="103">
        <f>AV44*IF(VLOOKUP($E44,武器奇术!$A:$R,17,FALSE)="鸣金",VLOOKUP($E44,武器奇术!$A:$R,4,FALSE),VLOOKUP($E44,武器奇术!$A:$R,2,FALSE))*(1+AX44)*(1+AY44)*AZ44</f>
        <v>0</v>
      </c>
      <c r="BH44" s="104">
        <f t="shared" si="17"/>
        <v>0.0311</v>
      </c>
      <c r="BI44" s="112">
        <f t="shared" si="18"/>
        <v>0</v>
      </c>
      <c r="BJ44" s="110">
        <f>$B$9*IF($G$5="撼天",1.05,1)+IF(AND(VLOOKUP($E44,武器奇术!$A:$R,15,FALSE)="武器",VLOOKUP($E44,武器奇术!$A:$R,17,FALSE)="裂石"),$E$3*(1+$E$15),0)</f>
        <v>0</v>
      </c>
      <c r="BK44" s="102">
        <f t="shared" si="19"/>
        <v>0</v>
      </c>
      <c r="BL44" s="102">
        <f>MAX($C$9*IF($G$5="撼天",1.05,1)+IF(AND(VLOOKUP($E44,武器奇术!$A:$R,15,FALSE)="武器",VLOOKUP($E44,武器奇术!$A:$R,17,FALSE)="裂石"),$E$3*(1+$E$15),0),BJ44)</f>
        <v>0</v>
      </c>
      <c r="BM44" s="104">
        <f>IF(($D$9+IF(VLOOKUP($E44,武器奇术!$A:$R,17,FALSE)="裂石",$D$15,0)-VLOOKUP($F$7,目标属性!$A:$R,6,FALSE))&gt;0,($D$9+IF(VLOOKUP($E44,武器奇术!$A:$R,17,FALSE)="裂石",$D$15,0)-VLOOKUP($F$7,目标属性!$A:$R,6,FALSE))/200,($D$9+IF(VLOOKUP($E44,武器奇术!$A:$R,17,FALSE)="裂石",$D$15,0)-VLOOKUP($F$7,目标属性!$A:$R,6,FALSE))/100)</f>
        <v>-0.24</v>
      </c>
      <c r="BN44" s="111">
        <f t="shared" si="20"/>
        <v>0</v>
      </c>
      <c r="BO44" s="102">
        <v>1</v>
      </c>
      <c r="BP44" s="103">
        <f>BJ44*IF(VLOOKUP($E44,武器奇术!$A:$R,17,FALSE)="裂石",VLOOKUP($E44,武器奇术!$A:$R,4,FALSE),VLOOKUP($E44,武器奇术!$A:$R,2,FALSE))*(1+BM44)*(1+BN44)*BO44</f>
        <v>0</v>
      </c>
      <c r="BQ44" s="104">
        <f>(1-IF(VLOOKUP($E44,武器奇术!$A:$R,18,FALSE)="叶龙",1,$N44))*(1-$M44)</f>
        <v>0</v>
      </c>
      <c r="BR44" s="103">
        <f>BK44*IF(VLOOKUP($E44,武器奇术!$A:$R,17,FALSE)="裂石",VLOOKUP($E44,武器奇术!$A:$R,4,FALSE),VLOOKUP($E44,武器奇术!$A:$R,2,FALSE))*(1+BM44)*(1+BN44)*BO44*(1+$E$16+VLOOKUP($E44,武器奇术!$A:$R,8,FALSE))</f>
        <v>0</v>
      </c>
      <c r="BS44" s="104">
        <f t="shared" si="21"/>
        <v>0.8703</v>
      </c>
      <c r="BT44" s="103">
        <f>BL44*IF(VLOOKUP($E44,武器奇术!$A:$R,17,FALSE)="裂石",VLOOKUP($E44,武器奇术!$A:$R,4,FALSE),VLOOKUP($E44,武器奇术!$A:$R,2,FALSE))*(1+BM44)*(1+BN44)*BO44*(1+$E$17+VLOOKUP($E44,武器奇术!$A:$R,10,FALSE))</f>
        <v>0</v>
      </c>
      <c r="BU44" s="104">
        <f t="shared" si="22"/>
        <v>0.0986</v>
      </c>
      <c r="BV44" s="103">
        <f>BK44*IF(VLOOKUP($E44,武器奇术!$A:$R,17,FALSE)="裂石",VLOOKUP($E44,武器奇术!$A:$R,4,FALSE),VLOOKUP($E44,武器奇术!$A:$R,2,FALSE))*(1+BM44)*(1+BN44)*BO44</f>
        <v>0</v>
      </c>
      <c r="BW44" s="104">
        <f t="shared" si="23"/>
        <v>0.0311</v>
      </c>
      <c r="BX44" s="112">
        <f t="shared" si="24"/>
        <v>0</v>
      </c>
      <c r="BY44" s="110">
        <f>$B$11*IF($G$5="撼天",1.05,1)+IF(AND(VLOOKUP($E44,武器奇术!$A:$R,15,FALSE)="武器",VLOOKUP($E44,武器奇术!$A:$R,17,FALSE)="牵丝"),$E$3*(1+$E$15),0)</f>
        <v>686.71</v>
      </c>
      <c r="BZ44" s="102">
        <f>IF(VLOOKUP($E44,武器奇术!$A:$Z,18,FALSE)="叶龙",(CA44-(BY44+CA44)*0.5)*($G$15-0.5)*2+(BY44+CA44)*0.5,(BY44+CA44)*0.5)</f>
        <v>1052.21</v>
      </c>
      <c r="CA44" s="102">
        <f>MAX($C$11*IF($G$5="撼天",1.05,1)+IF(AND(VLOOKUP($E44,武器奇术!$A:$R,15,FALSE)="武器",VLOOKUP($E44,武器奇术!$A:$R,17,FALSE)="牵丝"),$E$3*(1+$E$15),0),BY44)</f>
        <v>1417.71</v>
      </c>
      <c r="CB44" s="104">
        <f>IF(($D$11+IF(VLOOKUP($E44,武器奇术!$A:$R,17,FALSE)="牵丝",$D$15,0)-VLOOKUP($F$7,目标属性!$A:$R,6,FALSE))&gt;0,($D$11+IF(VLOOKUP($E44,武器奇术!$A:$R,17,FALSE)="牵丝",$D$15,0)-VLOOKUP($F$7,目标属性!$A:$R,6,FALSE))/200,($D$11+IF(VLOOKUP($E44,武器奇术!$A:$R,17,FALSE)="牵丝",$D$15,0)-VLOOKUP($F$7,目标属性!$A:$R,6,FALSE))/100)</f>
        <v>0.028</v>
      </c>
      <c r="CC44" s="111">
        <f>$E$11+IF($G$5="烟柳",IF(VLOOKUP($E44,武器奇术!$A:$T,20,FALSE)=1,0.1,0),0)</f>
        <v>0.248</v>
      </c>
      <c r="CD44" s="102">
        <v>1</v>
      </c>
      <c r="CE44" s="103">
        <f>BY44*IF(VLOOKUP($E44,武器奇术!$A:$R,17,FALSE)="牵丝",VLOOKUP($E44,武器奇术!$A:$R,4,FALSE),VLOOKUP($E44,武器奇术!$A:$R,2,FALSE))*(1+CB44)*(1+CC44)*CD44</f>
        <v>3649.20705503528</v>
      </c>
      <c r="CF44" s="104">
        <f>(1-IF(VLOOKUP($E44,武器奇术!$A:$R,18,FALSE)="叶龙",1,$N44))*(1-$M44)</f>
        <v>0</v>
      </c>
      <c r="CG44" s="124">
        <f>BZ44*IF(VLOOKUP($E44,武器奇术!$A:$R,17,FALSE)="牵丝",VLOOKUP($E44,武器奇术!$A:$R,4,FALSE),VLOOKUP($E44,武器奇术!$A:$R,2,FALSE))*(1+CB44)*(1+CC44)*CD44*(1+$E$16+VLOOKUP($E44,武器奇术!$A:$R,8,FALSE))</f>
        <v>11205.3461277378</v>
      </c>
      <c r="CH44" s="104">
        <f t="shared" si="25"/>
        <v>0.8703</v>
      </c>
      <c r="CI44" s="103">
        <f>CA44*IF(VLOOKUP($E44,武器奇术!$A:$R,17,FALSE)="牵丝",VLOOKUP($E44,武器奇术!$A:$R,4,FALSE),VLOOKUP($E44,武器奇术!$A:$R,2,FALSE))*(1+CB44)*(1+CC44)*CD44*(1+$E$17+VLOOKUP($E44,武器奇术!$A:$R,10,FALSE))</f>
        <v>10170.5937016965</v>
      </c>
      <c r="CJ44" s="104">
        <f t="shared" si="26"/>
        <v>0.0986</v>
      </c>
      <c r="CK44" s="124">
        <f>BZ44*IF(VLOOKUP($E44,武器奇术!$A:$R,17,FALSE)="牵丝",VLOOKUP($E44,武器奇术!$A:$R,4,FALSE),VLOOKUP($E44,武器奇术!$A:$R,2,FALSE))*(1+CB44)*(1+CC44)*CD44</f>
        <v>5591.49008370152</v>
      </c>
      <c r="CL44" s="104">
        <f t="shared" si="27"/>
        <v>0.0311</v>
      </c>
      <c r="CM44" s="112">
        <f t="shared" si="28"/>
        <v>10928.7286155606</v>
      </c>
      <c r="CN44" s="110">
        <f>$B$13*IF($G$5="撼天",1.05,1)+IF(AND(VLOOKUP($E44,武器奇术!$A:$R,15,FALSE)="武器",VLOOKUP($E44,武器奇术!$A:$R,17,FALSE)="破竹"),$E$3*(1+$E$15),0)</f>
        <v>0</v>
      </c>
      <c r="CO44" s="102">
        <f t="shared" si="29"/>
        <v>0</v>
      </c>
      <c r="CP44" s="102">
        <f>MAX($C$13*IF($G$5="撼天",1.05,1)+IF(AND(VLOOKUP($E44,武器奇术!$A:$R,15,FALSE)="武器",VLOOKUP($E44,武器奇术!$A:$R,17,FALSE)="破竹"),$E$3*(1+$E$15),0),CN44)</f>
        <v>0</v>
      </c>
      <c r="CQ44" s="104">
        <f>IF(($D$13+IF(VLOOKUP($E44,武器奇术!$A:$R,17,FALSE)="破竹",$D$15,0)-VLOOKUP($F$7,目标属性!$A:$R,6,FALSE))&gt;0,($D$13+IF(VLOOKUP($E44,武器奇术!$A:$R,17,FALSE)="破竹",$D$15,0)-VLOOKUP($F$7,目标属性!$A:$R,6,FALSE))/200,($D$13+IF(VLOOKUP($E44,武器奇术!$A:$R,17,FALSE)="破竹",$D$15,0)-VLOOKUP($F$7,目标属性!$A:$R,6,FALSE))/100)</f>
        <v>-0.24</v>
      </c>
      <c r="CR44" s="111">
        <f t="shared" si="30"/>
        <v>0</v>
      </c>
      <c r="CS44" s="102">
        <v>1</v>
      </c>
      <c r="CT44" s="103">
        <f>CN44*IF(VLOOKUP($E44,武器奇术!$A:$R,17,FALSE)="破竹",VLOOKUP($E44,武器奇术!$A:$R,4,FALSE),VLOOKUP($E44,武器奇术!$A:$R,2,FALSE))*(1+CQ44)*(1+CR44)*CS44</f>
        <v>0</v>
      </c>
      <c r="CU44" s="104">
        <f>(1-IF(VLOOKUP($E44,武器奇术!$A:$R,18,FALSE)="叶龙",1,$N44))*(1-$M44)</f>
        <v>0</v>
      </c>
      <c r="CV44" s="103">
        <f>CO44*IF(VLOOKUP($E44,武器奇术!$A:$R,17,FALSE)="破竹",VLOOKUP($E44,武器奇术!$A:$R,4,FALSE),VLOOKUP($E44,武器奇术!$A:$R,2,FALSE))*(1+CQ44)*(1+CR44)*CS44*(1+$E$16+VLOOKUP($E44,武器奇术!$A:$R,8,FALSE))</f>
        <v>0</v>
      </c>
      <c r="CW44" s="104">
        <f t="shared" si="31"/>
        <v>0.8703</v>
      </c>
      <c r="CX44" s="103">
        <f>CP44*IF(VLOOKUP($E44,武器奇术!$A:$R,17,FALSE)="破竹",VLOOKUP($E44,武器奇术!$A:$R,4,FALSE),VLOOKUP($E44,武器奇术!$A:$R,2,FALSE))*(1+CQ44)*(1+CR44)*CS44*(1+$E$17+VLOOKUP($E44,武器奇术!$A:$R,10,FALSE))</f>
        <v>0</v>
      </c>
      <c r="CY44" s="104">
        <f t="shared" si="32"/>
        <v>0.0986</v>
      </c>
      <c r="CZ44" s="103">
        <f>CO44*IF(VLOOKUP($E44,武器奇术!$A:$R,17,FALSE)="破竹",VLOOKUP($E44,武器奇术!$A:$R,4,FALSE),VLOOKUP($E44,武器奇术!$A:$R,2,FALSE))*(1+CQ44)*(1+CR44)*CS44</f>
        <v>0</v>
      </c>
      <c r="DA44" s="104">
        <f t="shared" si="33"/>
        <v>0.0311</v>
      </c>
      <c r="DB44" s="112">
        <f t="shared" si="34"/>
        <v>0</v>
      </c>
      <c r="DC44" s="110">
        <f t="shared" si="35"/>
        <v>66</v>
      </c>
      <c r="DD44" s="102">
        <f t="shared" si="36"/>
        <v>125.8</v>
      </c>
      <c r="DE44" s="102">
        <f t="shared" si="37"/>
        <v>185.6</v>
      </c>
      <c r="DF44" s="104">
        <f>IF((IF(VLOOKUP($E44,武器奇术!$A:$R,17,FALSE)="鸣金",$D$7,0)+IF(VLOOKUP($E44,武器奇术!$A:$R,17,FALSE)="裂石",$D$9,0)+IF(VLOOKUP($E44,武器奇术!$A:$R,17,FALSE)="牵丝",$D$11,0)+IF(VLOOKUP($E44,武器奇术!$A:$R,17,FALSE)="破竹",$D$13,0)+$D$15-VLOOKUP($F$7,目标属性!$A:$R,6,FALSE))&gt;0,(IF(VLOOKUP($E44,武器奇术!$A:$R,17,FALSE)="鸣金",$D$7,0)+IF(VLOOKUP($E44,武器奇术!$A:$R,17,FALSE)="裂石",$D$9,0)+IF(VLOOKUP($E44,武器奇术!$A:$R,17,FALSE)="牵丝",$D$11,0)+IF(VLOOKUP($E44,武器奇术!$A:$R,17,FALSE)="破竹",$D$13,0)+$D$15-VLOOKUP($F$7,目标属性!$A:$R,6,FALSE))/200,(IF(VLOOKUP($E44,武器奇术!$A:$R,17,FALSE)="鸣金",$D$7,0)+IF(VLOOKUP($E44,武器奇术!$A:$R,17,FALSE)="裂石",$D$9,0)+IF(VLOOKUP($E44,武器奇术!$A:$R,17,FALSE)="牵丝",$D$11,0)+IF(VLOOKUP($E44,武器奇术!$A:$R,17,FALSE)="破竹",$D$13,0)+$D$15-VLOOKUP($F$7,目标属性!$A:$R,6,FALSE))/100)</f>
        <v>0.028</v>
      </c>
      <c r="DG44" s="111">
        <f>$E$11+IF($G$5="烟柳",IF(VLOOKUP($E44,武器奇术!$A:$T,20,FALSE)=1,0.1,0),0)</f>
        <v>0.248</v>
      </c>
      <c r="DH44" s="102">
        <v>1</v>
      </c>
      <c r="DI44" s="103">
        <f>DC44*IF(VLOOKUP($E44,武器奇术!$A:$R,17,FALSE)="牵丝",VLOOKUP($E44,武器奇术!$A:$R,4,FALSE),VLOOKUP($E44,武器奇术!$A:$R,2,FALSE))*(1+DF44)*(1+DG44)*DH44</f>
        <v>350.72689436928</v>
      </c>
      <c r="DJ44" s="104">
        <f>(1-IF(VLOOKUP($E44,武器奇术!$A:$R,18,FALSE)="叶龙",1,$N44))*(1-$M44)</f>
        <v>0</v>
      </c>
      <c r="DK44" s="124">
        <f>DD44*IF(VLOOKUP($E44,武器奇术!$A:$R,17,FALSE)="牵丝",VLOOKUP($E44,武器奇术!$A:$R,4,FALSE),VLOOKUP($E44,武器奇术!$A:$R,2,FALSE))*(1+DF44)*(1+DG44)*DH44*(1+$E$16+VLOOKUP($E44,武器奇术!$A:$R,8,FALSE))</f>
        <v>1339.6874605539</v>
      </c>
      <c r="DL44" s="104">
        <f t="shared" si="38"/>
        <v>0.8703</v>
      </c>
      <c r="DM44" s="103">
        <f>DE44*IF(VLOOKUP($E44,武器奇术!$A:$R,17,FALSE)="牵丝",VLOOKUP($E44,武器奇术!$A:$R,4,FALSE),VLOOKUP($E44,武器奇术!$A:$R,2,FALSE))*(1+DF44)*(1+DG44)*DH44*(1+$E$17+VLOOKUP($E44,武器奇术!$A:$R,10,FALSE))</f>
        <v>1331.48682807829</v>
      </c>
      <c r="DN44" s="104">
        <f t="shared" si="39"/>
        <v>0.0986</v>
      </c>
      <c r="DO44" s="124">
        <f>DD44*IF(VLOOKUP($E44,武器奇术!$A:$R,17,FALSE)="牵丝",VLOOKUP($E44,武器奇术!$A:$R,4,FALSE),VLOOKUP($E44,武器奇术!$A:$R,2,FALSE))*(1+DF44)*(1+DG44)*DH44</f>
        <v>668.506716843264</v>
      </c>
      <c r="DP44" s="104">
        <f t="shared" si="40"/>
        <v>0.0311</v>
      </c>
      <c r="DQ44" s="112">
        <f t="shared" si="41"/>
        <v>1318.0051570624</v>
      </c>
    </row>
    <row r="45" customFormat="1" spans="2:121">
      <c r="B45" s="106"/>
      <c r="C45" s="20"/>
      <c r="D45" s="114"/>
      <c r="E45" s="115" t="str">
        <f>期望!E45</f>
        <v>伞～(连中风墙小纵)</v>
      </c>
      <c r="F45" s="116">
        <f>期望!F45</f>
        <v>10</v>
      </c>
      <c r="G45" s="117">
        <f>$E$23</f>
        <v>0.32</v>
      </c>
      <c r="H45" s="103">
        <f>IF(VLOOKUP($E45,武器奇术!$A:$R,18,FALSE)="天工",AE45,(AE45+AT45+BI45+BX45+CM45+DB45+DQ45))*(1+J45)*F45*K45*(1+G45)</f>
        <v>467549.921113293</v>
      </c>
      <c r="I45" s="104">
        <f t="shared" si="0"/>
        <v>0.0538851087106332</v>
      </c>
      <c r="J45" s="118">
        <f>$F$3+VLOOKUP($E45,武器奇术!$A:$R,12,FALSE)+VLOOKUP($E45,武器奇术!$A:$R,14,FALSE)*$G$3+$P45+IF($F$21="√",5%,0)</f>
        <v>1.153</v>
      </c>
      <c r="K45" s="105">
        <f>VLOOKUP($E45,武器奇术!$A:$R,11,FALSE)</f>
        <v>1</v>
      </c>
      <c r="L45" s="119">
        <f>IF(VLOOKUP($E45,武器奇术!$A:$R,15,FALSE)="天工",0%,IF($C$17+VLOOKUP($E45,武器奇术!$A:$R,7,FALSE)&gt;80%,80%,$C$17+VLOOKUP($E45,武器奇术!$A:$R,7,FALSE))+IF($C$19&gt;20%,20%,$C$19))</f>
        <v>0.8703</v>
      </c>
      <c r="M45" s="120">
        <f>IF(VLOOKUP($E45,武器奇术!$A:$R,15,FALSE)="天工",0%,IF($C$18+VLOOKUP($E45,武器奇术!$A:$R,9,FALSE)&gt;40%,40%,$C$18+VLOOKUP($E45,武器奇术!$A:$R,9,FALSE))+IF($C$20&gt;10%,10%,$C$20))</f>
        <v>0.0986</v>
      </c>
      <c r="N45" s="121">
        <f>IF(VLOOKUP($E45,武器奇术!$A:$R,15,FALSE)="天工",100%,MIN($C$16,1))</f>
        <v>1</v>
      </c>
      <c r="O45" s="122" t="str">
        <f>VLOOKUP($E45,武器奇术!$A:$R,16,FALSE)</f>
        <v>伞</v>
      </c>
      <c r="P45" s="123">
        <f t="shared" si="1"/>
        <v>0.17</v>
      </c>
      <c r="Q45" s="110">
        <f>$B$5*(1+VLOOKUP($E45,武器奇术!$A:$R,5,FALSE))*(1+VLOOKUP($E45,武器奇术!$A:$S,19,FALSE)+IF($G$5="飞隼",0.1,0)+IF($G$5="撼天",0.05,0))-$F$9+IF($J$5="√",160,0)</f>
        <v>3081.85</v>
      </c>
      <c r="R45" s="102">
        <f>IF(VLOOKUP($E45,武器奇术!$A:$Z,18,FALSE)="叶龙",(S45-(Q45+S45)*0.5)*($G$15-0.5)*2+(Q45+S45)*0.5,(Q45+S45)*0.5)</f>
        <v>3161.85</v>
      </c>
      <c r="S45" s="102">
        <f>MAX($C$5,$B$5)*(1+VLOOKUP($E45,武器奇术!$A:$R,6,FALSE))*(1+VLOOKUP($E45,武器奇术!$A:$S,19,FALSE)+IF($G$5="飞隼",0.1,0)+IF($G$5="撼天",0.05,0))-$F$9+IF($J$5="√",320,0)</f>
        <v>3241.85</v>
      </c>
      <c r="T45" s="104">
        <f>IF(($D$5+VLOOKUP($E45,武器奇术!$A:$R,13,FALSE)+IF($I$3="√",10,0)-VLOOKUP($F$7,目标属性!$A:$R,5,FALSE))&gt;0,($D$5+VLOOKUP($E45,武器奇术!$A:$R,13,FALSE)+IF($I$3="√",10,0)-VLOOKUP($F$7,目标属性!$A:$R,5,FALSE))/200,($D$5+VLOOKUP($E45,武器奇术!$A:$R,13,FALSE)+IF($I$3="√",10,0)-VLOOKUP($F$7,目标属性!$A:$R,5,FALSE))/100)</f>
        <v>0.2925</v>
      </c>
      <c r="U45" s="111">
        <f>$E$5+IF($G$5="烟柳",IF(VLOOKUP($E45,武器奇术!$A:$T,20,FALSE)=1,0.1,0),0)</f>
        <v>0.1</v>
      </c>
      <c r="V45" s="102">
        <v>1</v>
      </c>
      <c r="W45" s="103">
        <f>Q45*VLOOKUP($E45,武器奇术!$A:$R,2,FALSE)*(1+T45)*(1+U45)*V45</f>
        <v>5148.20660615181</v>
      </c>
      <c r="X45" s="104">
        <f>(1-IF(VLOOKUP($E45,武器奇术!$A:$R,18,FALSE)="叶龙",1,$N45))*(1-$M45)</f>
        <v>0</v>
      </c>
      <c r="Y45" s="103">
        <f>R45*VLOOKUP($E45,武器奇术!$A:$R,2,FALSE)*(1+T45)*(1+U45)*V45*(1+$E$16+VLOOKUP($E45,武器奇术!$A:$R,8,FALSE))</f>
        <v>10584.819359655</v>
      </c>
      <c r="Z45" s="104">
        <f t="shared" si="2"/>
        <v>0.8703</v>
      </c>
      <c r="AA45" s="103">
        <f>S45*VLOOKUP($E45,武器奇术!$A:$R,2,FALSE)*(1+T45)*(1+U45)*V45*(1+$E$17+VLOOKUP($E45,武器奇术!$A:$R,10,FALSE))</f>
        <v>7310.90524889495</v>
      </c>
      <c r="AB45" s="104">
        <f t="shared" si="3"/>
        <v>0.0986</v>
      </c>
      <c r="AC45" s="103">
        <f>R45*VLOOKUP($E45,武器奇术!$A:$R,2,FALSE)*(1+T45)*(1+U45)*V45</f>
        <v>5281.84598785181</v>
      </c>
      <c r="AD45" s="104">
        <f t="shared" si="4"/>
        <v>0.0311</v>
      </c>
      <c r="AE45" s="112">
        <f t="shared" si="5"/>
        <v>10097.088956471</v>
      </c>
      <c r="AF45" s="113">
        <f>VLOOKUP($E45,武器奇术!$A:$R,3,FALSE)*(1+IF(VLOOKUP($E45,武器奇术!$A:$R,15,FALSE)="武器",$E$15,0))</f>
        <v>421.59</v>
      </c>
      <c r="AG45" s="103">
        <f t="shared" si="6"/>
        <v>421.59</v>
      </c>
      <c r="AH45" s="103">
        <f>VLOOKUP($E45,武器奇术!$A:$R,3,FALSE)*(1+IF(VLOOKUP($E45,武器奇术!$A:$R,15,FALSE)="武器",$E$15,0))</f>
        <v>421.59</v>
      </c>
      <c r="AI45" s="104">
        <f>IF(($D$5+VLOOKUP($E45,武器奇术!$A:$R,13,FALSE)+IF($I$3="√",10,0)-VLOOKUP($F$7,目标属性!$A:$R,5,FALSE))&gt;0,($D$5+VLOOKUP($E45,武器奇术!$A:$R,13,FALSE)+IF($I$3="√",10,0)-VLOOKUP($F$7,目标属性!$A:$R,5,FALSE))/200,($D$5+VLOOKUP($E45,武器奇术!$A:$R,13,FALSE)+IF($I$3="√",10,0)-VLOOKUP($F$7,目标属性!$A:$R,5,FALSE))/100)</f>
        <v>0.2925</v>
      </c>
      <c r="AJ45" s="111">
        <f>$E$5+IF($G$5="烟柳",IF(VLOOKUP($E45,武器奇术!$A:$T,20,FALSE)=1,0.1,0),0)</f>
        <v>0.1</v>
      </c>
      <c r="AK45" s="102">
        <v>1</v>
      </c>
      <c r="AL45" s="103">
        <f t="shared" si="7"/>
        <v>599.3955825</v>
      </c>
      <c r="AM45" s="104">
        <f>(1-IF(VLOOKUP($E45,武器奇术!$A:$R,18,FALSE)="叶龙",1,$N45))*(1-$M45)</f>
        <v>0</v>
      </c>
      <c r="AN45" s="103">
        <f>AG45*(1+AI45)*(1+AJ45)*AK45*(1+$E$16+VLOOKUP($E45,武器奇术!$A:$R,8,FALSE))</f>
        <v>1201.18874733</v>
      </c>
      <c r="AO45" s="104">
        <f t="shared" si="8"/>
        <v>0.8703</v>
      </c>
      <c r="AP45" s="103">
        <f>AH45*(1+AI45)*(1+AJ45)*AK45*(1+$E$17+VLOOKUP($E45,武器奇术!$A:$R,10,FALSE))</f>
        <v>809.184036375</v>
      </c>
      <c r="AQ45" s="104">
        <f t="shared" si="9"/>
        <v>0.0986</v>
      </c>
      <c r="AR45" s="103">
        <f t="shared" si="10"/>
        <v>599.3955825</v>
      </c>
      <c r="AS45" s="104">
        <f t="shared" si="11"/>
        <v>0.0311</v>
      </c>
      <c r="AT45" s="112">
        <f t="shared" si="12"/>
        <v>1143.82131540362</v>
      </c>
      <c r="AU45" s="110">
        <f>$B$7*IF($G$5="撼天",1.05,1)+IF(AND(VLOOKUP($E45,武器奇术!$A:$R,15,FALSE)="武器",VLOOKUP($E45,武器奇术!$A:$R,17,FALSE)="鸣金"),$E$3*(1+$E$15),0)</f>
        <v>0</v>
      </c>
      <c r="AV45" s="102">
        <f t="shared" si="13"/>
        <v>0</v>
      </c>
      <c r="AW45" s="102">
        <f>MAX($C$7*IF($G$5="撼天",1.05,1)+IF(AND(VLOOKUP($E45,武器奇术!$A:$R,15,FALSE)="武器",VLOOKUP($E45,武器奇术!$A:$R,17,FALSE)="鸣金"),$E$3*(1+$E$15),0),AU45)</f>
        <v>0</v>
      </c>
      <c r="AX45" s="104">
        <f>IF(($D$7+IF(VLOOKUP($E45,武器奇术!$A:$R,17,FALSE)="鸣金",$D$15,0)-VLOOKUP($F$7,目标属性!$A:$R,6,FALSE))&gt;0,($D$7+IF(VLOOKUP($E45,武器奇术!$A:$R,17,FALSE)="鸣金",$D$15,0)-VLOOKUP($F$7,目标属性!$A:$R,6,FALSE))/200,($D$7+IF(VLOOKUP($E45,武器奇术!$A:$R,17,FALSE)="鸣金",$D$15,0)-VLOOKUP($F$7,目标属性!$A:$R,6,FALSE))/100)</f>
        <v>-0.24</v>
      </c>
      <c r="AY45" s="111">
        <f t="shared" si="14"/>
        <v>0</v>
      </c>
      <c r="AZ45" s="102">
        <v>1</v>
      </c>
      <c r="BA45" s="103">
        <f>AU45*IF(VLOOKUP($E45,武器奇术!$A:$R,17,FALSE)="鸣金",VLOOKUP($E45,武器奇术!$A:$R,4,FALSE),VLOOKUP($E45,武器奇术!$A:$R,2,FALSE))*(1+AX45)*(1+AY45)*AZ45</f>
        <v>0</v>
      </c>
      <c r="BB45" s="104">
        <f>(1-IF(VLOOKUP($E45,武器奇术!$A:$R,18,FALSE)="叶龙",1,$N45))*(1-$M45)</f>
        <v>0</v>
      </c>
      <c r="BC45" s="103">
        <f>AV45*IF(VLOOKUP($E45,武器奇术!$A:$R,17,FALSE)="鸣金",VLOOKUP($E45,武器奇术!$A:$R,4,FALSE),VLOOKUP($E45,武器奇术!$A:$R,2,FALSE))*(1+AX45)*(1+AY45)*AZ45*(1+$E$16+VLOOKUP($E45,武器奇术!$A:$R,8,FALSE))</f>
        <v>0</v>
      </c>
      <c r="BD45" s="104">
        <f t="shared" si="15"/>
        <v>0.8703</v>
      </c>
      <c r="BE45" s="103">
        <f>AW45*IF(VLOOKUP($E45,武器奇术!$A:$R,17,FALSE)="鸣金",VLOOKUP($E45,武器奇术!$A:$R,4,FALSE),VLOOKUP($E45,武器奇术!$A:$R,2,FALSE))*(1+AX45)*(1+AY45)*AZ45*(1+$E$17+VLOOKUP($E45,武器奇术!$A:$R,10,FALSE))</f>
        <v>0</v>
      </c>
      <c r="BF45" s="104">
        <f t="shared" si="16"/>
        <v>0.0986</v>
      </c>
      <c r="BG45" s="103">
        <f>AV45*IF(VLOOKUP($E45,武器奇术!$A:$R,17,FALSE)="鸣金",VLOOKUP($E45,武器奇术!$A:$R,4,FALSE),VLOOKUP($E45,武器奇术!$A:$R,2,FALSE))*(1+AX45)*(1+AY45)*AZ45</f>
        <v>0</v>
      </c>
      <c r="BH45" s="104">
        <f t="shared" si="17"/>
        <v>0.0311</v>
      </c>
      <c r="BI45" s="112">
        <f t="shared" si="18"/>
        <v>0</v>
      </c>
      <c r="BJ45" s="110">
        <f>$B$9*IF($G$5="撼天",1.05,1)+IF(AND(VLOOKUP($E45,武器奇术!$A:$R,15,FALSE)="武器",VLOOKUP($E45,武器奇术!$A:$R,17,FALSE)="裂石"),$E$3*(1+$E$15),0)</f>
        <v>0</v>
      </c>
      <c r="BK45" s="102">
        <f t="shared" si="19"/>
        <v>0</v>
      </c>
      <c r="BL45" s="102">
        <f>MAX($C$9*IF($G$5="撼天",1.05,1)+IF(AND(VLOOKUP($E45,武器奇术!$A:$R,15,FALSE)="武器",VLOOKUP($E45,武器奇术!$A:$R,17,FALSE)="裂石"),$E$3*(1+$E$15),0),BJ45)</f>
        <v>0</v>
      </c>
      <c r="BM45" s="104">
        <f>IF(($D$9+IF(VLOOKUP($E45,武器奇术!$A:$R,17,FALSE)="裂石",$D$15,0)-VLOOKUP($F$7,目标属性!$A:$R,6,FALSE))&gt;0,($D$9+IF(VLOOKUP($E45,武器奇术!$A:$R,17,FALSE)="裂石",$D$15,0)-VLOOKUP($F$7,目标属性!$A:$R,6,FALSE))/200,($D$9+IF(VLOOKUP($E45,武器奇术!$A:$R,17,FALSE)="裂石",$D$15,0)-VLOOKUP($F$7,目标属性!$A:$R,6,FALSE))/100)</f>
        <v>-0.24</v>
      </c>
      <c r="BN45" s="111">
        <f t="shared" si="20"/>
        <v>0</v>
      </c>
      <c r="BO45" s="102">
        <v>1</v>
      </c>
      <c r="BP45" s="103">
        <f>BJ45*IF(VLOOKUP($E45,武器奇术!$A:$R,17,FALSE)="裂石",VLOOKUP($E45,武器奇术!$A:$R,4,FALSE),VLOOKUP($E45,武器奇术!$A:$R,2,FALSE))*(1+BM45)*(1+BN45)*BO45</f>
        <v>0</v>
      </c>
      <c r="BQ45" s="104">
        <f>(1-IF(VLOOKUP($E45,武器奇术!$A:$R,18,FALSE)="叶龙",1,$N45))*(1-$M45)</f>
        <v>0</v>
      </c>
      <c r="BR45" s="103">
        <f>BK45*IF(VLOOKUP($E45,武器奇术!$A:$R,17,FALSE)="裂石",VLOOKUP($E45,武器奇术!$A:$R,4,FALSE),VLOOKUP($E45,武器奇术!$A:$R,2,FALSE))*(1+BM45)*(1+BN45)*BO45*(1+$E$16+VLOOKUP($E45,武器奇术!$A:$R,8,FALSE))</f>
        <v>0</v>
      </c>
      <c r="BS45" s="104">
        <f t="shared" si="21"/>
        <v>0.8703</v>
      </c>
      <c r="BT45" s="103">
        <f>BL45*IF(VLOOKUP($E45,武器奇术!$A:$R,17,FALSE)="裂石",VLOOKUP($E45,武器奇术!$A:$R,4,FALSE),VLOOKUP($E45,武器奇术!$A:$R,2,FALSE))*(1+BM45)*(1+BN45)*BO45*(1+$E$17+VLOOKUP($E45,武器奇术!$A:$R,10,FALSE))</f>
        <v>0</v>
      </c>
      <c r="BU45" s="104">
        <f t="shared" si="22"/>
        <v>0.0986</v>
      </c>
      <c r="BV45" s="103">
        <f>BK45*IF(VLOOKUP($E45,武器奇术!$A:$R,17,FALSE)="裂石",VLOOKUP($E45,武器奇术!$A:$R,4,FALSE),VLOOKUP($E45,武器奇术!$A:$R,2,FALSE))*(1+BM45)*(1+BN45)*BO45</f>
        <v>0</v>
      </c>
      <c r="BW45" s="104">
        <f t="shared" si="23"/>
        <v>0.0311</v>
      </c>
      <c r="BX45" s="112">
        <f t="shared" si="24"/>
        <v>0</v>
      </c>
      <c r="BY45" s="110">
        <f>$B$11*IF($G$5="撼天",1.05,1)+IF(AND(VLOOKUP($E45,武器奇术!$A:$R,15,FALSE)="武器",VLOOKUP($E45,武器奇术!$A:$R,17,FALSE)="牵丝"),$E$3*(1+$E$15),0)</f>
        <v>686.71</v>
      </c>
      <c r="BZ45" s="102">
        <f>IF(VLOOKUP($E45,武器奇术!$A:$Z,18,FALSE)="叶龙",(CA45-(BY45+CA45)*0.5)*($G$15-0.5)*2+(BY45+CA45)*0.5,(BY45+CA45)*0.5)</f>
        <v>1052.21</v>
      </c>
      <c r="CA45" s="102">
        <f>MAX($C$11*IF($G$5="撼天",1.05,1)+IF(AND(VLOOKUP($E45,武器奇术!$A:$R,15,FALSE)="武器",VLOOKUP($E45,武器奇术!$A:$R,17,FALSE)="牵丝"),$E$3*(1+$E$15),0),BY45)</f>
        <v>1417.71</v>
      </c>
      <c r="CB45" s="104">
        <f>IF(($D$11+IF(VLOOKUP($E45,武器奇术!$A:$R,17,FALSE)="牵丝",$D$15,0)-VLOOKUP($F$7,目标属性!$A:$R,6,FALSE))&gt;0,($D$11+IF(VLOOKUP($E45,武器奇术!$A:$R,17,FALSE)="牵丝",$D$15,0)-VLOOKUP($F$7,目标属性!$A:$R,6,FALSE))/200,($D$11+IF(VLOOKUP($E45,武器奇术!$A:$R,17,FALSE)="牵丝",$D$15,0)-VLOOKUP($F$7,目标属性!$A:$R,6,FALSE))/100)</f>
        <v>0.028</v>
      </c>
      <c r="CC45" s="111">
        <f>$E$11+IF($G$5="烟柳",IF(VLOOKUP($E45,武器奇术!$A:$T,20,FALSE)=1,0.1,0),0)</f>
        <v>0.248</v>
      </c>
      <c r="CD45" s="102">
        <v>1</v>
      </c>
      <c r="CE45" s="103">
        <f>BY45*IF(VLOOKUP($E45,武器奇术!$A:$R,17,FALSE)="牵丝",VLOOKUP($E45,武器奇术!$A:$R,4,FALSE),VLOOKUP($E45,武器奇术!$A:$R,2,FALSE))*(1+CB45)*(1+CC45)*CD45</f>
        <v>1552.67083453872</v>
      </c>
      <c r="CF45" s="104">
        <f>(1-IF(VLOOKUP($E45,武器奇术!$A:$R,18,FALSE)="叶龙",1,$N45))*(1-$M45)</f>
        <v>0</v>
      </c>
      <c r="CG45" s="124">
        <f>BZ45*IF(VLOOKUP($E45,武器奇术!$A:$R,17,FALSE)="牵丝",VLOOKUP($E45,武器奇术!$A:$R,4,FALSE),VLOOKUP($E45,武器奇术!$A:$R,2,FALSE))*(1+CB45)*(1+CC45)*CD45*(1+$E$16+VLOOKUP($E45,武器奇术!$A:$R,8,FALSE))</f>
        <v>4767.66975977518</v>
      </c>
      <c r="CH45" s="104">
        <f t="shared" si="25"/>
        <v>0.8703</v>
      </c>
      <c r="CI45" s="103">
        <f>CA45*IF(VLOOKUP($E45,武器奇术!$A:$R,17,FALSE)="牵丝",VLOOKUP($E45,武器奇术!$A:$R,4,FALSE),VLOOKUP($E45,武器奇术!$A:$R,2,FALSE))*(1+CB45)*(1+CC45)*CD45*(1+$E$17+VLOOKUP($E45,武器奇术!$A:$R,10,FALSE))</f>
        <v>4327.40153474647</v>
      </c>
      <c r="CJ45" s="104">
        <f t="shared" si="26"/>
        <v>0.0986</v>
      </c>
      <c r="CK45" s="124">
        <f>BZ45*IF(VLOOKUP($E45,武器奇术!$A:$R,17,FALSE)="牵丝",VLOOKUP($E45,武器奇术!$A:$R,4,FALSE),VLOOKUP($E45,武器奇术!$A:$R,2,FALSE))*(1+CB45)*(1+CC45)*CD45</f>
        <v>2379.07672643472</v>
      </c>
      <c r="CL45" s="104">
        <f t="shared" si="27"/>
        <v>0.0311</v>
      </c>
      <c r="CM45" s="112">
        <f t="shared" si="28"/>
        <v>4649.97406945046</v>
      </c>
      <c r="CN45" s="110">
        <f>$B$13*IF($G$5="撼天",1.05,1)+IF(AND(VLOOKUP($E45,武器奇术!$A:$R,15,FALSE)="武器",VLOOKUP($E45,武器奇术!$A:$R,17,FALSE)="破竹"),$E$3*(1+$E$15),0)</f>
        <v>0</v>
      </c>
      <c r="CO45" s="102">
        <f t="shared" si="29"/>
        <v>0</v>
      </c>
      <c r="CP45" s="102">
        <f>MAX($C$13*IF($G$5="撼天",1.05,1)+IF(AND(VLOOKUP($E45,武器奇术!$A:$R,15,FALSE)="武器",VLOOKUP($E45,武器奇术!$A:$R,17,FALSE)="破竹"),$E$3*(1+$E$15),0),CN45)</f>
        <v>0</v>
      </c>
      <c r="CQ45" s="104">
        <f>IF(($D$13+IF(VLOOKUP($E45,武器奇术!$A:$R,17,FALSE)="破竹",$D$15,0)-VLOOKUP($F$7,目标属性!$A:$R,6,FALSE))&gt;0,($D$13+IF(VLOOKUP($E45,武器奇术!$A:$R,17,FALSE)="破竹",$D$15,0)-VLOOKUP($F$7,目标属性!$A:$R,6,FALSE))/200,($D$13+IF(VLOOKUP($E45,武器奇术!$A:$R,17,FALSE)="破竹",$D$15,0)-VLOOKUP($F$7,目标属性!$A:$R,6,FALSE))/100)</f>
        <v>-0.24</v>
      </c>
      <c r="CR45" s="111">
        <f t="shared" si="30"/>
        <v>0</v>
      </c>
      <c r="CS45" s="102">
        <v>1</v>
      </c>
      <c r="CT45" s="103">
        <f>CN45*IF(VLOOKUP($E45,武器奇术!$A:$R,17,FALSE)="破竹",VLOOKUP($E45,武器奇术!$A:$R,4,FALSE),VLOOKUP($E45,武器奇术!$A:$R,2,FALSE))*(1+CQ45)*(1+CR45)*CS45</f>
        <v>0</v>
      </c>
      <c r="CU45" s="104">
        <f>(1-IF(VLOOKUP($E45,武器奇术!$A:$R,18,FALSE)="叶龙",1,$N45))*(1-$M45)</f>
        <v>0</v>
      </c>
      <c r="CV45" s="103">
        <f>CO45*IF(VLOOKUP($E45,武器奇术!$A:$R,17,FALSE)="破竹",VLOOKUP($E45,武器奇术!$A:$R,4,FALSE),VLOOKUP($E45,武器奇术!$A:$R,2,FALSE))*(1+CQ45)*(1+CR45)*CS45*(1+$E$16+VLOOKUP($E45,武器奇术!$A:$R,8,FALSE))</f>
        <v>0</v>
      </c>
      <c r="CW45" s="104">
        <f t="shared" si="31"/>
        <v>0.8703</v>
      </c>
      <c r="CX45" s="103">
        <f>CP45*IF(VLOOKUP($E45,武器奇术!$A:$R,17,FALSE)="破竹",VLOOKUP($E45,武器奇术!$A:$R,4,FALSE),VLOOKUP($E45,武器奇术!$A:$R,2,FALSE))*(1+CQ45)*(1+CR45)*CS45*(1+$E$17+VLOOKUP($E45,武器奇术!$A:$R,10,FALSE))</f>
        <v>0</v>
      </c>
      <c r="CY45" s="104">
        <f t="shared" si="32"/>
        <v>0.0986</v>
      </c>
      <c r="CZ45" s="103">
        <f>CO45*IF(VLOOKUP($E45,武器奇术!$A:$R,17,FALSE)="破竹",VLOOKUP($E45,武器奇术!$A:$R,4,FALSE),VLOOKUP($E45,武器奇术!$A:$R,2,FALSE))*(1+CQ45)*(1+CR45)*CS45</f>
        <v>0</v>
      </c>
      <c r="DA45" s="104">
        <f t="shared" si="33"/>
        <v>0.0311</v>
      </c>
      <c r="DB45" s="112">
        <f t="shared" si="34"/>
        <v>0</v>
      </c>
      <c r="DC45" s="110">
        <f t="shared" si="35"/>
        <v>66</v>
      </c>
      <c r="DD45" s="102">
        <f t="shared" si="36"/>
        <v>125.8</v>
      </c>
      <c r="DE45" s="102">
        <f t="shared" si="37"/>
        <v>185.6</v>
      </c>
      <c r="DF45" s="104">
        <f>IF((IF(VLOOKUP($E45,武器奇术!$A:$R,17,FALSE)="鸣金",$D$7,0)+IF(VLOOKUP($E45,武器奇术!$A:$R,17,FALSE)="裂石",$D$9,0)+IF(VLOOKUP($E45,武器奇术!$A:$R,17,FALSE)="牵丝",$D$11,0)+IF(VLOOKUP($E45,武器奇术!$A:$R,17,FALSE)="破竹",$D$13,0)+$D$15-VLOOKUP($F$7,目标属性!$A:$R,6,FALSE))&gt;0,(IF(VLOOKUP($E45,武器奇术!$A:$R,17,FALSE)="鸣金",$D$7,0)+IF(VLOOKUP($E45,武器奇术!$A:$R,17,FALSE)="裂石",$D$9,0)+IF(VLOOKUP($E45,武器奇术!$A:$R,17,FALSE)="牵丝",$D$11,0)+IF(VLOOKUP($E45,武器奇术!$A:$R,17,FALSE)="破竹",$D$13,0)+$D$15-VLOOKUP($F$7,目标属性!$A:$R,6,FALSE))/200,(IF(VLOOKUP($E45,武器奇术!$A:$R,17,FALSE)="鸣金",$D$7,0)+IF(VLOOKUP($E45,武器奇术!$A:$R,17,FALSE)="裂石",$D$9,0)+IF(VLOOKUP($E45,武器奇术!$A:$R,17,FALSE)="牵丝",$D$11,0)+IF(VLOOKUP($E45,武器奇术!$A:$R,17,FALSE)="破竹",$D$13,0)+$D$15-VLOOKUP($F$7,目标属性!$A:$R,6,FALSE))/100)</f>
        <v>0.028</v>
      </c>
      <c r="DG45" s="111">
        <f>$E$11+IF($G$5="烟柳",IF(VLOOKUP($E45,武器奇术!$A:$T,20,FALSE)=1,0.1,0),0)</f>
        <v>0.248</v>
      </c>
      <c r="DH45" s="102">
        <v>1</v>
      </c>
      <c r="DI45" s="103">
        <f>DC45*IF(VLOOKUP($E45,武器奇术!$A:$R,17,FALSE)="牵丝",VLOOKUP($E45,武器奇术!$A:$R,4,FALSE),VLOOKUP($E45,武器奇术!$A:$R,2,FALSE))*(1+DF45)*(1+DG45)*DH45</f>
        <v>149.227876512</v>
      </c>
      <c r="DJ45" s="104">
        <f>(1-IF(VLOOKUP($E45,武器奇术!$A:$R,18,FALSE)="叶龙",1,$N45))*(1-$M45)</f>
        <v>0</v>
      </c>
      <c r="DK45" s="124">
        <f>DD45*IF(VLOOKUP($E45,武器奇术!$A:$R,17,FALSE)="牵丝",VLOOKUP($E45,武器奇术!$A:$R,4,FALSE),VLOOKUP($E45,武器奇术!$A:$R,2,FALSE))*(1+DF45)*(1+DG45)*DH45*(1+$E$16+VLOOKUP($E45,武器奇术!$A:$R,8,FALSE))</f>
        <v>570.012502998182</v>
      </c>
      <c r="DL45" s="104">
        <f t="shared" si="38"/>
        <v>0.8703</v>
      </c>
      <c r="DM45" s="103">
        <f>DE45*IF(VLOOKUP($E45,武器奇术!$A:$R,17,FALSE)="牵丝",VLOOKUP($E45,武器奇术!$A:$R,4,FALSE),VLOOKUP($E45,武器奇术!$A:$R,2,FALSE))*(1+DF45)*(1+DG45)*DH45*(1+$E$17+VLOOKUP($E45,武器奇术!$A:$R,10,FALSE))</f>
        <v>566.52328392192</v>
      </c>
      <c r="DN45" s="104">
        <f t="shared" si="39"/>
        <v>0.0986</v>
      </c>
      <c r="DO45" s="124">
        <f>DD45*IF(VLOOKUP($E45,武器奇术!$A:$R,17,FALSE)="牵丝",VLOOKUP($E45,武器奇术!$A:$R,4,FALSE),VLOOKUP($E45,武器奇术!$A:$R,2,FALSE))*(1+DF45)*(1+DG45)*DH45</f>
        <v>284.4373767456</v>
      </c>
      <c r="DP45" s="104">
        <f t="shared" si="40"/>
        <v>0.0311</v>
      </c>
      <c r="DQ45" s="112">
        <f t="shared" si="41"/>
        <v>560.787079570808</v>
      </c>
    </row>
    <row r="46" customFormat="1" spans="2:121">
      <c r="B46" s="132"/>
      <c r="C46" s="21"/>
      <c r="D46" s="129"/>
      <c r="E46" s="115" t="str">
        <f>期望!E46</f>
        <v>伞Q(连中风墙大纵)</v>
      </c>
      <c r="F46" s="116">
        <f>期望!F46</f>
        <v>1</v>
      </c>
      <c r="G46" s="117"/>
      <c r="H46" s="103">
        <f>IF(VLOOKUP($E46,武器奇术!$A:$R,18,FALSE)="天工",AE46,(AE46+AT46+BI46+BX46+CM46+DB46+DQ46))*(1+J46)*F46*K46*(1+G46)</f>
        <v>73869.380770123</v>
      </c>
      <c r="I46" s="104">
        <f t="shared" si="0"/>
        <v>0.00851344302167195</v>
      </c>
      <c r="J46" s="118">
        <f>$F$3+VLOOKUP($E46,武器奇术!$A:$R,12,FALSE)+VLOOKUP($E46,武器奇术!$A:$R,14,FALSE)*$G$3+$P46+IF($F$21="√",5%,0)</f>
        <v>1.153</v>
      </c>
      <c r="K46" s="105">
        <f>VLOOKUP($E46,武器奇术!$A:$R,11,FALSE)</f>
        <v>1</v>
      </c>
      <c r="L46" s="119">
        <f>IF(VLOOKUP($E46,武器奇术!$A:$R,15,FALSE)="天工",0%,IF($C$17+VLOOKUP($E46,武器奇术!$A:$R,7,FALSE)&gt;80%,80%,$C$17+VLOOKUP($E46,武器奇术!$A:$R,7,FALSE))+IF($C$19&gt;20%,20%,$C$19))</f>
        <v>0.8703</v>
      </c>
      <c r="M46" s="120">
        <f>IF(VLOOKUP($E46,武器奇术!$A:$R,15,FALSE)="天工",0%,IF($C$18+VLOOKUP($E46,武器奇术!$A:$R,9,FALSE)&gt;40%,40%,$C$18+VLOOKUP($E46,武器奇术!$A:$R,9,FALSE))+IF($C$20&gt;10%,10%,$C$20))</f>
        <v>0.0986</v>
      </c>
      <c r="N46" s="121">
        <f>IF(VLOOKUP($E46,武器奇术!$A:$R,15,FALSE)="天工",100%,MIN($C$16,1))</f>
        <v>1</v>
      </c>
      <c r="O46" s="122" t="str">
        <f>VLOOKUP($E46,武器奇术!$A:$R,16,FALSE)</f>
        <v>伞</v>
      </c>
      <c r="P46" s="123">
        <f t="shared" si="1"/>
        <v>0.17</v>
      </c>
      <c r="Q46" s="110">
        <f>$B$5*(1+VLOOKUP($E46,武器奇术!$A:$R,5,FALSE))*(1+VLOOKUP($E46,武器奇术!$A:$S,19,FALSE)+IF($G$5="飞隼",0.1,0)+IF($G$5="撼天",0.05,0))-$F$9+IF($J$5="√",160,0)</f>
        <v>3324.7</v>
      </c>
      <c r="R46" s="102">
        <f>IF(VLOOKUP($E46,武器奇术!$A:$Z,18,FALSE)="叶龙",(S46-(Q46+S46)*0.5)*($G$15-0.5)*2+(Q46+S46)*0.5,(Q46+S46)*0.5)</f>
        <v>3404.7</v>
      </c>
      <c r="S46" s="102">
        <f>MAX($C$5,$B$5)*(1+VLOOKUP($E46,武器奇术!$A:$R,6,FALSE))*(1+VLOOKUP($E46,武器奇术!$A:$S,19,FALSE)+IF($G$5="飞隼",0.1,0)+IF($G$5="撼天",0.05,0))-$F$9+IF($J$5="√",320,0)</f>
        <v>3484.7</v>
      </c>
      <c r="T46" s="104">
        <f>IF(($D$5+VLOOKUP($E46,武器奇术!$A:$R,13,FALSE)+IF($I$3="√",10,0)-VLOOKUP($F$7,目标属性!$A:$R,5,FALSE))&gt;0,($D$5+VLOOKUP($E46,武器奇术!$A:$R,13,FALSE)+IF($I$3="√",10,0)-VLOOKUP($F$7,目标属性!$A:$R,5,FALSE))/200,($D$5+VLOOKUP($E46,武器奇术!$A:$R,13,FALSE)+IF($I$3="√",10,0)-VLOOKUP($F$7,目标属性!$A:$R,5,FALSE))/100)</f>
        <v>0.2925</v>
      </c>
      <c r="U46" s="111">
        <f>$E$5+IF($G$5="烟柳",IF(VLOOKUP($E46,武器奇术!$A:$T,20,FALSE)=1,0.1,0),0)</f>
        <v>0.1</v>
      </c>
      <c r="V46" s="102">
        <v>1</v>
      </c>
      <c r="W46" s="103">
        <f>Q46*VLOOKUP($E46,武器奇术!$A:$R,2,FALSE)*(1+T46)*(1+U46)*V46</f>
        <v>11059.5097388325</v>
      </c>
      <c r="X46" s="104">
        <f>(1-IF(VLOOKUP($E46,武器奇术!$A:$R,18,FALSE)="叶龙",1,$N46))*(1-$M46)</f>
        <v>0</v>
      </c>
      <c r="Y46" s="103">
        <f>R46*VLOOKUP($E46,武器奇术!$A:$R,2,FALSE)*(1+T46)*(1+U46)*V46*(1+$E$16+VLOOKUP($E46,武器奇术!$A:$R,8,FALSE))</f>
        <v>22696.5569425323</v>
      </c>
      <c r="Z46" s="104">
        <f t="shared" si="2"/>
        <v>0.8703</v>
      </c>
      <c r="AA46" s="103">
        <f>S46*VLOOKUP($E46,武器奇术!$A:$R,2,FALSE)*(1+T46)*(1+U46)*V46*(1+$E$17+VLOOKUP($E46,武器奇术!$A:$R,10,FALSE))</f>
        <v>15648.8553380239</v>
      </c>
      <c r="AB46" s="104">
        <f t="shared" si="3"/>
        <v>0.0986</v>
      </c>
      <c r="AC46" s="103">
        <f>R46*VLOOKUP($E46,武器奇术!$A:$R,2,FALSE)*(1+T46)*(1+U46)*V46</f>
        <v>11325.6272168325</v>
      </c>
      <c r="AD46" s="104">
        <f t="shared" si="4"/>
        <v>0.0311</v>
      </c>
      <c r="AE46" s="112">
        <f t="shared" si="5"/>
        <v>21648.0176498585</v>
      </c>
      <c r="AF46" s="113">
        <f>VLOOKUP($E46,武器奇术!$A:$R,3,FALSE)*(1+IF(VLOOKUP($E46,武器奇术!$A:$R,15,FALSE)="武器",$E$15,0))</f>
        <v>842.4</v>
      </c>
      <c r="AG46" s="103">
        <f t="shared" si="6"/>
        <v>842.4</v>
      </c>
      <c r="AH46" s="103">
        <f>VLOOKUP($E46,武器奇术!$A:$R,3,FALSE)*(1+IF(VLOOKUP($E46,武器奇术!$A:$R,15,FALSE)="武器",$E$15,0))</f>
        <v>842.4</v>
      </c>
      <c r="AI46" s="104">
        <f>IF(($D$5+VLOOKUP($E46,武器奇术!$A:$R,13,FALSE)+IF($I$3="√",10,0)-VLOOKUP($F$7,目标属性!$A:$R,5,FALSE))&gt;0,($D$5+VLOOKUP($E46,武器奇术!$A:$R,13,FALSE)+IF($I$3="√",10,0)-VLOOKUP($F$7,目标属性!$A:$R,5,FALSE))/200,($D$5+VLOOKUP($E46,武器奇术!$A:$R,13,FALSE)+IF($I$3="√",10,0)-VLOOKUP($F$7,目标属性!$A:$R,5,FALSE))/100)</f>
        <v>0.2925</v>
      </c>
      <c r="AJ46" s="111">
        <f>$E$5+IF($G$5="烟柳",IF(VLOOKUP($E46,武器奇术!$A:$T,20,FALSE)=1,0.1,0),0)</f>
        <v>0.1</v>
      </c>
      <c r="AK46" s="102">
        <v>1</v>
      </c>
      <c r="AL46" s="103">
        <f t="shared" si="7"/>
        <v>1197.6822</v>
      </c>
      <c r="AM46" s="104">
        <f>(1-IF(VLOOKUP($E46,武器奇术!$A:$R,18,FALSE)="叶龙",1,$N46))*(1-$M46)</f>
        <v>0</v>
      </c>
      <c r="AN46" s="103">
        <f>AG46*(1+AI46)*(1+AJ46)*AK46*(1+$E$16+VLOOKUP($E46,武器奇术!$A:$R,8,FALSE))</f>
        <v>2400.1551288</v>
      </c>
      <c r="AO46" s="104">
        <f t="shared" si="8"/>
        <v>0.8703</v>
      </c>
      <c r="AP46" s="103">
        <f>AH46*(1+AI46)*(1+AJ46)*AK46*(1+$E$17+VLOOKUP($E46,武器奇术!$A:$R,10,FALSE))</f>
        <v>1616.87097</v>
      </c>
      <c r="AQ46" s="104">
        <f t="shared" si="9"/>
        <v>0.0986</v>
      </c>
      <c r="AR46" s="103">
        <f t="shared" si="10"/>
        <v>1197.6822</v>
      </c>
      <c r="AS46" s="104">
        <f t="shared" si="11"/>
        <v>0.0311</v>
      </c>
      <c r="AT46" s="112">
        <f t="shared" si="12"/>
        <v>2285.52640265664</v>
      </c>
      <c r="AU46" s="110">
        <f>$B$7*IF($G$5="撼天",1.05,1)+IF(AND(VLOOKUP($E46,武器奇术!$A:$R,15,FALSE)="武器",VLOOKUP($E46,武器奇术!$A:$R,17,FALSE)="鸣金"),$E$3*(1+$E$15),0)</f>
        <v>0</v>
      </c>
      <c r="AV46" s="102">
        <f t="shared" si="13"/>
        <v>0</v>
      </c>
      <c r="AW46" s="102">
        <f>MAX($C$7*IF($G$5="撼天",1.05,1)+IF(AND(VLOOKUP($E46,武器奇术!$A:$R,15,FALSE)="武器",VLOOKUP($E46,武器奇术!$A:$R,17,FALSE)="鸣金"),$E$3*(1+$E$15),0),AU46)</f>
        <v>0</v>
      </c>
      <c r="AX46" s="104">
        <f>IF(($D$7+IF(VLOOKUP($E46,武器奇术!$A:$R,17,FALSE)="鸣金",$D$15,0)-VLOOKUP($F$7,目标属性!$A:$R,6,FALSE))&gt;0,($D$7+IF(VLOOKUP($E46,武器奇术!$A:$R,17,FALSE)="鸣金",$D$15,0)-VLOOKUP($F$7,目标属性!$A:$R,6,FALSE))/200,($D$7+IF(VLOOKUP($E46,武器奇术!$A:$R,17,FALSE)="鸣金",$D$15,0)-VLOOKUP($F$7,目标属性!$A:$R,6,FALSE))/100)</f>
        <v>-0.24</v>
      </c>
      <c r="AY46" s="111">
        <f t="shared" si="14"/>
        <v>0</v>
      </c>
      <c r="AZ46" s="102">
        <v>1</v>
      </c>
      <c r="BA46" s="103">
        <f>AU46*IF(VLOOKUP($E46,武器奇术!$A:$R,17,FALSE)="鸣金",VLOOKUP($E46,武器奇术!$A:$R,4,FALSE),VLOOKUP($E46,武器奇术!$A:$R,2,FALSE))*(1+AX46)*(1+AY46)*AZ46</f>
        <v>0</v>
      </c>
      <c r="BB46" s="104">
        <f>(1-IF(VLOOKUP($E46,武器奇术!$A:$R,18,FALSE)="叶龙",1,$N46))*(1-$M46)</f>
        <v>0</v>
      </c>
      <c r="BC46" s="103">
        <f>AV46*IF(VLOOKUP($E46,武器奇术!$A:$R,17,FALSE)="鸣金",VLOOKUP($E46,武器奇术!$A:$R,4,FALSE),VLOOKUP($E46,武器奇术!$A:$R,2,FALSE))*(1+AX46)*(1+AY46)*AZ46*(1+$E$16+VLOOKUP($E46,武器奇术!$A:$R,8,FALSE))</f>
        <v>0</v>
      </c>
      <c r="BD46" s="104">
        <f t="shared" si="15"/>
        <v>0.8703</v>
      </c>
      <c r="BE46" s="103">
        <f>AW46*IF(VLOOKUP($E46,武器奇术!$A:$R,17,FALSE)="鸣金",VLOOKUP($E46,武器奇术!$A:$R,4,FALSE),VLOOKUP($E46,武器奇术!$A:$R,2,FALSE))*(1+AX46)*(1+AY46)*AZ46*(1+$E$17+VLOOKUP($E46,武器奇术!$A:$R,10,FALSE))</f>
        <v>0</v>
      </c>
      <c r="BF46" s="104">
        <f t="shared" si="16"/>
        <v>0.0986</v>
      </c>
      <c r="BG46" s="103">
        <f>AV46*IF(VLOOKUP($E46,武器奇术!$A:$R,17,FALSE)="鸣金",VLOOKUP($E46,武器奇术!$A:$R,4,FALSE),VLOOKUP($E46,武器奇术!$A:$R,2,FALSE))*(1+AX46)*(1+AY46)*AZ46</f>
        <v>0</v>
      </c>
      <c r="BH46" s="104">
        <f t="shared" si="17"/>
        <v>0.0311</v>
      </c>
      <c r="BI46" s="112">
        <f t="shared" si="18"/>
        <v>0</v>
      </c>
      <c r="BJ46" s="110">
        <f>$B$9*IF($G$5="撼天",1.05,1)+IF(AND(VLOOKUP($E46,武器奇术!$A:$R,15,FALSE)="武器",VLOOKUP($E46,武器奇术!$A:$R,17,FALSE)="裂石"),$E$3*(1+$E$15),0)</f>
        <v>0</v>
      </c>
      <c r="BK46" s="102">
        <f t="shared" si="19"/>
        <v>0</v>
      </c>
      <c r="BL46" s="102">
        <f>MAX($C$9*IF($G$5="撼天",1.05,1)+IF(AND(VLOOKUP($E46,武器奇术!$A:$R,15,FALSE)="武器",VLOOKUP($E46,武器奇术!$A:$R,17,FALSE)="裂石"),$E$3*(1+$E$15),0),BJ46)</f>
        <v>0</v>
      </c>
      <c r="BM46" s="104">
        <f>IF(($D$9+IF(VLOOKUP($E46,武器奇术!$A:$R,17,FALSE)="裂石",$D$15,0)-VLOOKUP($F$7,目标属性!$A:$R,6,FALSE))&gt;0,($D$9+IF(VLOOKUP($E46,武器奇术!$A:$R,17,FALSE)="裂石",$D$15,0)-VLOOKUP($F$7,目标属性!$A:$R,6,FALSE))/200,($D$9+IF(VLOOKUP($E46,武器奇术!$A:$R,17,FALSE)="裂石",$D$15,0)-VLOOKUP($F$7,目标属性!$A:$R,6,FALSE))/100)</f>
        <v>-0.24</v>
      </c>
      <c r="BN46" s="111">
        <f t="shared" si="20"/>
        <v>0</v>
      </c>
      <c r="BO46" s="102">
        <v>1</v>
      </c>
      <c r="BP46" s="103">
        <f>BJ46*IF(VLOOKUP($E46,武器奇术!$A:$R,17,FALSE)="裂石",VLOOKUP($E46,武器奇术!$A:$R,4,FALSE),VLOOKUP($E46,武器奇术!$A:$R,2,FALSE))*(1+BM46)*(1+BN46)*BO46</f>
        <v>0</v>
      </c>
      <c r="BQ46" s="104">
        <f>(1-IF(VLOOKUP($E46,武器奇术!$A:$R,18,FALSE)="叶龙",1,$N46))*(1-$M46)</f>
        <v>0</v>
      </c>
      <c r="BR46" s="103">
        <f>BK46*IF(VLOOKUP($E46,武器奇术!$A:$R,17,FALSE)="裂石",VLOOKUP($E46,武器奇术!$A:$R,4,FALSE),VLOOKUP($E46,武器奇术!$A:$R,2,FALSE))*(1+BM46)*(1+BN46)*BO46*(1+$E$16+VLOOKUP($E46,武器奇术!$A:$R,8,FALSE))</f>
        <v>0</v>
      </c>
      <c r="BS46" s="104">
        <f t="shared" si="21"/>
        <v>0.8703</v>
      </c>
      <c r="BT46" s="103">
        <f>BL46*IF(VLOOKUP($E46,武器奇术!$A:$R,17,FALSE)="裂石",VLOOKUP($E46,武器奇术!$A:$R,4,FALSE),VLOOKUP($E46,武器奇术!$A:$R,2,FALSE))*(1+BM46)*(1+BN46)*BO46*(1+$E$17+VLOOKUP($E46,武器奇术!$A:$R,10,FALSE))</f>
        <v>0</v>
      </c>
      <c r="BU46" s="104">
        <f t="shared" si="22"/>
        <v>0.0986</v>
      </c>
      <c r="BV46" s="103">
        <f>BK46*IF(VLOOKUP($E46,武器奇术!$A:$R,17,FALSE)="裂石",VLOOKUP($E46,武器奇术!$A:$R,4,FALSE),VLOOKUP($E46,武器奇术!$A:$R,2,FALSE))*(1+BM46)*(1+BN46)*BO46</f>
        <v>0</v>
      </c>
      <c r="BW46" s="104">
        <f t="shared" si="23"/>
        <v>0.0311</v>
      </c>
      <c r="BX46" s="112">
        <f t="shared" si="24"/>
        <v>0</v>
      </c>
      <c r="BY46" s="110">
        <f>$B$11*IF($G$5="撼天",1.05,1)+IF(AND(VLOOKUP($E46,武器奇术!$A:$R,15,FALSE)="武器",VLOOKUP($E46,武器奇术!$A:$R,17,FALSE)="牵丝"),$E$3*(1+$E$15),0)</f>
        <v>686.71</v>
      </c>
      <c r="BZ46" s="102">
        <f>IF(VLOOKUP($E46,武器奇术!$A:$Z,18,FALSE)="叶龙",(CA46-(BY46+CA46)*0.5)*($G$15-0.5)*2+(BY46+CA46)*0.5,(BY46+CA46)*0.5)</f>
        <v>1052.21</v>
      </c>
      <c r="CA46" s="102">
        <f>MAX($C$11*IF($G$5="撼天",1.05,1)+IF(AND(VLOOKUP($E46,武器奇术!$A:$R,15,FALSE)="武器",VLOOKUP($E46,武器奇术!$A:$R,17,FALSE)="牵丝"),$E$3*(1+$E$15),0),BY46)</f>
        <v>1417.71</v>
      </c>
      <c r="CB46" s="104">
        <f>IF(($D$11+IF(VLOOKUP($E46,武器奇术!$A:$R,17,FALSE)="牵丝",$D$15,0)-VLOOKUP($F$7,目标属性!$A:$R,6,FALSE))&gt;0,($D$11+IF(VLOOKUP($E46,武器奇术!$A:$R,17,FALSE)="牵丝",$D$15,0)-VLOOKUP($F$7,目标属性!$A:$R,6,FALSE))/200,($D$11+IF(VLOOKUP($E46,武器奇术!$A:$R,17,FALSE)="牵丝",$D$15,0)-VLOOKUP($F$7,目标属性!$A:$R,6,FALSE))/100)</f>
        <v>0.028</v>
      </c>
      <c r="CC46" s="111">
        <f>$E$11+IF($G$5="烟柳",IF(VLOOKUP($E46,武器奇术!$A:$T,20,FALSE)=1,0.1,0),0)</f>
        <v>0.248</v>
      </c>
      <c r="CD46" s="102">
        <v>1</v>
      </c>
      <c r="CE46" s="103">
        <f>BY46*IF(VLOOKUP($E46,武器奇术!$A:$R,17,FALSE)="牵丝",VLOOKUP($E46,武器奇术!$A:$R,4,FALSE),VLOOKUP($E46,武器奇术!$A:$R,2,FALSE))*(1+CB46)*(1+CC46)*CD46</f>
        <v>3091.90625934528</v>
      </c>
      <c r="CF46" s="104">
        <f>(1-IF(VLOOKUP($E46,武器奇术!$A:$R,18,FALSE)="叶龙",1,$N46))*(1-$M46)</f>
        <v>0</v>
      </c>
      <c r="CG46" s="124">
        <f>BZ46*IF(VLOOKUP($E46,武器奇术!$A:$R,17,FALSE)="牵丝",VLOOKUP($E46,武器奇术!$A:$R,4,FALSE),VLOOKUP($E46,武器奇术!$A:$R,2,FALSE))*(1+CB46)*(1+CC46)*CD46*(1+$E$16+VLOOKUP($E46,武器奇术!$A:$R,8,FALSE))</f>
        <v>9494.08441559316</v>
      </c>
      <c r="CH46" s="104">
        <f t="shared" si="25"/>
        <v>0.8703</v>
      </c>
      <c r="CI46" s="103">
        <f>CA46*IF(VLOOKUP($E46,武器奇术!$A:$R,17,FALSE)="牵丝",VLOOKUP($E46,武器奇术!$A:$R,4,FALSE),VLOOKUP($E46,武器奇术!$A:$R,2,FALSE))*(1+CB46)*(1+CC46)*CD46*(1+$E$17+VLOOKUP($E46,武器奇术!$A:$R,10,FALSE))</f>
        <v>8617.35764873693</v>
      </c>
      <c r="CJ46" s="104">
        <f t="shared" si="26"/>
        <v>0.0986</v>
      </c>
      <c r="CK46" s="124">
        <f>BZ46*IF(VLOOKUP($E46,武器奇术!$A:$R,17,FALSE)="牵丝",VLOOKUP($E46,武器奇术!$A:$R,4,FALSE),VLOOKUP($E46,武器奇术!$A:$R,2,FALSE))*(1+CB46)*(1+CC46)*CD46</f>
        <v>4737.56707364928</v>
      </c>
      <c r="CL46" s="104">
        <f t="shared" si="27"/>
        <v>0.0311</v>
      </c>
      <c r="CM46" s="112">
        <f t="shared" si="28"/>
        <v>9259.71146704668</v>
      </c>
      <c r="CN46" s="110">
        <f>$B$13*IF($G$5="撼天",1.05,1)+IF(AND(VLOOKUP($E46,武器奇术!$A:$R,15,FALSE)="武器",VLOOKUP($E46,武器奇术!$A:$R,17,FALSE)="破竹"),$E$3*(1+$E$15),0)</f>
        <v>0</v>
      </c>
      <c r="CO46" s="102">
        <f t="shared" si="29"/>
        <v>0</v>
      </c>
      <c r="CP46" s="102">
        <f>MAX($C$13*IF($G$5="撼天",1.05,1)+IF(AND(VLOOKUP($E46,武器奇术!$A:$R,15,FALSE)="武器",VLOOKUP($E46,武器奇术!$A:$R,17,FALSE)="破竹"),$E$3*(1+$E$15),0),CN46)</f>
        <v>0</v>
      </c>
      <c r="CQ46" s="104">
        <f>IF(($D$13+IF(VLOOKUP($E46,武器奇术!$A:$R,17,FALSE)="破竹",$D$15,0)-VLOOKUP($F$7,目标属性!$A:$R,6,FALSE))&gt;0,($D$13+IF(VLOOKUP($E46,武器奇术!$A:$R,17,FALSE)="破竹",$D$15,0)-VLOOKUP($F$7,目标属性!$A:$R,6,FALSE))/200,($D$13+IF(VLOOKUP($E46,武器奇术!$A:$R,17,FALSE)="破竹",$D$15,0)-VLOOKUP($F$7,目标属性!$A:$R,6,FALSE))/100)</f>
        <v>-0.24</v>
      </c>
      <c r="CR46" s="111">
        <f t="shared" si="30"/>
        <v>0</v>
      </c>
      <c r="CS46" s="102">
        <v>1</v>
      </c>
      <c r="CT46" s="103">
        <f>CN46*IF(VLOOKUP($E46,武器奇术!$A:$R,17,FALSE)="破竹",VLOOKUP($E46,武器奇术!$A:$R,4,FALSE),VLOOKUP($E46,武器奇术!$A:$R,2,FALSE))*(1+CQ46)*(1+CR46)*CS46</f>
        <v>0</v>
      </c>
      <c r="CU46" s="104">
        <f>(1-IF(VLOOKUP($E46,武器奇术!$A:$R,18,FALSE)="叶龙",1,$N46))*(1-$M46)</f>
        <v>0</v>
      </c>
      <c r="CV46" s="103">
        <f>CO46*IF(VLOOKUP($E46,武器奇术!$A:$R,17,FALSE)="破竹",VLOOKUP($E46,武器奇术!$A:$R,4,FALSE),VLOOKUP($E46,武器奇术!$A:$R,2,FALSE))*(1+CQ46)*(1+CR46)*CS46*(1+$E$16+VLOOKUP($E46,武器奇术!$A:$R,8,FALSE))</f>
        <v>0</v>
      </c>
      <c r="CW46" s="104">
        <f t="shared" si="31"/>
        <v>0.8703</v>
      </c>
      <c r="CX46" s="103">
        <f>CP46*IF(VLOOKUP($E46,武器奇术!$A:$R,17,FALSE)="破竹",VLOOKUP($E46,武器奇术!$A:$R,4,FALSE),VLOOKUP($E46,武器奇术!$A:$R,2,FALSE))*(1+CQ46)*(1+CR46)*CS46*(1+$E$17+VLOOKUP($E46,武器奇术!$A:$R,10,FALSE))</f>
        <v>0</v>
      </c>
      <c r="CY46" s="104">
        <f t="shared" si="32"/>
        <v>0.0986</v>
      </c>
      <c r="CZ46" s="103">
        <f>CO46*IF(VLOOKUP($E46,武器奇术!$A:$R,17,FALSE)="破竹",VLOOKUP($E46,武器奇术!$A:$R,4,FALSE),VLOOKUP($E46,武器奇术!$A:$R,2,FALSE))*(1+CQ46)*(1+CR46)*CS46</f>
        <v>0</v>
      </c>
      <c r="DA46" s="104">
        <f t="shared" si="33"/>
        <v>0.0311</v>
      </c>
      <c r="DB46" s="112">
        <f t="shared" si="34"/>
        <v>0</v>
      </c>
      <c r="DC46" s="110">
        <f t="shared" si="35"/>
        <v>66</v>
      </c>
      <c r="DD46" s="102">
        <f t="shared" si="36"/>
        <v>125.8</v>
      </c>
      <c r="DE46" s="102">
        <f t="shared" si="37"/>
        <v>185.6</v>
      </c>
      <c r="DF46" s="104">
        <f>IF((IF(VLOOKUP($E46,武器奇术!$A:$R,17,FALSE)="鸣金",$D$7,0)+IF(VLOOKUP($E46,武器奇术!$A:$R,17,FALSE)="裂石",$D$9,0)+IF(VLOOKUP($E46,武器奇术!$A:$R,17,FALSE)="牵丝",$D$11,0)+IF(VLOOKUP($E46,武器奇术!$A:$R,17,FALSE)="破竹",$D$13,0)+$D$15-VLOOKUP($F$7,目标属性!$A:$R,6,FALSE))&gt;0,(IF(VLOOKUP($E46,武器奇术!$A:$R,17,FALSE)="鸣金",$D$7,0)+IF(VLOOKUP($E46,武器奇术!$A:$R,17,FALSE)="裂石",$D$9,0)+IF(VLOOKUP($E46,武器奇术!$A:$R,17,FALSE)="牵丝",$D$11,0)+IF(VLOOKUP($E46,武器奇术!$A:$R,17,FALSE)="破竹",$D$13,0)+$D$15-VLOOKUP($F$7,目标属性!$A:$R,6,FALSE))/200,(IF(VLOOKUP($E46,武器奇术!$A:$R,17,FALSE)="鸣金",$D$7,0)+IF(VLOOKUP($E46,武器奇术!$A:$R,17,FALSE)="裂石",$D$9,0)+IF(VLOOKUP($E46,武器奇术!$A:$R,17,FALSE)="牵丝",$D$11,0)+IF(VLOOKUP($E46,武器奇术!$A:$R,17,FALSE)="破竹",$D$13,0)+$D$15-VLOOKUP($F$7,目标属性!$A:$R,6,FALSE))/100)</f>
        <v>0.028</v>
      </c>
      <c r="DG46" s="111">
        <f>$E$11+IF($G$5="烟柳",IF(VLOOKUP($E46,武器奇术!$A:$T,20,FALSE)=1,0.1,0),0)</f>
        <v>0.248</v>
      </c>
      <c r="DH46" s="102">
        <v>1</v>
      </c>
      <c r="DI46" s="103">
        <f>DC46*IF(VLOOKUP($E46,武器奇术!$A:$R,17,FALSE)="牵丝",VLOOKUP($E46,武器奇术!$A:$R,4,FALSE),VLOOKUP($E46,武器奇术!$A:$R,2,FALSE))*(1+DF46)*(1+DG46)*DH46</f>
        <v>297.164469888</v>
      </c>
      <c r="DJ46" s="104">
        <f>(1-IF(VLOOKUP($E46,武器奇术!$A:$R,18,FALSE)="叶龙",1,$N46))*(1-$M46)</f>
        <v>0</v>
      </c>
      <c r="DK46" s="124">
        <f>DD46*IF(VLOOKUP($E46,武器奇术!$A:$R,17,FALSE)="牵丝",VLOOKUP($E46,武器奇术!$A:$R,4,FALSE),VLOOKUP($E46,武器奇术!$A:$R,2,FALSE))*(1+DF46)*(1+DG46)*DH46*(1+$E$16+VLOOKUP($E46,武器奇术!$A:$R,8,FALSE))</f>
        <v>1135.0926331071</v>
      </c>
      <c r="DL46" s="104">
        <f t="shared" si="38"/>
        <v>0.8703</v>
      </c>
      <c r="DM46" s="103">
        <f>DE46*IF(VLOOKUP($E46,武器奇术!$A:$R,17,FALSE)="牵丝",VLOOKUP($E46,武器奇术!$A:$R,4,FALSE),VLOOKUP($E46,武器奇术!$A:$R,2,FALSE))*(1+DF46)*(1+DG46)*DH46*(1+$E$17+VLOOKUP($E46,武器奇术!$A:$R,10,FALSE))</f>
        <v>1128.14438750208</v>
      </c>
      <c r="DN46" s="104">
        <f t="shared" si="39"/>
        <v>0.0986</v>
      </c>
      <c r="DO46" s="124">
        <f>DD46*IF(VLOOKUP($E46,武器奇术!$A:$R,17,FALSE)="牵丝",VLOOKUP($E46,武器奇术!$A:$R,4,FALSE),VLOOKUP($E46,武器奇术!$A:$R,2,FALSE))*(1+DF46)*(1+DG46)*DH46</f>
        <v>566.4134895744</v>
      </c>
      <c r="DP46" s="104">
        <f t="shared" si="40"/>
        <v>0.0311</v>
      </c>
      <c r="DQ46" s="112">
        <f t="shared" si="41"/>
        <v>1116.72161472658</v>
      </c>
    </row>
    <row r="47" customFormat="1" spans="2:121">
      <c r="B47" s="132"/>
      <c r="C47" s="21"/>
      <c r="D47" s="129"/>
      <c r="E47" s="115" t="str">
        <f>期望!E47</f>
        <v>伞重击派生(大纵)</v>
      </c>
      <c r="F47" s="116">
        <f>期望!F47</f>
        <v>1</v>
      </c>
      <c r="G47" s="117"/>
      <c r="H47" s="103">
        <f>IF(VLOOKUP($E47,武器奇术!$A:$R,18,FALSE)="天工",AE47,(AE47+AT47+BI47+BX47+CM47+DB47+DQ47))*(1+J47)*F47*K47*(1+G47)</f>
        <v>33042.6993530736</v>
      </c>
      <c r="I47" s="104">
        <f t="shared" si="0"/>
        <v>0.00380816970836725</v>
      </c>
      <c r="J47" s="138">
        <f>$F$3+VLOOKUP($E47,武器奇术!$A:$R,12,FALSE)+VLOOKUP($E47,武器奇术!$A:$R,14,FALSE)*$G$3+$P47</f>
        <v>0.623</v>
      </c>
      <c r="K47" s="105">
        <f>VLOOKUP($E47,武器奇术!$A:$R,11,FALSE)</f>
        <v>1</v>
      </c>
      <c r="L47" s="119">
        <f>IF(VLOOKUP($E47,武器奇术!$A:$R,15,FALSE)="天工",0%,IF($C$17+VLOOKUP($E47,武器奇术!$A:$R,7,FALSE)&gt;80%,80%,$C$17+VLOOKUP($E47,武器奇术!$A:$R,7,FALSE))+IF($C$19&gt;20%,20%,$C$19))</f>
        <v>0.8703</v>
      </c>
      <c r="M47" s="120">
        <f>IF(VLOOKUP($E47,武器奇术!$A:$R,15,FALSE)="天工",0%,IF($C$18+VLOOKUP($E47,武器奇术!$A:$R,9,FALSE)&gt;40%,40%,$C$18+VLOOKUP($E47,武器奇术!$A:$R,9,FALSE))+IF($C$20&gt;10%,10%,$C$20))</f>
        <v>0.0986</v>
      </c>
      <c r="N47" s="121">
        <f>IF(VLOOKUP($E47,武器奇术!$A:$R,15,FALSE)="天工",100%,MIN($C$16,1))</f>
        <v>1</v>
      </c>
      <c r="O47" s="122" t="str">
        <f>VLOOKUP($E47,武器奇术!$A:$R,16,FALSE)</f>
        <v>伞</v>
      </c>
      <c r="P47" s="123">
        <f t="shared" si="1"/>
        <v>0.17</v>
      </c>
      <c r="Q47" s="110">
        <f>$B$5*(1+VLOOKUP($E47,武器奇术!$A:$R,5,FALSE))*(1+VLOOKUP($E47,武器奇术!$A:$S,19,FALSE)+IF($G$5="飞隼",0.1,0)+IF($G$5="撼天",0.05,0))-$F$9+IF($J$5="√",160,0)</f>
        <v>3324.7</v>
      </c>
      <c r="R47" s="102">
        <f>IF(VLOOKUP($E47,武器奇术!$A:$Z,18,FALSE)="叶龙",(S47-(Q47+S47)*0.5)*($G$15-0.5)*2+(Q47+S47)*0.5,(Q47+S47)*0.5)</f>
        <v>3404.7</v>
      </c>
      <c r="S47" s="102">
        <f>MAX($C$5,$B$5)*(1+VLOOKUP($E47,武器奇术!$A:$R,6,FALSE))*(1+VLOOKUP($E47,武器奇术!$A:$S,19,FALSE)+IF($G$5="飞隼",0.1,0)+IF($G$5="撼天",0.05,0))-$F$9+IF($J$5="√",320,0)</f>
        <v>3484.7</v>
      </c>
      <c r="T47" s="104">
        <f>IF(($D$5+VLOOKUP($E47,武器奇术!$A:$R,13,FALSE)+IF($I$3="√",10,0)-VLOOKUP($F$7,目标属性!$A:$R,5,FALSE))&gt;0,($D$5+VLOOKUP($E47,武器奇术!$A:$R,13,FALSE)+IF($I$3="√",10,0)-VLOOKUP($F$7,目标属性!$A:$R,5,FALSE))/200,($D$5+VLOOKUP($E47,武器奇术!$A:$R,13,FALSE)+IF($I$3="√",10,0)-VLOOKUP($F$7,目标属性!$A:$R,5,FALSE))/100)</f>
        <v>0.2675</v>
      </c>
      <c r="U47" s="111">
        <f>$E$5+IF($G$5="烟柳",IF(VLOOKUP($E47,武器奇术!$A:$T,20,FALSE)=1,0.1,0),0)</f>
        <v>0.1</v>
      </c>
      <c r="V47" s="102">
        <v>1</v>
      </c>
      <c r="W47" s="103">
        <f>Q47*VLOOKUP($E47,武器奇术!$A:$R,2,FALSE)*(1+T47)*(1+U47)*V47</f>
        <v>7877.9693260125</v>
      </c>
      <c r="X47" s="104">
        <f>(1-IF(VLOOKUP($E47,武器奇术!$A:$R,18,FALSE)="叶龙",1,$N47))*(1-$M47)</f>
        <v>0</v>
      </c>
      <c r="Y47" s="103">
        <f>R47*VLOOKUP($E47,武器奇术!$A:$R,2,FALSE)*(1+T47)*(1+U47)*V47*(1+$E$16+VLOOKUP($E47,武器奇术!$A:$R,8,FALSE))</f>
        <v>13263.0218780846</v>
      </c>
      <c r="Z47" s="104">
        <f t="shared" si="2"/>
        <v>0.8703</v>
      </c>
      <c r="AA47" s="103">
        <f>S47*VLOOKUP($E47,武器奇术!$A:$R,2,FALSE)*(1+T47)*(1+U47)*V47*(1+$E$17+VLOOKUP($E47,武器奇术!$A:$R,10,FALSE))</f>
        <v>11147.0766111169</v>
      </c>
      <c r="AB47" s="104">
        <f t="shared" si="3"/>
        <v>0.0986</v>
      </c>
      <c r="AC47" s="103">
        <f>R47*VLOOKUP($E47,武器奇术!$A:$R,2,FALSE)*(1+T47)*(1+U47)*V47</f>
        <v>8067.5315560125</v>
      </c>
      <c r="AD47" s="104">
        <f t="shared" si="4"/>
        <v>0.0311</v>
      </c>
      <c r="AE47" s="112">
        <f t="shared" si="5"/>
        <v>12892.8099257451</v>
      </c>
      <c r="AF47" s="113">
        <f>VLOOKUP($E47,武器奇术!$A:$R,3,FALSE)*(1+IF(VLOOKUP($E47,武器奇术!$A:$R,15,FALSE)="武器",$E$15,0))</f>
        <v>510.9</v>
      </c>
      <c r="AG47" s="103">
        <f t="shared" si="6"/>
        <v>510.9</v>
      </c>
      <c r="AH47" s="103">
        <f>VLOOKUP($E47,武器奇术!$A:$R,3,FALSE)*(1+IF(VLOOKUP($E47,武器奇术!$A:$R,15,FALSE)="武器",$E$15,0))</f>
        <v>510.9</v>
      </c>
      <c r="AI47" s="104">
        <f>IF(($D$5+VLOOKUP($E47,武器奇术!$A:$R,13,FALSE)+IF($I$3="√",10,0)-VLOOKUP($F$7,目标属性!$A:$R,5,FALSE))&gt;0,($D$5+VLOOKUP($E47,武器奇术!$A:$R,13,FALSE)+IF($I$3="√",10,0)-VLOOKUP($F$7,目标属性!$A:$R,5,FALSE))/200,($D$5+VLOOKUP($E47,武器奇术!$A:$R,13,FALSE)+IF($I$3="√",10,0)-VLOOKUP($F$7,目标属性!$A:$R,5,FALSE))/100)</f>
        <v>0.2675</v>
      </c>
      <c r="AJ47" s="111">
        <f>$E$5+IF($G$5="烟柳",IF(VLOOKUP($E47,武器奇术!$A:$T,20,FALSE)=1,0.1,0),0)</f>
        <v>0.1</v>
      </c>
      <c r="AK47" s="102">
        <v>1</v>
      </c>
      <c r="AL47" s="103">
        <f t="shared" si="7"/>
        <v>712.322325</v>
      </c>
      <c r="AM47" s="104">
        <f>(1-IF(VLOOKUP($E47,武器奇术!$A:$R,18,FALSE)="叶龙",1,$N47))*(1-$M47)</f>
        <v>0</v>
      </c>
      <c r="AN47" s="103">
        <f>AG47*(1+AI47)*(1+AJ47)*AK47*(1+$E$16+VLOOKUP($E47,武器奇术!$A:$R,8,FALSE))</f>
        <v>1171.0579023</v>
      </c>
      <c r="AO47" s="104">
        <f t="shared" si="8"/>
        <v>0.8703</v>
      </c>
      <c r="AP47" s="103">
        <f>AH47*(1+AI47)*(1+AJ47)*AK47*(1+$E$17+VLOOKUP($E47,武器奇术!$A:$R,10,FALSE))</f>
        <v>961.63513875</v>
      </c>
      <c r="AQ47" s="104">
        <f t="shared" si="9"/>
        <v>0.0986</v>
      </c>
      <c r="AR47" s="103">
        <f t="shared" si="10"/>
        <v>712.322325</v>
      </c>
      <c r="AS47" s="104">
        <f t="shared" si="11"/>
        <v>0.0311</v>
      </c>
      <c r="AT47" s="112">
        <f t="shared" si="12"/>
        <v>1136.14214135994</v>
      </c>
      <c r="AU47" s="110">
        <f>$B$7*IF($G$5="撼天",1.05,1)+IF(AND(VLOOKUP($E47,武器奇术!$A:$R,15,FALSE)="武器",VLOOKUP($E47,武器奇术!$A:$R,17,FALSE)="鸣金"),$E$3*(1+$E$15),0)</f>
        <v>0</v>
      </c>
      <c r="AV47" s="102">
        <f t="shared" si="13"/>
        <v>0</v>
      </c>
      <c r="AW47" s="102">
        <f>MAX($C$7*IF($G$5="撼天",1.05,1)+IF(AND(VLOOKUP($E47,武器奇术!$A:$R,15,FALSE)="武器",VLOOKUP($E47,武器奇术!$A:$R,17,FALSE)="鸣金"),$E$3*(1+$E$15),0),AU47)</f>
        <v>0</v>
      </c>
      <c r="AX47" s="104">
        <f>IF(($D$7+IF(VLOOKUP($E47,武器奇术!$A:$R,17,FALSE)="鸣金",$D$15,0)-VLOOKUP($F$7,目标属性!$A:$R,6,FALSE))&gt;0,($D$7+IF(VLOOKUP($E47,武器奇术!$A:$R,17,FALSE)="鸣金",$D$15,0)-VLOOKUP($F$7,目标属性!$A:$R,6,FALSE))/200,($D$7+IF(VLOOKUP($E47,武器奇术!$A:$R,17,FALSE)="鸣金",$D$15,0)-VLOOKUP($F$7,目标属性!$A:$R,6,FALSE))/100)</f>
        <v>-0.24</v>
      </c>
      <c r="AY47" s="111">
        <f t="shared" si="14"/>
        <v>0</v>
      </c>
      <c r="AZ47" s="102">
        <v>1</v>
      </c>
      <c r="BA47" s="103">
        <f>AU47*IF(VLOOKUP($E47,武器奇术!$A:$R,17,FALSE)="鸣金",VLOOKUP($E47,武器奇术!$A:$R,4,FALSE),VLOOKUP($E47,武器奇术!$A:$R,2,FALSE))*(1+AX47)*(1+AY47)*AZ47</f>
        <v>0</v>
      </c>
      <c r="BB47" s="104">
        <f>(1-IF(VLOOKUP($E47,武器奇术!$A:$R,18,FALSE)="叶龙",1,$N47))*(1-$M47)</f>
        <v>0</v>
      </c>
      <c r="BC47" s="103">
        <f>AV47*IF(VLOOKUP($E47,武器奇术!$A:$R,17,FALSE)="鸣金",VLOOKUP($E47,武器奇术!$A:$R,4,FALSE),VLOOKUP($E47,武器奇术!$A:$R,2,FALSE))*(1+AX47)*(1+AY47)*AZ47*(1+$E$16+VLOOKUP($E47,武器奇术!$A:$R,8,FALSE))</f>
        <v>0</v>
      </c>
      <c r="BD47" s="104">
        <f t="shared" si="15"/>
        <v>0.8703</v>
      </c>
      <c r="BE47" s="103">
        <f>AW47*IF(VLOOKUP($E47,武器奇术!$A:$R,17,FALSE)="鸣金",VLOOKUP($E47,武器奇术!$A:$R,4,FALSE),VLOOKUP($E47,武器奇术!$A:$R,2,FALSE))*(1+AX47)*(1+AY47)*AZ47*(1+$E$17+VLOOKUP($E47,武器奇术!$A:$R,10,FALSE))</f>
        <v>0</v>
      </c>
      <c r="BF47" s="104">
        <f t="shared" si="16"/>
        <v>0.0986</v>
      </c>
      <c r="BG47" s="103">
        <f>AV47*IF(VLOOKUP($E47,武器奇术!$A:$R,17,FALSE)="鸣金",VLOOKUP($E47,武器奇术!$A:$R,4,FALSE),VLOOKUP($E47,武器奇术!$A:$R,2,FALSE))*(1+AX47)*(1+AY47)*AZ47</f>
        <v>0</v>
      </c>
      <c r="BH47" s="104">
        <f t="shared" si="17"/>
        <v>0.0311</v>
      </c>
      <c r="BI47" s="112">
        <f t="shared" si="18"/>
        <v>0</v>
      </c>
      <c r="BJ47" s="110">
        <f>$B$9*IF($G$5="撼天",1.05,1)+IF(AND(VLOOKUP($E47,武器奇术!$A:$R,15,FALSE)="武器",VLOOKUP($E47,武器奇术!$A:$R,17,FALSE)="裂石"),$E$3*(1+$E$15),0)</f>
        <v>0</v>
      </c>
      <c r="BK47" s="102">
        <f t="shared" si="19"/>
        <v>0</v>
      </c>
      <c r="BL47" s="102">
        <f>MAX($C$9*IF($G$5="撼天",1.05,1)+IF(AND(VLOOKUP($E47,武器奇术!$A:$R,15,FALSE)="武器",VLOOKUP($E47,武器奇术!$A:$R,17,FALSE)="裂石"),$E$3*(1+$E$15),0),BJ47)</f>
        <v>0</v>
      </c>
      <c r="BM47" s="104">
        <f>IF(($D$9+IF(VLOOKUP($E47,武器奇术!$A:$R,17,FALSE)="裂石",$D$15,0)-VLOOKUP($F$7,目标属性!$A:$R,6,FALSE))&gt;0,($D$9+IF(VLOOKUP($E47,武器奇术!$A:$R,17,FALSE)="裂石",$D$15,0)-VLOOKUP($F$7,目标属性!$A:$R,6,FALSE))/200,($D$9+IF(VLOOKUP($E47,武器奇术!$A:$R,17,FALSE)="裂石",$D$15,0)-VLOOKUP($F$7,目标属性!$A:$R,6,FALSE))/100)</f>
        <v>-0.24</v>
      </c>
      <c r="BN47" s="111">
        <f t="shared" si="20"/>
        <v>0</v>
      </c>
      <c r="BO47" s="102">
        <v>1</v>
      </c>
      <c r="BP47" s="103">
        <f>BJ47*IF(VLOOKUP($E47,武器奇术!$A:$R,17,FALSE)="裂石",VLOOKUP($E47,武器奇术!$A:$R,4,FALSE),VLOOKUP($E47,武器奇术!$A:$R,2,FALSE))*(1+BM47)*(1+BN47)*BO47</f>
        <v>0</v>
      </c>
      <c r="BQ47" s="104">
        <f>(1-IF(VLOOKUP($E47,武器奇术!$A:$R,18,FALSE)="叶龙",1,$N47))*(1-$M47)</f>
        <v>0</v>
      </c>
      <c r="BR47" s="103">
        <f>BK47*IF(VLOOKUP($E47,武器奇术!$A:$R,17,FALSE)="裂石",VLOOKUP($E47,武器奇术!$A:$R,4,FALSE),VLOOKUP($E47,武器奇术!$A:$R,2,FALSE))*(1+BM47)*(1+BN47)*BO47*(1+$E$16+VLOOKUP($E47,武器奇术!$A:$R,8,FALSE))</f>
        <v>0</v>
      </c>
      <c r="BS47" s="104">
        <f t="shared" si="21"/>
        <v>0.8703</v>
      </c>
      <c r="BT47" s="103">
        <f>BL47*IF(VLOOKUP($E47,武器奇术!$A:$R,17,FALSE)="裂石",VLOOKUP($E47,武器奇术!$A:$R,4,FALSE),VLOOKUP($E47,武器奇术!$A:$R,2,FALSE))*(1+BM47)*(1+BN47)*BO47*(1+$E$17+VLOOKUP($E47,武器奇术!$A:$R,10,FALSE))</f>
        <v>0</v>
      </c>
      <c r="BU47" s="104">
        <f t="shared" si="22"/>
        <v>0.0986</v>
      </c>
      <c r="BV47" s="103">
        <f>BK47*IF(VLOOKUP($E47,武器奇术!$A:$R,17,FALSE)="裂石",VLOOKUP($E47,武器奇术!$A:$R,4,FALSE),VLOOKUP($E47,武器奇术!$A:$R,2,FALSE))*(1+BM47)*(1+BN47)*BO47</f>
        <v>0</v>
      </c>
      <c r="BW47" s="104">
        <f t="shared" si="23"/>
        <v>0.0311</v>
      </c>
      <c r="BX47" s="112">
        <f t="shared" si="24"/>
        <v>0</v>
      </c>
      <c r="BY47" s="110">
        <f>$B$11*IF($G$5="撼天",1.05,1)+IF(AND(VLOOKUP($E47,武器奇术!$A:$R,15,FALSE)="武器",VLOOKUP($E47,武器奇术!$A:$R,17,FALSE)="牵丝"),$E$3*(1+$E$15),0)</f>
        <v>686.71</v>
      </c>
      <c r="BZ47" s="102">
        <f>IF(VLOOKUP($E47,武器奇术!$A:$Z,18,FALSE)="叶龙",(CA47-(BY47+CA47)*0.5)*($G$15-0.5)*2+(BY47+CA47)*0.5,(BY47+CA47)*0.5)</f>
        <v>1052.21</v>
      </c>
      <c r="CA47" s="102">
        <f>MAX($C$11*IF($G$5="撼天",1.05,1)+IF(AND(VLOOKUP($E47,武器奇术!$A:$R,15,FALSE)="武器",VLOOKUP($E47,武器奇术!$A:$R,17,FALSE)="牵丝"),$E$3*(1+$E$15),0),BY47)</f>
        <v>1417.71</v>
      </c>
      <c r="CB47" s="104">
        <f>IF(($D$11+IF(VLOOKUP($E47,武器奇术!$A:$R,17,FALSE)="牵丝",$D$15,0)-VLOOKUP($F$7,目标属性!$A:$R,6,FALSE))&gt;0,($D$11+IF(VLOOKUP($E47,武器奇术!$A:$R,17,FALSE)="牵丝",$D$15,0)-VLOOKUP($F$7,目标属性!$A:$R,6,FALSE))/200,($D$11+IF(VLOOKUP($E47,武器奇术!$A:$R,17,FALSE)="牵丝",$D$15,0)-VLOOKUP($F$7,目标属性!$A:$R,6,FALSE))/100)</f>
        <v>0.028</v>
      </c>
      <c r="CC47" s="111">
        <f>$E$11+IF($G$5="烟柳",IF(VLOOKUP($E47,武器奇术!$A:$T,20,FALSE)=1,0.1,0),0)</f>
        <v>0.248</v>
      </c>
      <c r="CD47" s="102">
        <v>1</v>
      </c>
      <c r="CE47" s="103">
        <f>BY47*IF(VLOOKUP($E47,武器奇术!$A:$R,17,FALSE)="牵丝",VLOOKUP($E47,武器奇术!$A:$R,4,FALSE),VLOOKUP($E47,武器奇术!$A:$R,2,FALSE))*(1+CB47)*(1+CC47)*CD47</f>
        <v>2245.87190093261</v>
      </c>
      <c r="CF47" s="104">
        <f>(1-IF(VLOOKUP($E47,武器奇术!$A:$R,18,FALSE)="叶龙",1,$N47))*(1-$M47)</f>
        <v>0</v>
      </c>
      <c r="CG47" s="124">
        <f>BZ47*IF(VLOOKUP($E47,武器奇术!$A:$R,17,FALSE)="牵丝",VLOOKUP($E47,武器奇术!$A:$R,4,FALSE),VLOOKUP($E47,武器奇术!$A:$R,2,FALSE))*(1+CB47)*(1+CC47)*CD47*(1+$E$16+VLOOKUP($E47,武器奇术!$A:$R,8,FALSE))</f>
        <v>5657.38647611832</v>
      </c>
      <c r="CH47" s="104">
        <f t="shared" si="25"/>
        <v>0.8703</v>
      </c>
      <c r="CI47" s="103">
        <f>CA47*IF(VLOOKUP($E47,武器奇术!$A:$R,17,FALSE)="牵丝",VLOOKUP($E47,武器奇术!$A:$R,4,FALSE),VLOOKUP($E47,武器奇术!$A:$R,2,FALSE))*(1+CB47)*(1+CC47)*CD47*(1+$E$17+VLOOKUP($E47,武器奇术!$A:$R,10,FALSE))</f>
        <v>6259.4010879499</v>
      </c>
      <c r="CJ47" s="104">
        <f t="shared" si="26"/>
        <v>0.0986</v>
      </c>
      <c r="CK47" s="124">
        <f>BZ47*IF(VLOOKUP($E47,武器奇术!$A:$R,17,FALSE)="牵丝",VLOOKUP($E47,武器奇术!$A:$R,4,FALSE),VLOOKUP($E47,武器奇术!$A:$R,2,FALSE))*(1+CB47)*(1+CC47)*CD47</f>
        <v>3441.23264970701</v>
      </c>
      <c r="CL47" s="104">
        <f t="shared" si="27"/>
        <v>0.0311</v>
      </c>
      <c r="CM47" s="112">
        <f t="shared" si="28"/>
        <v>5647.82273284352</v>
      </c>
      <c r="CN47" s="110">
        <f>$B$13*IF($G$5="撼天",1.05,1)+IF(AND(VLOOKUP($E47,武器奇术!$A:$R,15,FALSE)="武器",VLOOKUP($E47,武器奇术!$A:$R,17,FALSE)="破竹"),$E$3*(1+$E$15),0)</f>
        <v>0</v>
      </c>
      <c r="CO47" s="102">
        <f t="shared" si="29"/>
        <v>0</v>
      </c>
      <c r="CP47" s="102">
        <f>MAX($C$13*IF($G$5="撼天",1.05,1)+IF(AND(VLOOKUP($E47,武器奇术!$A:$R,15,FALSE)="武器",VLOOKUP($E47,武器奇术!$A:$R,17,FALSE)="破竹"),$E$3*(1+$E$15),0),CN47)</f>
        <v>0</v>
      </c>
      <c r="CQ47" s="104">
        <f>IF(($D$13+IF(VLOOKUP($E47,武器奇术!$A:$R,17,FALSE)="破竹",$D$15,0)-VLOOKUP($F$7,目标属性!$A:$R,6,FALSE))&gt;0,($D$13+IF(VLOOKUP($E47,武器奇术!$A:$R,17,FALSE)="破竹",$D$15,0)-VLOOKUP($F$7,目标属性!$A:$R,6,FALSE))/200,($D$13+IF(VLOOKUP($E47,武器奇术!$A:$R,17,FALSE)="破竹",$D$15,0)-VLOOKUP($F$7,目标属性!$A:$R,6,FALSE))/100)</f>
        <v>-0.24</v>
      </c>
      <c r="CR47" s="111">
        <f t="shared" si="30"/>
        <v>0</v>
      </c>
      <c r="CS47" s="102">
        <v>1</v>
      </c>
      <c r="CT47" s="103">
        <f>CN47*IF(VLOOKUP($E47,武器奇术!$A:$R,17,FALSE)="破竹",VLOOKUP($E47,武器奇术!$A:$R,4,FALSE),VLOOKUP($E47,武器奇术!$A:$R,2,FALSE))*(1+CQ47)*(1+CR47)*CS47</f>
        <v>0</v>
      </c>
      <c r="CU47" s="104">
        <f>(1-IF(VLOOKUP($E47,武器奇术!$A:$R,18,FALSE)="叶龙",1,$N47))*(1-$M47)</f>
        <v>0</v>
      </c>
      <c r="CV47" s="103">
        <f>CO47*IF(VLOOKUP($E47,武器奇术!$A:$R,17,FALSE)="破竹",VLOOKUP($E47,武器奇术!$A:$R,4,FALSE),VLOOKUP($E47,武器奇术!$A:$R,2,FALSE))*(1+CQ47)*(1+CR47)*CS47*(1+$E$16+VLOOKUP($E47,武器奇术!$A:$R,8,FALSE))</f>
        <v>0</v>
      </c>
      <c r="CW47" s="104">
        <f t="shared" si="31"/>
        <v>0.8703</v>
      </c>
      <c r="CX47" s="103">
        <f>CP47*IF(VLOOKUP($E47,武器奇术!$A:$R,17,FALSE)="破竹",VLOOKUP($E47,武器奇术!$A:$R,4,FALSE),VLOOKUP($E47,武器奇术!$A:$R,2,FALSE))*(1+CQ47)*(1+CR47)*CS47*(1+$E$17+VLOOKUP($E47,武器奇术!$A:$R,10,FALSE))</f>
        <v>0</v>
      </c>
      <c r="CY47" s="104">
        <f t="shared" si="32"/>
        <v>0.0986</v>
      </c>
      <c r="CZ47" s="103">
        <f>CO47*IF(VLOOKUP($E47,武器奇术!$A:$R,17,FALSE)="破竹",VLOOKUP($E47,武器奇术!$A:$R,4,FALSE),VLOOKUP($E47,武器奇术!$A:$R,2,FALSE))*(1+CQ47)*(1+CR47)*CS47</f>
        <v>0</v>
      </c>
      <c r="DA47" s="104">
        <f t="shared" si="33"/>
        <v>0.0311</v>
      </c>
      <c r="DB47" s="112">
        <f t="shared" si="34"/>
        <v>0</v>
      </c>
      <c r="DC47" s="110">
        <f t="shared" si="35"/>
        <v>66</v>
      </c>
      <c r="DD47" s="102">
        <f t="shared" si="36"/>
        <v>125.8</v>
      </c>
      <c r="DE47" s="102">
        <f t="shared" si="37"/>
        <v>185.6</v>
      </c>
      <c r="DF47" s="104">
        <f>IF((IF(VLOOKUP($E47,武器奇术!$A:$R,17,FALSE)="鸣金",$D$7,0)+IF(VLOOKUP($E47,武器奇术!$A:$R,17,FALSE)="裂石",$D$9,0)+IF(VLOOKUP($E47,武器奇术!$A:$R,17,FALSE)="牵丝",$D$11,0)+IF(VLOOKUP($E47,武器奇术!$A:$R,17,FALSE)="破竹",$D$13,0)+$D$15-VLOOKUP($F$7,目标属性!$A:$R,6,FALSE))&gt;0,(IF(VLOOKUP($E47,武器奇术!$A:$R,17,FALSE)="鸣金",$D$7,0)+IF(VLOOKUP($E47,武器奇术!$A:$R,17,FALSE)="裂石",$D$9,0)+IF(VLOOKUP($E47,武器奇术!$A:$R,17,FALSE)="牵丝",$D$11,0)+IF(VLOOKUP($E47,武器奇术!$A:$R,17,FALSE)="破竹",$D$13,0)+$D$15-VLOOKUP($F$7,目标属性!$A:$R,6,FALSE))/200,(IF(VLOOKUP($E47,武器奇术!$A:$R,17,FALSE)="鸣金",$D$7,0)+IF(VLOOKUP($E47,武器奇术!$A:$R,17,FALSE)="裂石",$D$9,0)+IF(VLOOKUP($E47,武器奇术!$A:$R,17,FALSE)="牵丝",$D$11,0)+IF(VLOOKUP($E47,武器奇术!$A:$R,17,FALSE)="破竹",$D$13,0)+$D$15-VLOOKUP($F$7,目标属性!$A:$R,6,FALSE))/100)</f>
        <v>0.028</v>
      </c>
      <c r="DG47" s="111">
        <f>$E$11+IF($G$5="烟柳",IF(VLOOKUP($E47,武器奇术!$A:$T,20,FALSE)=1,0.1,0),0)</f>
        <v>0.248</v>
      </c>
      <c r="DH47" s="102">
        <v>1</v>
      </c>
      <c r="DI47" s="103">
        <f>DC47*IF(VLOOKUP($E47,武器奇术!$A:$R,17,FALSE)="牵丝",VLOOKUP($E47,武器奇术!$A:$R,4,FALSE),VLOOKUP($E47,武器奇术!$A:$R,2,FALSE))*(1+DF47)*(1+DG47)*DH47</f>
        <v>215.8517357568</v>
      </c>
      <c r="DJ47" s="104">
        <f>(1-IF(VLOOKUP($E47,武器奇术!$A:$R,18,FALSE)="叶龙",1,$N47))*(1-$M47)</f>
        <v>0</v>
      </c>
      <c r="DK47" s="124">
        <f>DD47*IF(VLOOKUP($E47,武器奇术!$A:$R,17,FALSE)="牵丝",VLOOKUP($E47,武器奇术!$A:$R,4,FALSE),VLOOKUP($E47,武器奇术!$A:$R,2,FALSE))*(1+DF47)*(1+DG47)*DH47*(1+$E$16+VLOOKUP($E47,武器奇术!$A:$R,8,FALSE))</f>
        <v>676.385150013481</v>
      </c>
      <c r="DL47" s="104">
        <f t="shared" si="38"/>
        <v>0.8703</v>
      </c>
      <c r="DM47" s="103">
        <f>DE47*IF(VLOOKUP($E47,武器奇术!$A:$R,17,FALSE)="牵丝",VLOOKUP($E47,武器奇术!$A:$R,4,FALSE),VLOOKUP($E47,武器奇术!$A:$R,2,FALSE))*(1+DF47)*(1+DG47)*DH47*(1+$E$17+VLOOKUP($E47,武器奇术!$A:$R,10,FALSE))</f>
        <v>819.451680473088</v>
      </c>
      <c r="DN47" s="104">
        <f t="shared" si="39"/>
        <v>0.0986</v>
      </c>
      <c r="DO47" s="124">
        <f>DD47*IF(VLOOKUP($E47,武器奇术!$A:$R,17,FALSE)="牵丝",VLOOKUP($E47,武器奇术!$A:$R,4,FALSE),VLOOKUP($E47,武器奇术!$A:$R,2,FALSE))*(1+DF47)*(1+DG47)*DH47</f>
        <v>411.42649027584</v>
      </c>
      <c r="DP47" s="104">
        <f t="shared" si="40"/>
        <v>0.0311</v>
      </c>
      <c r="DQ47" s="112">
        <f t="shared" si="41"/>
        <v>682.251295598958</v>
      </c>
    </row>
    <row r="48" customFormat="1" spans="2:121">
      <c r="B48" s="132"/>
      <c r="C48" s="21"/>
      <c r="D48" s="129"/>
      <c r="E48" s="115" t="str">
        <f>期望!E48</f>
        <v>丢伞(大纵断石)</v>
      </c>
      <c r="F48" s="116">
        <f>期望!F48</f>
        <v>1</v>
      </c>
      <c r="G48" s="117"/>
      <c r="H48" s="103">
        <f>IF(VLOOKUP($E48,武器奇术!$A:$R,18,FALSE)="天工",AE48,(AE48+AT48+BI48+BX48+CM48+DB48+DQ48))*(1+J48)*F48*K48*(1+G48)</f>
        <v>10730.9735649313</v>
      </c>
      <c r="I48" s="104">
        <f t="shared" si="0"/>
        <v>0.00123674425126711</v>
      </c>
      <c r="J48" s="138">
        <f>$F$3+VLOOKUP($E48,武器奇术!$A:$R,12,FALSE)+VLOOKUP($E48,武器奇术!$A:$R,14,FALSE)*$G$3+$P48</f>
        <v>0.503</v>
      </c>
      <c r="K48" s="105">
        <f>VLOOKUP($E48,武器奇术!$A:$R,11,FALSE)</f>
        <v>1</v>
      </c>
      <c r="L48" s="119">
        <f>IF(VLOOKUP($E48,武器奇术!$A:$R,15,FALSE)="天工",0%,IF($C$17+VLOOKUP($E48,武器奇术!$A:$R,7,FALSE)&gt;80%,80%,$C$17+VLOOKUP($E48,武器奇术!$A:$R,7,FALSE))+IF($C$19&gt;20%,20%,$C$19))</f>
        <v>0.8703</v>
      </c>
      <c r="M48" s="120">
        <f>IF(VLOOKUP($E48,武器奇术!$A:$R,15,FALSE)="天工",0%,IF($C$18+VLOOKUP($E48,武器奇术!$A:$R,9,FALSE)&gt;40%,40%,$C$18+VLOOKUP($E48,武器奇术!$A:$R,9,FALSE))+IF($C$20&gt;10%,10%,$C$20))</f>
        <v>0.0986</v>
      </c>
      <c r="N48" s="121">
        <f>IF(VLOOKUP($E48,武器奇术!$A:$R,15,FALSE)="天工",100%,MIN($C$16,1))</f>
        <v>1</v>
      </c>
      <c r="O48" s="122" t="str">
        <f>VLOOKUP($E48,武器奇术!$A:$R,16,FALSE)</f>
        <v>伞</v>
      </c>
      <c r="P48" s="123">
        <f t="shared" si="1"/>
        <v>0.17</v>
      </c>
      <c r="Q48" s="110">
        <f>$B$5*(1+VLOOKUP($E48,武器奇术!$A:$R,5,FALSE))*(1+VLOOKUP($E48,武器奇术!$A:$S,19,FALSE)+IF($G$5="飞隼",0.1,0)+IF($G$5="撼天",0.05,0))-$F$9+IF($J$5="√",160,0)</f>
        <v>3324.7</v>
      </c>
      <c r="R48" s="102">
        <f>IF(VLOOKUP($E48,武器奇术!$A:$Z,18,FALSE)="叶龙",(S48-(Q48+S48)*0.5)*($G$15-0.5)*2+(Q48+S48)*0.5,(Q48+S48)*0.5)</f>
        <v>3404.7</v>
      </c>
      <c r="S48" s="102">
        <f>MAX($C$5,$B$5)*(1+VLOOKUP($E48,武器奇术!$A:$R,6,FALSE))*(1+VLOOKUP($E48,武器奇术!$A:$S,19,FALSE)+IF($G$5="飞隼",0.1,0)+IF($G$5="撼天",0.05,0))-$F$9+IF($J$5="√",320,0)</f>
        <v>3484.7</v>
      </c>
      <c r="T48" s="104">
        <f>IF(($D$5+VLOOKUP($E48,武器奇术!$A:$R,13,FALSE)+IF($I$3="√",10,0)-VLOOKUP($F$7,目标属性!$A:$R,5,FALSE))&gt;0,($D$5+VLOOKUP($E48,武器奇术!$A:$R,13,FALSE)+IF($I$3="√",10,0)-VLOOKUP($F$7,目标属性!$A:$R,5,FALSE))/200,($D$5+VLOOKUP($E48,武器奇术!$A:$R,13,FALSE)+IF($I$3="√",10,0)-VLOOKUP($F$7,目标属性!$A:$R,5,FALSE))/100)</f>
        <v>0.3925</v>
      </c>
      <c r="U48" s="111">
        <f>$E$5+IF($G$5="烟柳",IF(VLOOKUP($E48,武器奇术!$A:$T,20,FALSE)=1,0.1,0),0)</f>
        <v>0</v>
      </c>
      <c r="V48" s="102">
        <v>1</v>
      </c>
      <c r="W48" s="103">
        <f>Q48*VLOOKUP($E48,武器奇术!$A:$R,2,FALSE)*(1+T48)*(1+U48)*V48</f>
        <v>2495.37852025</v>
      </c>
      <c r="X48" s="104">
        <f>(1-IF(VLOOKUP($E48,武器奇术!$A:$R,18,FALSE)="叶龙",1,$N48))*(1-$M48)</f>
        <v>0</v>
      </c>
      <c r="Y48" s="103">
        <f>R48*VLOOKUP($E48,武器奇术!$A:$R,2,FALSE)*(1+T48)*(1+U48)*V48*(1+$E$16+VLOOKUP($E48,武器奇术!$A:$R,8,FALSE))</f>
        <v>4839.9713897535</v>
      </c>
      <c r="Z48" s="104">
        <f t="shared" si="2"/>
        <v>0.8703</v>
      </c>
      <c r="AA48" s="103">
        <f>S48*VLOOKUP($E48,武器奇术!$A:$R,2,FALSE)*(1+T48)*(1+U48)*V48*(1+$E$17+VLOOKUP($E48,武器奇术!$A:$R,10,FALSE))</f>
        <v>3530.8814223375</v>
      </c>
      <c r="AB48" s="104">
        <f t="shared" si="3"/>
        <v>0.0986</v>
      </c>
      <c r="AC48" s="103">
        <f>R48*VLOOKUP($E48,武器奇术!$A:$R,2,FALSE)*(1+T48)*(1+U48)*V48</f>
        <v>2555.42312025</v>
      </c>
      <c r="AD48" s="104">
        <f t="shared" si="4"/>
        <v>0.0311</v>
      </c>
      <c r="AE48" s="112">
        <f t="shared" si="5"/>
        <v>4639.84566778472</v>
      </c>
      <c r="AF48" s="113">
        <f>VLOOKUP($E48,武器奇术!$A:$R,3,FALSE)*(1+IF(VLOOKUP($E48,武器奇术!$A:$R,15,FALSE)="武器",$E$15,0))</f>
        <v>161.8617</v>
      </c>
      <c r="AG48" s="103">
        <f t="shared" si="6"/>
        <v>161.8617</v>
      </c>
      <c r="AH48" s="103">
        <f>VLOOKUP($E48,武器奇术!$A:$R,3,FALSE)*(1+IF(VLOOKUP($E48,武器奇术!$A:$R,15,FALSE)="武器",$E$15,0))</f>
        <v>161.8617</v>
      </c>
      <c r="AI48" s="104">
        <f>IF(($D$5+VLOOKUP($E48,武器奇术!$A:$R,13,FALSE)+IF($I$3="√",10,0)-VLOOKUP($F$7,目标属性!$A:$R,5,FALSE))&gt;0,($D$5+VLOOKUP($E48,武器奇术!$A:$R,13,FALSE)+IF($I$3="√",10,0)-VLOOKUP($F$7,目标属性!$A:$R,5,FALSE))/200,($D$5+VLOOKUP($E48,武器奇术!$A:$R,13,FALSE)+IF($I$3="√",10,0)-VLOOKUP($F$7,目标属性!$A:$R,5,FALSE))/100)</f>
        <v>0.3925</v>
      </c>
      <c r="AJ48" s="111">
        <f>$E$5+IF($G$5="烟柳",IF(VLOOKUP($E48,武器奇术!$A:$T,20,FALSE)=1,0.1,0),0)</f>
        <v>0</v>
      </c>
      <c r="AK48" s="102">
        <v>1</v>
      </c>
      <c r="AL48" s="103">
        <f t="shared" si="7"/>
        <v>225.39241725</v>
      </c>
      <c r="AM48" s="104">
        <f>(1-IF(VLOOKUP($E48,武器奇术!$A:$R,18,FALSE)="叶龙",1,$N48))*(1-$M48)</f>
        <v>0</v>
      </c>
      <c r="AN48" s="103">
        <f>AG48*(1+AI48)*(1+AJ48)*AK48*(1+$E$16+VLOOKUP($E48,武器奇术!$A:$R,8,FALSE))</f>
        <v>426.8932382715</v>
      </c>
      <c r="AO48" s="104">
        <f t="shared" si="8"/>
        <v>0.8703</v>
      </c>
      <c r="AP48" s="103">
        <f>AH48*(1+AI48)*(1+AJ48)*AK48*(1+$E$17+VLOOKUP($E48,武器奇术!$A:$R,10,FALSE))</f>
        <v>304.2797632875</v>
      </c>
      <c r="AQ48" s="104">
        <f t="shared" si="9"/>
        <v>0.0986</v>
      </c>
      <c r="AR48" s="103">
        <f t="shared" si="10"/>
        <v>225.39241725</v>
      </c>
      <c r="AS48" s="104">
        <f t="shared" si="11"/>
        <v>0.0311</v>
      </c>
      <c r="AT48" s="112">
        <f t="shared" si="12"/>
        <v>408.536874104309</v>
      </c>
      <c r="AU48" s="110">
        <f>$B$7*IF($G$5="撼天",1.05,1)+IF(AND(VLOOKUP($E48,武器奇术!$A:$R,15,FALSE)="武器",VLOOKUP($E48,武器奇术!$A:$R,17,FALSE)="鸣金"),$E$3*(1+$E$15),0)</f>
        <v>0</v>
      </c>
      <c r="AV48" s="102">
        <f t="shared" si="13"/>
        <v>0</v>
      </c>
      <c r="AW48" s="102">
        <f>MAX($C$7*IF($G$5="撼天",1.05,1)+IF(AND(VLOOKUP($E48,武器奇术!$A:$R,15,FALSE)="武器",VLOOKUP($E48,武器奇术!$A:$R,17,FALSE)="鸣金"),$E$3*(1+$E$15),0),AU48)</f>
        <v>0</v>
      </c>
      <c r="AX48" s="104">
        <f>IF(($D$7+IF(VLOOKUP($E48,武器奇术!$A:$R,17,FALSE)="鸣金",$D$15,0)-VLOOKUP($F$7,目标属性!$A:$R,6,FALSE))&gt;0,($D$7+IF(VLOOKUP($E48,武器奇术!$A:$R,17,FALSE)="鸣金",$D$15,0)-VLOOKUP($F$7,目标属性!$A:$R,6,FALSE))/200,($D$7+IF(VLOOKUP($E48,武器奇术!$A:$R,17,FALSE)="鸣金",$D$15,0)-VLOOKUP($F$7,目标属性!$A:$R,6,FALSE))/100)</f>
        <v>-0.24</v>
      </c>
      <c r="AY48" s="111">
        <f t="shared" si="14"/>
        <v>0</v>
      </c>
      <c r="AZ48" s="102">
        <v>1</v>
      </c>
      <c r="BA48" s="103">
        <f>AU48*IF(VLOOKUP($E48,武器奇术!$A:$R,17,FALSE)="鸣金",VLOOKUP($E48,武器奇术!$A:$R,4,FALSE),VLOOKUP($E48,武器奇术!$A:$R,2,FALSE))*(1+AX48)*(1+AY48)*AZ48</f>
        <v>0</v>
      </c>
      <c r="BB48" s="104">
        <f>(1-IF(VLOOKUP($E48,武器奇术!$A:$R,18,FALSE)="叶龙",1,$N48))*(1-$M48)</f>
        <v>0</v>
      </c>
      <c r="BC48" s="103">
        <f>AV48*IF(VLOOKUP($E48,武器奇术!$A:$R,17,FALSE)="鸣金",VLOOKUP($E48,武器奇术!$A:$R,4,FALSE),VLOOKUP($E48,武器奇术!$A:$R,2,FALSE))*(1+AX48)*(1+AY48)*AZ48*(1+$E$16+VLOOKUP($E48,武器奇术!$A:$R,8,FALSE))</f>
        <v>0</v>
      </c>
      <c r="BD48" s="104">
        <f t="shared" si="15"/>
        <v>0.8703</v>
      </c>
      <c r="BE48" s="103">
        <f>AW48*IF(VLOOKUP($E48,武器奇术!$A:$R,17,FALSE)="鸣金",VLOOKUP($E48,武器奇术!$A:$R,4,FALSE),VLOOKUP($E48,武器奇术!$A:$R,2,FALSE))*(1+AX48)*(1+AY48)*AZ48*(1+$E$17+VLOOKUP($E48,武器奇术!$A:$R,10,FALSE))</f>
        <v>0</v>
      </c>
      <c r="BF48" s="104">
        <f t="shared" si="16"/>
        <v>0.0986</v>
      </c>
      <c r="BG48" s="103">
        <f>AV48*IF(VLOOKUP($E48,武器奇术!$A:$R,17,FALSE)="鸣金",VLOOKUP($E48,武器奇术!$A:$R,4,FALSE),VLOOKUP($E48,武器奇术!$A:$R,2,FALSE))*(1+AX48)*(1+AY48)*AZ48</f>
        <v>0</v>
      </c>
      <c r="BH48" s="104">
        <f t="shared" si="17"/>
        <v>0.0311</v>
      </c>
      <c r="BI48" s="112">
        <f t="shared" si="18"/>
        <v>0</v>
      </c>
      <c r="BJ48" s="110">
        <f>$B$9*IF($G$5="撼天",1.05,1)+IF(AND(VLOOKUP($E48,武器奇术!$A:$R,15,FALSE)="武器",VLOOKUP($E48,武器奇术!$A:$R,17,FALSE)="裂石"),$E$3*(1+$E$15),0)</f>
        <v>0</v>
      </c>
      <c r="BK48" s="102">
        <f t="shared" si="19"/>
        <v>0</v>
      </c>
      <c r="BL48" s="102">
        <f>MAX($C$9*IF($G$5="撼天",1.05,1)+IF(AND(VLOOKUP($E48,武器奇术!$A:$R,15,FALSE)="武器",VLOOKUP($E48,武器奇术!$A:$R,17,FALSE)="裂石"),$E$3*(1+$E$15),0),BJ48)</f>
        <v>0</v>
      </c>
      <c r="BM48" s="104">
        <f>IF(($D$9+IF(VLOOKUP($E48,武器奇术!$A:$R,17,FALSE)="裂石",$D$15,0)-VLOOKUP($F$7,目标属性!$A:$R,6,FALSE))&gt;0,($D$9+IF(VLOOKUP($E48,武器奇术!$A:$R,17,FALSE)="裂石",$D$15,0)-VLOOKUP($F$7,目标属性!$A:$R,6,FALSE))/200,($D$9+IF(VLOOKUP($E48,武器奇术!$A:$R,17,FALSE)="裂石",$D$15,0)-VLOOKUP($F$7,目标属性!$A:$R,6,FALSE))/100)</f>
        <v>-0.24</v>
      </c>
      <c r="BN48" s="111">
        <f t="shared" si="20"/>
        <v>0</v>
      </c>
      <c r="BO48" s="102">
        <v>1</v>
      </c>
      <c r="BP48" s="103">
        <f>BJ48*IF(VLOOKUP($E48,武器奇术!$A:$R,17,FALSE)="裂石",VLOOKUP($E48,武器奇术!$A:$R,4,FALSE),VLOOKUP($E48,武器奇术!$A:$R,2,FALSE))*(1+BM48)*(1+BN48)*BO48</f>
        <v>0</v>
      </c>
      <c r="BQ48" s="104">
        <f>(1-IF(VLOOKUP($E48,武器奇术!$A:$R,18,FALSE)="叶龙",1,$N48))*(1-$M48)</f>
        <v>0</v>
      </c>
      <c r="BR48" s="103">
        <f>BK48*IF(VLOOKUP($E48,武器奇术!$A:$R,17,FALSE)="裂石",VLOOKUP($E48,武器奇术!$A:$R,4,FALSE),VLOOKUP($E48,武器奇术!$A:$R,2,FALSE))*(1+BM48)*(1+BN48)*BO48*(1+$E$16+VLOOKUP($E48,武器奇术!$A:$R,8,FALSE))</f>
        <v>0</v>
      </c>
      <c r="BS48" s="104">
        <f t="shared" si="21"/>
        <v>0.8703</v>
      </c>
      <c r="BT48" s="103">
        <f>BL48*IF(VLOOKUP($E48,武器奇术!$A:$R,17,FALSE)="裂石",VLOOKUP($E48,武器奇术!$A:$R,4,FALSE),VLOOKUP($E48,武器奇术!$A:$R,2,FALSE))*(1+BM48)*(1+BN48)*BO48*(1+$E$17+VLOOKUP($E48,武器奇术!$A:$R,10,FALSE))</f>
        <v>0</v>
      </c>
      <c r="BU48" s="104">
        <f t="shared" si="22"/>
        <v>0.0986</v>
      </c>
      <c r="BV48" s="103">
        <f>BK48*IF(VLOOKUP($E48,武器奇术!$A:$R,17,FALSE)="裂石",VLOOKUP($E48,武器奇术!$A:$R,4,FALSE),VLOOKUP($E48,武器奇术!$A:$R,2,FALSE))*(1+BM48)*(1+BN48)*BO48</f>
        <v>0</v>
      </c>
      <c r="BW48" s="104">
        <f t="shared" si="23"/>
        <v>0.0311</v>
      </c>
      <c r="BX48" s="112">
        <f t="shared" si="24"/>
        <v>0</v>
      </c>
      <c r="BY48" s="110">
        <f>$B$11*IF($G$5="撼天",1.05,1)+IF(AND(VLOOKUP($E48,武器奇术!$A:$R,15,FALSE)="武器",VLOOKUP($E48,武器奇术!$A:$R,17,FALSE)="牵丝"),$E$3*(1+$E$15),0)</f>
        <v>686.71</v>
      </c>
      <c r="BZ48" s="102">
        <f>IF(VLOOKUP($E48,武器奇术!$A:$Z,18,FALSE)="叶龙",(CA48-(BY48+CA48)*0.5)*($G$15-0.5)*2+(BY48+CA48)*0.5,(BY48+CA48)*0.5)</f>
        <v>1052.21</v>
      </c>
      <c r="CA48" s="102">
        <f>MAX($C$11*IF($G$5="撼天",1.05,1)+IF(AND(VLOOKUP($E48,武器奇术!$A:$R,15,FALSE)="武器",VLOOKUP($E48,武器奇术!$A:$R,17,FALSE)="牵丝"),$E$3*(1+$E$15),0),BY48)</f>
        <v>1417.71</v>
      </c>
      <c r="CB48" s="104">
        <f>IF(($D$11+IF(VLOOKUP($E48,武器奇术!$A:$R,17,FALSE)="牵丝",$D$15,0)-VLOOKUP($F$7,目标属性!$A:$R,6,FALSE))&gt;0,($D$11+IF(VLOOKUP($E48,武器奇术!$A:$R,17,FALSE)="牵丝",$D$15,0)-VLOOKUP($F$7,目标属性!$A:$R,6,FALSE))/200,($D$11+IF(VLOOKUP($E48,武器奇术!$A:$R,17,FALSE)="牵丝",$D$15,0)-VLOOKUP($F$7,目标属性!$A:$R,6,FALSE))/100)</f>
        <v>0.028</v>
      </c>
      <c r="CC48" s="111">
        <f>$E$11+IF($G$5="烟柳",IF(VLOOKUP($E48,武器奇术!$A:$T,20,FALSE)=1,0.1,0),0)</f>
        <v>0.148</v>
      </c>
      <c r="CD48" s="102">
        <v>1</v>
      </c>
      <c r="CE48" s="103">
        <f>BY48*IF(VLOOKUP($E48,武器奇术!$A:$R,17,FALSE)="牵丝",VLOOKUP($E48,武器奇术!$A:$R,4,FALSE),VLOOKUP($E48,武器奇术!$A:$R,2,FALSE))*(1+CB48)*(1+CC48)*CD48</f>
        <v>655.22189082504</v>
      </c>
      <c r="CF48" s="104">
        <f>(1-IF(VLOOKUP($E48,武器奇术!$A:$R,18,FALSE)="叶龙",1,$N48))*(1-$M48)</f>
        <v>0</v>
      </c>
      <c r="CG48" s="124">
        <f>BZ48*IF(VLOOKUP($E48,武器奇术!$A:$R,17,FALSE)="牵丝",VLOOKUP($E48,武器奇术!$A:$R,4,FALSE),VLOOKUP($E48,武器奇术!$A:$R,2,FALSE))*(1+CB48)*(1+CC48)*CD48*(1+$E$16+VLOOKUP($E48,武器奇术!$A:$R,8,FALSE))</f>
        <v>1901.50480226159</v>
      </c>
      <c r="CH48" s="104">
        <f t="shared" si="25"/>
        <v>0.8703</v>
      </c>
      <c r="CI48" s="103">
        <f>CA48*IF(VLOOKUP($E48,武器奇术!$A:$R,17,FALSE)="牵丝",VLOOKUP($E48,武器奇术!$A:$R,4,FALSE),VLOOKUP($E48,武器奇术!$A:$R,2,FALSE))*(1+CB48)*(1+CC48)*CD48*(1+$E$17+VLOOKUP($E48,武器奇术!$A:$R,10,FALSE))</f>
        <v>1826.1489511382</v>
      </c>
      <c r="CJ48" s="104">
        <f t="shared" si="26"/>
        <v>0.0986</v>
      </c>
      <c r="CK48" s="124">
        <f>BZ48*IF(VLOOKUP($E48,武器奇术!$A:$R,17,FALSE)="牵丝",VLOOKUP($E48,武器奇术!$A:$R,4,FALSE),VLOOKUP($E48,武器奇术!$A:$R,2,FALSE))*(1+CB48)*(1+CC48)*CD48</f>
        <v>1003.96240879704</v>
      </c>
      <c r="CL48" s="104">
        <f t="shared" si="27"/>
        <v>0.0311</v>
      </c>
      <c r="CM48" s="112">
        <f t="shared" si="28"/>
        <v>1866.16114690408</v>
      </c>
      <c r="CN48" s="110">
        <f>$B$13*IF($G$5="撼天",1.05,1)+IF(AND(VLOOKUP($E48,武器奇术!$A:$R,15,FALSE)="武器",VLOOKUP($E48,武器奇术!$A:$R,17,FALSE)="破竹"),$E$3*(1+$E$15),0)</f>
        <v>0</v>
      </c>
      <c r="CO48" s="102">
        <f t="shared" si="29"/>
        <v>0</v>
      </c>
      <c r="CP48" s="102">
        <f>MAX($C$13*IF($G$5="撼天",1.05,1)+IF(AND(VLOOKUP($E48,武器奇术!$A:$R,15,FALSE)="武器",VLOOKUP($E48,武器奇术!$A:$R,17,FALSE)="破竹"),$E$3*(1+$E$15),0),CN48)</f>
        <v>0</v>
      </c>
      <c r="CQ48" s="104">
        <f>IF(($D$13+IF(VLOOKUP($E48,武器奇术!$A:$R,17,FALSE)="破竹",$D$15,0)-VLOOKUP($F$7,目标属性!$A:$R,6,FALSE))&gt;0,($D$13+IF(VLOOKUP($E48,武器奇术!$A:$R,17,FALSE)="破竹",$D$15,0)-VLOOKUP($F$7,目标属性!$A:$R,6,FALSE))/200,($D$13+IF(VLOOKUP($E48,武器奇术!$A:$R,17,FALSE)="破竹",$D$15,0)-VLOOKUP($F$7,目标属性!$A:$R,6,FALSE))/100)</f>
        <v>-0.24</v>
      </c>
      <c r="CR48" s="111">
        <f t="shared" si="30"/>
        <v>0</v>
      </c>
      <c r="CS48" s="102">
        <v>1</v>
      </c>
      <c r="CT48" s="103">
        <f>CN48*IF(VLOOKUP($E48,武器奇术!$A:$R,17,FALSE)="破竹",VLOOKUP($E48,武器奇术!$A:$R,4,FALSE),VLOOKUP($E48,武器奇术!$A:$R,2,FALSE))*(1+CQ48)*(1+CR48)*CS48</f>
        <v>0</v>
      </c>
      <c r="CU48" s="104">
        <f>(1-IF(VLOOKUP($E48,武器奇术!$A:$R,18,FALSE)="叶龙",1,$N48))*(1-$M48)</f>
        <v>0</v>
      </c>
      <c r="CV48" s="103">
        <f>CO48*IF(VLOOKUP($E48,武器奇术!$A:$R,17,FALSE)="破竹",VLOOKUP($E48,武器奇术!$A:$R,4,FALSE),VLOOKUP($E48,武器奇术!$A:$R,2,FALSE))*(1+CQ48)*(1+CR48)*CS48*(1+$E$16+VLOOKUP($E48,武器奇术!$A:$R,8,FALSE))</f>
        <v>0</v>
      </c>
      <c r="CW48" s="104">
        <f t="shared" si="31"/>
        <v>0.8703</v>
      </c>
      <c r="CX48" s="103">
        <f>CP48*IF(VLOOKUP($E48,武器奇术!$A:$R,17,FALSE)="破竹",VLOOKUP($E48,武器奇术!$A:$R,4,FALSE),VLOOKUP($E48,武器奇术!$A:$R,2,FALSE))*(1+CQ48)*(1+CR48)*CS48*(1+$E$17+VLOOKUP($E48,武器奇术!$A:$R,10,FALSE))</f>
        <v>0</v>
      </c>
      <c r="CY48" s="104">
        <f t="shared" si="32"/>
        <v>0.0986</v>
      </c>
      <c r="CZ48" s="103">
        <f>CO48*IF(VLOOKUP($E48,武器奇术!$A:$R,17,FALSE)="破竹",VLOOKUP($E48,武器奇术!$A:$R,4,FALSE),VLOOKUP($E48,武器奇术!$A:$R,2,FALSE))*(1+CQ48)*(1+CR48)*CS48</f>
        <v>0</v>
      </c>
      <c r="DA48" s="104">
        <f t="shared" si="33"/>
        <v>0.0311</v>
      </c>
      <c r="DB48" s="112">
        <f t="shared" si="34"/>
        <v>0</v>
      </c>
      <c r="DC48" s="110">
        <f t="shared" si="35"/>
        <v>66</v>
      </c>
      <c r="DD48" s="102">
        <f t="shared" si="36"/>
        <v>125.8</v>
      </c>
      <c r="DE48" s="102">
        <f t="shared" si="37"/>
        <v>185.6</v>
      </c>
      <c r="DF48" s="104">
        <f>IF((IF(VLOOKUP($E48,武器奇术!$A:$R,17,FALSE)="鸣金",$D$7,0)+IF(VLOOKUP($E48,武器奇术!$A:$R,17,FALSE)="裂石",$D$9,0)+IF(VLOOKUP($E48,武器奇术!$A:$R,17,FALSE)="牵丝",$D$11,0)+IF(VLOOKUP($E48,武器奇术!$A:$R,17,FALSE)="破竹",$D$13,0)+$D$15-VLOOKUP($F$7,目标属性!$A:$R,6,FALSE))&gt;0,(IF(VLOOKUP($E48,武器奇术!$A:$R,17,FALSE)="鸣金",$D$7,0)+IF(VLOOKUP($E48,武器奇术!$A:$R,17,FALSE)="裂石",$D$9,0)+IF(VLOOKUP($E48,武器奇术!$A:$R,17,FALSE)="牵丝",$D$11,0)+IF(VLOOKUP($E48,武器奇术!$A:$R,17,FALSE)="破竹",$D$13,0)+$D$15-VLOOKUP($F$7,目标属性!$A:$R,6,FALSE))/200,(IF(VLOOKUP($E48,武器奇术!$A:$R,17,FALSE)="鸣金",$D$7,0)+IF(VLOOKUP($E48,武器奇术!$A:$R,17,FALSE)="裂石",$D$9,0)+IF(VLOOKUP($E48,武器奇术!$A:$R,17,FALSE)="牵丝",$D$11,0)+IF(VLOOKUP($E48,武器奇术!$A:$R,17,FALSE)="破竹",$D$13,0)+$D$15-VLOOKUP($F$7,目标属性!$A:$R,6,FALSE))/100)</f>
        <v>0.028</v>
      </c>
      <c r="DG48" s="111">
        <f>$E$11+IF($G$5="烟柳",IF(VLOOKUP($E48,武器奇术!$A:$T,20,FALSE)=1,0.1,0),0)</f>
        <v>0.148</v>
      </c>
      <c r="DH48" s="102">
        <v>1</v>
      </c>
      <c r="DI48" s="103">
        <f>DC48*IF(VLOOKUP($E48,武器奇术!$A:$R,17,FALSE)="牵丝",VLOOKUP($E48,武器奇术!$A:$R,4,FALSE),VLOOKUP($E48,武器奇术!$A:$R,2,FALSE))*(1+DF48)*(1+DG48)*DH48</f>
        <v>62.973663984</v>
      </c>
      <c r="DJ48" s="104">
        <f>(1-IF(VLOOKUP($E48,武器奇术!$A:$R,18,FALSE)="叶龙",1,$N48))*(1-$M48)</f>
        <v>0</v>
      </c>
      <c r="DK48" s="124">
        <f>DD48*IF(VLOOKUP($E48,武器奇术!$A:$R,17,FALSE)="牵丝",VLOOKUP($E48,武器奇术!$A:$R,4,FALSE),VLOOKUP($E48,武器奇术!$A:$R,2,FALSE))*(1+DF48)*(1+DG48)*DH48*(1+$E$16+VLOOKUP($E48,武器奇术!$A:$R,8,FALSE))</f>
        <v>227.339888543645</v>
      </c>
      <c r="DL48" s="104">
        <f t="shared" si="38"/>
        <v>0.8703</v>
      </c>
      <c r="DM48" s="103">
        <f>DE48*IF(VLOOKUP($E48,武器奇术!$A:$R,17,FALSE)="牵丝",VLOOKUP($E48,武器奇术!$A:$R,4,FALSE),VLOOKUP($E48,武器奇术!$A:$R,2,FALSE))*(1+DF48)*(1+DG48)*DH48*(1+$E$17+VLOOKUP($E48,武器奇术!$A:$R,10,FALSE))</f>
        <v>239.07092799744</v>
      </c>
      <c r="DN48" s="104">
        <f t="shared" si="39"/>
        <v>0.0986</v>
      </c>
      <c r="DO48" s="124">
        <f>DD48*IF(VLOOKUP($E48,武器奇术!$A:$R,17,FALSE)="牵丝",VLOOKUP($E48,武器奇术!$A:$R,4,FALSE),VLOOKUP($E48,武器奇术!$A:$R,2,FALSE))*(1+DF48)*(1+DG48)*DH48</f>
        <v>120.0316201392</v>
      </c>
      <c r="DP48" s="104">
        <f t="shared" si="40"/>
        <v>0.0311</v>
      </c>
      <c r="DQ48" s="112">
        <f t="shared" si="41"/>
        <v>225.159281886411</v>
      </c>
    </row>
    <row r="49" customFormat="1" customHeight="1" spans="1:121">
      <c r="B49" s="135"/>
      <c r="C49" s="127"/>
      <c r="D49" s="128"/>
      <c r="E49" s="115" t="str">
        <f>期望!E49</f>
        <v>扇Q(大纵断石)</v>
      </c>
      <c r="F49" s="116">
        <f>期望!F49</f>
        <v>1</v>
      </c>
      <c r="G49" s="117"/>
      <c r="H49" s="103">
        <f>IF(VLOOKUP($E49,武器奇术!$A:$R,18,FALSE)="天工",AE49,(AE49+AT49+BI49+BX49+CM49+DB49+DQ49))*(1+J49)*F49*K49*(1+G49)</f>
        <v>17396.6022034931</v>
      </c>
      <c r="I49" s="104">
        <f t="shared" si="0"/>
        <v>0.00200495767104134</v>
      </c>
      <c r="J49" s="138">
        <f>$F$3+VLOOKUP($E49,武器奇术!$A:$R,12,FALSE)+VLOOKUP($E49,武器奇术!$A:$R,14,FALSE)*$G$3+$P49</f>
        <v>0.417</v>
      </c>
      <c r="K49" s="105">
        <f>VLOOKUP($E49,武器奇术!$A:$R,11,FALSE)</f>
        <v>1</v>
      </c>
      <c r="L49" s="119">
        <f>IF(VLOOKUP($E49,武器奇术!$A:$R,15,FALSE)="天工",0%,IF($C$17+VLOOKUP($E49,武器奇术!$A:$R,7,FALSE)&gt;80%,80%,$C$17+VLOOKUP($E49,武器奇术!$A:$R,7,FALSE))+IF($C$19&gt;20%,20%,$C$19))</f>
        <v>0.8703</v>
      </c>
      <c r="M49" s="120">
        <f>IF(VLOOKUP($E49,武器奇术!$A:$R,15,FALSE)="天工",0%,IF($C$18+VLOOKUP($E49,武器奇术!$A:$R,9,FALSE)&gt;40%,40%,$C$18+VLOOKUP($E49,武器奇术!$A:$R,9,FALSE))+IF($C$20&gt;10%,10%,$C$20))</f>
        <v>0.0986</v>
      </c>
      <c r="N49" s="121">
        <f>IF(VLOOKUP($E49,武器奇术!$A:$R,15,FALSE)="天工",100%,MIN($C$16,1))</f>
        <v>1</v>
      </c>
      <c r="O49" s="122" t="str">
        <f>VLOOKUP($E49,武器奇术!$A:$R,16,FALSE)</f>
        <v>扇</v>
      </c>
      <c r="P49" s="123">
        <f t="shared" si="1"/>
        <v>0.084</v>
      </c>
      <c r="Q49" s="110">
        <f>$B$5*(1+VLOOKUP($E49,武器奇术!$A:$R,5,FALSE))*(1+VLOOKUP($E49,武器奇术!$A:$S,19,FALSE)+IF($G$5="飞隼",0.1,0)+IF($G$5="撼天",0.05,0))-$F$9+IF($J$5="√",160,0)</f>
        <v>3324.7</v>
      </c>
      <c r="R49" s="102">
        <f>IF(VLOOKUP($E49,武器奇术!$A:$Z,18,FALSE)="叶龙",(S49-(Q49+S49)*0.5)*($G$15-0.5)*2+(Q49+S49)*0.5,(Q49+S49)*0.5)</f>
        <v>3404.7</v>
      </c>
      <c r="S49" s="102">
        <f>MAX($C$5,$B$5)*(1+VLOOKUP($E49,武器奇术!$A:$R,6,FALSE))*(1+VLOOKUP($E49,武器奇术!$A:$S,19,FALSE)+IF($G$5="飞隼",0.1,0)+IF($G$5="撼天",0.05,0))-$F$9+IF($J$5="√",320,0)</f>
        <v>3484.7</v>
      </c>
      <c r="T49" s="104">
        <f>IF(($D$5+VLOOKUP($E49,武器奇术!$A:$R,13,FALSE)+IF($I$3="√",10,0)-VLOOKUP($F$7,目标属性!$A:$R,5,FALSE))&gt;0,($D$5+VLOOKUP($E49,武器奇术!$A:$R,13,FALSE)+IF($I$3="√",10,0)-VLOOKUP($F$7,目标属性!$A:$R,5,FALSE))/200,($D$5+VLOOKUP($E49,武器奇术!$A:$R,13,FALSE)+IF($I$3="√",10,0)-VLOOKUP($F$7,目标属性!$A:$R,5,FALSE))/100)</f>
        <v>0.3925</v>
      </c>
      <c r="U49" s="111">
        <f>$E$5+IF($G$5="烟柳",IF(VLOOKUP($E49,武器奇术!$A:$T,20,FALSE)=1,0.1,0),0)</f>
        <v>0</v>
      </c>
      <c r="V49" s="102">
        <v>1</v>
      </c>
      <c r="W49" s="103">
        <f>Q49*VLOOKUP($E49,武器奇术!$A:$R,2,FALSE)*(1+T49)*(1+U49)*V49</f>
        <v>4289.82882535</v>
      </c>
      <c r="X49" s="104">
        <f>(1-IF(VLOOKUP($E49,武器奇术!$A:$R,18,FALSE)="叶龙",1,$N49))*(1-$M49)</f>
        <v>0</v>
      </c>
      <c r="Y49" s="103">
        <f>R49*VLOOKUP($E49,武器奇术!$A:$R,2,FALSE)*(1+T49)*(1+U49)*V49*(1+$E$16+VLOOKUP($E49,武器奇术!$A:$R,8,FALSE))</f>
        <v>8320.4406117729</v>
      </c>
      <c r="Z49" s="104">
        <f t="shared" si="2"/>
        <v>0.8703</v>
      </c>
      <c r="AA49" s="103">
        <f>S49*VLOOKUP($E49,武器奇术!$A:$R,2,FALSE)*(1+T49)*(1+U49)*V49*(1+$E$17+VLOOKUP($E49,武器奇术!$A:$R,10,FALSE))</f>
        <v>6069.9716622225</v>
      </c>
      <c r="AB49" s="104">
        <f t="shared" si="3"/>
        <v>0.0986</v>
      </c>
      <c r="AC49" s="103">
        <f>R49*VLOOKUP($E49,武器奇术!$A:$R,2,FALSE)*(1+T49)*(1+U49)*V49</f>
        <v>4393.05206535</v>
      </c>
      <c r="AD49" s="104">
        <f t="shared" si="4"/>
        <v>0.0311</v>
      </c>
      <c r="AE49" s="112">
        <f t="shared" si="5"/>
        <v>7976.40258955348</v>
      </c>
      <c r="AF49" s="113">
        <f>VLOOKUP($E49,武器奇术!$A:$R,3,FALSE)*(1+IF(VLOOKUP($E49,武器奇术!$A:$R,15,FALSE)="武器",$E$15,0))</f>
        <v>279.5</v>
      </c>
      <c r="AG49" s="103">
        <f t="shared" si="6"/>
        <v>279.5</v>
      </c>
      <c r="AH49" s="103">
        <f>VLOOKUP($E49,武器奇术!$A:$R,3,FALSE)*(1+IF(VLOOKUP($E49,武器奇术!$A:$R,15,FALSE)="武器",$E$15,0))</f>
        <v>279.5</v>
      </c>
      <c r="AI49" s="104">
        <f>IF(($D$5+VLOOKUP($E49,武器奇术!$A:$R,13,FALSE)+IF($I$3="√",10,0)-VLOOKUP($F$7,目标属性!$A:$R,5,FALSE))&gt;0,($D$5+VLOOKUP($E49,武器奇术!$A:$R,13,FALSE)+IF($I$3="√",10,0)-VLOOKUP($F$7,目标属性!$A:$R,5,FALSE))/200,($D$5+VLOOKUP($E49,武器奇术!$A:$R,13,FALSE)+IF($I$3="√",10,0)-VLOOKUP($F$7,目标属性!$A:$R,5,FALSE))/100)</f>
        <v>0.3925</v>
      </c>
      <c r="AJ49" s="111">
        <f>$E$5+IF($G$5="烟柳",IF(VLOOKUP($E49,武器奇术!$A:$T,20,FALSE)=1,0.1,0),0)</f>
        <v>0</v>
      </c>
      <c r="AK49" s="102">
        <v>1</v>
      </c>
      <c r="AL49" s="103">
        <f t="shared" si="7"/>
        <v>389.20375</v>
      </c>
      <c r="AM49" s="104">
        <f>(1-IF(VLOOKUP($E49,武器奇术!$A:$R,18,FALSE)="叶龙",1,$N49))*(1-$M49)</f>
        <v>0</v>
      </c>
      <c r="AN49" s="103">
        <f>AG49*(1+AI49)*(1+AJ49)*AK49*(1+$E$16+VLOOKUP($E49,武器奇术!$A:$R,8,FALSE))</f>
        <v>737.1519025</v>
      </c>
      <c r="AO49" s="104">
        <f t="shared" si="8"/>
        <v>0.8703</v>
      </c>
      <c r="AP49" s="103">
        <f>AH49*(1+AI49)*(1+AJ49)*AK49*(1+$E$17+VLOOKUP($E49,武器奇术!$A:$R,10,FALSE))</f>
        <v>525.4250625</v>
      </c>
      <c r="AQ49" s="104">
        <f t="shared" si="9"/>
        <v>0.0986</v>
      </c>
      <c r="AR49" s="103">
        <f t="shared" si="10"/>
        <v>389.20375</v>
      </c>
      <c r="AS49" s="104">
        <f t="shared" si="11"/>
        <v>0.0311</v>
      </c>
      <c r="AT49" s="112">
        <f t="shared" si="12"/>
        <v>705.45444853325</v>
      </c>
      <c r="AU49" s="110">
        <f>$B$7*IF($G$5="撼天",1.05,1)+IF(AND(VLOOKUP($E49,武器奇术!$A:$R,15,FALSE)="武器",VLOOKUP($E49,武器奇术!$A:$R,17,FALSE)="鸣金"),$E$3*(1+$E$15),0)</f>
        <v>0</v>
      </c>
      <c r="AV49" s="102">
        <f t="shared" si="13"/>
        <v>0</v>
      </c>
      <c r="AW49" s="102">
        <f>MAX($C$7*IF($G$5="撼天",1.05,1)+IF(AND(VLOOKUP($E49,武器奇术!$A:$R,15,FALSE)="武器",VLOOKUP($E49,武器奇术!$A:$R,17,FALSE)="鸣金"),$E$3*(1+$E$15),0),AU49)</f>
        <v>0</v>
      </c>
      <c r="AX49" s="104">
        <f>IF(($D$7+IF(VLOOKUP($E49,武器奇术!$A:$R,17,FALSE)="鸣金",$D$15,0)-VLOOKUP($F$7,目标属性!$A:$R,6,FALSE))&gt;0,($D$7+IF(VLOOKUP($E49,武器奇术!$A:$R,17,FALSE)="鸣金",$D$15,0)-VLOOKUP($F$7,目标属性!$A:$R,6,FALSE))/200,($D$7+IF(VLOOKUP($E49,武器奇术!$A:$R,17,FALSE)="鸣金",$D$15,0)-VLOOKUP($F$7,目标属性!$A:$R,6,FALSE))/100)</f>
        <v>-0.24</v>
      </c>
      <c r="AY49" s="111">
        <f t="shared" si="14"/>
        <v>0</v>
      </c>
      <c r="AZ49" s="102">
        <v>1</v>
      </c>
      <c r="BA49" s="103">
        <f>AU49*IF(VLOOKUP($E49,武器奇术!$A:$R,17,FALSE)="鸣金",VLOOKUP($E49,武器奇术!$A:$R,4,FALSE),VLOOKUP($E49,武器奇术!$A:$R,2,FALSE))*(1+AX49)*(1+AY49)*AZ49</f>
        <v>0</v>
      </c>
      <c r="BB49" s="104">
        <f>(1-IF(VLOOKUP($E49,武器奇术!$A:$R,18,FALSE)="叶龙",1,$N49))*(1-$M49)</f>
        <v>0</v>
      </c>
      <c r="BC49" s="103">
        <f>AV49*IF(VLOOKUP($E49,武器奇术!$A:$R,17,FALSE)="鸣金",VLOOKUP($E49,武器奇术!$A:$R,4,FALSE),VLOOKUP($E49,武器奇术!$A:$R,2,FALSE))*(1+AX49)*(1+AY49)*AZ49*(1+$E$16+VLOOKUP($E49,武器奇术!$A:$R,8,FALSE))</f>
        <v>0</v>
      </c>
      <c r="BD49" s="104">
        <f t="shared" si="15"/>
        <v>0.8703</v>
      </c>
      <c r="BE49" s="103">
        <f>AW49*IF(VLOOKUP($E49,武器奇术!$A:$R,17,FALSE)="鸣金",VLOOKUP($E49,武器奇术!$A:$R,4,FALSE),VLOOKUP($E49,武器奇术!$A:$R,2,FALSE))*(1+AX49)*(1+AY49)*AZ49*(1+$E$17+VLOOKUP($E49,武器奇术!$A:$R,10,FALSE))</f>
        <v>0</v>
      </c>
      <c r="BF49" s="104">
        <f t="shared" si="16"/>
        <v>0.0986</v>
      </c>
      <c r="BG49" s="103">
        <f>AV49*IF(VLOOKUP($E49,武器奇术!$A:$R,17,FALSE)="鸣金",VLOOKUP($E49,武器奇术!$A:$R,4,FALSE),VLOOKUP($E49,武器奇术!$A:$R,2,FALSE))*(1+AX49)*(1+AY49)*AZ49</f>
        <v>0</v>
      </c>
      <c r="BH49" s="104">
        <f t="shared" si="17"/>
        <v>0.0311</v>
      </c>
      <c r="BI49" s="112">
        <f t="shared" si="18"/>
        <v>0</v>
      </c>
      <c r="BJ49" s="110">
        <f>$B$9*IF($G$5="撼天",1.05,1)+IF(AND(VLOOKUP($E49,武器奇术!$A:$R,15,FALSE)="武器",VLOOKUP($E49,武器奇术!$A:$R,17,FALSE)="裂石"),$E$3*(1+$E$15),0)</f>
        <v>0</v>
      </c>
      <c r="BK49" s="102">
        <f t="shared" si="19"/>
        <v>0</v>
      </c>
      <c r="BL49" s="102">
        <f>MAX($C$9*IF($G$5="撼天",1.05,1)+IF(AND(VLOOKUP($E49,武器奇术!$A:$R,15,FALSE)="武器",VLOOKUP($E49,武器奇术!$A:$R,17,FALSE)="裂石"),$E$3*(1+$E$15),0),BJ49)</f>
        <v>0</v>
      </c>
      <c r="BM49" s="104">
        <f>IF(($D$9+IF(VLOOKUP($E49,武器奇术!$A:$R,17,FALSE)="裂石",$D$15,0)-VLOOKUP($F$7,目标属性!$A:$R,6,FALSE))&gt;0,($D$9+IF(VLOOKUP($E49,武器奇术!$A:$R,17,FALSE)="裂石",$D$15,0)-VLOOKUP($F$7,目标属性!$A:$R,6,FALSE))/200,($D$9+IF(VLOOKUP($E49,武器奇术!$A:$R,17,FALSE)="裂石",$D$15,0)-VLOOKUP($F$7,目标属性!$A:$R,6,FALSE))/100)</f>
        <v>-0.24</v>
      </c>
      <c r="BN49" s="111">
        <f t="shared" si="20"/>
        <v>0</v>
      </c>
      <c r="BO49" s="102">
        <v>1</v>
      </c>
      <c r="BP49" s="103">
        <f>BJ49*IF(VLOOKUP($E49,武器奇术!$A:$R,17,FALSE)="裂石",VLOOKUP($E49,武器奇术!$A:$R,4,FALSE),VLOOKUP($E49,武器奇术!$A:$R,2,FALSE))*(1+BM49)*(1+BN49)*BO49</f>
        <v>0</v>
      </c>
      <c r="BQ49" s="104">
        <f>(1-IF(VLOOKUP($E49,武器奇术!$A:$R,18,FALSE)="叶龙",1,$N49))*(1-$M49)</f>
        <v>0</v>
      </c>
      <c r="BR49" s="103">
        <f>BK49*IF(VLOOKUP($E49,武器奇术!$A:$R,17,FALSE)="裂石",VLOOKUP($E49,武器奇术!$A:$R,4,FALSE),VLOOKUP($E49,武器奇术!$A:$R,2,FALSE))*(1+BM49)*(1+BN49)*BO49*(1+$E$16+VLOOKUP($E49,武器奇术!$A:$R,8,FALSE))</f>
        <v>0</v>
      </c>
      <c r="BS49" s="104">
        <f t="shared" si="21"/>
        <v>0.8703</v>
      </c>
      <c r="BT49" s="103">
        <f>BL49*IF(VLOOKUP($E49,武器奇术!$A:$R,17,FALSE)="裂石",VLOOKUP($E49,武器奇术!$A:$R,4,FALSE),VLOOKUP($E49,武器奇术!$A:$R,2,FALSE))*(1+BM49)*(1+BN49)*BO49*(1+$E$17+VLOOKUP($E49,武器奇术!$A:$R,10,FALSE))</f>
        <v>0</v>
      </c>
      <c r="BU49" s="104">
        <f t="shared" si="22"/>
        <v>0.0986</v>
      </c>
      <c r="BV49" s="103">
        <f>BK49*IF(VLOOKUP($E49,武器奇术!$A:$R,17,FALSE)="裂石",VLOOKUP($E49,武器奇术!$A:$R,4,FALSE),VLOOKUP($E49,武器奇术!$A:$R,2,FALSE))*(1+BM49)*(1+BN49)*BO49</f>
        <v>0</v>
      </c>
      <c r="BW49" s="104">
        <f t="shared" si="23"/>
        <v>0.0311</v>
      </c>
      <c r="BX49" s="112">
        <f t="shared" si="24"/>
        <v>0</v>
      </c>
      <c r="BY49" s="110">
        <f>$B$11*IF($G$5="撼天",1.05,1)+IF(AND(VLOOKUP($E49,武器奇术!$A:$R,15,FALSE)="武器",VLOOKUP($E49,武器奇术!$A:$R,17,FALSE)="牵丝"),$E$3*(1+$E$15),0)</f>
        <v>686.71</v>
      </c>
      <c r="BZ49" s="102">
        <f>IF(VLOOKUP($E49,武器奇术!$A:$Z,18,FALSE)="叶龙",(CA49-(BY49+CA49)*0.5)*($G$15-0.5)*2+(BY49+CA49)*0.5,(BY49+CA49)*0.5)</f>
        <v>1052.21</v>
      </c>
      <c r="CA49" s="102">
        <f>MAX($C$11*IF($G$5="撼天",1.05,1)+IF(AND(VLOOKUP($E49,武器奇术!$A:$R,15,FALSE)="武器",VLOOKUP($E49,武器奇术!$A:$R,17,FALSE)="牵丝"),$E$3*(1+$E$15),0),BY49)</f>
        <v>1417.71</v>
      </c>
      <c r="CB49" s="104">
        <f>IF(($D$11+IF(VLOOKUP($E49,武器奇术!$A:$R,17,FALSE)="牵丝",$D$15,0)-VLOOKUP($F$7,目标属性!$A:$R,6,FALSE))&gt;0,($D$11+IF(VLOOKUP($E49,武器奇术!$A:$R,17,FALSE)="牵丝",$D$15,0)-VLOOKUP($F$7,目标属性!$A:$R,6,FALSE))/200,($D$11+IF(VLOOKUP($E49,武器奇术!$A:$R,17,FALSE)="牵丝",$D$15,0)-VLOOKUP($F$7,目标属性!$A:$R,6,FALSE))/100)</f>
        <v>0.028</v>
      </c>
      <c r="CC49" s="111">
        <f>$E$11+IF($G$5="烟柳",IF(VLOOKUP($E49,武器奇术!$A:$T,20,FALSE)=1,0.1,0),0)</f>
        <v>0.148</v>
      </c>
      <c r="CD49" s="102">
        <v>1</v>
      </c>
      <c r="CE49" s="103">
        <f>BY49*IF(VLOOKUP($E49,武器奇术!$A:$R,17,FALSE)="牵丝",VLOOKUP($E49,武器奇术!$A:$R,4,FALSE),VLOOKUP($E49,武器奇术!$A:$R,2,FALSE))*(1+CB49)*(1+CC49)*CD49</f>
        <v>1126.39815220498</v>
      </c>
      <c r="CF49" s="104">
        <f>(1-IF(VLOOKUP($E49,武器奇术!$A:$R,18,FALSE)="叶龙",1,$N49))*(1-$M49)</f>
        <v>0</v>
      </c>
      <c r="CG49" s="124">
        <f>BZ49*IF(VLOOKUP($E49,武器奇术!$A:$R,17,FALSE)="牵丝",VLOOKUP($E49,武器奇术!$A:$R,4,FALSE),VLOOKUP($E49,武器奇术!$A:$R,2,FALSE))*(1+CB49)*(1+CC49)*CD49*(1+$E$16+VLOOKUP($E49,武器奇术!$A:$R,8,FALSE))</f>
        <v>3268.89489754284</v>
      </c>
      <c r="CH49" s="104">
        <f t="shared" si="25"/>
        <v>0.8703</v>
      </c>
      <c r="CI49" s="103">
        <f>CA49*IF(VLOOKUP($E49,武器奇术!$A:$R,17,FALSE)="牵丝",VLOOKUP($E49,武器奇术!$A:$R,4,FALSE),VLOOKUP($E49,武器奇术!$A:$R,2,FALSE))*(1+CB49)*(1+CC49)*CD49*(1+$E$17+VLOOKUP($E49,武器奇术!$A:$R,10,FALSE))</f>
        <v>3139.34994086208</v>
      </c>
      <c r="CJ49" s="104">
        <f t="shared" si="26"/>
        <v>0.0986</v>
      </c>
      <c r="CK49" s="124">
        <f>BZ49*IF(VLOOKUP($E49,武器奇术!$A:$R,17,FALSE)="牵丝",VLOOKUP($E49,武器奇术!$A:$R,4,FALSE),VLOOKUP($E49,武器奇术!$A:$R,2,FALSE))*(1+CB49)*(1+CC49)*CD49</f>
        <v>1725.92127642178</v>
      </c>
      <c r="CL49" s="104">
        <f t="shared" si="27"/>
        <v>0.0311</v>
      </c>
      <c r="CM49" s="112">
        <f t="shared" si="28"/>
        <v>3208.13528519726</v>
      </c>
      <c r="CN49" s="110">
        <f>$B$13*IF($G$5="撼天",1.05,1)+IF(AND(VLOOKUP($E49,武器奇术!$A:$R,15,FALSE)="武器",VLOOKUP($E49,武器奇术!$A:$R,17,FALSE)="破竹"),$E$3*(1+$E$15),0)</f>
        <v>0</v>
      </c>
      <c r="CO49" s="102">
        <f t="shared" si="29"/>
        <v>0</v>
      </c>
      <c r="CP49" s="102">
        <f>MAX($C$13*IF($G$5="撼天",1.05,1)+IF(AND(VLOOKUP($E49,武器奇术!$A:$R,15,FALSE)="武器",VLOOKUP($E49,武器奇术!$A:$R,17,FALSE)="破竹"),$E$3*(1+$E$15),0),CN49)</f>
        <v>0</v>
      </c>
      <c r="CQ49" s="104">
        <f>IF(($D$13+IF(VLOOKUP($E49,武器奇术!$A:$R,17,FALSE)="破竹",$D$15,0)-VLOOKUP($F$7,目标属性!$A:$R,6,FALSE))&gt;0,($D$13+IF(VLOOKUP($E49,武器奇术!$A:$R,17,FALSE)="破竹",$D$15,0)-VLOOKUP($F$7,目标属性!$A:$R,6,FALSE))/200,($D$13+IF(VLOOKUP($E49,武器奇术!$A:$R,17,FALSE)="破竹",$D$15,0)-VLOOKUP($F$7,目标属性!$A:$R,6,FALSE))/100)</f>
        <v>-0.24</v>
      </c>
      <c r="CR49" s="111">
        <f t="shared" si="30"/>
        <v>0</v>
      </c>
      <c r="CS49" s="102">
        <v>1</v>
      </c>
      <c r="CT49" s="103">
        <f>CN49*IF(VLOOKUP($E49,武器奇术!$A:$R,17,FALSE)="破竹",VLOOKUP($E49,武器奇术!$A:$R,4,FALSE),VLOOKUP($E49,武器奇术!$A:$R,2,FALSE))*(1+CQ49)*(1+CR49)*CS49</f>
        <v>0</v>
      </c>
      <c r="CU49" s="104">
        <f>(1-IF(VLOOKUP($E49,武器奇术!$A:$R,18,FALSE)="叶龙",1,$N49))*(1-$M49)</f>
        <v>0</v>
      </c>
      <c r="CV49" s="103">
        <f>CO49*IF(VLOOKUP($E49,武器奇术!$A:$R,17,FALSE)="破竹",VLOOKUP($E49,武器奇术!$A:$R,4,FALSE),VLOOKUP($E49,武器奇术!$A:$R,2,FALSE))*(1+CQ49)*(1+CR49)*CS49*(1+$E$16+VLOOKUP($E49,武器奇术!$A:$R,8,FALSE))</f>
        <v>0</v>
      </c>
      <c r="CW49" s="104">
        <f t="shared" si="31"/>
        <v>0.8703</v>
      </c>
      <c r="CX49" s="103">
        <f>CP49*IF(VLOOKUP($E49,武器奇术!$A:$R,17,FALSE)="破竹",VLOOKUP($E49,武器奇术!$A:$R,4,FALSE),VLOOKUP($E49,武器奇术!$A:$R,2,FALSE))*(1+CQ49)*(1+CR49)*CS49*(1+$E$17+VLOOKUP($E49,武器奇术!$A:$R,10,FALSE))</f>
        <v>0</v>
      </c>
      <c r="CY49" s="104">
        <f t="shared" si="32"/>
        <v>0.0986</v>
      </c>
      <c r="CZ49" s="103">
        <f>CO49*IF(VLOOKUP($E49,武器奇术!$A:$R,17,FALSE)="破竹",VLOOKUP($E49,武器奇术!$A:$R,4,FALSE),VLOOKUP($E49,武器奇术!$A:$R,2,FALSE))*(1+CQ49)*(1+CR49)*CS49</f>
        <v>0</v>
      </c>
      <c r="DA49" s="104">
        <f t="shared" si="33"/>
        <v>0.0311</v>
      </c>
      <c r="DB49" s="112">
        <f t="shared" si="34"/>
        <v>0</v>
      </c>
      <c r="DC49" s="110">
        <f t="shared" si="35"/>
        <v>66</v>
      </c>
      <c r="DD49" s="102">
        <f t="shared" si="36"/>
        <v>125.8</v>
      </c>
      <c r="DE49" s="102">
        <f t="shared" si="37"/>
        <v>185.6</v>
      </c>
      <c r="DF49" s="104">
        <f>IF((IF(VLOOKUP($E49,武器奇术!$A:$R,17,FALSE)="鸣金",$D$7,0)+IF(VLOOKUP($E49,武器奇术!$A:$R,17,FALSE)="裂石",$D$9,0)+IF(VLOOKUP($E49,武器奇术!$A:$R,17,FALSE)="牵丝",$D$11,0)+IF(VLOOKUP($E49,武器奇术!$A:$R,17,FALSE)="破竹",$D$13,0)+$D$15-VLOOKUP($F$7,目标属性!$A:$R,6,FALSE))&gt;0,(IF(VLOOKUP($E49,武器奇术!$A:$R,17,FALSE)="鸣金",$D$7,0)+IF(VLOOKUP($E49,武器奇术!$A:$R,17,FALSE)="裂石",$D$9,0)+IF(VLOOKUP($E49,武器奇术!$A:$R,17,FALSE)="牵丝",$D$11,0)+IF(VLOOKUP($E49,武器奇术!$A:$R,17,FALSE)="破竹",$D$13,0)+$D$15-VLOOKUP($F$7,目标属性!$A:$R,6,FALSE))/200,(IF(VLOOKUP($E49,武器奇术!$A:$R,17,FALSE)="鸣金",$D$7,0)+IF(VLOOKUP($E49,武器奇术!$A:$R,17,FALSE)="裂石",$D$9,0)+IF(VLOOKUP($E49,武器奇术!$A:$R,17,FALSE)="牵丝",$D$11,0)+IF(VLOOKUP($E49,武器奇术!$A:$R,17,FALSE)="破竹",$D$13,0)+$D$15-VLOOKUP($F$7,目标属性!$A:$R,6,FALSE))/100)</f>
        <v>0.028</v>
      </c>
      <c r="DG49" s="111">
        <f>$E$11+IF($G$5="烟柳",IF(VLOOKUP($E49,武器奇术!$A:$T,20,FALSE)=1,0.1,0),0)</f>
        <v>0.148</v>
      </c>
      <c r="DH49" s="102">
        <v>1</v>
      </c>
      <c r="DI49" s="103">
        <f>DC49*IF(VLOOKUP($E49,武器奇术!$A:$R,17,FALSE)="牵丝",VLOOKUP($E49,武器奇术!$A:$R,4,FALSE),VLOOKUP($E49,武器奇术!$A:$R,2,FALSE))*(1+DF49)*(1+DG49)*DH49</f>
        <v>108.2586216096</v>
      </c>
      <c r="DJ49" s="104">
        <f>(1-IF(VLOOKUP($E49,武器奇术!$A:$R,18,FALSE)="叶龙",1,$N49))*(1-$M49)</f>
        <v>0</v>
      </c>
      <c r="DK49" s="124">
        <f>DD49*IF(VLOOKUP($E49,武器奇术!$A:$R,17,FALSE)="牵丝",VLOOKUP($E49,武器奇术!$A:$R,4,FALSE),VLOOKUP($E49,武器奇术!$A:$R,2,FALSE))*(1+DF49)*(1+DG49)*DH49*(1+$E$16+VLOOKUP($E49,武器奇术!$A:$R,8,FALSE))</f>
        <v>390.822153477813</v>
      </c>
      <c r="DL49" s="104">
        <f t="shared" si="38"/>
        <v>0.8703</v>
      </c>
      <c r="DM49" s="103">
        <f>DE49*IF(VLOOKUP($E49,武器奇术!$A:$R,17,FALSE)="牵丝",VLOOKUP($E49,武器奇术!$A:$R,4,FALSE),VLOOKUP($E49,武器奇术!$A:$R,2,FALSE))*(1+DF49)*(1+DG49)*DH49*(1+$E$17+VLOOKUP($E49,武器奇术!$A:$R,10,FALSE))</f>
        <v>410.989094401536</v>
      </c>
      <c r="DN49" s="104">
        <f t="shared" si="39"/>
        <v>0.0986</v>
      </c>
      <c r="DO49" s="124">
        <f>DD49*IF(VLOOKUP($E49,武器奇术!$A:$R,17,FALSE)="牵丝",VLOOKUP($E49,武器奇术!$A:$R,4,FALSE),VLOOKUP($E49,武器奇术!$A:$R,2,FALSE))*(1+DF49)*(1+DG49)*DH49</f>
        <v>206.34749391648</v>
      </c>
      <c r="DP49" s="104">
        <f t="shared" si="40"/>
        <v>0.0311</v>
      </c>
      <c r="DQ49" s="112">
        <f t="shared" si="41"/>
        <v>387.073451940535</v>
      </c>
    </row>
    <row r="50" customFormat="1" customHeight="1" spans="1:121">
      <c r="E50" s="115" t="str">
        <f>期望!E50</f>
        <v>扇左蓄(风墙5惊春大纵断石)</v>
      </c>
      <c r="F50" s="116">
        <f>期望!F50</f>
        <v>1</v>
      </c>
      <c r="G50" s="117"/>
      <c r="H50" s="103">
        <f>IF(VLOOKUP($E50,武器奇术!$A:$R,18,FALSE)="天工",AE50,(AE50+AT50+BI50+BX50+CM50+DB50+DQ50))*(1+J50)*F50*K50*(1+G50)</f>
        <v>95813.9539475668</v>
      </c>
      <c r="I50" s="104">
        <f t="shared" si="0"/>
        <v>0.0110425541558571</v>
      </c>
      <c r="J50" s="138">
        <f>$F$3+VLOOKUP($E50,武器奇术!$A:$R,12,FALSE)+VLOOKUP($E50,武器奇术!$A:$R,14,FALSE)*$G$3+$P50</f>
        <v>1.017</v>
      </c>
      <c r="K50" s="105">
        <f>VLOOKUP($E50,武器奇术!$A:$R,11,FALSE)</f>
        <v>1</v>
      </c>
      <c r="L50" s="119">
        <f>IF(VLOOKUP($E50,武器奇术!$A:$R,15,FALSE)="天工",0%,IF($C$17+VLOOKUP($E50,武器奇术!$A:$R,7,FALSE)&gt;80%,80%,$C$17+VLOOKUP($E50,武器奇术!$A:$R,7,FALSE))+IF($C$19&gt;20%,20%,$C$19))</f>
        <v>0.8703</v>
      </c>
      <c r="M50" s="120">
        <f>IF(VLOOKUP($E50,武器奇术!$A:$R,15,FALSE)="天工",0%,IF($C$18+VLOOKUP($E50,武器奇术!$A:$R,9,FALSE)&gt;40%,40%,$C$18+VLOOKUP($E50,武器奇术!$A:$R,9,FALSE))+IF($C$20&gt;10%,10%,$C$20))</f>
        <v>0.0986</v>
      </c>
      <c r="N50" s="121">
        <f>IF(VLOOKUP($E50,武器奇术!$A:$R,15,FALSE)="天工",100%,MIN($C$16,1))</f>
        <v>1</v>
      </c>
      <c r="O50" s="122" t="str">
        <f>VLOOKUP($E50,武器奇术!$A:$R,16,FALSE)</f>
        <v>扇</v>
      </c>
      <c r="P50" s="123">
        <f t="shared" si="1"/>
        <v>0.084</v>
      </c>
      <c r="Q50" s="110">
        <f>$B$5*(1+VLOOKUP($E50,武器奇术!$A:$R,5,FALSE))*(1+VLOOKUP($E50,武器奇术!$A:$S,19,FALSE)+IF($G$5="飞隼",0.1,0)+IF($G$5="撼天",0.05,0))-$F$9+IF($J$5="√",160,0)</f>
        <v>3324.7</v>
      </c>
      <c r="R50" s="102">
        <f>IF(VLOOKUP($E50,武器奇术!$A:$Z,18,FALSE)="叶龙",(S50-(Q50+S50)*0.5)*($G$15-0.5)*2+(Q50+S50)*0.5,(Q50+S50)*0.5)</f>
        <v>3404.7</v>
      </c>
      <c r="S50" s="102">
        <f>MAX($C$5,$B$5)*(1+VLOOKUP($E50,武器奇术!$A:$R,6,FALSE))*(1+VLOOKUP($E50,武器奇术!$A:$S,19,FALSE)+IF($G$5="飞隼",0.1,0)+IF($G$5="撼天",0.05,0))-$F$9+IF($J$5="√",320,0)</f>
        <v>3484.7</v>
      </c>
      <c r="T50" s="104">
        <f>IF(($D$5+VLOOKUP($E50,武器奇术!$A:$R,13,FALSE)+IF($I$3="√",10,0)-VLOOKUP($F$7,目标属性!$A:$R,5,FALSE))&gt;0,($D$5+VLOOKUP($E50,武器奇术!$A:$R,13,FALSE)+IF($I$3="√",10,0)-VLOOKUP($F$7,目标属性!$A:$R,5,FALSE))/200,($D$5+VLOOKUP($E50,武器奇术!$A:$R,13,FALSE)+IF($I$3="√",10,0)-VLOOKUP($F$7,目标属性!$A:$R,5,FALSE))/100)</f>
        <v>0.3925</v>
      </c>
      <c r="U50" s="111">
        <f>$E$5+IF($G$5="烟柳",IF(VLOOKUP($E50,武器奇术!$A:$T,20,FALSE)=1,0.1,0),0)</f>
        <v>0.1</v>
      </c>
      <c r="V50" s="102">
        <v>1</v>
      </c>
      <c r="W50" s="103">
        <f>Q50*VLOOKUP($E50,武器奇术!$A:$R,2,FALSE)*(1+T50)*(1+U50)*V50</f>
        <v>14062.6292617305</v>
      </c>
      <c r="X50" s="104">
        <f>(1-IF(VLOOKUP($E50,武器奇术!$A:$R,18,FALSE)="叶龙",1,$N50))*(1-$M50)</f>
        <v>0</v>
      </c>
      <c r="Y50" s="103">
        <f>R50*VLOOKUP($E50,武器奇术!$A:$R,2,FALSE)*(1+T50)*(1+U50)*V50*(1+$E$16+VLOOKUP($E50,武器奇术!$A:$R,8,FALSE))</f>
        <v>32459.8737606614</v>
      </c>
      <c r="Z50" s="104">
        <f t="shared" si="2"/>
        <v>0.8703</v>
      </c>
      <c r="AA50" s="103">
        <f>S50*VLOOKUP($E50,武器奇术!$A:$R,2,FALSE)*(1+T50)*(1+U50)*V50*(1+$E$17+VLOOKUP($E50,武器奇术!$A:$R,10,FALSE))</f>
        <v>19898.1741673762</v>
      </c>
      <c r="AB50" s="104">
        <f t="shared" si="3"/>
        <v>0.0986</v>
      </c>
      <c r="AC50" s="103">
        <f>R50*VLOOKUP($E50,武器奇术!$A:$R,2,FALSE)*(1+T50)*(1+U50)*V50</f>
        <v>14401.0087669305</v>
      </c>
      <c r="AD50" s="104">
        <f t="shared" si="4"/>
        <v>0.0311</v>
      </c>
      <c r="AE50" s="112">
        <f t="shared" si="5"/>
        <v>30659.6594794584</v>
      </c>
      <c r="AF50" s="113">
        <f>VLOOKUP($E50,武器奇术!$A:$R,3,FALSE)*(1+IF(VLOOKUP($E50,武器奇术!$A:$R,15,FALSE)="武器",$E$15,0))</f>
        <v>993.395</v>
      </c>
      <c r="AG50" s="103">
        <f t="shared" si="6"/>
        <v>993.395</v>
      </c>
      <c r="AH50" s="103">
        <f>VLOOKUP($E50,武器奇术!$A:$R,3,FALSE)*(1+IF(VLOOKUP($E50,武器奇术!$A:$R,15,FALSE)="武器",$E$15,0))</f>
        <v>993.395</v>
      </c>
      <c r="AI50" s="104">
        <f>IF(($D$5+VLOOKUP($E50,武器奇术!$A:$R,13,FALSE)+IF($I$3="√",10,0)-VLOOKUP($F$7,目标属性!$A:$R,5,FALSE))&gt;0,($D$5+VLOOKUP($E50,武器奇术!$A:$R,13,FALSE)+IF($I$3="√",10,0)-VLOOKUP($F$7,目标属性!$A:$R,5,FALSE))/200,($D$5+VLOOKUP($E50,武器奇术!$A:$R,13,FALSE)+IF($I$3="√",10,0)-VLOOKUP($F$7,目标属性!$A:$R,5,FALSE))/100)</f>
        <v>0.3925</v>
      </c>
      <c r="AJ50" s="111">
        <f>$E$5+IF($G$5="烟柳",IF(VLOOKUP($E50,武器奇术!$A:$T,20,FALSE)=1,0.1,0),0)</f>
        <v>0.1</v>
      </c>
      <c r="AK50" s="102">
        <v>1</v>
      </c>
      <c r="AL50" s="103">
        <f t="shared" si="7"/>
        <v>1521.63279125</v>
      </c>
      <c r="AM50" s="104">
        <f>(1-IF(VLOOKUP($E50,武器奇术!$A:$R,18,FALSE)="叶龙",1,$N50))*(1-$M50)</f>
        <v>0</v>
      </c>
      <c r="AN50" s="103">
        <f>AG50*(1+AI50)*(1+AJ50)*AK50*(1+$E$16+VLOOKUP($E50,武器奇术!$A:$R,8,FALSE))</f>
        <v>3429.7603114775</v>
      </c>
      <c r="AO50" s="104">
        <f t="shared" si="8"/>
        <v>0.8703</v>
      </c>
      <c r="AP50" s="103">
        <f>AH50*(1+AI50)*(1+AJ50)*AK50*(1+$E$17+VLOOKUP($E50,武器奇术!$A:$R,10,FALSE))</f>
        <v>2054.2042681875</v>
      </c>
      <c r="AQ50" s="104">
        <f t="shared" si="9"/>
        <v>0.0986</v>
      </c>
      <c r="AR50" s="103">
        <f t="shared" si="10"/>
        <v>1521.63279125</v>
      </c>
      <c r="AS50" s="104">
        <f t="shared" si="11"/>
        <v>0.0311</v>
      </c>
      <c r="AT50" s="112">
        <f t="shared" si="12"/>
        <v>3234.78771973003</v>
      </c>
      <c r="AU50" s="110">
        <f>$B$7*IF($G$5="撼天",1.05,1)+IF(AND(VLOOKUP($E50,武器奇术!$A:$R,15,FALSE)="武器",VLOOKUP($E50,武器奇术!$A:$R,17,FALSE)="鸣金"),$E$3*(1+$E$15),0)</f>
        <v>0</v>
      </c>
      <c r="AV50" s="102">
        <f t="shared" si="13"/>
        <v>0</v>
      </c>
      <c r="AW50" s="102">
        <f>MAX($C$7*IF($G$5="撼天",1.05,1)+IF(AND(VLOOKUP($E50,武器奇术!$A:$R,15,FALSE)="武器",VLOOKUP($E50,武器奇术!$A:$R,17,FALSE)="鸣金"),$E$3*(1+$E$15),0),AU50)</f>
        <v>0</v>
      </c>
      <c r="AX50" s="104">
        <f>IF(($D$7+IF(VLOOKUP($E50,武器奇术!$A:$R,17,FALSE)="鸣金",$D$15,0)-VLOOKUP($F$7,目标属性!$A:$R,6,FALSE))&gt;0,($D$7+IF(VLOOKUP($E50,武器奇术!$A:$R,17,FALSE)="鸣金",$D$15,0)-VLOOKUP($F$7,目标属性!$A:$R,6,FALSE))/200,($D$7+IF(VLOOKUP($E50,武器奇术!$A:$R,17,FALSE)="鸣金",$D$15,0)-VLOOKUP($F$7,目标属性!$A:$R,6,FALSE))/100)</f>
        <v>-0.24</v>
      </c>
      <c r="AY50" s="111">
        <f t="shared" si="14"/>
        <v>0</v>
      </c>
      <c r="AZ50" s="102">
        <v>1</v>
      </c>
      <c r="BA50" s="103">
        <f>AU50*IF(VLOOKUP($E50,武器奇术!$A:$R,17,FALSE)="鸣金",VLOOKUP($E50,武器奇术!$A:$R,4,FALSE),VLOOKUP($E50,武器奇术!$A:$R,2,FALSE))*(1+AX50)*(1+AY50)*AZ50</f>
        <v>0</v>
      </c>
      <c r="BB50" s="104">
        <f>(1-IF(VLOOKUP($E50,武器奇术!$A:$R,18,FALSE)="叶龙",1,$N50))*(1-$M50)</f>
        <v>0</v>
      </c>
      <c r="BC50" s="103">
        <f>AV50*IF(VLOOKUP($E50,武器奇术!$A:$R,17,FALSE)="鸣金",VLOOKUP($E50,武器奇术!$A:$R,4,FALSE),VLOOKUP($E50,武器奇术!$A:$R,2,FALSE))*(1+AX50)*(1+AY50)*AZ50*(1+$E$16+VLOOKUP($E50,武器奇术!$A:$R,8,FALSE))</f>
        <v>0</v>
      </c>
      <c r="BD50" s="104">
        <f t="shared" si="15"/>
        <v>0.8703</v>
      </c>
      <c r="BE50" s="103">
        <f>AW50*IF(VLOOKUP($E50,武器奇术!$A:$R,17,FALSE)="鸣金",VLOOKUP($E50,武器奇术!$A:$R,4,FALSE),VLOOKUP($E50,武器奇术!$A:$R,2,FALSE))*(1+AX50)*(1+AY50)*AZ50*(1+$E$17+VLOOKUP($E50,武器奇术!$A:$R,10,FALSE))</f>
        <v>0</v>
      </c>
      <c r="BF50" s="104">
        <f t="shared" si="16"/>
        <v>0.0986</v>
      </c>
      <c r="BG50" s="103">
        <f>AV50*IF(VLOOKUP($E50,武器奇术!$A:$R,17,FALSE)="鸣金",VLOOKUP($E50,武器奇术!$A:$R,4,FALSE),VLOOKUP($E50,武器奇术!$A:$R,2,FALSE))*(1+AX50)*(1+AY50)*AZ50</f>
        <v>0</v>
      </c>
      <c r="BH50" s="104">
        <f t="shared" si="17"/>
        <v>0.0311</v>
      </c>
      <c r="BI50" s="112">
        <f t="shared" si="18"/>
        <v>0</v>
      </c>
      <c r="BJ50" s="110">
        <f>$B$9*IF($G$5="撼天",1.05,1)+IF(AND(VLOOKUP($E50,武器奇术!$A:$R,15,FALSE)="武器",VLOOKUP($E50,武器奇术!$A:$R,17,FALSE)="裂石"),$E$3*(1+$E$15),0)</f>
        <v>0</v>
      </c>
      <c r="BK50" s="102">
        <f t="shared" si="19"/>
        <v>0</v>
      </c>
      <c r="BL50" s="102">
        <f>MAX($C$9*IF($G$5="撼天",1.05,1)+IF(AND(VLOOKUP($E50,武器奇术!$A:$R,15,FALSE)="武器",VLOOKUP($E50,武器奇术!$A:$R,17,FALSE)="裂石"),$E$3*(1+$E$15),0),BJ50)</f>
        <v>0</v>
      </c>
      <c r="BM50" s="104">
        <f>IF(($D$9+IF(VLOOKUP($E50,武器奇术!$A:$R,17,FALSE)="裂石",$D$15,0)-VLOOKUP($F$7,目标属性!$A:$R,6,FALSE))&gt;0,($D$9+IF(VLOOKUP($E50,武器奇术!$A:$R,17,FALSE)="裂石",$D$15,0)-VLOOKUP($F$7,目标属性!$A:$R,6,FALSE))/200,($D$9+IF(VLOOKUP($E50,武器奇术!$A:$R,17,FALSE)="裂石",$D$15,0)-VLOOKUP($F$7,目标属性!$A:$R,6,FALSE))/100)</f>
        <v>-0.24</v>
      </c>
      <c r="BN50" s="111">
        <f t="shared" si="20"/>
        <v>0</v>
      </c>
      <c r="BO50" s="102">
        <v>1</v>
      </c>
      <c r="BP50" s="103">
        <f>BJ50*IF(VLOOKUP($E50,武器奇术!$A:$R,17,FALSE)="裂石",VLOOKUP($E50,武器奇术!$A:$R,4,FALSE),VLOOKUP($E50,武器奇术!$A:$R,2,FALSE))*(1+BM50)*(1+BN50)*BO50</f>
        <v>0</v>
      </c>
      <c r="BQ50" s="104">
        <f>(1-IF(VLOOKUP($E50,武器奇术!$A:$R,18,FALSE)="叶龙",1,$N50))*(1-$M50)</f>
        <v>0</v>
      </c>
      <c r="BR50" s="103">
        <f>BK50*IF(VLOOKUP($E50,武器奇术!$A:$R,17,FALSE)="裂石",VLOOKUP($E50,武器奇术!$A:$R,4,FALSE),VLOOKUP($E50,武器奇术!$A:$R,2,FALSE))*(1+BM50)*(1+BN50)*BO50*(1+$E$16+VLOOKUP($E50,武器奇术!$A:$R,8,FALSE))</f>
        <v>0</v>
      </c>
      <c r="BS50" s="104">
        <f t="shared" si="21"/>
        <v>0.8703</v>
      </c>
      <c r="BT50" s="103">
        <f>BL50*IF(VLOOKUP($E50,武器奇术!$A:$R,17,FALSE)="裂石",VLOOKUP($E50,武器奇术!$A:$R,4,FALSE),VLOOKUP($E50,武器奇术!$A:$R,2,FALSE))*(1+BM50)*(1+BN50)*BO50*(1+$E$17+VLOOKUP($E50,武器奇术!$A:$R,10,FALSE))</f>
        <v>0</v>
      </c>
      <c r="BU50" s="104">
        <f t="shared" si="22"/>
        <v>0.0986</v>
      </c>
      <c r="BV50" s="103">
        <f>BK50*IF(VLOOKUP($E50,武器奇术!$A:$R,17,FALSE)="裂石",VLOOKUP($E50,武器奇术!$A:$R,4,FALSE),VLOOKUP($E50,武器奇术!$A:$R,2,FALSE))*(1+BM50)*(1+BN50)*BO50</f>
        <v>0</v>
      </c>
      <c r="BW50" s="104">
        <f t="shared" si="23"/>
        <v>0.0311</v>
      </c>
      <c r="BX50" s="112">
        <f t="shared" si="24"/>
        <v>0</v>
      </c>
      <c r="BY50" s="110">
        <f>$B$11*IF($G$5="撼天",1.05,1)+IF(AND(VLOOKUP($E50,武器奇术!$A:$R,15,FALSE)="武器",VLOOKUP($E50,武器奇术!$A:$R,17,FALSE)="牵丝"),$E$3*(1+$E$15),0)</f>
        <v>686.71</v>
      </c>
      <c r="BZ50" s="102">
        <f>IF(VLOOKUP($E50,武器奇术!$A:$Z,18,FALSE)="叶龙",(CA50-(BY50+CA50)*0.5)*($G$15-0.5)*2+(BY50+CA50)*0.5,(BY50+CA50)*0.5)</f>
        <v>1052.21</v>
      </c>
      <c r="CA50" s="102">
        <f>MAX($C$11*IF($G$5="撼天",1.05,1)+IF(AND(VLOOKUP($E50,武器奇术!$A:$R,15,FALSE)="武器",VLOOKUP($E50,武器奇术!$A:$R,17,FALSE)="牵丝"),$E$3*(1+$E$15),0),BY50)</f>
        <v>1417.71</v>
      </c>
      <c r="CB50" s="104">
        <f>IF(($D$11+IF(VLOOKUP($E50,武器奇术!$A:$R,17,FALSE)="牵丝",$D$15,0)-VLOOKUP($F$7,目标属性!$A:$R,6,FALSE))&gt;0,($D$11+IF(VLOOKUP($E50,武器奇术!$A:$R,17,FALSE)="牵丝",$D$15,0)-VLOOKUP($F$7,目标属性!$A:$R,6,FALSE))/200,($D$11+IF(VLOOKUP($E50,武器奇术!$A:$R,17,FALSE)="牵丝",$D$15,0)-VLOOKUP($F$7,目标属性!$A:$R,6,FALSE))/100)</f>
        <v>0.028</v>
      </c>
      <c r="CC50" s="111">
        <f>$E$11+IF($G$5="烟柳",IF(VLOOKUP($E50,武器奇术!$A:$T,20,FALSE)=1,0.1,0),0)</f>
        <v>0.248</v>
      </c>
      <c r="CD50" s="102">
        <v>1</v>
      </c>
      <c r="CE50" s="103">
        <f>BY50*IF(VLOOKUP($E50,武器奇术!$A:$R,17,FALSE)="牵丝",VLOOKUP($E50,武器奇术!$A:$R,4,FALSE),VLOOKUP($E50,武器奇术!$A:$R,2,FALSE))*(1+CB50)*(1+CC50)*CD50</f>
        <v>3649.20705503528</v>
      </c>
      <c r="CF50" s="104">
        <f>(1-IF(VLOOKUP($E50,武器奇术!$A:$R,18,FALSE)="叶龙",1,$N50))*(1-$M50)</f>
        <v>0</v>
      </c>
      <c r="CG50" s="124">
        <f>BZ50*IF(VLOOKUP($E50,武器奇术!$A:$R,17,FALSE)="牵丝",VLOOKUP($E50,武器奇术!$A:$R,4,FALSE),VLOOKUP($E50,武器奇术!$A:$R,2,FALSE))*(1+CB50)*(1+CC50)*CD50*(1+$E$16+VLOOKUP($E50,武器奇术!$A:$R,8,FALSE))</f>
        <v>12603.2186486632</v>
      </c>
      <c r="CH50" s="104">
        <f t="shared" si="25"/>
        <v>0.8703</v>
      </c>
      <c r="CI50" s="103">
        <f>CA50*IF(VLOOKUP($E50,武器奇术!$A:$R,17,FALSE)="牵丝",VLOOKUP($E50,武器奇术!$A:$R,4,FALSE),VLOOKUP($E50,武器奇术!$A:$R,2,FALSE))*(1+CB50)*(1+CC50)*CD50*(1+$E$17+VLOOKUP($E50,武器奇术!$A:$R,10,FALSE))</f>
        <v>10170.5937016965</v>
      </c>
      <c r="CJ50" s="104">
        <f t="shared" si="26"/>
        <v>0.0986</v>
      </c>
      <c r="CK50" s="124">
        <f>BZ50*IF(VLOOKUP($E50,武器奇术!$A:$R,17,FALSE)="牵丝",VLOOKUP($E50,武器奇术!$A:$R,4,FALSE),VLOOKUP($E50,武器奇术!$A:$R,2,FALSE))*(1+CB50)*(1+CC50)*CD50</f>
        <v>5591.49008370152</v>
      </c>
      <c r="CL50" s="104">
        <f t="shared" si="27"/>
        <v>0.0311</v>
      </c>
      <c r="CM50" s="112">
        <f t="shared" si="28"/>
        <v>12145.297070522</v>
      </c>
      <c r="CN50" s="110">
        <f>$B$13*IF($G$5="撼天",1.05,1)+IF(AND(VLOOKUP($E50,武器奇术!$A:$R,15,FALSE)="武器",VLOOKUP($E50,武器奇术!$A:$R,17,FALSE)="破竹"),$E$3*(1+$E$15),0)</f>
        <v>0</v>
      </c>
      <c r="CO50" s="102">
        <f t="shared" si="29"/>
        <v>0</v>
      </c>
      <c r="CP50" s="102">
        <f>MAX($C$13*IF($G$5="撼天",1.05,1)+IF(AND(VLOOKUP($E50,武器奇术!$A:$R,15,FALSE)="武器",VLOOKUP($E50,武器奇术!$A:$R,17,FALSE)="破竹"),$E$3*(1+$E$15),0),CN50)</f>
        <v>0</v>
      </c>
      <c r="CQ50" s="104">
        <f>IF(($D$13+IF(VLOOKUP($E50,武器奇术!$A:$R,17,FALSE)="破竹",$D$15,0)-VLOOKUP($F$7,目标属性!$A:$R,6,FALSE))&gt;0,($D$13+IF(VLOOKUP($E50,武器奇术!$A:$R,17,FALSE)="破竹",$D$15,0)-VLOOKUP($F$7,目标属性!$A:$R,6,FALSE))/200,($D$13+IF(VLOOKUP($E50,武器奇术!$A:$R,17,FALSE)="破竹",$D$15,0)-VLOOKUP($F$7,目标属性!$A:$R,6,FALSE))/100)</f>
        <v>-0.24</v>
      </c>
      <c r="CR50" s="111">
        <f t="shared" si="30"/>
        <v>0</v>
      </c>
      <c r="CS50" s="102">
        <v>1</v>
      </c>
      <c r="CT50" s="103">
        <f>CN50*IF(VLOOKUP($E50,武器奇术!$A:$R,17,FALSE)="破竹",VLOOKUP($E50,武器奇术!$A:$R,4,FALSE),VLOOKUP($E50,武器奇术!$A:$R,2,FALSE))*(1+CQ50)*(1+CR50)*CS50</f>
        <v>0</v>
      </c>
      <c r="CU50" s="104">
        <f>(1-IF(VLOOKUP($E50,武器奇术!$A:$R,18,FALSE)="叶龙",1,$N50))*(1-$M50)</f>
        <v>0</v>
      </c>
      <c r="CV50" s="103">
        <f>CO50*IF(VLOOKUP($E50,武器奇术!$A:$R,17,FALSE)="破竹",VLOOKUP($E50,武器奇术!$A:$R,4,FALSE),VLOOKUP($E50,武器奇术!$A:$R,2,FALSE))*(1+CQ50)*(1+CR50)*CS50*(1+$E$16+VLOOKUP($E50,武器奇术!$A:$R,8,FALSE))</f>
        <v>0</v>
      </c>
      <c r="CW50" s="104">
        <f t="shared" si="31"/>
        <v>0.8703</v>
      </c>
      <c r="CX50" s="103">
        <f>CP50*IF(VLOOKUP($E50,武器奇术!$A:$R,17,FALSE)="破竹",VLOOKUP($E50,武器奇术!$A:$R,4,FALSE),VLOOKUP($E50,武器奇术!$A:$R,2,FALSE))*(1+CQ50)*(1+CR50)*CS50*(1+$E$17+VLOOKUP($E50,武器奇术!$A:$R,10,FALSE))</f>
        <v>0</v>
      </c>
      <c r="CY50" s="104">
        <f t="shared" si="32"/>
        <v>0.0986</v>
      </c>
      <c r="CZ50" s="103">
        <f>CO50*IF(VLOOKUP($E50,武器奇术!$A:$R,17,FALSE)="破竹",VLOOKUP($E50,武器奇术!$A:$R,4,FALSE),VLOOKUP($E50,武器奇术!$A:$R,2,FALSE))*(1+CQ50)*(1+CR50)*CS50</f>
        <v>0</v>
      </c>
      <c r="DA50" s="104">
        <f t="shared" si="33"/>
        <v>0.0311</v>
      </c>
      <c r="DB50" s="112">
        <f t="shared" si="34"/>
        <v>0</v>
      </c>
      <c r="DC50" s="110">
        <f t="shared" si="35"/>
        <v>66</v>
      </c>
      <c r="DD50" s="102">
        <f t="shared" si="36"/>
        <v>125.8</v>
      </c>
      <c r="DE50" s="102">
        <f t="shared" si="37"/>
        <v>185.6</v>
      </c>
      <c r="DF50" s="104">
        <f>IF((IF(VLOOKUP($E50,武器奇术!$A:$R,17,FALSE)="鸣金",$D$7,0)+IF(VLOOKUP($E50,武器奇术!$A:$R,17,FALSE)="裂石",$D$9,0)+IF(VLOOKUP($E50,武器奇术!$A:$R,17,FALSE)="牵丝",$D$11,0)+IF(VLOOKUP($E50,武器奇术!$A:$R,17,FALSE)="破竹",$D$13,0)+$D$15-VLOOKUP($F$7,目标属性!$A:$R,6,FALSE))&gt;0,(IF(VLOOKUP($E50,武器奇术!$A:$R,17,FALSE)="鸣金",$D$7,0)+IF(VLOOKUP($E50,武器奇术!$A:$R,17,FALSE)="裂石",$D$9,0)+IF(VLOOKUP($E50,武器奇术!$A:$R,17,FALSE)="牵丝",$D$11,0)+IF(VLOOKUP($E50,武器奇术!$A:$R,17,FALSE)="破竹",$D$13,0)+$D$15-VLOOKUP($F$7,目标属性!$A:$R,6,FALSE))/200,(IF(VLOOKUP($E50,武器奇术!$A:$R,17,FALSE)="鸣金",$D$7,0)+IF(VLOOKUP($E50,武器奇术!$A:$R,17,FALSE)="裂石",$D$9,0)+IF(VLOOKUP($E50,武器奇术!$A:$R,17,FALSE)="牵丝",$D$11,0)+IF(VLOOKUP($E50,武器奇术!$A:$R,17,FALSE)="破竹",$D$13,0)+$D$15-VLOOKUP($F$7,目标属性!$A:$R,6,FALSE))/100)</f>
        <v>0.028</v>
      </c>
      <c r="DG50" s="111">
        <f>$E$11+IF($G$5="烟柳",IF(VLOOKUP($E50,武器奇术!$A:$T,20,FALSE)=1,0.1,0),0)</f>
        <v>0.248</v>
      </c>
      <c r="DH50" s="102">
        <v>1</v>
      </c>
      <c r="DI50" s="103">
        <f>DC50*IF(VLOOKUP($E50,武器奇术!$A:$R,17,FALSE)="牵丝",VLOOKUP($E50,武器奇术!$A:$R,4,FALSE),VLOOKUP($E50,武器奇术!$A:$R,2,FALSE))*(1+DF50)*(1+DG50)*DH50</f>
        <v>350.72689436928</v>
      </c>
      <c r="DJ50" s="104">
        <f>(1-IF(VLOOKUP($E50,武器奇术!$A:$R,18,FALSE)="叶龙",1,$N50))*(1-$M50)</f>
        <v>0</v>
      </c>
      <c r="DK50" s="124">
        <f>DD50*IF(VLOOKUP($E50,武器奇术!$A:$R,17,FALSE)="牵丝",VLOOKUP($E50,武器奇术!$A:$R,4,FALSE),VLOOKUP($E50,武器奇术!$A:$R,2,FALSE))*(1+DF50)*(1+DG50)*DH50*(1+$E$16+VLOOKUP($E50,武器奇术!$A:$R,8,FALSE))</f>
        <v>1506.81413976472</v>
      </c>
      <c r="DL50" s="104">
        <f t="shared" si="38"/>
        <v>0.8703</v>
      </c>
      <c r="DM50" s="103">
        <f>DE50*IF(VLOOKUP($E50,武器奇术!$A:$R,17,FALSE)="牵丝",VLOOKUP($E50,武器奇术!$A:$R,4,FALSE),VLOOKUP($E50,武器奇术!$A:$R,2,FALSE))*(1+DF50)*(1+DG50)*DH50*(1+$E$17+VLOOKUP($E50,武器奇术!$A:$R,10,FALSE))</f>
        <v>1331.48682807829</v>
      </c>
      <c r="DN50" s="104">
        <f t="shared" si="39"/>
        <v>0.0986</v>
      </c>
      <c r="DO50" s="124">
        <f>DD50*IF(VLOOKUP($E50,武器奇术!$A:$R,17,FALSE)="牵丝",VLOOKUP($E50,武器奇术!$A:$R,4,FALSE),VLOOKUP($E50,武器奇术!$A:$R,2,FALSE))*(1+DF50)*(1+DG50)*DH50</f>
        <v>668.506716843264</v>
      </c>
      <c r="DP50" s="104">
        <f t="shared" si="40"/>
        <v>0.0311</v>
      </c>
      <c r="DQ50" s="112">
        <f t="shared" si="41"/>
        <v>1463.45550597958</v>
      </c>
    </row>
    <row r="51" customFormat="1" customHeight="1" spans="1:121">
      <c r="E51" s="115" t="str">
        <f>期望!E51</f>
        <v>扇强化重击派生(风墙大纵低真气断石)</v>
      </c>
      <c r="F51" s="116">
        <f>期望!F51</f>
        <v>0.35</v>
      </c>
      <c r="G51" s="117"/>
      <c r="H51" s="103">
        <f>IF(VLOOKUP($E51,武器奇术!$A:$R,18,FALSE)="天工",AE51,(AE51+AT51+BI51+BX51+CM51+DB51+DQ51))*(1+J51)*F51*K51*(1+G51)</f>
        <v>41697.499932597</v>
      </c>
      <c r="I51" s="104">
        <f t="shared" si="0"/>
        <v>0.00480563511053436</v>
      </c>
      <c r="J51" s="138">
        <f>$F$3+VLOOKUP($E51,武器奇术!$A:$R,12,FALSE)+VLOOKUP($E51,武器奇术!$A:$R,14,FALSE)*$G$3+$P51</f>
        <v>0.567</v>
      </c>
      <c r="K51" s="105">
        <f>VLOOKUP($E51,武器奇术!$A:$R,11,FALSE)</f>
        <v>1</v>
      </c>
      <c r="L51" s="119">
        <f>IF(VLOOKUP($E51,武器奇术!$A:$R,15,FALSE)="天工",0%,IF($C$17+VLOOKUP($E51,武器奇术!$A:$R,7,FALSE)&gt;80%,80%,$C$17+VLOOKUP($E51,武器奇术!$A:$R,7,FALSE))+IF($C$19&gt;20%,20%,$C$19))</f>
        <v>0.887</v>
      </c>
      <c r="M51" s="120">
        <f>IF(VLOOKUP($E51,武器奇术!$A:$R,15,FALSE)="天工",0%,IF($C$18+VLOOKUP($E51,武器奇术!$A:$R,9,FALSE)&gt;40%,40%,$C$18+VLOOKUP($E51,武器奇术!$A:$R,9,FALSE))+IF($C$20&gt;10%,10%,$C$20))</f>
        <v>0.0986</v>
      </c>
      <c r="N51" s="121">
        <f>IF(VLOOKUP($E51,武器奇术!$A:$R,15,FALSE)="天工",100%,MIN($C$16,1))</f>
        <v>1</v>
      </c>
      <c r="O51" s="122" t="str">
        <f>VLOOKUP($E51,武器奇术!$A:$R,16,FALSE)</f>
        <v>扇</v>
      </c>
      <c r="P51" s="123">
        <f t="shared" si="1"/>
        <v>0.084</v>
      </c>
      <c r="Q51" s="110">
        <f>$B$5*(1+VLOOKUP($E51,武器奇术!$A:$R,5,FALSE))*(1+VLOOKUP($E51,武器奇术!$A:$S,19,FALSE)+IF($G$5="飞隼",0.1,0)+IF($G$5="撼天",0.05,0))-$F$9+IF($J$5="√",160,0)</f>
        <v>3324.7</v>
      </c>
      <c r="R51" s="102">
        <f>IF(VLOOKUP($E51,武器奇术!$A:$Z,18,FALSE)="叶龙",(S51-(Q51+S51)*0.5)*($G$15-0.5)*2+(Q51+S51)*0.5,(Q51+S51)*0.5)</f>
        <v>3404.7</v>
      </c>
      <c r="S51" s="102">
        <f>MAX($C$5,$B$5)*(1+VLOOKUP($E51,武器奇术!$A:$R,6,FALSE))*(1+VLOOKUP($E51,武器奇术!$A:$S,19,FALSE)+IF($G$5="飞隼",0.1,0)+IF($G$5="撼天",0.05,0))-$F$9+IF($J$5="√",320,0)</f>
        <v>3484.7</v>
      </c>
      <c r="T51" s="104">
        <f>IF(($D$5+VLOOKUP($E51,武器奇术!$A:$R,13,FALSE)+IF($I$3="√",10,0)-VLOOKUP($F$7,目标属性!$A:$R,5,FALSE))&gt;0,($D$5+VLOOKUP($E51,武器奇术!$A:$R,13,FALSE)+IF($I$3="√",10,0)-VLOOKUP($F$7,目标属性!$A:$R,5,FALSE))/200,($D$5+VLOOKUP($E51,武器奇术!$A:$R,13,FALSE)+IF($I$3="√",10,0)-VLOOKUP($F$7,目标属性!$A:$R,5,FALSE))/100)</f>
        <v>0.3925</v>
      </c>
      <c r="U51" s="111">
        <f>$E$5+IF($G$5="烟柳",IF(VLOOKUP($E51,武器奇术!$A:$T,20,FALSE)=1,0.1,0),0)</f>
        <v>0.1</v>
      </c>
      <c r="V51" s="102">
        <v>1</v>
      </c>
      <c r="W51" s="103">
        <f>Q51*VLOOKUP($E51,武器奇术!$A:$R,2,FALSE)*(1+T51)*(1+U51)*V51</f>
        <v>22289.4593712106</v>
      </c>
      <c r="X51" s="104">
        <f>(1-IF(VLOOKUP($E51,武器奇术!$A:$R,18,FALSE)="叶龙",1,$N51))*(1-$M51)</f>
        <v>0</v>
      </c>
      <c r="Y51" s="103">
        <f>R51*VLOOKUP($E51,武器奇术!$A:$R,2,FALSE)*(1+T51)*(1+U51)*V51*(1+$E$16+VLOOKUP($E51,武器奇术!$A:$R,8,FALSE))</f>
        <v>51449.3430721258</v>
      </c>
      <c r="Z51" s="104">
        <f t="shared" si="2"/>
        <v>0.887</v>
      </c>
      <c r="AA51" s="103">
        <f>S51*VLOOKUP($E51,武器奇术!$A:$R,2,FALSE)*(1+T51)*(1+U51)*V51*(1+$E$17+VLOOKUP($E51,武器奇术!$A:$R,10,FALSE))</f>
        <v>31538.8777169843</v>
      </c>
      <c r="AB51" s="104">
        <f t="shared" si="3"/>
        <v>0.0986</v>
      </c>
      <c r="AC51" s="103">
        <f>R51*VLOOKUP($E51,武器奇术!$A:$R,2,FALSE)*(1+T51)*(1+U51)*V51</f>
        <v>22825.7955067106</v>
      </c>
      <c r="AD51" s="104">
        <f t="shared" si="4"/>
        <v>0.0144</v>
      </c>
      <c r="AE51" s="112">
        <f t="shared" si="5"/>
        <v>49073.9921031668</v>
      </c>
      <c r="AF51" s="113">
        <f>VLOOKUP($E51,武器奇术!$A:$R,3,FALSE)*(1+IF(VLOOKUP($E51,武器奇术!$A:$R,15,FALSE)="武器",$E$15,0))</f>
        <v>1573.975</v>
      </c>
      <c r="AG51" s="103">
        <f t="shared" si="6"/>
        <v>1573.975</v>
      </c>
      <c r="AH51" s="103">
        <f>VLOOKUP($E51,武器奇术!$A:$R,3,FALSE)*(1+IF(VLOOKUP($E51,武器奇术!$A:$R,15,FALSE)="武器",$E$15,0))</f>
        <v>1573.975</v>
      </c>
      <c r="AI51" s="104">
        <f>IF(($D$5+VLOOKUP($E51,武器奇术!$A:$R,13,FALSE)+IF($I$3="√",10,0)-VLOOKUP($F$7,目标属性!$A:$R,5,FALSE))&gt;0,($D$5+VLOOKUP($E51,武器奇术!$A:$R,13,FALSE)+IF($I$3="√",10,0)-VLOOKUP($F$7,目标属性!$A:$R,5,FALSE))/200,($D$5+VLOOKUP($E51,武器奇术!$A:$R,13,FALSE)+IF($I$3="√",10,0)-VLOOKUP($F$7,目标属性!$A:$R,5,FALSE))/100)</f>
        <v>0.3925</v>
      </c>
      <c r="AJ51" s="111">
        <f>$E$5+IF($G$5="烟柳",IF(VLOOKUP($E51,武器奇术!$A:$T,20,FALSE)=1,0.1,0),0)</f>
        <v>0.1</v>
      </c>
      <c r="AK51" s="102">
        <v>1</v>
      </c>
      <c r="AL51" s="103">
        <f t="shared" si="7"/>
        <v>2410.93620625</v>
      </c>
      <c r="AM51" s="104">
        <f>(1-IF(VLOOKUP($E51,武器奇术!$A:$R,18,FALSE)="叶龙",1,$N51))*(1-$M51)</f>
        <v>0</v>
      </c>
      <c r="AN51" s="103">
        <f>AG51*(1+AI51)*(1+AJ51)*AK51*(1+$E$16+VLOOKUP($E51,武器奇术!$A:$R,8,FALSE))</f>
        <v>5434.2502088875</v>
      </c>
      <c r="AO51" s="104">
        <f t="shared" si="8"/>
        <v>0.887</v>
      </c>
      <c r="AP51" s="103">
        <f>AH51*(1+AI51)*(1+AJ51)*AK51*(1+$E$17+VLOOKUP($E51,武器奇术!$A:$R,10,FALSE))</f>
        <v>3254.7638784375</v>
      </c>
      <c r="AQ51" s="104">
        <f t="shared" si="9"/>
        <v>0.0986</v>
      </c>
      <c r="AR51" s="103">
        <f t="shared" si="10"/>
        <v>2410.93620625</v>
      </c>
      <c r="AS51" s="104">
        <f t="shared" si="11"/>
        <v>0.0144</v>
      </c>
      <c r="AT51" s="112">
        <f t="shared" si="12"/>
        <v>5175.81713506715</v>
      </c>
      <c r="AU51" s="110">
        <f>$B$7*IF($G$5="撼天",1.05,1)+IF(AND(VLOOKUP($E51,武器奇术!$A:$R,15,FALSE)="武器",VLOOKUP($E51,武器奇术!$A:$R,17,FALSE)="鸣金"),$E$3*(1+$E$15),0)</f>
        <v>0</v>
      </c>
      <c r="AV51" s="102">
        <f t="shared" si="13"/>
        <v>0</v>
      </c>
      <c r="AW51" s="102">
        <f>MAX($C$7*IF($G$5="撼天",1.05,1)+IF(AND(VLOOKUP($E51,武器奇术!$A:$R,15,FALSE)="武器",VLOOKUP($E51,武器奇术!$A:$R,17,FALSE)="鸣金"),$E$3*(1+$E$15),0),AU51)</f>
        <v>0</v>
      </c>
      <c r="AX51" s="104">
        <f>IF(($D$7+IF(VLOOKUP($E51,武器奇术!$A:$R,17,FALSE)="鸣金",$D$15,0)-VLOOKUP($F$7,目标属性!$A:$R,6,FALSE))&gt;0,($D$7+IF(VLOOKUP($E51,武器奇术!$A:$R,17,FALSE)="鸣金",$D$15,0)-VLOOKUP($F$7,目标属性!$A:$R,6,FALSE))/200,($D$7+IF(VLOOKUP($E51,武器奇术!$A:$R,17,FALSE)="鸣金",$D$15,0)-VLOOKUP($F$7,目标属性!$A:$R,6,FALSE))/100)</f>
        <v>-0.24</v>
      </c>
      <c r="AY51" s="111">
        <f t="shared" si="14"/>
        <v>0</v>
      </c>
      <c r="AZ51" s="102">
        <v>1</v>
      </c>
      <c r="BA51" s="103">
        <f>AU51*IF(VLOOKUP($E51,武器奇术!$A:$R,17,FALSE)="鸣金",VLOOKUP($E51,武器奇术!$A:$R,4,FALSE),VLOOKUP($E51,武器奇术!$A:$R,2,FALSE))*(1+AX51)*(1+AY51)*AZ51</f>
        <v>0</v>
      </c>
      <c r="BB51" s="104">
        <f>(1-IF(VLOOKUP($E51,武器奇术!$A:$R,18,FALSE)="叶龙",1,$N51))*(1-$M51)</f>
        <v>0</v>
      </c>
      <c r="BC51" s="103">
        <f>AV51*IF(VLOOKUP($E51,武器奇术!$A:$R,17,FALSE)="鸣金",VLOOKUP($E51,武器奇术!$A:$R,4,FALSE),VLOOKUP($E51,武器奇术!$A:$R,2,FALSE))*(1+AX51)*(1+AY51)*AZ51*(1+$E$16+VLOOKUP($E51,武器奇术!$A:$R,8,FALSE))</f>
        <v>0</v>
      </c>
      <c r="BD51" s="104">
        <f t="shared" si="15"/>
        <v>0.887</v>
      </c>
      <c r="BE51" s="103">
        <f>AW51*IF(VLOOKUP($E51,武器奇术!$A:$R,17,FALSE)="鸣金",VLOOKUP($E51,武器奇术!$A:$R,4,FALSE),VLOOKUP($E51,武器奇术!$A:$R,2,FALSE))*(1+AX51)*(1+AY51)*AZ51*(1+$E$17+VLOOKUP($E51,武器奇术!$A:$R,10,FALSE))</f>
        <v>0</v>
      </c>
      <c r="BF51" s="104">
        <f t="shared" si="16"/>
        <v>0.0986</v>
      </c>
      <c r="BG51" s="103">
        <f>AV51*IF(VLOOKUP($E51,武器奇术!$A:$R,17,FALSE)="鸣金",VLOOKUP($E51,武器奇术!$A:$R,4,FALSE),VLOOKUP($E51,武器奇术!$A:$R,2,FALSE))*(1+AX51)*(1+AY51)*AZ51</f>
        <v>0</v>
      </c>
      <c r="BH51" s="104">
        <f t="shared" si="17"/>
        <v>0.0144</v>
      </c>
      <c r="BI51" s="112">
        <f t="shared" si="18"/>
        <v>0</v>
      </c>
      <c r="BJ51" s="110">
        <f>$B$9*IF($G$5="撼天",1.05,1)+IF(AND(VLOOKUP($E51,武器奇术!$A:$R,15,FALSE)="武器",VLOOKUP($E51,武器奇术!$A:$R,17,FALSE)="裂石"),$E$3*(1+$E$15),0)</f>
        <v>0</v>
      </c>
      <c r="BK51" s="102">
        <f t="shared" si="19"/>
        <v>0</v>
      </c>
      <c r="BL51" s="102">
        <f>MAX($C$9*IF($G$5="撼天",1.05,1)+IF(AND(VLOOKUP($E51,武器奇术!$A:$R,15,FALSE)="武器",VLOOKUP($E51,武器奇术!$A:$R,17,FALSE)="裂石"),$E$3*(1+$E$15),0),BJ51)</f>
        <v>0</v>
      </c>
      <c r="BM51" s="104">
        <f>IF(($D$9+IF(VLOOKUP($E51,武器奇术!$A:$R,17,FALSE)="裂石",$D$15,0)-VLOOKUP($F$7,目标属性!$A:$R,6,FALSE))&gt;0,($D$9+IF(VLOOKUP($E51,武器奇术!$A:$R,17,FALSE)="裂石",$D$15,0)-VLOOKUP($F$7,目标属性!$A:$R,6,FALSE))/200,($D$9+IF(VLOOKUP($E51,武器奇术!$A:$R,17,FALSE)="裂石",$D$15,0)-VLOOKUP($F$7,目标属性!$A:$R,6,FALSE))/100)</f>
        <v>-0.24</v>
      </c>
      <c r="BN51" s="111">
        <f t="shared" si="20"/>
        <v>0</v>
      </c>
      <c r="BO51" s="102">
        <v>1</v>
      </c>
      <c r="BP51" s="103">
        <f>BJ51*IF(VLOOKUP($E51,武器奇术!$A:$R,17,FALSE)="裂石",VLOOKUP($E51,武器奇术!$A:$R,4,FALSE),VLOOKUP($E51,武器奇术!$A:$R,2,FALSE))*(1+BM51)*(1+BN51)*BO51</f>
        <v>0</v>
      </c>
      <c r="BQ51" s="104">
        <f>(1-IF(VLOOKUP($E51,武器奇术!$A:$R,18,FALSE)="叶龙",1,$N51))*(1-$M51)</f>
        <v>0</v>
      </c>
      <c r="BR51" s="103">
        <f>BK51*IF(VLOOKUP($E51,武器奇术!$A:$R,17,FALSE)="裂石",VLOOKUP($E51,武器奇术!$A:$R,4,FALSE),VLOOKUP($E51,武器奇术!$A:$R,2,FALSE))*(1+BM51)*(1+BN51)*BO51*(1+$E$16+VLOOKUP($E51,武器奇术!$A:$R,8,FALSE))</f>
        <v>0</v>
      </c>
      <c r="BS51" s="104">
        <f t="shared" si="21"/>
        <v>0.887</v>
      </c>
      <c r="BT51" s="103">
        <f>BL51*IF(VLOOKUP($E51,武器奇术!$A:$R,17,FALSE)="裂石",VLOOKUP($E51,武器奇术!$A:$R,4,FALSE),VLOOKUP($E51,武器奇术!$A:$R,2,FALSE))*(1+BM51)*(1+BN51)*BO51*(1+$E$17+VLOOKUP($E51,武器奇术!$A:$R,10,FALSE))</f>
        <v>0</v>
      </c>
      <c r="BU51" s="104">
        <f t="shared" si="22"/>
        <v>0.0986</v>
      </c>
      <c r="BV51" s="103">
        <f>BK51*IF(VLOOKUP($E51,武器奇术!$A:$R,17,FALSE)="裂石",VLOOKUP($E51,武器奇术!$A:$R,4,FALSE),VLOOKUP($E51,武器奇术!$A:$R,2,FALSE))*(1+BM51)*(1+BN51)*BO51</f>
        <v>0</v>
      </c>
      <c r="BW51" s="104">
        <f t="shared" si="23"/>
        <v>0.0144</v>
      </c>
      <c r="BX51" s="112">
        <f t="shared" si="24"/>
        <v>0</v>
      </c>
      <c r="BY51" s="110">
        <f>$B$11*IF($G$5="撼天",1.05,1)+IF(AND(VLOOKUP($E51,武器奇术!$A:$R,15,FALSE)="武器",VLOOKUP($E51,武器奇术!$A:$R,17,FALSE)="牵丝"),$E$3*(1+$E$15),0)</f>
        <v>686.71</v>
      </c>
      <c r="BZ51" s="102">
        <f>IF(VLOOKUP($E51,武器奇术!$A:$Z,18,FALSE)="叶龙",(CA51-(BY51+CA51)*0.5)*($G$15-0.5)*2+(BY51+CA51)*0.5,(BY51+CA51)*0.5)</f>
        <v>1052.21</v>
      </c>
      <c r="CA51" s="102">
        <f>MAX($C$11*IF($G$5="撼天",1.05,1)+IF(AND(VLOOKUP($E51,武器奇术!$A:$R,15,FALSE)="武器",VLOOKUP($E51,武器奇术!$A:$R,17,FALSE)="牵丝"),$E$3*(1+$E$15),0),BY51)</f>
        <v>1417.71</v>
      </c>
      <c r="CB51" s="104">
        <f>IF(($D$11+IF(VLOOKUP($E51,武器奇术!$A:$R,17,FALSE)="牵丝",$D$15,0)-VLOOKUP($F$7,目标属性!$A:$R,6,FALSE))&gt;0,($D$11+IF(VLOOKUP($E51,武器奇术!$A:$R,17,FALSE)="牵丝",$D$15,0)-VLOOKUP($F$7,目标属性!$A:$R,6,FALSE))/200,($D$11+IF(VLOOKUP($E51,武器奇术!$A:$R,17,FALSE)="牵丝",$D$15,0)-VLOOKUP($F$7,目标属性!$A:$R,6,FALSE))/100)</f>
        <v>0.028</v>
      </c>
      <c r="CC51" s="111">
        <f>$E$11+IF($G$5="烟柳",IF(VLOOKUP($E51,武器奇术!$A:$T,20,FALSE)=1,0.1,0),0)</f>
        <v>0.248</v>
      </c>
      <c r="CD51" s="102">
        <v>1</v>
      </c>
      <c r="CE51" s="103">
        <f>BY51*IF(VLOOKUP($E51,武器奇术!$A:$R,17,FALSE)="牵丝",VLOOKUP($E51,武器奇术!$A:$R,4,FALSE),VLOOKUP($E51,武器奇术!$A:$R,2,FALSE))*(1+CB51)*(1+CC51)*CD51</f>
        <v>5784.10687663261</v>
      </c>
      <c r="CF51" s="104">
        <f>(1-IF(VLOOKUP($E51,武器奇术!$A:$R,18,FALSE)="叶龙",1,$N51))*(1-$M51)</f>
        <v>0</v>
      </c>
      <c r="CG51" s="124">
        <f>BZ51*IF(VLOOKUP($E51,武器奇术!$A:$R,17,FALSE)="牵丝",VLOOKUP($E51,武器奇术!$A:$R,4,FALSE),VLOOKUP($E51,武器奇术!$A:$R,2,FALSE))*(1+CB51)*(1+CC51)*CD51*(1+$E$16+VLOOKUP($E51,武器奇术!$A:$R,8,FALSE))</f>
        <v>19976.4942229984</v>
      </c>
      <c r="CH51" s="104">
        <f t="shared" si="25"/>
        <v>0.887</v>
      </c>
      <c r="CI51" s="103">
        <f>CA51*IF(VLOOKUP($E51,武器奇术!$A:$R,17,FALSE)="牵丝",VLOOKUP($E51,武器奇术!$A:$R,4,FALSE),VLOOKUP($E51,武器奇术!$A:$R,2,FALSE))*(1+CB51)*(1+CC51)*CD51*(1+$E$17+VLOOKUP($E51,武器奇术!$A:$R,10,FALSE))</f>
        <v>16120.7078913888</v>
      </c>
      <c r="CJ51" s="104">
        <f t="shared" si="26"/>
        <v>0.0986</v>
      </c>
      <c r="CK51" s="124">
        <f>BZ51*IF(VLOOKUP($E51,武器奇术!$A:$R,17,FALSE)="牵丝",VLOOKUP($E51,武器奇术!$A:$R,4,FALSE),VLOOKUP($E51,武器奇术!$A:$R,2,FALSE))*(1+CB51)*(1+CC51)*CD51</f>
        <v>8862.68599068254</v>
      </c>
      <c r="CL51" s="104">
        <f t="shared" si="27"/>
        <v>0.0144</v>
      </c>
      <c r="CM51" s="112">
        <f t="shared" si="28"/>
        <v>19436.2748521564</v>
      </c>
      <c r="CN51" s="110">
        <f>$B$13*IF($G$5="撼天",1.05,1)+IF(AND(VLOOKUP($E51,武器奇术!$A:$R,15,FALSE)="武器",VLOOKUP($E51,武器奇术!$A:$R,17,FALSE)="破竹"),$E$3*(1+$E$15),0)</f>
        <v>0</v>
      </c>
      <c r="CO51" s="102">
        <f t="shared" si="29"/>
        <v>0</v>
      </c>
      <c r="CP51" s="102">
        <f>MAX($C$13*IF($G$5="撼天",1.05,1)+IF(AND(VLOOKUP($E51,武器奇术!$A:$R,15,FALSE)="武器",VLOOKUP($E51,武器奇术!$A:$R,17,FALSE)="破竹"),$E$3*(1+$E$15),0),CN51)</f>
        <v>0</v>
      </c>
      <c r="CQ51" s="104">
        <f>IF(($D$13+IF(VLOOKUP($E51,武器奇术!$A:$R,17,FALSE)="破竹",$D$15,0)-VLOOKUP($F$7,目标属性!$A:$R,6,FALSE))&gt;0,($D$13+IF(VLOOKUP($E51,武器奇术!$A:$R,17,FALSE)="破竹",$D$15,0)-VLOOKUP($F$7,目标属性!$A:$R,6,FALSE))/200,($D$13+IF(VLOOKUP($E51,武器奇术!$A:$R,17,FALSE)="破竹",$D$15,0)-VLOOKUP($F$7,目标属性!$A:$R,6,FALSE))/100)</f>
        <v>-0.24</v>
      </c>
      <c r="CR51" s="111">
        <f t="shared" si="30"/>
        <v>0</v>
      </c>
      <c r="CS51" s="102">
        <v>1</v>
      </c>
      <c r="CT51" s="103">
        <f>CN51*IF(VLOOKUP($E51,武器奇术!$A:$R,17,FALSE)="破竹",VLOOKUP($E51,武器奇术!$A:$R,4,FALSE),VLOOKUP($E51,武器奇术!$A:$R,2,FALSE))*(1+CQ51)*(1+CR51)*CS51</f>
        <v>0</v>
      </c>
      <c r="CU51" s="104">
        <f>(1-IF(VLOOKUP($E51,武器奇术!$A:$R,18,FALSE)="叶龙",1,$N51))*(1-$M51)</f>
        <v>0</v>
      </c>
      <c r="CV51" s="103">
        <f>CO51*IF(VLOOKUP($E51,武器奇术!$A:$R,17,FALSE)="破竹",VLOOKUP($E51,武器奇术!$A:$R,4,FALSE),VLOOKUP($E51,武器奇术!$A:$R,2,FALSE))*(1+CQ51)*(1+CR51)*CS51*(1+$E$16+VLOOKUP($E51,武器奇术!$A:$R,8,FALSE))</f>
        <v>0</v>
      </c>
      <c r="CW51" s="104">
        <f t="shared" si="31"/>
        <v>0.887</v>
      </c>
      <c r="CX51" s="103">
        <f>CP51*IF(VLOOKUP($E51,武器奇术!$A:$R,17,FALSE)="破竹",VLOOKUP($E51,武器奇术!$A:$R,4,FALSE),VLOOKUP($E51,武器奇术!$A:$R,2,FALSE))*(1+CQ51)*(1+CR51)*CS51*(1+$E$17+VLOOKUP($E51,武器奇术!$A:$R,10,FALSE))</f>
        <v>0</v>
      </c>
      <c r="CY51" s="104">
        <f t="shared" si="32"/>
        <v>0.0986</v>
      </c>
      <c r="CZ51" s="103">
        <f>CO51*IF(VLOOKUP($E51,武器奇术!$A:$R,17,FALSE)="破竹",VLOOKUP($E51,武器奇术!$A:$R,4,FALSE),VLOOKUP($E51,武器奇术!$A:$R,2,FALSE))*(1+CQ51)*(1+CR51)*CS51</f>
        <v>0</v>
      </c>
      <c r="DA51" s="104">
        <f t="shared" si="33"/>
        <v>0.0144</v>
      </c>
      <c r="DB51" s="112">
        <f t="shared" si="34"/>
        <v>0</v>
      </c>
      <c r="DC51" s="110">
        <f t="shared" si="35"/>
        <v>66</v>
      </c>
      <c r="DD51" s="102">
        <f t="shared" si="36"/>
        <v>125.8</v>
      </c>
      <c r="DE51" s="102">
        <f t="shared" si="37"/>
        <v>185.6</v>
      </c>
      <c r="DF51" s="104">
        <f>IF((IF(VLOOKUP($E51,武器奇术!$A:$R,17,FALSE)="鸣金",$D$7,0)+IF(VLOOKUP($E51,武器奇术!$A:$R,17,FALSE)="裂石",$D$9,0)+IF(VLOOKUP($E51,武器奇术!$A:$R,17,FALSE)="牵丝",$D$11,0)+IF(VLOOKUP($E51,武器奇术!$A:$R,17,FALSE)="破竹",$D$13,0)+$D$15-VLOOKUP($F$7,目标属性!$A:$R,6,FALSE))&gt;0,(IF(VLOOKUP($E51,武器奇术!$A:$R,17,FALSE)="鸣金",$D$7,0)+IF(VLOOKUP($E51,武器奇术!$A:$R,17,FALSE)="裂石",$D$9,0)+IF(VLOOKUP($E51,武器奇术!$A:$R,17,FALSE)="牵丝",$D$11,0)+IF(VLOOKUP($E51,武器奇术!$A:$R,17,FALSE)="破竹",$D$13,0)+$D$15-VLOOKUP($F$7,目标属性!$A:$R,6,FALSE))/200,(IF(VLOOKUP($E51,武器奇术!$A:$R,17,FALSE)="鸣金",$D$7,0)+IF(VLOOKUP($E51,武器奇术!$A:$R,17,FALSE)="裂石",$D$9,0)+IF(VLOOKUP($E51,武器奇术!$A:$R,17,FALSE)="牵丝",$D$11,0)+IF(VLOOKUP($E51,武器奇术!$A:$R,17,FALSE)="破竹",$D$13,0)+$D$15-VLOOKUP($F$7,目标属性!$A:$R,6,FALSE))/100)</f>
        <v>0.028</v>
      </c>
      <c r="DG51" s="111">
        <f>$E$11+IF($G$5="烟柳",IF(VLOOKUP($E51,武器奇术!$A:$T,20,FALSE)=1,0.1,0),0)</f>
        <v>0.248</v>
      </c>
      <c r="DH51" s="102">
        <v>1</v>
      </c>
      <c r="DI51" s="103">
        <f>DC51*IF(VLOOKUP($E51,武器奇术!$A:$R,17,FALSE)="牵丝",VLOOKUP($E51,武器奇术!$A:$R,4,FALSE),VLOOKUP($E51,武器奇术!$A:$R,2,FALSE))*(1+DF51)*(1+DG51)*DH51</f>
        <v>555.91305479424</v>
      </c>
      <c r="DJ51" s="104">
        <f>(1-IF(VLOOKUP($E51,武器奇术!$A:$R,18,FALSE)="叶龙",1,$N51))*(1-$M51)</f>
        <v>0</v>
      </c>
      <c r="DK51" s="124">
        <f>DD51*IF(VLOOKUP($E51,武器奇术!$A:$R,17,FALSE)="牵丝",VLOOKUP($E51,武器奇术!$A:$R,4,FALSE),VLOOKUP($E51,武器奇术!$A:$R,2,FALSE))*(1+DF51)*(1+DG51)*DH51*(1+$E$16+VLOOKUP($E51,武器奇术!$A:$R,8,FALSE))</f>
        <v>2388.3473577073</v>
      </c>
      <c r="DL51" s="104">
        <f t="shared" si="38"/>
        <v>0.887</v>
      </c>
      <c r="DM51" s="103">
        <f>DE51*IF(VLOOKUP($E51,武器奇术!$A:$R,17,FALSE)="牵丝",VLOOKUP($E51,武器奇术!$A:$R,4,FALSE),VLOOKUP($E51,武器奇术!$A:$R,2,FALSE))*(1+DF51)*(1+DG51)*DH51*(1+$E$17+VLOOKUP($E51,武器奇术!$A:$R,10,FALSE))</f>
        <v>2110.44810620068</v>
      </c>
      <c r="DN51" s="104">
        <f t="shared" si="39"/>
        <v>0.0986</v>
      </c>
      <c r="DO51" s="124">
        <f>DD51*IF(VLOOKUP($E51,武器奇术!$A:$R,17,FALSE)="牵丝",VLOOKUP($E51,武器奇术!$A:$R,4,FALSE),VLOOKUP($E51,武器奇术!$A:$R,2,FALSE))*(1+DF51)*(1+DG51)*DH51</f>
        <v>1059.60397413811</v>
      </c>
      <c r="DP51" s="104">
        <f t="shared" si="40"/>
        <v>0.0144</v>
      </c>
      <c r="DQ51" s="112">
        <f t="shared" si="41"/>
        <v>2341.81258678536</v>
      </c>
    </row>
    <row r="52" customFormat="1" customHeight="1" spans="1:121">
      <c r="A52" s="139"/>
      <c r="B52" s="139"/>
      <c r="C52" s="139"/>
      <c r="D52" s="139"/>
      <c r="E52" s="115" t="str">
        <f>期望!E52</f>
        <v>扇强化重击派生(风墙大纵低真气)</v>
      </c>
      <c r="F52" s="116">
        <f>期望!F52</f>
        <v>0.65</v>
      </c>
      <c r="G52" s="117"/>
      <c r="H52" s="103">
        <f>IF(VLOOKUP($E52,武器奇术!$A:$R,18,FALSE)="天工",AE52,(AE52+AT52+BI52+BX52+CM52+DB52+DQ52))*(1+J52)*F52*K52*(1+G52)</f>
        <v>65048.5939556949</v>
      </c>
      <c r="I52" s="104">
        <f t="shared" si="0"/>
        <v>0.007496847712925</v>
      </c>
      <c r="J52" s="138">
        <f>$F$3+VLOOKUP($E52,武器奇术!$A:$R,12,FALSE)+VLOOKUP($E52,武器奇术!$A:$R,14,FALSE)*$G$3+$P52</f>
        <v>0.567</v>
      </c>
      <c r="K52" s="105">
        <f>VLOOKUP($E52,武器奇术!$A:$R,11,FALSE)</f>
        <v>1</v>
      </c>
      <c r="L52" s="119">
        <f>IF(VLOOKUP($E52,武器奇术!$A:$R,15,FALSE)="天工",0%,IF($C$17+VLOOKUP($E52,武器奇术!$A:$R,7,FALSE)&gt;80%,80%,$C$17+VLOOKUP($E52,武器奇术!$A:$R,7,FALSE))+IF($C$19&gt;20%,20%,$C$19))</f>
        <v>0.887</v>
      </c>
      <c r="M52" s="120">
        <f>IF(VLOOKUP($E52,武器奇术!$A:$R,15,FALSE)="天工",0%,IF($C$18+VLOOKUP($E52,武器奇术!$A:$R,9,FALSE)&gt;40%,40%,$C$18+VLOOKUP($E52,武器奇术!$A:$R,9,FALSE))+IF($C$20&gt;10%,10%,$C$20))</f>
        <v>0.0986</v>
      </c>
      <c r="N52" s="121">
        <f>IF(VLOOKUP($E52,武器奇术!$A:$R,15,FALSE)="天工",100%,MIN($C$16,1))</f>
        <v>1</v>
      </c>
      <c r="O52" s="122" t="str">
        <f>VLOOKUP($E52,武器奇术!$A:$R,16,FALSE)</f>
        <v>扇</v>
      </c>
      <c r="P52" s="123">
        <f t="shared" si="1"/>
        <v>0.084</v>
      </c>
      <c r="Q52" s="110">
        <f>$B$5*(1+VLOOKUP($E52,武器奇术!$A:$R,5,FALSE))*(1+VLOOKUP($E52,武器奇术!$A:$S,19,FALSE)+IF($G$5="飞隼",0.1,0)+IF($G$5="撼天",0.05,0))-$F$9+IF($J$5="√",160,0)</f>
        <v>3324.7</v>
      </c>
      <c r="R52" s="102">
        <f>IF(VLOOKUP($E52,武器奇术!$A:$Z,18,FALSE)="叶龙",(S52-(Q52+S52)*0.5)*($G$15-0.5)*2+(Q52+S52)*0.5,(Q52+S52)*0.5)</f>
        <v>3404.7</v>
      </c>
      <c r="S52" s="102">
        <f>MAX($C$5,$B$5)*(1+VLOOKUP($E52,武器奇术!$A:$R,6,FALSE))*(1+VLOOKUP($E52,武器奇术!$A:$S,19,FALSE)+IF($G$5="飞隼",0.1,0)+IF($G$5="撼天",0.05,0))-$F$9+IF($J$5="√",320,0)</f>
        <v>3484.7</v>
      </c>
      <c r="T52" s="104">
        <f>IF(($D$5+VLOOKUP($E52,武器奇术!$A:$R,13,FALSE)+IF($I$3="√",10,0)-VLOOKUP($F$7,目标属性!$A:$R,5,FALSE))&gt;0,($D$5+VLOOKUP($E52,武器奇术!$A:$R,13,FALSE)+IF($I$3="√",10,0)-VLOOKUP($F$7,目标属性!$A:$R,5,FALSE))/200,($D$5+VLOOKUP($E52,武器奇术!$A:$R,13,FALSE)+IF($I$3="√",10,0)-VLOOKUP($F$7,目标属性!$A:$R,5,FALSE))/100)</f>
        <v>0.2675</v>
      </c>
      <c r="U52" s="111">
        <f>$E$5+IF($G$5="烟柳",IF(VLOOKUP($E52,武器奇术!$A:$T,20,FALSE)=1,0.1,0),0)</f>
        <v>0.1</v>
      </c>
      <c r="V52" s="102">
        <v>1</v>
      </c>
      <c r="W52" s="103">
        <f>Q52*VLOOKUP($E52,武器奇术!$A:$R,2,FALSE)*(1+T52)*(1+U52)*V52</f>
        <v>20288.6102355544</v>
      </c>
      <c r="X52" s="104">
        <f>(1-IF(VLOOKUP($E52,武器奇术!$A:$R,18,FALSE)="叶龙",1,$N52))*(1-$M52)</f>
        <v>0</v>
      </c>
      <c r="Y52" s="103">
        <f>R52*VLOOKUP($E52,武器奇术!$A:$R,2,FALSE)*(1+T52)*(1+U52)*V52*(1+$E$16+VLOOKUP($E52,武器奇术!$A:$R,8,FALSE))</f>
        <v>41636.709797293</v>
      </c>
      <c r="Z52" s="104">
        <f t="shared" si="2"/>
        <v>0.887</v>
      </c>
      <c r="AA52" s="103">
        <f>S52*VLOOKUP($E52,武器奇术!$A:$R,2,FALSE)*(1+T52)*(1+U52)*V52*(1+$E$17+VLOOKUP($E52,武器奇术!$A:$R,10,FALSE))</f>
        <v>28707.7396813484</v>
      </c>
      <c r="AB52" s="104">
        <f t="shared" si="3"/>
        <v>0.0986</v>
      </c>
      <c r="AC52" s="103">
        <f>R52*VLOOKUP($E52,武器奇术!$A:$R,2,FALSE)*(1+T52)*(1+U52)*V52</f>
        <v>20776.8012960544</v>
      </c>
      <c r="AD52" s="104">
        <f t="shared" si="4"/>
        <v>0.0144</v>
      </c>
      <c r="AE52" s="112">
        <f t="shared" si="5"/>
        <v>40061.530661443</v>
      </c>
      <c r="AF52" s="113">
        <f>VLOOKUP($E52,武器奇术!$A:$R,3,FALSE)*(1+IF(VLOOKUP($E52,武器奇术!$A:$R,15,FALSE)="武器",$E$15,0))</f>
        <v>1573.975</v>
      </c>
      <c r="AG52" s="103">
        <f t="shared" si="6"/>
        <v>1573.975</v>
      </c>
      <c r="AH52" s="103">
        <f>VLOOKUP($E52,武器奇术!$A:$R,3,FALSE)*(1+IF(VLOOKUP($E52,武器奇术!$A:$R,15,FALSE)="武器",$E$15,0))</f>
        <v>1573.975</v>
      </c>
      <c r="AI52" s="104">
        <f>IF(($D$5+VLOOKUP($E52,武器奇术!$A:$R,13,FALSE)+IF($I$3="√",10,0)-VLOOKUP($F$7,目标属性!$A:$R,5,FALSE))&gt;0,($D$5+VLOOKUP($E52,武器奇术!$A:$R,13,FALSE)+IF($I$3="√",10,0)-VLOOKUP($F$7,目标属性!$A:$R,5,FALSE))/200,($D$5+VLOOKUP($E52,武器奇术!$A:$R,13,FALSE)+IF($I$3="√",10,0)-VLOOKUP($F$7,目标属性!$A:$R,5,FALSE))/100)</f>
        <v>0.2675</v>
      </c>
      <c r="AJ52" s="111">
        <f>$E$5+IF($G$5="烟柳",IF(VLOOKUP($E52,武器奇术!$A:$T,20,FALSE)=1,0.1,0),0)</f>
        <v>0.1</v>
      </c>
      <c r="AK52" s="102">
        <v>1</v>
      </c>
      <c r="AL52" s="103">
        <f t="shared" si="7"/>
        <v>2194.51464375</v>
      </c>
      <c r="AM52" s="104">
        <f>(1-IF(VLOOKUP($E52,武器奇术!$A:$R,18,FALSE)="叶龙",1,$N52))*(1-$M52)</f>
        <v>0</v>
      </c>
      <c r="AN52" s="103">
        <f>AG52*(1+AI52)*(1+AJ52)*AK52*(1+$E$16+VLOOKUP($E52,武器奇术!$A:$R,8,FALSE))</f>
        <v>4397.807346075</v>
      </c>
      <c r="AO52" s="104">
        <f t="shared" si="8"/>
        <v>0.887</v>
      </c>
      <c r="AP52" s="103">
        <f>AH52*(1+AI52)*(1+AJ52)*AK52*(1+$E$17+VLOOKUP($E52,武器奇术!$A:$R,10,FALSE))</f>
        <v>2962.5947690625</v>
      </c>
      <c r="AQ52" s="104">
        <f t="shared" si="9"/>
        <v>0.0986</v>
      </c>
      <c r="AR52" s="103">
        <f t="shared" si="10"/>
        <v>2194.51464375</v>
      </c>
      <c r="AS52" s="104">
        <f t="shared" si="11"/>
        <v>0.0144</v>
      </c>
      <c r="AT52" s="112">
        <f t="shared" si="12"/>
        <v>4224.56797106809</v>
      </c>
      <c r="AU52" s="110">
        <f>$B$7*IF($G$5="撼天",1.05,1)+IF(AND(VLOOKUP($E52,武器奇术!$A:$R,15,FALSE)="武器",VLOOKUP($E52,武器奇术!$A:$R,17,FALSE)="鸣金"),$E$3*(1+$E$15),0)</f>
        <v>0</v>
      </c>
      <c r="AV52" s="102">
        <f t="shared" si="13"/>
        <v>0</v>
      </c>
      <c r="AW52" s="102">
        <f>MAX($C$7*IF($G$5="撼天",1.05,1)+IF(AND(VLOOKUP($E52,武器奇术!$A:$R,15,FALSE)="武器",VLOOKUP($E52,武器奇术!$A:$R,17,FALSE)="鸣金"),$E$3*(1+$E$15),0),AU52)</f>
        <v>0</v>
      </c>
      <c r="AX52" s="104">
        <f>IF(($D$7+IF(VLOOKUP($E52,武器奇术!$A:$R,17,FALSE)="鸣金",$D$15,0)-VLOOKUP($F$7,目标属性!$A:$R,6,FALSE))&gt;0,($D$7+IF(VLOOKUP($E52,武器奇术!$A:$R,17,FALSE)="鸣金",$D$15,0)-VLOOKUP($F$7,目标属性!$A:$R,6,FALSE))/200,($D$7+IF(VLOOKUP($E52,武器奇术!$A:$R,17,FALSE)="鸣金",$D$15,0)-VLOOKUP($F$7,目标属性!$A:$R,6,FALSE))/100)</f>
        <v>-0.24</v>
      </c>
      <c r="AY52" s="111">
        <f t="shared" si="14"/>
        <v>0</v>
      </c>
      <c r="AZ52" s="102">
        <v>1</v>
      </c>
      <c r="BA52" s="103">
        <f>AU52*IF(VLOOKUP($E52,武器奇术!$A:$R,17,FALSE)="鸣金",VLOOKUP($E52,武器奇术!$A:$R,4,FALSE),VLOOKUP($E52,武器奇术!$A:$R,2,FALSE))*(1+AX52)*(1+AY52)*AZ52</f>
        <v>0</v>
      </c>
      <c r="BB52" s="104">
        <f>(1-IF(VLOOKUP($E52,武器奇术!$A:$R,18,FALSE)="叶龙",1,$N52))*(1-$M52)</f>
        <v>0</v>
      </c>
      <c r="BC52" s="103">
        <f>AV52*IF(VLOOKUP($E52,武器奇术!$A:$R,17,FALSE)="鸣金",VLOOKUP($E52,武器奇术!$A:$R,4,FALSE),VLOOKUP($E52,武器奇术!$A:$R,2,FALSE))*(1+AX52)*(1+AY52)*AZ52*(1+$E$16+VLOOKUP($E52,武器奇术!$A:$R,8,FALSE))</f>
        <v>0</v>
      </c>
      <c r="BD52" s="104">
        <f t="shared" si="15"/>
        <v>0.887</v>
      </c>
      <c r="BE52" s="103">
        <f>AW52*IF(VLOOKUP($E52,武器奇术!$A:$R,17,FALSE)="鸣金",VLOOKUP($E52,武器奇术!$A:$R,4,FALSE),VLOOKUP($E52,武器奇术!$A:$R,2,FALSE))*(1+AX52)*(1+AY52)*AZ52*(1+$E$17+VLOOKUP($E52,武器奇术!$A:$R,10,FALSE))</f>
        <v>0</v>
      </c>
      <c r="BF52" s="104">
        <f t="shared" si="16"/>
        <v>0.0986</v>
      </c>
      <c r="BG52" s="103">
        <f>AV52*IF(VLOOKUP($E52,武器奇术!$A:$R,17,FALSE)="鸣金",VLOOKUP($E52,武器奇术!$A:$R,4,FALSE),VLOOKUP($E52,武器奇术!$A:$R,2,FALSE))*(1+AX52)*(1+AY52)*AZ52</f>
        <v>0</v>
      </c>
      <c r="BH52" s="104">
        <f t="shared" si="17"/>
        <v>0.0144</v>
      </c>
      <c r="BI52" s="112">
        <f t="shared" si="18"/>
        <v>0</v>
      </c>
      <c r="BJ52" s="110">
        <f>$B$9*IF($G$5="撼天",1.05,1)+IF(AND(VLOOKUP($E52,武器奇术!$A:$R,15,FALSE)="武器",VLOOKUP($E52,武器奇术!$A:$R,17,FALSE)="裂石"),$E$3*(1+$E$15),0)</f>
        <v>0</v>
      </c>
      <c r="BK52" s="102">
        <f t="shared" si="19"/>
        <v>0</v>
      </c>
      <c r="BL52" s="102">
        <f>MAX($C$9*IF($G$5="撼天",1.05,1)+IF(AND(VLOOKUP($E52,武器奇术!$A:$R,15,FALSE)="武器",VLOOKUP($E52,武器奇术!$A:$R,17,FALSE)="裂石"),$E$3*(1+$E$15),0),BJ52)</f>
        <v>0</v>
      </c>
      <c r="BM52" s="104">
        <f>IF(($D$9+IF(VLOOKUP($E52,武器奇术!$A:$R,17,FALSE)="裂石",$D$15,0)-VLOOKUP($F$7,目标属性!$A:$R,6,FALSE))&gt;0,($D$9+IF(VLOOKUP($E52,武器奇术!$A:$R,17,FALSE)="裂石",$D$15,0)-VLOOKUP($F$7,目标属性!$A:$R,6,FALSE))/200,($D$9+IF(VLOOKUP($E52,武器奇术!$A:$R,17,FALSE)="裂石",$D$15,0)-VLOOKUP($F$7,目标属性!$A:$R,6,FALSE))/100)</f>
        <v>-0.24</v>
      </c>
      <c r="BN52" s="111">
        <f t="shared" si="20"/>
        <v>0</v>
      </c>
      <c r="BO52" s="102">
        <v>1</v>
      </c>
      <c r="BP52" s="103">
        <f>BJ52*IF(VLOOKUP($E52,武器奇术!$A:$R,17,FALSE)="裂石",VLOOKUP($E52,武器奇术!$A:$R,4,FALSE),VLOOKUP($E52,武器奇术!$A:$R,2,FALSE))*(1+BM52)*(1+BN52)*BO52</f>
        <v>0</v>
      </c>
      <c r="BQ52" s="104">
        <f>(1-IF(VLOOKUP($E52,武器奇术!$A:$R,18,FALSE)="叶龙",1,$N52))*(1-$M52)</f>
        <v>0</v>
      </c>
      <c r="BR52" s="103">
        <f>BK52*IF(VLOOKUP($E52,武器奇术!$A:$R,17,FALSE)="裂石",VLOOKUP($E52,武器奇术!$A:$R,4,FALSE),VLOOKUP($E52,武器奇术!$A:$R,2,FALSE))*(1+BM52)*(1+BN52)*BO52*(1+$E$16+VLOOKUP($E52,武器奇术!$A:$R,8,FALSE))</f>
        <v>0</v>
      </c>
      <c r="BS52" s="104">
        <f t="shared" si="21"/>
        <v>0.887</v>
      </c>
      <c r="BT52" s="103">
        <f>BL52*IF(VLOOKUP($E52,武器奇术!$A:$R,17,FALSE)="裂石",VLOOKUP($E52,武器奇术!$A:$R,4,FALSE),VLOOKUP($E52,武器奇术!$A:$R,2,FALSE))*(1+BM52)*(1+BN52)*BO52*(1+$E$17+VLOOKUP($E52,武器奇术!$A:$R,10,FALSE))</f>
        <v>0</v>
      </c>
      <c r="BU52" s="104">
        <f t="shared" si="22"/>
        <v>0.0986</v>
      </c>
      <c r="BV52" s="103">
        <f>BK52*IF(VLOOKUP($E52,武器奇术!$A:$R,17,FALSE)="裂石",VLOOKUP($E52,武器奇术!$A:$R,4,FALSE),VLOOKUP($E52,武器奇术!$A:$R,2,FALSE))*(1+BM52)*(1+BN52)*BO52</f>
        <v>0</v>
      </c>
      <c r="BW52" s="104">
        <f t="shared" si="23"/>
        <v>0.0144</v>
      </c>
      <c r="BX52" s="112">
        <f t="shared" si="24"/>
        <v>0</v>
      </c>
      <c r="BY52" s="110">
        <f>$B$11*IF($G$5="撼天",1.05,1)+IF(AND(VLOOKUP($E52,武器奇术!$A:$R,15,FALSE)="武器",VLOOKUP($E52,武器奇术!$A:$R,17,FALSE)="牵丝"),$E$3*(1+$E$15),0)</f>
        <v>686.71</v>
      </c>
      <c r="BZ52" s="102">
        <f>IF(VLOOKUP($E52,武器奇术!$A:$Z,18,FALSE)="叶龙",(CA52-(BY52+CA52)*0.5)*($G$15-0.5)*2+(BY52+CA52)*0.5,(BY52+CA52)*0.5)</f>
        <v>1052.21</v>
      </c>
      <c r="CA52" s="102">
        <f>MAX($C$11*IF($G$5="撼天",1.05,1)+IF(AND(VLOOKUP($E52,武器奇术!$A:$R,15,FALSE)="武器",VLOOKUP($E52,武器奇术!$A:$R,17,FALSE)="牵丝"),$E$3*(1+$E$15),0),BY52)</f>
        <v>1417.71</v>
      </c>
      <c r="CB52" s="104">
        <f>IF(($D$11+IF(VLOOKUP($E52,武器奇术!$A:$R,17,FALSE)="牵丝",$D$15,0)-VLOOKUP($F$7,目标属性!$A:$R,6,FALSE))&gt;0,($D$11+IF(VLOOKUP($E52,武器奇术!$A:$R,17,FALSE)="牵丝",$D$15,0)-VLOOKUP($F$7,目标属性!$A:$R,6,FALSE))/200,($D$11+IF(VLOOKUP($E52,武器奇术!$A:$R,17,FALSE)="牵丝",$D$15,0)-VLOOKUP($F$7,目标属性!$A:$R,6,FALSE))/100)</f>
        <v>0.028</v>
      </c>
      <c r="CC52" s="111">
        <f>$E$11+IF($G$5="烟柳",IF(VLOOKUP($E52,武器奇术!$A:$T,20,FALSE)=1,0.1,0),0)</f>
        <v>0.248</v>
      </c>
      <c r="CD52" s="102">
        <v>1</v>
      </c>
      <c r="CE52" s="103">
        <f>BY52*IF(VLOOKUP($E52,武器奇术!$A:$R,17,FALSE)="牵丝",VLOOKUP($E52,武器奇术!$A:$R,4,FALSE),VLOOKUP($E52,武器奇术!$A:$R,2,FALSE))*(1+CB52)*(1+CC52)*CD52</f>
        <v>5784.10687663261</v>
      </c>
      <c r="CF52" s="104">
        <f>(1-IF(VLOOKUP($E52,武器奇术!$A:$R,18,FALSE)="叶龙",1,$N52))*(1-$M52)</f>
        <v>0</v>
      </c>
      <c r="CG52" s="124">
        <f>BZ52*IF(VLOOKUP($E52,武器奇术!$A:$R,17,FALSE)="牵丝",VLOOKUP($E52,武器奇术!$A:$R,4,FALSE),VLOOKUP($E52,武器奇术!$A:$R,2,FALSE))*(1+CB52)*(1+CC52)*CD52*(1+$E$16+VLOOKUP($E52,武器奇术!$A:$R,8,FALSE))</f>
        <v>17760.8227253278</v>
      </c>
      <c r="CH52" s="104">
        <f t="shared" si="25"/>
        <v>0.887</v>
      </c>
      <c r="CI52" s="103">
        <f>CA52*IF(VLOOKUP($E52,武器奇术!$A:$R,17,FALSE)="牵丝",VLOOKUP($E52,武器奇术!$A:$R,4,FALSE),VLOOKUP($E52,武器奇术!$A:$R,2,FALSE))*(1+CB52)*(1+CC52)*CD52*(1+$E$17+VLOOKUP($E52,武器奇术!$A:$R,10,FALSE))</f>
        <v>16120.7078913888</v>
      </c>
      <c r="CJ52" s="104">
        <f t="shared" si="26"/>
        <v>0.0986</v>
      </c>
      <c r="CK52" s="124">
        <f>BZ52*IF(VLOOKUP($E52,武器奇术!$A:$R,17,FALSE)="牵丝",VLOOKUP($E52,武器奇术!$A:$R,4,FALSE),VLOOKUP($E52,武器奇术!$A:$R,2,FALSE))*(1+CB52)*(1+CC52)*CD52</f>
        <v>8862.68599068254</v>
      </c>
      <c r="CL52" s="104">
        <f t="shared" si="27"/>
        <v>0.0144</v>
      </c>
      <c r="CM52" s="112">
        <f t="shared" si="28"/>
        <v>17470.9742337225</v>
      </c>
      <c r="CN52" s="110">
        <f>$B$13*IF($G$5="撼天",1.05,1)+IF(AND(VLOOKUP($E52,武器奇术!$A:$R,15,FALSE)="武器",VLOOKUP($E52,武器奇术!$A:$R,17,FALSE)="破竹"),$E$3*(1+$E$15),0)</f>
        <v>0</v>
      </c>
      <c r="CO52" s="102">
        <f t="shared" si="29"/>
        <v>0</v>
      </c>
      <c r="CP52" s="102">
        <f>MAX($C$13*IF($G$5="撼天",1.05,1)+IF(AND(VLOOKUP($E52,武器奇术!$A:$R,15,FALSE)="武器",VLOOKUP($E52,武器奇术!$A:$R,17,FALSE)="破竹"),$E$3*(1+$E$15),0),CN52)</f>
        <v>0</v>
      </c>
      <c r="CQ52" s="104">
        <f>IF(($D$13+IF(VLOOKUP($E52,武器奇术!$A:$R,17,FALSE)="破竹",$D$15,0)-VLOOKUP($F$7,目标属性!$A:$R,6,FALSE))&gt;0,($D$13+IF(VLOOKUP($E52,武器奇术!$A:$R,17,FALSE)="破竹",$D$15,0)-VLOOKUP($F$7,目标属性!$A:$R,6,FALSE))/200,($D$13+IF(VLOOKUP($E52,武器奇术!$A:$R,17,FALSE)="破竹",$D$15,0)-VLOOKUP($F$7,目标属性!$A:$R,6,FALSE))/100)</f>
        <v>-0.24</v>
      </c>
      <c r="CR52" s="111">
        <f t="shared" si="30"/>
        <v>0</v>
      </c>
      <c r="CS52" s="102">
        <v>1</v>
      </c>
      <c r="CT52" s="103">
        <f>CN52*IF(VLOOKUP($E52,武器奇术!$A:$R,17,FALSE)="破竹",VLOOKUP($E52,武器奇术!$A:$R,4,FALSE),VLOOKUP($E52,武器奇术!$A:$R,2,FALSE))*(1+CQ52)*(1+CR52)*CS52</f>
        <v>0</v>
      </c>
      <c r="CU52" s="104">
        <f>(1-IF(VLOOKUP($E52,武器奇术!$A:$R,18,FALSE)="叶龙",1,$N52))*(1-$M52)</f>
        <v>0</v>
      </c>
      <c r="CV52" s="103">
        <f>CO52*IF(VLOOKUP($E52,武器奇术!$A:$R,17,FALSE)="破竹",VLOOKUP($E52,武器奇术!$A:$R,4,FALSE),VLOOKUP($E52,武器奇术!$A:$R,2,FALSE))*(1+CQ52)*(1+CR52)*CS52*(1+$E$16+VLOOKUP($E52,武器奇术!$A:$R,8,FALSE))</f>
        <v>0</v>
      </c>
      <c r="CW52" s="104">
        <f t="shared" si="31"/>
        <v>0.887</v>
      </c>
      <c r="CX52" s="103">
        <f>CP52*IF(VLOOKUP($E52,武器奇术!$A:$R,17,FALSE)="破竹",VLOOKUP($E52,武器奇术!$A:$R,4,FALSE),VLOOKUP($E52,武器奇术!$A:$R,2,FALSE))*(1+CQ52)*(1+CR52)*CS52*(1+$E$17+VLOOKUP($E52,武器奇术!$A:$R,10,FALSE))</f>
        <v>0</v>
      </c>
      <c r="CY52" s="104">
        <f t="shared" si="32"/>
        <v>0.0986</v>
      </c>
      <c r="CZ52" s="103">
        <f>CO52*IF(VLOOKUP($E52,武器奇术!$A:$R,17,FALSE)="破竹",VLOOKUP($E52,武器奇术!$A:$R,4,FALSE),VLOOKUP($E52,武器奇术!$A:$R,2,FALSE))*(1+CQ52)*(1+CR52)*CS52</f>
        <v>0</v>
      </c>
      <c r="DA52" s="104">
        <f t="shared" si="33"/>
        <v>0.0144</v>
      </c>
      <c r="DB52" s="112">
        <f t="shared" si="34"/>
        <v>0</v>
      </c>
      <c r="DC52" s="110">
        <f t="shared" si="35"/>
        <v>66</v>
      </c>
      <c r="DD52" s="102">
        <f t="shared" si="36"/>
        <v>125.8</v>
      </c>
      <c r="DE52" s="102">
        <f t="shared" si="37"/>
        <v>185.6</v>
      </c>
      <c r="DF52" s="104">
        <f>IF((IF(VLOOKUP($E52,武器奇术!$A:$R,17,FALSE)="鸣金",$D$7,0)+IF(VLOOKUP($E52,武器奇术!$A:$R,17,FALSE)="裂石",$D$9,0)+IF(VLOOKUP($E52,武器奇术!$A:$R,17,FALSE)="牵丝",$D$11,0)+IF(VLOOKUP($E52,武器奇术!$A:$R,17,FALSE)="破竹",$D$13,0)+$D$15-VLOOKUP($F$7,目标属性!$A:$R,6,FALSE))&gt;0,(IF(VLOOKUP($E52,武器奇术!$A:$R,17,FALSE)="鸣金",$D$7,0)+IF(VLOOKUP($E52,武器奇术!$A:$R,17,FALSE)="裂石",$D$9,0)+IF(VLOOKUP($E52,武器奇术!$A:$R,17,FALSE)="牵丝",$D$11,0)+IF(VLOOKUP($E52,武器奇术!$A:$R,17,FALSE)="破竹",$D$13,0)+$D$15-VLOOKUP($F$7,目标属性!$A:$R,6,FALSE))/200,(IF(VLOOKUP($E52,武器奇术!$A:$R,17,FALSE)="鸣金",$D$7,0)+IF(VLOOKUP($E52,武器奇术!$A:$R,17,FALSE)="裂石",$D$9,0)+IF(VLOOKUP($E52,武器奇术!$A:$R,17,FALSE)="牵丝",$D$11,0)+IF(VLOOKUP($E52,武器奇术!$A:$R,17,FALSE)="破竹",$D$13,0)+$D$15-VLOOKUP($F$7,目标属性!$A:$R,6,FALSE))/100)</f>
        <v>0.028</v>
      </c>
      <c r="DG52" s="111">
        <f>$E$11+IF($G$5="烟柳",IF(VLOOKUP($E52,武器奇术!$A:$T,20,FALSE)=1,0.1,0),0)</f>
        <v>0.248</v>
      </c>
      <c r="DH52" s="102">
        <v>1</v>
      </c>
      <c r="DI52" s="103">
        <f>DC52*IF(VLOOKUP($E52,武器奇术!$A:$R,17,FALSE)="牵丝",VLOOKUP($E52,武器奇术!$A:$R,4,FALSE),VLOOKUP($E52,武器奇术!$A:$R,2,FALSE))*(1+DF52)*(1+DG52)*DH52</f>
        <v>555.91305479424</v>
      </c>
      <c r="DJ52" s="104">
        <f>(1-IF(VLOOKUP($E52,武器奇术!$A:$R,18,FALSE)="叶龙",1,$N52))*(1-$M52)</f>
        <v>0</v>
      </c>
      <c r="DK52" s="124">
        <f>DD52*IF(VLOOKUP($E52,武器奇术!$A:$R,17,FALSE)="牵丝",VLOOKUP($E52,武器奇术!$A:$R,4,FALSE),VLOOKUP($E52,武器奇术!$A:$R,2,FALSE))*(1+DF52)*(1+DG52)*DH52*(1+$E$16+VLOOKUP($E52,武器奇术!$A:$R,8,FALSE))</f>
        <v>2123.44636417278</v>
      </c>
      <c r="DL52" s="104">
        <f t="shared" si="38"/>
        <v>0.887</v>
      </c>
      <c r="DM52" s="103">
        <f>DE52*IF(VLOOKUP($E52,武器奇术!$A:$R,17,FALSE)="牵丝",VLOOKUP($E52,武器奇术!$A:$R,4,FALSE),VLOOKUP($E52,武器奇术!$A:$R,2,FALSE))*(1+DF52)*(1+DG52)*DH52*(1+$E$17+VLOOKUP($E52,武器奇术!$A:$R,10,FALSE))</f>
        <v>2110.44810620068</v>
      </c>
      <c r="DN52" s="104">
        <f t="shared" si="39"/>
        <v>0.0986</v>
      </c>
      <c r="DO52" s="124">
        <f>DD52*IF(VLOOKUP($E52,武器奇术!$A:$R,17,FALSE)="牵丝",VLOOKUP($E52,武器奇术!$A:$R,4,FALSE),VLOOKUP($E52,武器奇术!$A:$R,2,FALSE))*(1+DF52)*(1+DG52)*DH52</f>
        <v>1059.60397413811</v>
      </c>
      <c r="DP52" s="104">
        <f t="shared" si="40"/>
        <v>0.0144</v>
      </c>
      <c r="DQ52" s="112">
        <f t="shared" si="41"/>
        <v>2106.84540552023</v>
      </c>
    </row>
    <row r="53" customFormat="1" customHeight="1" spans="1:121">
      <c r="A53" s="139"/>
      <c r="B53" s="139"/>
      <c r="C53" s="139"/>
      <c r="D53" s="139"/>
      <c r="E53" s="115" t="str">
        <f>期望!E53</f>
        <v>伞～(连中风墙大纵断石)</v>
      </c>
      <c r="F53" s="116">
        <f>期望!F53</f>
        <v>10</v>
      </c>
      <c r="G53" s="117">
        <f>$E$23</f>
        <v>0.32</v>
      </c>
      <c r="H53" s="103">
        <f>IF(VLOOKUP($E53,武器奇术!$A:$R,18,FALSE)="天工",AE53,(AE53+AT53+BI53+BX53+CM53+DB53+DQ53))*(1+J53)*F53*K53*(1+G53)</f>
        <v>568169.732082762</v>
      </c>
      <c r="I53" s="104">
        <f t="shared" si="0"/>
        <v>0.0654815376857958</v>
      </c>
      <c r="J53" s="138">
        <f>$F$3+VLOOKUP($E53,武器奇术!$A:$R,12,FALSE)+VLOOKUP($E53,武器奇术!$A:$R,14,FALSE)*$G$3+$P53</f>
        <v>1.103</v>
      </c>
      <c r="K53" s="105">
        <f>VLOOKUP($E53,武器奇术!$A:$R,11,FALSE)</f>
        <v>1</v>
      </c>
      <c r="L53" s="119">
        <f>IF(VLOOKUP($E53,武器奇术!$A:$R,15,FALSE)="天工",0%,IF($C$17+VLOOKUP($E53,武器奇术!$A:$R,7,FALSE)&gt;80%,80%,$C$17+VLOOKUP($E53,武器奇术!$A:$R,7,FALSE))+IF($C$19&gt;20%,20%,$C$19))</f>
        <v>0.8703</v>
      </c>
      <c r="M53" s="120">
        <f>IF(VLOOKUP($E53,武器奇术!$A:$R,15,FALSE)="天工",0%,IF($C$18+VLOOKUP($E53,武器奇术!$A:$R,9,FALSE)&gt;40%,40%,$C$18+VLOOKUP($E53,武器奇术!$A:$R,9,FALSE))+IF($C$20&gt;10%,10%,$C$20))</f>
        <v>0.0986</v>
      </c>
      <c r="N53" s="121">
        <f>IF(VLOOKUP($E53,武器奇术!$A:$R,15,FALSE)="天工",100%,MIN($C$16,1))</f>
        <v>1</v>
      </c>
      <c r="O53" s="122" t="str">
        <f>VLOOKUP($E53,武器奇术!$A:$R,16,FALSE)</f>
        <v>伞</v>
      </c>
      <c r="P53" s="123">
        <f t="shared" si="1"/>
        <v>0.17</v>
      </c>
      <c r="Q53" s="110">
        <f>$B$5*(1+VLOOKUP($E53,武器奇术!$A:$R,5,FALSE))*(1+VLOOKUP($E53,武器奇术!$A:$S,19,FALSE)+IF($G$5="飞隼",0.1,0)+IF($G$5="撼天",0.05,0))-$F$9+IF($J$5="√",160,0)</f>
        <v>3324.7</v>
      </c>
      <c r="R53" s="102">
        <f>IF(VLOOKUP($E53,武器奇术!$A:$Z,18,FALSE)="叶龙",(S53-(Q53+S53)*0.5)*($G$15-0.5)*2+(Q53+S53)*0.5,(Q53+S53)*0.5)</f>
        <v>3404.7</v>
      </c>
      <c r="S53" s="102">
        <f>MAX($C$5,$B$5)*(1+VLOOKUP($E53,武器奇术!$A:$R,6,FALSE))*(1+VLOOKUP($E53,武器奇术!$A:$S,19,FALSE)+IF($G$5="飞隼",0.1,0)+IF($G$5="撼天",0.05,0))-$F$9+IF($J$5="√",320,0)</f>
        <v>3484.7</v>
      </c>
      <c r="T53" s="104">
        <f>IF(($D$5+VLOOKUP($E53,武器奇术!$A:$R,13,FALSE)+IF($I$3="√",10,0)-VLOOKUP($F$7,目标属性!$A:$R,5,FALSE))&gt;0,($D$5+VLOOKUP($E53,武器奇术!$A:$R,13,FALSE)+IF($I$3="√",10,0)-VLOOKUP($F$7,目标属性!$A:$R,5,FALSE))/200,($D$5+VLOOKUP($E53,武器奇术!$A:$R,13,FALSE)+IF($I$3="√",10,0)-VLOOKUP($F$7,目标属性!$A:$R,5,FALSE))/100)</f>
        <v>0.4175</v>
      </c>
      <c r="U53" s="111">
        <f>$E$5+IF($G$5="烟柳",IF(VLOOKUP($E53,武器奇术!$A:$T,20,FALSE)=1,0.1,0),0)</f>
        <v>0.1</v>
      </c>
      <c r="V53" s="102">
        <v>1</v>
      </c>
      <c r="W53" s="103">
        <f>Q53*VLOOKUP($E53,武器奇术!$A:$R,2,FALSE)*(1+T53)*(1+U53)*V53</f>
        <v>6091.01192639362</v>
      </c>
      <c r="X53" s="104">
        <f>(1-IF(VLOOKUP($E53,武器奇术!$A:$R,18,FALSE)="叶龙",1,$N53))*(1-$M53)</f>
        <v>0</v>
      </c>
      <c r="Y53" s="103">
        <f>R53*VLOOKUP($E53,武器奇术!$A:$R,2,FALSE)*(1+T53)*(1+U53)*V53*(1+$E$16+VLOOKUP($E53,武器奇术!$A:$R,8,FALSE))</f>
        <v>14059.495882713</v>
      </c>
      <c r="Z53" s="104">
        <f t="shared" si="2"/>
        <v>0.8703</v>
      </c>
      <c r="AA53" s="103">
        <f>S53*VLOOKUP($E53,武器奇术!$A:$R,2,FALSE)*(1+T53)*(1+U53)*V53*(1+$E$17+VLOOKUP($E53,武器奇术!$A:$R,10,FALSE))</f>
        <v>8618.58859472139</v>
      </c>
      <c r="AB53" s="104">
        <f t="shared" si="3"/>
        <v>0.0986</v>
      </c>
      <c r="AC53" s="103">
        <f>R53*VLOOKUP($E53,武器奇术!$A:$R,2,FALSE)*(1+T53)*(1+U53)*V53</f>
        <v>6237.57581309363</v>
      </c>
      <c r="AD53" s="104">
        <f t="shared" si="4"/>
        <v>0.0311</v>
      </c>
      <c r="AE53" s="112">
        <f t="shared" si="5"/>
        <v>13279.7607099519</v>
      </c>
      <c r="AF53" s="113">
        <f>VLOOKUP($E53,武器奇术!$A:$R,3,FALSE)*(1+IF(VLOOKUP($E53,武器奇术!$A:$R,15,FALSE)="武器",$E$15,0))</f>
        <v>421.59</v>
      </c>
      <c r="AG53" s="103">
        <f t="shared" si="6"/>
        <v>421.59</v>
      </c>
      <c r="AH53" s="103">
        <f>VLOOKUP($E53,武器奇术!$A:$R,3,FALSE)*(1+IF(VLOOKUP($E53,武器奇术!$A:$R,15,FALSE)="武器",$E$15,0))</f>
        <v>421.59</v>
      </c>
      <c r="AI53" s="104">
        <f>IF(($D$5+VLOOKUP($E53,武器奇术!$A:$R,13,FALSE)+IF($I$3="√",10,0)-VLOOKUP($F$7,目标属性!$A:$R,5,FALSE))&gt;0,($D$5+VLOOKUP($E53,武器奇术!$A:$R,13,FALSE)+IF($I$3="√",10,0)-VLOOKUP($F$7,目标属性!$A:$R,5,FALSE))/200,($D$5+VLOOKUP($E53,武器奇术!$A:$R,13,FALSE)+IF($I$3="√",10,0)-VLOOKUP($F$7,目标属性!$A:$R,5,FALSE))/100)</f>
        <v>0.4175</v>
      </c>
      <c r="AJ53" s="111">
        <f>$E$5+IF($G$5="烟柳",IF(VLOOKUP($E53,武器奇术!$A:$T,20,FALSE)=1,0.1,0),0)</f>
        <v>0.1</v>
      </c>
      <c r="AK53" s="102">
        <v>1</v>
      </c>
      <c r="AL53" s="103">
        <f t="shared" si="7"/>
        <v>657.3642075</v>
      </c>
      <c r="AM53" s="104">
        <f>(1-IF(VLOOKUP($E53,武器奇术!$A:$R,18,FALSE)="叶龙",1,$N53))*(1-$M53)</f>
        <v>0</v>
      </c>
      <c r="AN53" s="103">
        <f>AG53*(1+AI53)*(1+AJ53)*AK53*(1+$E$16+VLOOKUP($E53,武器奇术!$A:$R,8,FALSE))</f>
        <v>1481.698923705</v>
      </c>
      <c r="AO53" s="104">
        <f t="shared" si="8"/>
        <v>0.8703</v>
      </c>
      <c r="AP53" s="103">
        <f>AH53*(1+AI53)*(1+AJ53)*AK53*(1+$E$17+VLOOKUP($E53,武器奇术!$A:$R,10,FALSE))</f>
        <v>887.441680125</v>
      </c>
      <c r="AQ53" s="104">
        <f t="shared" si="9"/>
        <v>0.0986</v>
      </c>
      <c r="AR53" s="103">
        <f t="shared" si="10"/>
        <v>657.3642075</v>
      </c>
      <c r="AS53" s="104">
        <f t="shared" si="11"/>
        <v>0.0311</v>
      </c>
      <c r="AT53" s="112">
        <f t="shared" si="12"/>
        <v>1397.46834981404</v>
      </c>
      <c r="AU53" s="110">
        <f>$B$7*IF($G$5="撼天",1.05,1)+IF(AND(VLOOKUP($E53,武器奇术!$A:$R,15,FALSE)="武器",VLOOKUP($E53,武器奇术!$A:$R,17,FALSE)="鸣金"),$E$3*(1+$E$15),0)</f>
        <v>0</v>
      </c>
      <c r="AV53" s="102">
        <f t="shared" si="13"/>
        <v>0</v>
      </c>
      <c r="AW53" s="102">
        <f>MAX($C$7*IF($G$5="撼天",1.05,1)+IF(AND(VLOOKUP($E53,武器奇术!$A:$R,15,FALSE)="武器",VLOOKUP($E53,武器奇术!$A:$R,17,FALSE)="鸣金"),$E$3*(1+$E$15),0),AU53)</f>
        <v>0</v>
      </c>
      <c r="AX53" s="104">
        <f>IF(($D$7+IF(VLOOKUP($E53,武器奇术!$A:$R,17,FALSE)="鸣金",$D$15,0)-VLOOKUP($F$7,目标属性!$A:$R,6,FALSE))&gt;0,($D$7+IF(VLOOKUP($E53,武器奇术!$A:$R,17,FALSE)="鸣金",$D$15,0)-VLOOKUP($F$7,目标属性!$A:$R,6,FALSE))/200,($D$7+IF(VLOOKUP($E53,武器奇术!$A:$R,17,FALSE)="鸣金",$D$15,0)-VLOOKUP($F$7,目标属性!$A:$R,6,FALSE))/100)</f>
        <v>-0.24</v>
      </c>
      <c r="AY53" s="111">
        <f t="shared" si="14"/>
        <v>0</v>
      </c>
      <c r="AZ53" s="102">
        <v>1</v>
      </c>
      <c r="BA53" s="103">
        <f>AU53*IF(VLOOKUP($E53,武器奇术!$A:$R,17,FALSE)="鸣金",VLOOKUP($E53,武器奇术!$A:$R,4,FALSE),VLOOKUP($E53,武器奇术!$A:$R,2,FALSE))*(1+AX53)*(1+AY53)*AZ53</f>
        <v>0</v>
      </c>
      <c r="BB53" s="104">
        <f>(1-IF(VLOOKUP($E53,武器奇术!$A:$R,18,FALSE)="叶龙",1,$N53))*(1-$M53)</f>
        <v>0</v>
      </c>
      <c r="BC53" s="103">
        <f>AV53*IF(VLOOKUP($E53,武器奇术!$A:$R,17,FALSE)="鸣金",VLOOKUP($E53,武器奇术!$A:$R,4,FALSE),VLOOKUP($E53,武器奇术!$A:$R,2,FALSE))*(1+AX53)*(1+AY53)*AZ53*(1+$E$16+VLOOKUP($E53,武器奇术!$A:$R,8,FALSE))</f>
        <v>0</v>
      </c>
      <c r="BD53" s="104">
        <f t="shared" si="15"/>
        <v>0.8703</v>
      </c>
      <c r="BE53" s="103">
        <f>AW53*IF(VLOOKUP($E53,武器奇术!$A:$R,17,FALSE)="鸣金",VLOOKUP($E53,武器奇术!$A:$R,4,FALSE),VLOOKUP($E53,武器奇术!$A:$R,2,FALSE))*(1+AX53)*(1+AY53)*AZ53*(1+$E$17+VLOOKUP($E53,武器奇术!$A:$R,10,FALSE))</f>
        <v>0</v>
      </c>
      <c r="BF53" s="104">
        <f t="shared" si="16"/>
        <v>0.0986</v>
      </c>
      <c r="BG53" s="103">
        <f>AV53*IF(VLOOKUP($E53,武器奇术!$A:$R,17,FALSE)="鸣金",VLOOKUP($E53,武器奇术!$A:$R,4,FALSE),VLOOKUP($E53,武器奇术!$A:$R,2,FALSE))*(1+AX53)*(1+AY53)*AZ53</f>
        <v>0</v>
      </c>
      <c r="BH53" s="104">
        <f t="shared" si="17"/>
        <v>0.0311</v>
      </c>
      <c r="BI53" s="112">
        <f t="shared" si="18"/>
        <v>0</v>
      </c>
      <c r="BJ53" s="110">
        <f>$B$9*IF($G$5="撼天",1.05,1)+IF(AND(VLOOKUP($E53,武器奇术!$A:$R,15,FALSE)="武器",VLOOKUP($E53,武器奇术!$A:$R,17,FALSE)="裂石"),$E$3*(1+$E$15),0)</f>
        <v>0</v>
      </c>
      <c r="BK53" s="102">
        <f t="shared" si="19"/>
        <v>0</v>
      </c>
      <c r="BL53" s="102">
        <f>MAX($C$9*IF($G$5="撼天",1.05,1)+IF(AND(VLOOKUP($E53,武器奇术!$A:$R,15,FALSE)="武器",VLOOKUP($E53,武器奇术!$A:$R,17,FALSE)="裂石"),$E$3*(1+$E$15),0),BJ53)</f>
        <v>0</v>
      </c>
      <c r="BM53" s="104">
        <f>IF(($D$9+IF(VLOOKUP($E53,武器奇术!$A:$R,17,FALSE)="裂石",$D$15,0)-VLOOKUP($F$7,目标属性!$A:$R,6,FALSE))&gt;0,($D$9+IF(VLOOKUP($E53,武器奇术!$A:$R,17,FALSE)="裂石",$D$15,0)-VLOOKUP($F$7,目标属性!$A:$R,6,FALSE))/200,($D$9+IF(VLOOKUP($E53,武器奇术!$A:$R,17,FALSE)="裂石",$D$15,0)-VLOOKUP($F$7,目标属性!$A:$R,6,FALSE))/100)</f>
        <v>-0.24</v>
      </c>
      <c r="BN53" s="111">
        <f t="shared" si="20"/>
        <v>0</v>
      </c>
      <c r="BO53" s="102">
        <v>1</v>
      </c>
      <c r="BP53" s="103">
        <f>BJ53*IF(VLOOKUP($E53,武器奇术!$A:$R,17,FALSE)="裂石",VLOOKUP($E53,武器奇术!$A:$R,4,FALSE),VLOOKUP($E53,武器奇术!$A:$R,2,FALSE))*(1+BM53)*(1+BN53)*BO53</f>
        <v>0</v>
      </c>
      <c r="BQ53" s="104">
        <f>(1-IF(VLOOKUP($E53,武器奇术!$A:$R,18,FALSE)="叶龙",1,$N53))*(1-$M53)</f>
        <v>0</v>
      </c>
      <c r="BR53" s="103">
        <f>BK53*IF(VLOOKUP($E53,武器奇术!$A:$R,17,FALSE)="裂石",VLOOKUP($E53,武器奇术!$A:$R,4,FALSE),VLOOKUP($E53,武器奇术!$A:$R,2,FALSE))*(1+BM53)*(1+BN53)*BO53*(1+$E$16+VLOOKUP($E53,武器奇术!$A:$R,8,FALSE))</f>
        <v>0</v>
      </c>
      <c r="BS53" s="104">
        <f t="shared" si="21"/>
        <v>0.8703</v>
      </c>
      <c r="BT53" s="103">
        <f>BL53*IF(VLOOKUP($E53,武器奇术!$A:$R,17,FALSE)="裂石",VLOOKUP($E53,武器奇术!$A:$R,4,FALSE),VLOOKUP($E53,武器奇术!$A:$R,2,FALSE))*(1+BM53)*(1+BN53)*BO53*(1+$E$17+VLOOKUP($E53,武器奇术!$A:$R,10,FALSE))</f>
        <v>0</v>
      </c>
      <c r="BU53" s="104">
        <f t="shared" si="22"/>
        <v>0.0986</v>
      </c>
      <c r="BV53" s="103">
        <f>BK53*IF(VLOOKUP($E53,武器奇术!$A:$R,17,FALSE)="裂石",VLOOKUP($E53,武器奇术!$A:$R,4,FALSE),VLOOKUP($E53,武器奇术!$A:$R,2,FALSE))*(1+BM53)*(1+BN53)*BO53</f>
        <v>0</v>
      </c>
      <c r="BW53" s="104">
        <f t="shared" si="23"/>
        <v>0.0311</v>
      </c>
      <c r="BX53" s="112">
        <f t="shared" si="24"/>
        <v>0</v>
      </c>
      <c r="BY53" s="110">
        <f>$B$11*IF($G$5="撼天",1.05,1)+IF(AND(VLOOKUP($E53,武器奇术!$A:$R,15,FALSE)="武器",VLOOKUP($E53,武器奇术!$A:$R,17,FALSE)="牵丝"),$E$3*(1+$E$15),0)</f>
        <v>686.71</v>
      </c>
      <c r="BZ53" s="102">
        <f>IF(VLOOKUP($E53,武器奇术!$A:$Z,18,FALSE)="叶龙",(CA53-(BY53+CA53)*0.5)*($G$15-0.5)*2+(BY53+CA53)*0.5,(BY53+CA53)*0.5)</f>
        <v>1052.21</v>
      </c>
      <c r="CA53" s="102">
        <f>MAX($C$11*IF($G$5="撼天",1.05,1)+IF(AND(VLOOKUP($E53,武器奇术!$A:$R,15,FALSE)="武器",VLOOKUP($E53,武器奇术!$A:$R,17,FALSE)="牵丝"),$E$3*(1+$E$15),0),BY53)</f>
        <v>1417.71</v>
      </c>
      <c r="CB53" s="104">
        <f>IF(($D$11+IF(VLOOKUP($E53,武器奇术!$A:$R,17,FALSE)="牵丝",$D$15,0)-VLOOKUP($F$7,目标属性!$A:$R,6,FALSE))&gt;0,($D$11+IF(VLOOKUP($E53,武器奇术!$A:$R,17,FALSE)="牵丝",$D$15,0)-VLOOKUP($F$7,目标属性!$A:$R,6,FALSE))/200,($D$11+IF(VLOOKUP($E53,武器奇术!$A:$R,17,FALSE)="牵丝",$D$15,0)-VLOOKUP($F$7,目标属性!$A:$R,6,FALSE))/100)</f>
        <v>0.028</v>
      </c>
      <c r="CC53" s="111">
        <f>$E$11+IF($G$5="烟柳",IF(VLOOKUP($E53,武器奇术!$A:$T,20,FALSE)=1,0.1,0),0)</f>
        <v>0.248</v>
      </c>
      <c r="CD53" s="102">
        <v>1</v>
      </c>
      <c r="CE53" s="103">
        <f>BY53*IF(VLOOKUP($E53,武器奇术!$A:$R,17,FALSE)="牵丝",VLOOKUP($E53,武器奇术!$A:$R,4,FALSE),VLOOKUP($E53,武器奇术!$A:$R,2,FALSE))*(1+CB53)*(1+CC53)*CD53</f>
        <v>1552.67083453872</v>
      </c>
      <c r="CF53" s="104">
        <f>(1-IF(VLOOKUP($E53,武器奇术!$A:$R,18,FALSE)="叶龙",1,$N53))*(1-$M53)</f>
        <v>0</v>
      </c>
      <c r="CG53" s="124">
        <f>BZ53*IF(VLOOKUP($E53,武器奇术!$A:$R,17,FALSE)="牵丝",VLOOKUP($E53,武器奇术!$A:$R,4,FALSE),VLOOKUP($E53,武器奇术!$A:$R,2,FALSE))*(1+CB53)*(1+CC53)*CD53*(1+$E$16+VLOOKUP($E53,武器奇术!$A:$R,8,FALSE))</f>
        <v>5362.43894138386</v>
      </c>
      <c r="CH53" s="104">
        <f t="shared" si="25"/>
        <v>0.8703</v>
      </c>
      <c r="CI53" s="103">
        <f>CA53*IF(VLOOKUP($E53,武器奇术!$A:$R,17,FALSE)="牵丝",VLOOKUP($E53,武器奇术!$A:$R,4,FALSE),VLOOKUP($E53,武器奇术!$A:$R,2,FALSE))*(1+CB53)*(1+CC53)*CD53*(1+$E$17+VLOOKUP($E53,武器奇术!$A:$R,10,FALSE))</f>
        <v>4327.40153474647</v>
      </c>
      <c r="CJ53" s="104">
        <f t="shared" si="26"/>
        <v>0.0986</v>
      </c>
      <c r="CK53" s="124">
        <f>BZ53*IF(VLOOKUP($E53,武器奇术!$A:$R,17,FALSE)="牵丝",VLOOKUP($E53,武器奇术!$A:$R,4,FALSE),VLOOKUP($E53,武器奇术!$A:$R,2,FALSE))*(1+CB53)*(1+CC53)*CD53</f>
        <v>2379.07672643472</v>
      </c>
      <c r="CL53" s="104">
        <f t="shared" si="27"/>
        <v>0.0311</v>
      </c>
      <c r="CM53" s="112">
        <f t="shared" si="28"/>
        <v>5167.60168820449</v>
      </c>
      <c r="CN53" s="110">
        <f>$B$13*IF($G$5="撼天",1.05,1)+IF(AND(VLOOKUP($E53,武器奇术!$A:$R,15,FALSE)="武器",VLOOKUP($E53,武器奇术!$A:$R,17,FALSE)="破竹"),$E$3*(1+$E$15),0)</f>
        <v>0</v>
      </c>
      <c r="CO53" s="102">
        <f t="shared" si="29"/>
        <v>0</v>
      </c>
      <c r="CP53" s="102">
        <f>MAX($C$13*IF($G$5="撼天",1.05,1)+IF(AND(VLOOKUP($E53,武器奇术!$A:$R,15,FALSE)="武器",VLOOKUP($E53,武器奇术!$A:$R,17,FALSE)="破竹"),$E$3*(1+$E$15),0),CN53)</f>
        <v>0</v>
      </c>
      <c r="CQ53" s="104">
        <f>IF(($D$13+IF(VLOOKUP($E53,武器奇术!$A:$R,17,FALSE)="破竹",$D$15,0)-VLOOKUP($F$7,目标属性!$A:$R,6,FALSE))&gt;0,($D$13+IF(VLOOKUP($E53,武器奇术!$A:$R,17,FALSE)="破竹",$D$15,0)-VLOOKUP($F$7,目标属性!$A:$R,6,FALSE))/200,($D$13+IF(VLOOKUP($E53,武器奇术!$A:$R,17,FALSE)="破竹",$D$15,0)-VLOOKUP($F$7,目标属性!$A:$R,6,FALSE))/100)</f>
        <v>-0.24</v>
      </c>
      <c r="CR53" s="111">
        <f t="shared" si="30"/>
        <v>0</v>
      </c>
      <c r="CS53" s="102">
        <v>1</v>
      </c>
      <c r="CT53" s="103">
        <f>CN53*IF(VLOOKUP($E53,武器奇术!$A:$R,17,FALSE)="破竹",VLOOKUP($E53,武器奇术!$A:$R,4,FALSE),VLOOKUP($E53,武器奇术!$A:$R,2,FALSE))*(1+CQ53)*(1+CR53)*CS53</f>
        <v>0</v>
      </c>
      <c r="CU53" s="104">
        <f>(1-IF(VLOOKUP($E53,武器奇术!$A:$R,18,FALSE)="叶龙",1,$N53))*(1-$M53)</f>
        <v>0</v>
      </c>
      <c r="CV53" s="103">
        <f>CO53*IF(VLOOKUP($E53,武器奇术!$A:$R,17,FALSE)="破竹",VLOOKUP($E53,武器奇术!$A:$R,4,FALSE),VLOOKUP($E53,武器奇术!$A:$R,2,FALSE))*(1+CQ53)*(1+CR53)*CS53*(1+$E$16+VLOOKUP($E53,武器奇术!$A:$R,8,FALSE))</f>
        <v>0</v>
      </c>
      <c r="CW53" s="104">
        <f t="shared" si="31"/>
        <v>0.8703</v>
      </c>
      <c r="CX53" s="103">
        <f>CP53*IF(VLOOKUP($E53,武器奇术!$A:$R,17,FALSE)="破竹",VLOOKUP($E53,武器奇术!$A:$R,4,FALSE),VLOOKUP($E53,武器奇术!$A:$R,2,FALSE))*(1+CQ53)*(1+CR53)*CS53*(1+$E$17+VLOOKUP($E53,武器奇术!$A:$R,10,FALSE))</f>
        <v>0</v>
      </c>
      <c r="CY53" s="104">
        <f t="shared" si="32"/>
        <v>0.0986</v>
      </c>
      <c r="CZ53" s="103">
        <f>CO53*IF(VLOOKUP($E53,武器奇术!$A:$R,17,FALSE)="破竹",VLOOKUP($E53,武器奇术!$A:$R,4,FALSE),VLOOKUP($E53,武器奇术!$A:$R,2,FALSE))*(1+CQ53)*(1+CR53)*CS53</f>
        <v>0</v>
      </c>
      <c r="DA53" s="104">
        <f t="shared" si="33"/>
        <v>0.0311</v>
      </c>
      <c r="DB53" s="112">
        <f t="shared" si="34"/>
        <v>0</v>
      </c>
      <c r="DC53" s="110">
        <f t="shared" si="35"/>
        <v>66</v>
      </c>
      <c r="DD53" s="102">
        <f t="shared" si="36"/>
        <v>125.8</v>
      </c>
      <c r="DE53" s="102">
        <f t="shared" si="37"/>
        <v>185.6</v>
      </c>
      <c r="DF53" s="104">
        <f>IF((IF(VLOOKUP($E53,武器奇术!$A:$R,17,FALSE)="鸣金",$D$7,0)+IF(VLOOKUP($E53,武器奇术!$A:$R,17,FALSE)="裂石",$D$9,0)+IF(VLOOKUP($E53,武器奇术!$A:$R,17,FALSE)="牵丝",$D$11,0)+IF(VLOOKUP($E53,武器奇术!$A:$R,17,FALSE)="破竹",$D$13,0)+$D$15-VLOOKUP($F$7,目标属性!$A:$R,6,FALSE))&gt;0,(IF(VLOOKUP($E53,武器奇术!$A:$R,17,FALSE)="鸣金",$D$7,0)+IF(VLOOKUP($E53,武器奇术!$A:$R,17,FALSE)="裂石",$D$9,0)+IF(VLOOKUP($E53,武器奇术!$A:$R,17,FALSE)="牵丝",$D$11,0)+IF(VLOOKUP($E53,武器奇术!$A:$R,17,FALSE)="破竹",$D$13,0)+$D$15-VLOOKUP($F$7,目标属性!$A:$R,6,FALSE))/200,(IF(VLOOKUP($E53,武器奇术!$A:$R,17,FALSE)="鸣金",$D$7,0)+IF(VLOOKUP($E53,武器奇术!$A:$R,17,FALSE)="裂石",$D$9,0)+IF(VLOOKUP($E53,武器奇术!$A:$R,17,FALSE)="牵丝",$D$11,0)+IF(VLOOKUP($E53,武器奇术!$A:$R,17,FALSE)="破竹",$D$13,0)+$D$15-VLOOKUP($F$7,目标属性!$A:$R,6,FALSE))/100)</f>
        <v>0.028</v>
      </c>
      <c r="DG53" s="111">
        <f>$E$11+IF($G$5="烟柳",IF(VLOOKUP($E53,武器奇术!$A:$T,20,FALSE)=1,0.1,0),0)</f>
        <v>0.248</v>
      </c>
      <c r="DH53" s="102">
        <v>1</v>
      </c>
      <c r="DI53" s="103">
        <f>DC53*IF(VLOOKUP($E53,武器奇术!$A:$R,17,FALSE)="牵丝",VLOOKUP($E53,武器奇术!$A:$R,4,FALSE),VLOOKUP($E53,武器奇术!$A:$R,2,FALSE))*(1+DF53)*(1+DG53)*DH53</f>
        <v>149.227876512</v>
      </c>
      <c r="DJ53" s="104">
        <f>(1-IF(VLOOKUP($E53,武器奇术!$A:$R,18,FALSE)="叶龙",1,$N53))*(1-$M53)</f>
        <v>0</v>
      </c>
      <c r="DK53" s="124">
        <f>DD53*IF(VLOOKUP($E53,武器奇术!$A:$R,17,FALSE)="牵丝",VLOOKUP($E53,武器奇术!$A:$R,4,FALSE),VLOOKUP($E53,武器奇术!$A:$R,2,FALSE))*(1+DF53)*(1+DG53)*DH53*(1+$E$16+VLOOKUP($E53,武器奇术!$A:$R,8,FALSE))</f>
        <v>641.121847184582</v>
      </c>
      <c r="DL53" s="104">
        <f t="shared" si="38"/>
        <v>0.8703</v>
      </c>
      <c r="DM53" s="103">
        <f>DE53*IF(VLOOKUP($E53,武器奇术!$A:$R,17,FALSE)="牵丝",VLOOKUP($E53,武器奇术!$A:$R,4,FALSE),VLOOKUP($E53,武器奇术!$A:$R,2,FALSE))*(1+DF53)*(1+DG53)*DH53*(1+$E$17+VLOOKUP($E53,武器奇术!$A:$R,10,FALSE))</f>
        <v>566.52328392192</v>
      </c>
      <c r="DN53" s="104">
        <f t="shared" si="39"/>
        <v>0.0986</v>
      </c>
      <c r="DO53" s="124">
        <f>DD53*IF(VLOOKUP($E53,武器奇术!$A:$R,17,FALSE)="牵丝",VLOOKUP($E53,武器奇术!$A:$R,4,FALSE),VLOOKUP($E53,武器奇术!$A:$R,2,FALSE))*(1+DF53)*(1+DG53)*DH53</f>
        <v>284.4373767456</v>
      </c>
      <c r="DP53" s="104">
        <f t="shared" si="40"/>
        <v>0.0311</v>
      </c>
      <c r="DQ53" s="112">
        <f t="shared" si="41"/>
        <v>622.673541816231</v>
      </c>
    </row>
    <row r="54" customFormat="1" customHeight="1" spans="1:121">
      <c r="A54" s="139"/>
      <c r="B54" s="139"/>
      <c r="C54" s="139"/>
      <c r="D54" s="139"/>
      <c r="E54" s="115" t="str">
        <f>期望!E54</f>
        <v>伞Q(连中风墙大纵气竭)</v>
      </c>
      <c r="F54" s="116">
        <f>期望!F54</f>
        <v>1</v>
      </c>
      <c r="G54" s="117"/>
      <c r="H54" s="103">
        <f>IF(VLOOKUP($E54,武器奇术!$A:$R,18,FALSE)="天工",AE54,(AE54+AT54+BI54+BX54+CM54+DB54+DQ54))*(1+J54)*F54*K54*(1+G54)</f>
        <v>89809.5296030743</v>
      </c>
      <c r="I54" s="104">
        <f t="shared" si="0"/>
        <v>0.0103505445031181</v>
      </c>
      <c r="J54" s="138">
        <f>$F$3+VLOOKUP($E54,武器奇术!$A:$R,12,FALSE)+VLOOKUP($E54,武器奇术!$A:$R,14,FALSE)*$G$3+$P54</f>
        <v>1.203</v>
      </c>
      <c r="K54" s="105">
        <f>VLOOKUP($E54,武器奇术!$A:$R,11,FALSE)</f>
        <v>1</v>
      </c>
      <c r="L54" s="119">
        <f>IF(VLOOKUP($E54,武器奇术!$A:$R,15,FALSE)="天工",0%,IF($C$17+VLOOKUP($E54,武器奇术!$A:$R,7,FALSE)&gt;80%,80%,$C$17+VLOOKUP($E54,武器奇术!$A:$R,7,FALSE))+IF($C$19&gt;20%,20%,$C$19))</f>
        <v>0.8703</v>
      </c>
      <c r="M54" s="120">
        <f>IF(VLOOKUP($E54,武器奇术!$A:$R,15,FALSE)="天工",0%,IF($C$18+VLOOKUP($E54,武器奇术!$A:$R,9,FALSE)&gt;40%,40%,$C$18+VLOOKUP($E54,武器奇术!$A:$R,9,FALSE))+IF($C$20&gt;10%,10%,$C$20))</f>
        <v>0.0986</v>
      </c>
      <c r="N54" s="121">
        <f>IF(VLOOKUP($E54,武器奇术!$A:$R,15,FALSE)="天工",100%,MIN($C$16,1))</f>
        <v>1</v>
      </c>
      <c r="O54" s="122" t="str">
        <f>VLOOKUP($E54,武器奇术!$A:$R,16,FALSE)</f>
        <v>伞</v>
      </c>
      <c r="P54" s="123">
        <f t="shared" si="1"/>
        <v>0.17</v>
      </c>
      <c r="Q54" s="110">
        <f>$B$5*(1+VLOOKUP($E54,武器奇术!$A:$R,5,FALSE))*(1+VLOOKUP($E54,武器奇术!$A:$S,19,FALSE)+IF($G$5="飞隼",0.1,0)+IF($G$5="撼天",0.05,0))-$F$9+IF($J$5="√",160,0)</f>
        <v>3324.7</v>
      </c>
      <c r="R54" s="102">
        <f>IF(VLOOKUP($E54,武器奇术!$A:$Z,18,FALSE)="叶龙",(S54-(Q54+S54)*0.5)*($G$15-0.5)*2+(Q54+S54)*0.5,(Q54+S54)*0.5)</f>
        <v>3404.7</v>
      </c>
      <c r="S54" s="102">
        <f>MAX($C$5,$B$5)*(1+VLOOKUP($E54,武器奇术!$A:$R,6,FALSE))*(1+VLOOKUP($E54,武器奇术!$A:$S,19,FALSE)+IF($G$5="飞隼",0.1,0)+IF($G$5="撼天",0.05,0))-$F$9+IF($J$5="√",320,0)</f>
        <v>3484.7</v>
      </c>
      <c r="T54" s="104">
        <f>IF(($D$5+VLOOKUP($E54,武器奇术!$A:$R,13,FALSE)+IF($I$3="√",10,0)-VLOOKUP($F$7,目标属性!$A:$R,5,FALSE))&gt;0,($D$5+VLOOKUP($E54,武器奇术!$A:$R,13,FALSE)+IF($I$3="√",10,0)-VLOOKUP($F$7,目标属性!$A:$R,5,FALSE))/200,($D$5+VLOOKUP($E54,武器奇术!$A:$R,13,FALSE)+IF($I$3="√",10,0)-VLOOKUP($F$7,目标属性!$A:$R,5,FALSE))/100)</f>
        <v>0.4175</v>
      </c>
      <c r="U54" s="111">
        <f>$E$5+IF($G$5="烟柳",IF(VLOOKUP($E54,武器奇术!$A:$T,20,FALSE)=1,0.1,0),0)</f>
        <v>0.1</v>
      </c>
      <c r="V54" s="102">
        <v>1</v>
      </c>
      <c r="W54" s="103">
        <f>Q54*VLOOKUP($E54,武器奇术!$A:$R,2,FALSE)*(1+T54)*(1+U54)*V54</f>
        <v>12129.0948199575</v>
      </c>
      <c r="X54" s="104">
        <f>(1-IF(VLOOKUP($E54,武器奇术!$A:$R,18,FALSE)="叶龙",1,$N54))*(1-$M54)</f>
        <v>0</v>
      </c>
      <c r="Y54" s="103">
        <f>R54*VLOOKUP($E54,武器奇术!$A:$R,2,FALSE)*(1+T54)*(1+U54)*V54*(1+$E$16+VLOOKUP($E54,武器奇术!$A:$R,8,FALSE))</f>
        <v>27996.8190413962</v>
      </c>
      <c r="Z54" s="104">
        <f t="shared" si="2"/>
        <v>0.8703</v>
      </c>
      <c r="AA54" s="103">
        <f>S54*VLOOKUP($E54,武器奇术!$A:$R,2,FALSE)*(1+T54)*(1+U54)*V54*(1+$E$17+VLOOKUP($E54,武器奇术!$A:$R,10,FALSE))</f>
        <v>17162.2842875426</v>
      </c>
      <c r="AB54" s="104">
        <f t="shared" si="3"/>
        <v>0.0986</v>
      </c>
      <c r="AC54" s="103">
        <f>R54*VLOOKUP($E54,武器奇术!$A:$R,2,FALSE)*(1+T54)*(1+U54)*V54</f>
        <v>12420.9489979575</v>
      </c>
      <c r="AD54" s="104">
        <f t="shared" si="4"/>
        <v>0.0311</v>
      </c>
      <c r="AE54" s="112">
        <f t="shared" si="5"/>
        <v>26444.1243563153</v>
      </c>
      <c r="AF54" s="113">
        <f>VLOOKUP($E54,武器奇术!$A:$R,3,FALSE)*(1+IF(VLOOKUP($E54,武器奇术!$A:$R,15,FALSE)="武器",$E$15,0))</f>
        <v>842.4</v>
      </c>
      <c r="AG54" s="103">
        <f t="shared" si="6"/>
        <v>842.4</v>
      </c>
      <c r="AH54" s="103">
        <f>VLOOKUP($E54,武器奇术!$A:$R,3,FALSE)*(1+IF(VLOOKUP($E54,武器奇术!$A:$R,15,FALSE)="武器",$E$15,0))</f>
        <v>842.4</v>
      </c>
      <c r="AI54" s="104">
        <f>IF(($D$5+VLOOKUP($E54,武器奇术!$A:$R,13,FALSE)+IF($I$3="√",10,0)-VLOOKUP($F$7,目标属性!$A:$R,5,FALSE))&gt;0,($D$5+VLOOKUP($E54,武器奇术!$A:$R,13,FALSE)+IF($I$3="√",10,0)-VLOOKUP($F$7,目标属性!$A:$R,5,FALSE))/200,($D$5+VLOOKUP($E54,武器奇术!$A:$R,13,FALSE)+IF($I$3="√",10,0)-VLOOKUP($F$7,目标属性!$A:$R,5,FALSE))/100)</f>
        <v>0.4175</v>
      </c>
      <c r="AJ54" s="111">
        <f>$E$5+IF($G$5="烟柳",IF(VLOOKUP($E54,武器奇术!$A:$T,20,FALSE)=1,0.1,0),0)</f>
        <v>0.1</v>
      </c>
      <c r="AK54" s="102">
        <v>1</v>
      </c>
      <c r="AL54" s="103">
        <f t="shared" si="7"/>
        <v>1313.5122</v>
      </c>
      <c r="AM54" s="104">
        <f>(1-IF(VLOOKUP($E54,武器奇术!$A:$R,18,FALSE)="叶龙",1,$N54))*(1-$M54)</f>
        <v>0</v>
      </c>
      <c r="AN54" s="103">
        <f>AG54*(1+AI54)*(1+AJ54)*AK54*(1+$E$16+VLOOKUP($E54,武器奇术!$A:$R,8,FALSE))</f>
        <v>2960.6564988</v>
      </c>
      <c r="AO54" s="104">
        <f t="shared" si="8"/>
        <v>0.8703</v>
      </c>
      <c r="AP54" s="103">
        <f>AH54*(1+AI54)*(1+AJ54)*AK54*(1+$E$17+VLOOKUP($E54,武器奇术!$A:$R,10,FALSE))</f>
        <v>1773.24147</v>
      </c>
      <c r="AQ54" s="104">
        <f t="shared" si="9"/>
        <v>0.0986</v>
      </c>
      <c r="AR54" s="103">
        <f t="shared" si="10"/>
        <v>1313.5122</v>
      </c>
      <c r="AS54" s="104">
        <f t="shared" si="11"/>
        <v>0.0311</v>
      </c>
      <c r="AT54" s="112">
        <f t="shared" si="12"/>
        <v>2792.35118926764</v>
      </c>
      <c r="AU54" s="110">
        <f>$B$7*IF($G$5="撼天",1.05,1)+IF(AND(VLOOKUP($E54,武器奇术!$A:$R,15,FALSE)="武器",VLOOKUP($E54,武器奇术!$A:$R,17,FALSE)="鸣金"),$E$3*(1+$E$15),0)</f>
        <v>0</v>
      </c>
      <c r="AV54" s="102">
        <f t="shared" si="13"/>
        <v>0</v>
      </c>
      <c r="AW54" s="102">
        <f>MAX($C$7*IF($G$5="撼天",1.05,1)+IF(AND(VLOOKUP($E54,武器奇术!$A:$R,15,FALSE)="武器",VLOOKUP($E54,武器奇术!$A:$R,17,FALSE)="鸣金"),$E$3*(1+$E$15),0),AU54)</f>
        <v>0</v>
      </c>
      <c r="AX54" s="104">
        <f>IF(($D$7+IF(VLOOKUP($E54,武器奇术!$A:$R,17,FALSE)="鸣金",$D$15,0)-VLOOKUP($F$7,目标属性!$A:$R,6,FALSE))&gt;0,($D$7+IF(VLOOKUP($E54,武器奇术!$A:$R,17,FALSE)="鸣金",$D$15,0)-VLOOKUP($F$7,目标属性!$A:$R,6,FALSE))/200,($D$7+IF(VLOOKUP($E54,武器奇术!$A:$R,17,FALSE)="鸣金",$D$15,0)-VLOOKUP($F$7,目标属性!$A:$R,6,FALSE))/100)</f>
        <v>-0.24</v>
      </c>
      <c r="AY54" s="111">
        <f t="shared" si="14"/>
        <v>0</v>
      </c>
      <c r="AZ54" s="102">
        <v>1</v>
      </c>
      <c r="BA54" s="103">
        <f>AU54*IF(VLOOKUP($E54,武器奇术!$A:$R,17,FALSE)="鸣金",VLOOKUP($E54,武器奇术!$A:$R,4,FALSE),VLOOKUP($E54,武器奇术!$A:$R,2,FALSE))*(1+AX54)*(1+AY54)*AZ54</f>
        <v>0</v>
      </c>
      <c r="BB54" s="104">
        <f>(1-IF(VLOOKUP($E54,武器奇术!$A:$R,18,FALSE)="叶龙",1,$N54))*(1-$M54)</f>
        <v>0</v>
      </c>
      <c r="BC54" s="103">
        <f>AV54*IF(VLOOKUP($E54,武器奇术!$A:$R,17,FALSE)="鸣金",VLOOKUP($E54,武器奇术!$A:$R,4,FALSE),VLOOKUP($E54,武器奇术!$A:$R,2,FALSE))*(1+AX54)*(1+AY54)*AZ54*(1+$E$16+VLOOKUP($E54,武器奇术!$A:$R,8,FALSE))</f>
        <v>0</v>
      </c>
      <c r="BD54" s="104">
        <f t="shared" si="15"/>
        <v>0.8703</v>
      </c>
      <c r="BE54" s="103">
        <f>AW54*IF(VLOOKUP($E54,武器奇术!$A:$R,17,FALSE)="鸣金",VLOOKUP($E54,武器奇术!$A:$R,4,FALSE),VLOOKUP($E54,武器奇术!$A:$R,2,FALSE))*(1+AX54)*(1+AY54)*AZ54*(1+$E$17+VLOOKUP($E54,武器奇术!$A:$R,10,FALSE))</f>
        <v>0</v>
      </c>
      <c r="BF54" s="104">
        <f t="shared" si="16"/>
        <v>0.0986</v>
      </c>
      <c r="BG54" s="103">
        <f>AV54*IF(VLOOKUP($E54,武器奇术!$A:$R,17,FALSE)="鸣金",VLOOKUP($E54,武器奇术!$A:$R,4,FALSE),VLOOKUP($E54,武器奇术!$A:$R,2,FALSE))*(1+AX54)*(1+AY54)*AZ54</f>
        <v>0</v>
      </c>
      <c r="BH54" s="104">
        <f t="shared" si="17"/>
        <v>0.0311</v>
      </c>
      <c r="BI54" s="112">
        <f t="shared" si="18"/>
        <v>0</v>
      </c>
      <c r="BJ54" s="110">
        <f>$B$9*IF($G$5="撼天",1.05,1)+IF(AND(VLOOKUP($E54,武器奇术!$A:$R,15,FALSE)="武器",VLOOKUP($E54,武器奇术!$A:$R,17,FALSE)="裂石"),$E$3*(1+$E$15),0)</f>
        <v>0</v>
      </c>
      <c r="BK54" s="102">
        <f t="shared" si="19"/>
        <v>0</v>
      </c>
      <c r="BL54" s="102">
        <f>MAX($C$9*IF($G$5="撼天",1.05,1)+IF(AND(VLOOKUP($E54,武器奇术!$A:$R,15,FALSE)="武器",VLOOKUP($E54,武器奇术!$A:$R,17,FALSE)="裂石"),$E$3*(1+$E$15),0),BJ54)</f>
        <v>0</v>
      </c>
      <c r="BM54" s="104">
        <f>IF(($D$9+IF(VLOOKUP($E54,武器奇术!$A:$R,17,FALSE)="裂石",$D$15,0)-VLOOKUP($F$7,目标属性!$A:$R,6,FALSE))&gt;0,($D$9+IF(VLOOKUP($E54,武器奇术!$A:$R,17,FALSE)="裂石",$D$15,0)-VLOOKUP($F$7,目标属性!$A:$R,6,FALSE))/200,($D$9+IF(VLOOKUP($E54,武器奇术!$A:$R,17,FALSE)="裂石",$D$15,0)-VLOOKUP($F$7,目标属性!$A:$R,6,FALSE))/100)</f>
        <v>-0.24</v>
      </c>
      <c r="BN54" s="111">
        <f t="shared" si="20"/>
        <v>0</v>
      </c>
      <c r="BO54" s="102">
        <v>1</v>
      </c>
      <c r="BP54" s="103">
        <f>BJ54*IF(VLOOKUP($E54,武器奇术!$A:$R,17,FALSE)="裂石",VLOOKUP($E54,武器奇术!$A:$R,4,FALSE),VLOOKUP($E54,武器奇术!$A:$R,2,FALSE))*(1+BM54)*(1+BN54)*BO54</f>
        <v>0</v>
      </c>
      <c r="BQ54" s="104">
        <f>(1-IF(VLOOKUP($E54,武器奇术!$A:$R,18,FALSE)="叶龙",1,$N54))*(1-$M54)</f>
        <v>0</v>
      </c>
      <c r="BR54" s="103">
        <f>BK54*IF(VLOOKUP($E54,武器奇术!$A:$R,17,FALSE)="裂石",VLOOKUP($E54,武器奇术!$A:$R,4,FALSE),VLOOKUP($E54,武器奇术!$A:$R,2,FALSE))*(1+BM54)*(1+BN54)*BO54*(1+$E$16+VLOOKUP($E54,武器奇术!$A:$R,8,FALSE))</f>
        <v>0</v>
      </c>
      <c r="BS54" s="104">
        <f t="shared" si="21"/>
        <v>0.8703</v>
      </c>
      <c r="BT54" s="103">
        <f>BL54*IF(VLOOKUP($E54,武器奇术!$A:$R,17,FALSE)="裂石",VLOOKUP($E54,武器奇术!$A:$R,4,FALSE),VLOOKUP($E54,武器奇术!$A:$R,2,FALSE))*(1+BM54)*(1+BN54)*BO54*(1+$E$17+VLOOKUP($E54,武器奇术!$A:$R,10,FALSE))</f>
        <v>0</v>
      </c>
      <c r="BU54" s="104">
        <f t="shared" si="22"/>
        <v>0.0986</v>
      </c>
      <c r="BV54" s="103">
        <f>BK54*IF(VLOOKUP($E54,武器奇术!$A:$R,17,FALSE)="裂石",VLOOKUP($E54,武器奇术!$A:$R,4,FALSE),VLOOKUP($E54,武器奇术!$A:$R,2,FALSE))*(1+BM54)*(1+BN54)*BO54</f>
        <v>0</v>
      </c>
      <c r="BW54" s="104">
        <f t="shared" si="23"/>
        <v>0.0311</v>
      </c>
      <c r="BX54" s="112">
        <f t="shared" si="24"/>
        <v>0</v>
      </c>
      <c r="BY54" s="110">
        <f>$B$11*IF($G$5="撼天",1.05,1)+IF(AND(VLOOKUP($E54,武器奇术!$A:$R,15,FALSE)="武器",VLOOKUP($E54,武器奇术!$A:$R,17,FALSE)="牵丝"),$E$3*(1+$E$15),0)</f>
        <v>686.71</v>
      </c>
      <c r="BZ54" s="102">
        <f>IF(VLOOKUP($E54,武器奇术!$A:$Z,18,FALSE)="叶龙",(CA54-(BY54+CA54)*0.5)*($G$15-0.5)*2+(BY54+CA54)*0.5,(BY54+CA54)*0.5)</f>
        <v>1052.21</v>
      </c>
      <c r="CA54" s="102">
        <f>MAX($C$11*IF($G$5="撼天",1.05,1)+IF(AND(VLOOKUP($E54,武器奇术!$A:$R,15,FALSE)="武器",VLOOKUP($E54,武器奇术!$A:$R,17,FALSE)="牵丝"),$E$3*(1+$E$15),0),BY54)</f>
        <v>1417.71</v>
      </c>
      <c r="CB54" s="104">
        <f>IF(($D$11+IF(VLOOKUP($E54,武器奇术!$A:$R,17,FALSE)="牵丝",$D$15,0)-VLOOKUP($F$7,目标属性!$A:$R,6,FALSE))&gt;0,($D$11+IF(VLOOKUP($E54,武器奇术!$A:$R,17,FALSE)="牵丝",$D$15,0)-VLOOKUP($F$7,目标属性!$A:$R,6,FALSE))/200,($D$11+IF(VLOOKUP($E54,武器奇术!$A:$R,17,FALSE)="牵丝",$D$15,0)-VLOOKUP($F$7,目标属性!$A:$R,6,FALSE))/100)</f>
        <v>0.028</v>
      </c>
      <c r="CC54" s="111">
        <f>$E$11+IF($G$5="烟柳",IF(VLOOKUP($E54,武器奇术!$A:$T,20,FALSE)=1,0.1,0),0)</f>
        <v>0.248</v>
      </c>
      <c r="CD54" s="102">
        <v>1</v>
      </c>
      <c r="CE54" s="103">
        <f>BY54*IF(VLOOKUP($E54,武器奇术!$A:$R,17,FALSE)="牵丝",VLOOKUP($E54,武器奇术!$A:$R,4,FALSE),VLOOKUP($E54,武器奇术!$A:$R,2,FALSE))*(1+CB54)*(1+CC54)*CD54</f>
        <v>3091.90625934528</v>
      </c>
      <c r="CF54" s="104">
        <f>(1-IF(VLOOKUP($E54,武器奇术!$A:$R,18,FALSE)="叶龙",1,$N54))*(1-$M54)</f>
        <v>0</v>
      </c>
      <c r="CG54" s="124">
        <f>BZ54*IF(VLOOKUP($E54,武器奇术!$A:$R,17,FALSE)="牵丝",VLOOKUP($E54,武器奇术!$A:$R,4,FALSE),VLOOKUP($E54,武器奇术!$A:$R,2,FALSE))*(1+CB54)*(1+CC54)*CD54*(1+$E$16+VLOOKUP($E54,武器奇术!$A:$R,8,FALSE))</f>
        <v>10678.4761840055</v>
      </c>
      <c r="CH54" s="104">
        <f t="shared" si="25"/>
        <v>0.8703</v>
      </c>
      <c r="CI54" s="103">
        <f>CA54*IF(VLOOKUP($E54,武器奇术!$A:$R,17,FALSE)="牵丝",VLOOKUP($E54,武器奇术!$A:$R,4,FALSE),VLOOKUP($E54,武器奇术!$A:$R,2,FALSE))*(1+CB54)*(1+CC54)*CD54*(1+$E$17+VLOOKUP($E54,武器奇术!$A:$R,10,FALSE))</f>
        <v>8617.35764873693</v>
      </c>
      <c r="CJ54" s="104">
        <f t="shared" si="26"/>
        <v>0.0986</v>
      </c>
      <c r="CK54" s="124">
        <f>BZ54*IF(VLOOKUP($E54,武器奇术!$A:$R,17,FALSE)="牵丝",VLOOKUP($E54,武器奇术!$A:$R,4,FALSE),VLOOKUP($E54,武器奇术!$A:$R,2,FALSE))*(1+CB54)*(1+CC54)*CD54</f>
        <v>4737.56707364928</v>
      </c>
      <c r="CL54" s="104">
        <f t="shared" si="27"/>
        <v>0.0311</v>
      </c>
      <c r="CM54" s="112">
        <f t="shared" si="28"/>
        <v>10290.4876230959</v>
      </c>
      <c r="CN54" s="110">
        <f>$B$13*IF($G$5="撼天",1.05,1)+IF(AND(VLOOKUP($E54,武器奇术!$A:$R,15,FALSE)="武器",VLOOKUP($E54,武器奇术!$A:$R,17,FALSE)="破竹"),$E$3*(1+$E$15),0)</f>
        <v>0</v>
      </c>
      <c r="CO54" s="102">
        <f t="shared" si="29"/>
        <v>0</v>
      </c>
      <c r="CP54" s="102">
        <f>MAX($C$13*IF($G$5="撼天",1.05,1)+IF(AND(VLOOKUP($E54,武器奇术!$A:$R,15,FALSE)="武器",VLOOKUP($E54,武器奇术!$A:$R,17,FALSE)="破竹"),$E$3*(1+$E$15),0),CN54)</f>
        <v>0</v>
      </c>
      <c r="CQ54" s="104">
        <f>IF(($D$13+IF(VLOOKUP($E54,武器奇术!$A:$R,17,FALSE)="破竹",$D$15,0)-VLOOKUP($F$7,目标属性!$A:$R,6,FALSE))&gt;0,($D$13+IF(VLOOKUP($E54,武器奇术!$A:$R,17,FALSE)="破竹",$D$15,0)-VLOOKUP($F$7,目标属性!$A:$R,6,FALSE))/200,($D$13+IF(VLOOKUP($E54,武器奇术!$A:$R,17,FALSE)="破竹",$D$15,0)-VLOOKUP($F$7,目标属性!$A:$R,6,FALSE))/100)</f>
        <v>-0.24</v>
      </c>
      <c r="CR54" s="111">
        <f t="shared" si="30"/>
        <v>0</v>
      </c>
      <c r="CS54" s="102">
        <v>1</v>
      </c>
      <c r="CT54" s="103">
        <f>CN54*IF(VLOOKUP($E54,武器奇术!$A:$R,17,FALSE)="破竹",VLOOKUP($E54,武器奇术!$A:$R,4,FALSE),VLOOKUP($E54,武器奇术!$A:$R,2,FALSE))*(1+CQ54)*(1+CR54)*CS54</f>
        <v>0</v>
      </c>
      <c r="CU54" s="104">
        <f>(1-IF(VLOOKUP($E54,武器奇术!$A:$R,18,FALSE)="叶龙",1,$N54))*(1-$M54)</f>
        <v>0</v>
      </c>
      <c r="CV54" s="103">
        <f>CO54*IF(VLOOKUP($E54,武器奇术!$A:$R,17,FALSE)="破竹",VLOOKUP($E54,武器奇术!$A:$R,4,FALSE),VLOOKUP($E54,武器奇术!$A:$R,2,FALSE))*(1+CQ54)*(1+CR54)*CS54*(1+$E$16+VLOOKUP($E54,武器奇术!$A:$R,8,FALSE))</f>
        <v>0</v>
      </c>
      <c r="CW54" s="104">
        <f t="shared" si="31"/>
        <v>0.8703</v>
      </c>
      <c r="CX54" s="103">
        <f>CP54*IF(VLOOKUP($E54,武器奇术!$A:$R,17,FALSE)="破竹",VLOOKUP($E54,武器奇术!$A:$R,4,FALSE),VLOOKUP($E54,武器奇术!$A:$R,2,FALSE))*(1+CQ54)*(1+CR54)*CS54*(1+$E$17+VLOOKUP($E54,武器奇术!$A:$R,10,FALSE))</f>
        <v>0</v>
      </c>
      <c r="CY54" s="104">
        <f t="shared" si="32"/>
        <v>0.0986</v>
      </c>
      <c r="CZ54" s="103">
        <f>CO54*IF(VLOOKUP($E54,武器奇术!$A:$R,17,FALSE)="破竹",VLOOKUP($E54,武器奇术!$A:$R,4,FALSE),VLOOKUP($E54,武器奇术!$A:$R,2,FALSE))*(1+CQ54)*(1+CR54)*CS54</f>
        <v>0</v>
      </c>
      <c r="DA54" s="104">
        <f t="shared" si="33"/>
        <v>0.0311</v>
      </c>
      <c r="DB54" s="112">
        <f t="shared" si="34"/>
        <v>0</v>
      </c>
      <c r="DC54" s="110">
        <f t="shared" si="35"/>
        <v>66</v>
      </c>
      <c r="DD54" s="102">
        <f t="shared" si="36"/>
        <v>125.8</v>
      </c>
      <c r="DE54" s="102">
        <f t="shared" si="37"/>
        <v>185.6</v>
      </c>
      <c r="DF54" s="104">
        <f>IF((IF(VLOOKUP($E54,武器奇术!$A:$R,17,FALSE)="鸣金",$D$7,0)+IF(VLOOKUP($E54,武器奇术!$A:$R,17,FALSE)="裂石",$D$9,0)+IF(VLOOKUP($E54,武器奇术!$A:$R,17,FALSE)="牵丝",$D$11,0)+IF(VLOOKUP($E54,武器奇术!$A:$R,17,FALSE)="破竹",$D$13,0)+$D$15-VLOOKUP($F$7,目标属性!$A:$R,6,FALSE))&gt;0,(IF(VLOOKUP($E54,武器奇术!$A:$R,17,FALSE)="鸣金",$D$7,0)+IF(VLOOKUP($E54,武器奇术!$A:$R,17,FALSE)="裂石",$D$9,0)+IF(VLOOKUP($E54,武器奇术!$A:$R,17,FALSE)="牵丝",$D$11,0)+IF(VLOOKUP($E54,武器奇术!$A:$R,17,FALSE)="破竹",$D$13,0)+$D$15-VLOOKUP($F$7,目标属性!$A:$R,6,FALSE))/200,(IF(VLOOKUP($E54,武器奇术!$A:$R,17,FALSE)="鸣金",$D$7,0)+IF(VLOOKUP($E54,武器奇术!$A:$R,17,FALSE)="裂石",$D$9,0)+IF(VLOOKUP($E54,武器奇术!$A:$R,17,FALSE)="牵丝",$D$11,0)+IF(VLOOKUP($E54,武器奇术!$A:$R,17,FALSE)="破竹",$D$13,0)+$D$15-VLOOKUP($F$7,目标属性!$A:$R,6,FALSE))/100)</f>
        <v>0.028</v>
      </c>
      <c r="DG54" s="111">
        <f>$E$11+IF($G$5="烟柳",IF(VLOOKUP($E54,武器奇术!$A:$T,20,FALSE)=1,0.1,0),0)</f>
        <v>0.248</v>
      </c>
      <c r="DH54" s="102">
        <v>1</v>
      </c>
      <c r="DI54" s="103">
        <f>DC54*IF(VLOOKUP($E54,武器奇术!$A:$R,17,FALSE)="牵丝",VLOOKUP($E54,武器奇术!$A:$R,4,FALSE),VLOOKUP($E54,武器奇术!$A:$R,2,FALSE))*(1+DF54)*(1+DG54)*DH54</f>
        <v>297.164469888</v>
      </c>
      <c r="DJ54" s="104">
        <f>(1-IF(VLOOKUP($E54,武器奇术!$A:$R,18,FALSE)="叶龙",1,$N54))*(1-$M54)</f>
        <v>0</v>
      </c>
      <c r="DK54" s="124">
        <f>DD54*IF(VLOOKUP($E54,武器奇术!$A:$R,17,FALSE)="牵丝",VLOOKUP($E54,武器奇术!$A:$R,4,FALSE),VLOOKUP($E54,武器奇术!$A:$R,2,FALSE))*(1+DF54)*(1+DG54)*DH54*(1+$E$16+VLOOKUP($E54,武器奇术!$A:$R,8,FALSE))</f>
        <v>1276.6960055007</v>
      </c>
      <c r="DL54" s="104">
        <f t="shared" si="38"/>
        <v>0.8703</v>
      </c>
      <c r="DM54" s="103">
        <f>DE54*IF(VLOOKUP($E54,武器奇术!$A:$R,17,FALSE)="牵丝",VLOOKUP($E54,武器奇术!$A:$R,4,FALSE),VLOOKUP($E54,武器奇术!$A:$R,2,FALSE))*(1+DF54)*(1+DG54)*DH54*(1+$E$17+VLOOKUP($E54,武器奇术!$A:$R,10,FALSE))</f>
        <v>1128.14438750208</v>
      </c>
      <c r="DN54" s="104">
        <f t="shared" si="39"/>
        <v>0.0986</v>
      </c>
      <c r="DO54" s="124">
        <f>DD54*IF(VLOOKUP($E54,武器奇术!$A:$R,17,FALSE)="牵丝",VLOOKUP($E54,武器奇术!$A:$R,4,FALSE),VLOOKUP($E54,武器奇术!$A:$R,2,FALSE))*(1+DF54)*(1+DG54)*DH54</f>
        <v>566.4134895744</v>
      </c>
      <c r="DP54" s="104">
        <f t="shared" si="40"/>
        <v>0.0311</v>
      </c>
      <c r="DQ54" s="112">
        <f t="shared" si="41"/>
        <v>1239.95902972073</v>
      </c>
    </row>
    <row r="55" customFormat="1" customHeight="1" spans="1:121">
      <c r="A55" s="139"/>
      <c r="B55" s="139"/>
      <c r="C55" s="139"/>
      <c r="D55" s="139"/>
      <c r="E55" s="115" t="str">
        <f>期望!E55</f>
        <v>伞重击派生(大纵气竭)</v>
      </c>
      <c r="F55" s="116">
        <f>期望!F55</f>
        <v>1</v>
      </c>
      <c r="G55" s="117"/>
      <c r="H55" s="103">
        <f>IF(VLOOKUP($E55,武器奇术!$A:$R,18,FALSE)="天工",AE55,(AE55+AT55+BI55+BX55+CM55+DB55+DQ55))*(1+J55)*F55*K55*(1+G55)</f>
        <v>39561.1762537117</v>
      </c>
      <c r="I55" s="104">
        <f t="shared" si="0"/>
        <v>0.00455942389654521</v>
      </c>
      <c r="J55" s="138">
        <f>$F$3+VLOOKUP($E55,武器奇术!$A:$R,12,FALSE)+VLOOKUP($E55,武器奇术!$A:$R,14,FALSE)*$G$3+$P55</f>
        <v>0.603</v>
      </c>
      <c r="K55" s="105">
        <f>VLOOKUP($E55,武器奇术!$A:$R,11,FALSE)</f>
        <v>1</v>
      </c>
      <c r="L55" s="119">
        <f>IF(VLOOKUP($E55,武器奇术!$A:$R,15,FALSE)="天工",0%,IF($C$17+VLOOKUP($E55,武器奇术!$A:$R,7,FALSE)&gt;80%,80%,$C$17+VLOOKUP($E55,武器奇术!$A:$R,7,FALSE))+IF($C$19&gt;20%,20%,$C$19))</f>
        <v>0.8703</v>
      </c>
      <c r="M55" s="120">
        <f>IF(VLOOKUP($E55,武器奇术!$A:$R,15,FALSE)="天工",0%,IF($C$18+VLOOKUP($E55,武器奇术!$A:$R,9,FALSE)&gt;40%,40%,$C$18+VLOOKUP($E55,武器奇术!$A:$R,9,FALSE))+IF($C$20&gt;10%,10%,$C$20))</f>
        <v>0.0986</v>
      </c>
      <c r="N55" s="121">
        <f>IF(VLOOKUP($E55,武器奇术!$A:$R,15,FALSE)="天工",100%,MIN($C$16,1))</f>
        <v>1</v>
      </c>
      <c r="O55" s="122" t="str">
        <f>VLOOKUP($E55,武器奇术!$A:$R,16,FALSE)</f>
        <v>伞</v>
      </c>
      <c r="P55" s="123">
        <f t="shared" si="1"/>
        <v>0.17</v>
      </c>
      <c r="Q55" s="110">
        <f>$B$5*(1+VLOOKUP($E55,武器奇术!$A:$R,5,FALSE))*(1+VLOOKUP($E55,武器奇术!$A:$S,19,FALSE)+IF($G$5="飞隼",0.1,0)+IF($G$5="撼天",0.05,0))-$F$9+IF($J$5="√",160,0)</f>
        <v>3324.7</v>
      </c>
      <c r="R55" s="102">
        <f>IF(VLOOKUP($E55,武器奇术!$A:$Z,18,FALSE)="叶龙",(S55-(Q55+S55)*0.5)*($G$15-0.5)*2+(Q55+S55)*0.5,(Q55+S55)*0.5)</f>
        <v>3404.7</v>
      </c>
      <c r="S55" s="102">
        <f>MAX($C$5,$B$5)*(1+VLOOKUP($E55,武器奇术!$A:$R,6,FALSE))*(1+VLOOKUP($E55,武器奇术!$A:$S,19,FALSE)+IF($G$5="飞隼",0.1,0)+IF($G$5="撼天",0.05,0))-$F$9+IF($J$5="√",320,0)</f>
        <v>3484.7</v>
      </c>
      <c r="T55" s="104">
        <f>IF(($D$5+VLOOKUP($E55,武器奇术!$A:$R,13,FALSE)+IF($I$3="√",10,0)-VLOOKUP($F$7,目标属性!$A:$R,5,FALSE))&gt;0,($D$5+VLOOKUP($E55,武器奇术!$A:$R,13,FALSE)+IF($I$3="√",10,0)-VLOOKUP($F$7,目标属性!$A:$R,5,FALSE))/200,($D$5+VLOOKUP($E55,武器奇术!$A:$R,13,FALSE)+IF($I$3="√",10,0)-VLOOKUP($F$7,目标属性!$A:$R,5,FALSE))/100)</f>
        <v>0.3925</v>
      </c>
      <c r="U55" s="111">
        <f>$E$5+IF($G$5="烟柳",IF(VLOOKUP($E55,武器奇术!$A:$T,20,FALSE)=1,0.1,0),0)</f>
        <v>0.1</v>
      </c>
      <c r="V55" s="102">
        <v>1</v>
      </c>
      <c r="W55" s="103">
        <f>Q55*VLOOKUP($E55,武器奇术!$A:$R,2,FALSE)*(1+T55)*(1+U55)*V55</f>
        <v>8654.8893778875</v>
      </c>
      <c r="X55" s="104">
        <f>(1-IF(VLOOKUP($E55,武器奇术!$A:$R,18,FALSE)="叶龙",1,$N55))*(1-$M55)</f>
        <v>0</v>
      </c>
      <c r="Y55" s="103">
        <f>R55*VLOOKUP($E55,武器奇术!$A:$R,2,FALSE)*(1+T55)*(1+U55)*V55*(1+$E$16+VLOOKUP($E55,武器奇术!$A:$R,8,FALSE))</f>
        <v>16786.7987283389</v>
      </c>
      <c r="Z55" s="104">
        <f t="shared" si="2"/>
        <v>0.8703</v>
      </c>
      <c r="AA55" s="103">
        <f>S55*VLOOKUP($E55,武器奇术!$A:$R,2,FALSE)*(1+T55)*(1+U55)*V55*(1+$E$17+VLOOKUP($E55,武器奇术!$A:$R,10,FALSE))</f>
        <v>12246.3938311481</v>
      </c>
      <c r="AB55" s="104">
        <f t="shared" si="3"/>
        <v>0.0986</v>
      </c>
      <c r="AC55" s="103">
        <f>R55*VLOOKUP($E55,武器奇术!$A:$R,2,FALSE)*(1+T55)*(1+U55)*V55</f>
        <v>8863.1461078875</v>
      </c>
      <c r="AD55" s="104">
        <f t="shared" si="4"/>
        <v>0.0311</v>
      </c>
      <c r="AE55" s="112">
        <f t="shared" si="5"/>
        <v>16092.6892089799</v>
      </c>
      <c r="AF55" s="113">
        <f>VLOOKUP($E55,武器奇术!$A:$R,3,FALSE)*(1+IF(VLOOKUP($E55,武器奇术!$A:$R,15,FALSE)="武器",$E$15,0))</f>
        <v>510.9</v>
      </c>
      <c r="AG55" s="103">
        <f t="shared" si="6"/>
        <v>510.9</v>
      </c>
      <c r="AH55" s="103">
        <f>VLOOKUP($E55,武器奇术!$A:$R,3,FALSE)*(1+IF(VLOOKUP($E55,武器奇术!$A:$R,15,FALSE)="武器",$E$15,0))</f>
        <v>510.9</v>
      </c>
      <c r="AI55" s="104">
        <f>IF(($D$5+VLOOKUP($E55,武器奇术!$A:$R,13,FALSE)+IF($I$3="√",10,0)-VLOOKUP($F$7,目标属性!$A:$R,5,FALSE))&gt;0,($D$5+VLOOKUP($E55,武器奇术!$A:$R,13,FALSE)+IF($I$3="√",10,0)-VLOOKUP($F$7,目标属性!$A:$R,5,FALSE))/200,($D$5+VLOOKUP($E55,武器奇术!$A:$R,13,FALSE)+IF($I$3="√",10,0)-VLOOKUP($F$7,目标属性!$A:$R,5,FALSE))/100)</f>
        <v>0.3925</v>
      </c>
      <c r="AJ55" s="111">
        <f>$E$5+IF($G$5="烟柳",IF(VLOOKUP($E55,武器奇术!$A:$T,20,FALSE)=1,0.1,0),0)</f>
        <v>0.1</v>
      </c>
      <c r="AK55" s="102">
        <v>1</v>
      </c>
      <c r="AL55" s="103">
        <f t="shared" si="7"/>
        <v>782.571075</v>
      </c>
      <c r="AM55" s="104">
        <f>(1-IF(VLOOKUP($E55,武器奇术!$A:$R,18,FALSE)="叶龙",1,$N55))*(1-$M55)</f>
        <v>0</v>
      </c>
      <c r="AN55" s="103">
        <f>AG55*(1+AI55)*(1+AJ55)*AK55*(1+$E$16+VLOOKUP($E55,武器奇术!$A:$R,8,FALSE))</f>
        <v>1482.18961605</v>
      </c>
      <c r="AO55" s="104">
        <f t="shared" si="8"/>
        <v>0.8703</v>
      </c>
      <c r="AP55" s="103">
        <f>AH55*(1+AI55)*(1+AJ55)*AK55*(1+$E$17+VLOOKUP($E55,武器奇术!$A:$R,10,FALSE))</f>
        <v>1056.47095125</v>
      </c>
      <c r="AQ55" s="104">
        <f t="shared" si="9"/>
        <v>0.0986</v>
      </c>
      <c r="AR55" s="103">
        <f t="shared" si="10"/>
        <v>782.571075</v>
      </c>
      <c r="AS55" s="104">
        <f t="shared" si="11"/>
        <v>0.0311</v>
      </c>
      <c r="AT55" s="112">
        <f t="shared" si="12"/>
        <v>1418.45561907407</v>
      </c>
      <c r="AU55" s="110">
        <f>$B$7*IF($G$5="撼天",1.05,1)+IF(AND(VLOOKUP($E55,武器奇术!$A:$R,15,FALSE)="武器",VLOOKUP($E55,武器奇术!$A:$R,17,FALSE)="鸣金"),$E$3*(1+$E$15),0)</f>
        <v>0</v>
      </c>
      <c r="AV55" s="102">
        <f t="shared" si="13"/>
        <v>0</v>
      </c>
      <c r="AW55" s="102">
        <f>MAX($C$7*IF($G$5="撼天",1.05,1)+IF(AND(VLOOKUP($E55,武器奇术!$A:$R,15,FALSE)="武器",VLOOKUP($E55,武器奇术!$A:$R,17,FALSE)="鸣金"),$E$3*(1+$E$15),0),AU55)</f>
        <v>0</v>
      </c>
      <c r="AX55" s="104">
        <f>IF(($D$7+IF(VLOOKUP($E55,武器奇术!$A:$R,17,FALSE)="鸣金",$D$15,0)-VLOOKUP($F$7,目标属性!$A:$R,6,FALSE))&gt;0,($D$7+IF(VLOOKUP($E55,武器奇术!$A:$R,17,FALSE)="鸣金",$D$15,0)-VLOOKUP($F$7,目标属性!$A:$R,6,FALSE))/200,($D$7+IF(VLOOKUP($E55,武器奇术!$A:$R,17,FALSE)="鸣金",$D$15,0)-VLOOKUP($F$7,目标属性!$A:$R,6,FALSE))/100)</f>
        <v>-0.24</v>
      </c>
      <c r="AY55" s="111">
        <f t="shared" si="14"/>
        <v>0</v>
      </c>
      <c r="AZ55" s="102">
        <v>1</v>
      </c>
      <c r="BA55" s="103">
        <f>AU55*IF(VLOOKUP($E55,武器奇术!$A:$R,17,FALSE)="鸣金",VLOOKUP($E55,武器奇术!$A:$R,4,FALSE),VLOOKUP($E55,武器奇术!$A:$R,2,FALSE))*(1+AX55)*(1+AY55)*AZ55</f>
        <v>0</v>
      </c>
      <c r="BB55" s="104">
        <f>(1-IF(VLOOKUP($E55,武器奇术!$A:$R,18,FALSE)="叶龙",1,$N55))*(1-$M55)</f>
        <v>0</v>
      </c>
      <c r="BC55" s="103">
        <f>AV55*IF(VLOOKUP($E55,武器奇术!$A:$R,17,FALSE)="鸣金",VLOOKUP($E55,武器奇术!$A:$R,4,FALSE),VLOOKUP($E55,武器奇术!$A:$R,2,FALSE))*(1+AX55)*(1+AY55)*AZ55*(1+$E$16+VLOOKUP($E55,武器奇术!$A:$R,8,FALSE))</f>
        <v>0</v>
      </c>
      <c r="BD55" s="104">
        <f t="shared" si="15"/>
        <v>0.8703</v>
      </c>
      <c r="BE55" s="103">
        <f>AW55*IF(VLOOKUP($E55,武器奇术!$A:$R,17,FALSE)="鸣金",VLOOKUP($E55,武器奇术!$A:$R,4,FALSE),VLOOKUP($E55,武器奇术!$A:$R,2,FALSE))*(1+AX55)*(1+AY55)*AZ55*(1+$E$17+VLOOKUP($E55,武器奇术!$A:$R,10,FALSE))</f>
        <v>0</v>
      </c>
      <c r="BF55" s="104">
        <f t="shared" si="16"/>
        <v>0.0986</v>
      </c>
      <c r="BG55" s="103">
        <f>AV55*IF(VLOOKUP($E55,武器奇术!$A:$R,17,FALSE)="鸣金",VLOOKUP($E55,武器奇术!$A:$R,4,FALSE),VLOOKUP($E55,武器奇术!$A:$R,2,FALSE))*(1+AX55)*(1+AY55)*AZ55</f>
        <v>0</v>
      </c>
      <c r="BH55" s="104">
        <f t="shared" si="17"/>
        <v>0.0311</v>
      </c>
      <c r="BI55" s="112">
        <f t="shared" si="18"/>
        <v>0</v>
      </c>
      <c r="BJ55" s="110">
        <f>$B$9*IF($G$5="撼天",1.05,1)+IF(AND(VLOOKUP($E55,武器奇术!$A:$R,15,FALSE)="武器",VLOOKUP($E55,武器奇术!$A:$R,17,FALSE)="裂石"),$E$3*(1+$E$15),0)</f>
        <v>0</v>
      </c>
      <c r="BK55" s="102">
        <f t="shared" si="19"/>
        <v>0</v>
      </c>
      <c r="BL55" s="102">
        <f>MAX($C$9*IF($G$5="撼天",1.05,1)+IF(AND(VLOOKUP($E55,武器奇术!$A:$R,15,FALSE)="武器",VLOOKUP($E55,武器奇术!$A:$R,17,FALSE)="裂石"),$E$3*(1+$E$15),0),BJ55)</f>
        <v>0</v>
      </c>
      <c r="BM55" s="104">
        <f>IF(($D$9+IF(VLOOKUP($E55,武器奇术!$A:$R,17,FALSE)="裂石",$D$15,0)-VLOOKUP($F$7,目标属性!$A:$R,6,FALSE))&gt;0,($D$9+IF(VLOOKUP($E55,武器奇术!$A:$R,17,FALSE)="裂石",$D$15,0)-VLOOKUP($F$7,目标属性!$A:$R,6,FALSE))/200,($D$9+IF(VLOOKUP($E55,武器奇术!$A:$R,17,FALSE)="裂石",$D$15,0)-VLOOKUP($F$7,目标属性!$A:$R,6,FALSE))/100)</f>
        <v>-0.24</v>
      </c>
      <c r="BN55" s="111">
        <f t="shared" si="20"/>
        <v>0</v>
      </c>
      <c r="BO55" s="102">
        <v>1</v>
      </c>
      <c r="BP55" s="103">
        <f>BJ55*IF(VLOOKUP($E55,武器奇术!$A:$R,17,FALSE)="裂石",VLOOKUP($E55,武器奇术!$A:$R,4,FALSE),VLOOKUP($E55,武器奇术!$A:$R,2,FALSE))*(1+BM55)*(1+BN55)*BO55</f>
        <v>0</v>
      </c>
      <c r="BQ55" s="104">
        <f>(1-IF(VLOOKUP($E55,武器奇术!$A:$R,18,FALSE)="叶龙",1,$N55))*(1-$M55)</f>
        <v>0</v>
      </c>
      <c r="BR55" s="103">
        <f>BK55*IF(VLOOKUP($E55,武器奇术!$A:$R,17,FALSE)="裂石",VLOOKUP($E55,武器奇术!$A:$R,4,FALSE),VLOOKUP($E55,武器奇术!$A:$R,2,FALSE))*(1+BM55)*(1+BN55)*BO55*(1+$E$16+VLOOKUP($E55,武器奇术!$A:$R,8,FALSE))</f>
        <v>0</v>
      </c>
      <c r="BS55" s="104">
        <f t="shared" si="21"/>
        <v>0.8703</v>
      </c>
      <c r="BT55" s="103">
        <f>BL55*IF(VLOOKUP($E55,武器奇术!$A:$R,17,FALSE)="裂石",VLOOKUP($E55,武器奇术!$A:$R,4,FALSE),VLOOKUP($E55,武器奇术!$A:$R,2,FALSE))*(1+BM55)*(1+BN55)*BO55*(1+$E$17+VLOOKUP($E55,武器奇术!$A:$R,10,FALSE))</f>
        <v>0</v>
      </c>
      <c r="BU55" s="104">
        <f t="shared" si="22"/>
        <v>0.0986</v>
      </c>
      <c r="BV55" s="103">
        <f>BK55*IF(VLOOKUP($E55,武器奇术!$A:$R,17,FALSE)="裂石",VLOOKUP($E55,武器奇术!$A:$R,4,FALSE),VLOOKUP($E55,武器奇术!$A:$R,2,FALSE))*(1+BM55)*(1+BN55)*BO55</f>
        <v>0</v>
      </c>
      <c r="BW55" s="104">
        <f t="shared" si="23"/>
        <v>0.0311</v>
      </c>
      <c r="BX55" s="112">
        <f t="shared" si="24"/>
        <v>0</v>
      </c>
      <c r="BY55" s="110">
        <f>$B$11*IF($G$5="撼天",1.05,1)+IF(AND(VLOOKUP($E55,武器奇术!$A:$R,15,FALSE)="武器",VLOOKUP($E55,武器奇术!$A:$R,17,FALSE)="牵丝"),$E$3*(1+$E$15),0)</f>
        <v>686.71</v>
      </c>
      <c r="BZ55" s="102">
        <f>IF(VLOOKUP($E55,武器奇术!$A:$Z,18,FALSE)="叶龙",(CA55-(BY55+CA55)*0.5)*($G$15-0.5)*2+(BY55+CA55)*0.5,(BY55+CA55)*0.5)</f>
        <v>1052.21</v>
      </c>
      <c r="CA55" s="102">
        <f>MAX($C$11*IF($G$5="撼天",1.05,1)+IF(AND(VLOOKUP($E55,武器奇术!$A:$R,15,FALSE)="武器",VLOOKUP($E55,武器奇术!$A:$R,17,FALSE)="牵丝"),$E$3*(1+$E$15),0),BY55)</f>
        <v>1417.71</v>
      </c>
      <c r="CB55" s="104">
        <f>IF(($D$11+IF(VLOOKUP($E55,武器奇术!$A:$R,17,FALSE)="牵丝",$D$15,0)-VLOOKUP($F$7,目标属性!$A:$R,6,FALSE))&gt;0,($D$11+IF(VLOOKUP($E55,武器奇术!$A:$R,17,FALSE)="牵丝",$D$15,0)-VLOOKUP($F$7,目标属性!$A:$R,6,FALSE))/200,($D$11+IF(VLOOKUP($E55,武器奇术!$A:$R,17,FALSE)="牵丝",$D$15,0)-VLOOKUP($F$7,目标属性!$A:$R,6,FALSE))/100)</f>
        <v>0.028</v>
      </c>
      <c r="CC55" s="111">
        <f>$E$11+IF($G$5="烟柳",IF(VLOOKUP($E55,武器奇术!$A:$T,20,FALSE)=1,0.1,0),0)</f>
        <v>0.248</v>
      </c>
      <c r="CD55" s="102">
        <v>1</v>
      </c>
      <c r="CE55" s="103">
        <f>BY55*IF(VLOOKUP($E55,武器奇术!$A:$R,17,FALSE)="牵丝",VLOOKUP($E55,武器奇术!$A:$R,4,FALSE),VLOOKUP($E55,武器奇术!$A:$R,2,FALSE))*(1+CB55)*(1+CC55)*CD55</f>
        <v>2245.87190093261</v>
      </c>
      <c r="CF55" s="104">
        <f>(1-IF(VLOOKUP($E55,武器奇术!$A:$R,18,FALSE)="叶龙",1,$N55))*(1-$M55)</f>
        <v>0</v>
      </c>
      <c r="CG55" s="124">
        <f>BZ55*IF(VLOOKUP($E55,武器奇术!$A:$R,17,FALSE)="牵丝",VLOOKUP($E55,武器奇术!$A:$R,4,FALSE),VLOOKUP($E55,武器奇术!$A:$R,2,FALSE))*(1+CB55)*(1+CC55)*CD55*(1+$E$16+VLOOKUP($E55,武器奇术!$A:$R,8,FALSE))</f>
        <v>6517.69463854507</v>
      </c>
      <c r="CH55" s="104">
        <f t="shared" si="25"/>
        <v>0.8703</v>
      </c>
      <c r="CI55" s="103">
        <f>CA55*IF(VLOOKUP($E55,武器奇术!$A:$R,17,FALSE)="牵丝",VLOOKUP($E55,武器奇术!$A:$R,4,FALSE),VLOOKUP($E55,武器奇术!$A:$R,2,FALSE))*(1+CB55)*(1+CC55)*CD55*(1+$E$17+VLOOKUP($E55,武器奇术!$A:$R,10,FALSE))</f>
        <v>6259.4010879499</v>
      </c>
      <c r="CJ55" s="104">
        <f t="shared" si="26"/>
        <v>0.0986</v>
      </c>
      <c r="CK55" s="124">
        <f>BZ55*IF(VLOOKUP($E55,武器奇术!$A:$R,17,FALSE)="牵丝",VLOOKUP($E55,武器奇术!$A:$R,4,FALSE),VLOOKUP($E55,武器奇术!$A:$R,2,FALSE))*(1+CB55)*(1+CC55)*CD55</f>
        <v>3441.23264970701</v>
      </c>
      <c r="CL55" s="104">
        <f t="shared" si="27"/>
        <v>0.0311</v>
      </c>
      <c r="CM55" s="112">
        <f t="shared" si="28"/>
        <v>6396.54892660353</v>
      </c>
      <c r="CN55" s="110">
        <f>$B$13*IF($G$5="撼天",1.05,1)+IF(AND(VLOOKUP($E55,武器奇术!$A:$R,15,FALSE)="武器",VLOOKUP($E55,武器奇术!$A:$R,17,FALSE)="破竹"),$E$3*(1+$E$15),0)</f>
        <v>0</v>
      </c>
      <c r="CO55" s="102">
        <f t="shared" si="29"/>
        <v>0</v>
      </c>
      <c r="CP55" s="102">
        <f>MAX($C$13*IF($G$5="撼天",1.05,1)+IF(AND(VLOOKUP($E55,武器奇术!$A:$R,15,FALSE)="武器",VLOOKUP($E55,武器奇术!$A:$R,17,FALSE)="破竹"),$E$3*(1+$E$15),0),CN55)</f>
        <v>0</v>
      </c>
      <c r="CQ55" s="104">
        <f>IF(($D$13+IF(VLOOKUP($E55,武器奇术!$A:$R,17,FALSE)="破竹",$D$15,0)-VLOOKUP($F$7,目标属性!$A:$R,6,FALSE))&gt;0,($D$13+IF(VLOOKUP($E55,武器奇术!$A:$R,17,FALSE)="破竹",$D$15,0)-VLOOKUP($F$7,目标属性!$A:$R,6,FALSE))/200,($D$13+IF(VLOOKUP($E55,武器奇术!$A:$R,17,FALSE)="破竹",$D$15,0)-VLOOKUP($F$7,目标属性!$A:$R,6,FALSE))/100)</f>
        <v>-0.24</v>
      </c>
      <c r="CR55" s="111">
        <f t="shared" si="30"/>
        <v>0</v>
      </c>
      <c r="CS55" s="102">
        <v>1</v>
      </c>
      <c r="CT55" s="103">
        <f>CN55*IF(VLOOKUP($E55,武器奇术!$A:$R,17,FALSE)="破竹",VLOOKUP($E55,武器奇术!$A:$R,4,FALSE),VLOOKUP($E55,武器奇术!$A:$R,2,FALSE))*(1+CQ55)*(1+CR55)*CS55</f>
        <v>0</v>
      </c>
      <c r="CU55" s="104">
        <f>(1-IF(VLOOKUP($E55,武器奇术!$A:$R,18,FALSE)="叶龙",1,$N55))*(1-$M55)</f>
        <v>0</v>
      </c>
      <c r="CV55" s="103">
        <f>CO55*IF(VLOOKUP($E55,武器奇术!$A:$R,17,FALSE)="破竹",VLOOKUP($E55,武器奇术!$A:$R,4,FALSE),VLOOKUP($E55,武器奇术!$A:$R,2,FALSE))*(1+CQ55)*(1+CR55)*CS55*(1+$E$16+VLOOKUP($E55,武器奇术!$A:$R,8,FALSE))</f>
        <v>0</v>
      </c>
      <c r="CW55" s="104">
        <f t="shared" si="31"/>
        <v>0.8703</v>
      </c>
      <c r="CX55" s="103">
        <f>CP55*IF(VLOOKUP($E55,武器奇术!$A:$R,17,FALSE)="破竹",VLOOKUP($E55,武器奇术!$A:$R,4,FALSE),VLOOKUP($E55,武器奇术!$A:$R,2,FALSE))*(1+CQ55)*(1+CR55)*CS55*(1+$E$17+VLOOKUP($E55,武器奇术!$A:$R,10,FALSE))</f>
        <v>0</v>
      </c>
      <c r="CY55" s="104">
        <f t="shared" si="32"/>
        <v>0.0986</v>
      </c>
      <c r="CZ55" s="103">
        <f>CO55*IF(VLOOKUP($E55,武器奇术!$A:$R,17,FALSE)="破竹",VLOOKUP($E55,武器奇术!$A:$R,4,FALSE),VLOOKUP($E55,武器奇术!$A:$R,2,FALSE))*(1+CQ55)*(1+CR55)*CS55</f>
        <v>0</v>
      </c>
      <c r="DA55" s="104">
        <f t="shared" si="33"/>
        <v>0.0311</v>
      </c>
      <c r="DB55" s="112">
        <f t="shared" si="34"/>
        <v>0</v>
      </c>
      <c r="DC55" s="110">
        <f t="shared" si="35"/>
        <v>66</v>
      </c>
      <c r="DD55" s="102">
        <f t="shared" si="36"/>
        <v>125.8</v>
      </c>
      <c r="DE55" s="102">
        <f t="shared" si="37"/>
        <v>185.6</v>
      </c>
      <c r="DF55" s="104">
        <f>IF((IF(VLOOKUP($E55,武器奇术!$A:$R,17,FALSE)="鸣金",$D$7,0)+IF(VLOOKUP($E55,武器奇术!$A:$R,17,FALSE)="裂石",$D$9,0)+IF(VLOOKUP($E55,武器奇术!$A:$R,17,FALSE)="牵丝",$D$11,0)+IF(VLOOKUP($E55,武器奇术!$A:$R,17,FALSE)="破竹",$D$13,0)+$D$15-VLOOKUP($F$7,目标属性!$A:$R,6,FALSE))&gt;0,(IF(VLOOKUP($E55,武器奇术!$A:$R,17,FALSE)="鸣金",$D$7,0)+IF(VLOOKUP($E55,武器奇术!$A:$R,17,FALSE)="裂石",$D$9,0)+IF(VLOOKUP($E55,武器奇术!$A:$R,17,FALSE)="牵丝",$D$11,0)+IF(VLOOKUP($E55,武器奇术!$A:$R,17,FALSE)="破竹",$D$13,0)+$D$15-VLOOKUP($F$7,目标属性!$A:$R,6,FALSE))/200,(IF(VLOOKUP($E55,武器奇术!$A:$R,17,FALSE)="鸣金",$D$7,0)+IF(VLOOKUP($E55,武器奇术!$A:$R,17,FALSE)="裂石",$D$9,0)+IF(VLOOKUP($E55,武器奇术!$A:$R,17,FALSE)="牵丝",$D$11,0)+IF(VLOOKUP($E55,武器奇术!$A:$R,17,FALSE)="破竹",$D$13,0)+$D$15-VLOOKUP($F$7,目标属性!$A:$R,6,FALSE))/100)</f>
        <v>0.028</v>
      </c>
      <c r="DG55" s="111">
        <f>$E$11+IF($G$5="烟柳",IF(VLOOKUP($E55,武器奇术!$A:$T,20,FALSE)=1,0.1,0),0)</f>
        <v>0.248</v>
      </c>
      <c r="DH55" s="102">
        <v>1</v>
      </c>
      <c r="DI55" s="103">
        <f>DC55*IF(VLOOKUP($E55,武器奇术!$A:$R,17,FALSE)="牵丝",VLOOKUP($E55,武器奇术!$A:$R,4,FALSE),VLOOKUP($E55,武器奇术!$A:$R,2,FALSE))*(1+DF55)*(1+DG55)*DH55</f>
        <v>215.8517357568</v>
      </c>
      <c r="DJ55" s="104">
        <f>(1-IF(VLOOKUP($E55,武器奇术!$A:$R,18,FALSE)="叶龙",1,$N55))*(1-$M55)</f>
        <v>0</v>
      </c>
      <c r="DK55" s="124">
        <f>DD55*IF(VLOOKUP($E55,武器奇术!$A:$R,17,FALSE)="牵丝",VLOOKUP($E55,武器奇术!$A:$R,4,FALSE),VLOOKUP($E55,武器奇术!$A:$R,2,FALSE))*(1+DF55)*(1+DG55)*DH55*(1+$E$16+VLOOKUP($E55,武器奇术!$A:$R,8,FALSE))</f>
        <v>779.241772582441</v>
      </c>
      <c r="DL55" s="104">
        <f t="shared" si="38"/>
        <v>0.8703</v>
      </c>
      <c r="DM55" s="103">
        <f>DE55*IF(VLOOKUP($E55,武器奇术!$A:$R,17,FALSE)="牵丝",VLOOKUP($E55,武器奇术!$A:$R,4,FALSE),VLOOKUP($E55,武器奇术!$A:$R,2,FALSE))*(1+DF55)*(1+DG55)*DH55*(1+$E$17+VLOOKUP($E55,武器奇术!$A:$R,10,FALSE))</f>
        <v>819.451680473088</v>
      </c>
      <c r="DN55" s="104">
        <f t="shared" si="39"/>
        <v>0.0986</v>
      </c>
      <c r="DO55" s="124">
        <f>DD55*IF(VLOOKUP($E55,武器奇术!$A:$R,17,FALSE)="牵丝",VLOOKUP($E55,武器奇术!$A:$R,4,FALSE),VLOOKUP($E55,武器奇术!$A:$R,2,FALSE))*(1+DF55)*(1+DG55)*DH55</f>
        <v>411.42649027584</v>
      </c>
      <c r="DP55" s="104">
        <f t="shared" si="40"/>
        <v>0.0311</v>
      </c>
      <c r="DQ55" s="112">
        <f t="shared" si="41"/>
        <v>771.767414220723</v>
      </c>
    </row>
    <row r="56" customFormat="1" customHeight="1" spans="1:121">
      <c r="A56" s="139"/>
      <c r="B56" s="139"/>
      <c r="C56" s="139"/>
      <c r="D56" s="139"/>
      <c r="E56" s="115" t="str">
        <f>期望!E56</f>
        <v>丢伞(大纵气竭)</v>
      </c>
      <c r="F56" s="116">
        <f>期望!F56</f>
        <v>1</v>
      </c>
      <c r="G56" s="117"/>
      <c r="H56" s="103">
        <f>IF(VLOOKUP($E56,武器奇术!$A:$R,18,FALSE)="天工",AE56,(AE56+AT56+BI56+BX56+CM56+DB56+DQ56))*(1+J56)*F56*K56*(1+G56)</f>
        <v>11444.9438619993</v>
      </c>
      <c r="I56" s="104">
        <f t="shared" si="0"/>
        <v>0.00131902929792493</v>
      </c>
      <c r="J56" s="138">
        <f>$F$3+VLOOKUP($E56,武器奇术!$A:$R,12,FALSE)+VLOOKUP($E56,武器奇术!$A:$R,14,FALSE)*$G$3+$P56</f>
        <v>0.603</v>
      </c>
      <c r="K56" s="105">
        <f>VLOOKUP($E56,武器奇术!$A:$R,11,FALSE)</f>
        <v>1</v>
      </c>
      <c r="L56" s="119">
        <f>IF(VLOOKUP($E56,武器奇术!$A:$R,15,FALSE)="天工",0%,IF($C$17+VLOOKUP($E56,武器奇术!$A:$R,7,FALSE)&gt;80%,80%,$C$17+VLOOKUP($E56,武器奇术!$A:$R,7,FALSE))+IF($C$19&gt;20%,20%,$C$19))</f>
        <v>0.8703</v>
      </c>
      <c r="M56" s="120">
        <f>IF(VLOOKUP($E56,武器奇术!$A:$R,15,FALSE)="天工",0%,IF($C$18+VLOOKUP($E56,武器奇术!$A:$R,9,FALSE)&gt;40%,40%,$C$18+VLOOKUP($E56,武器奇术!$A:$R,9,FALSE))+IF($C$20&gt;10%,10%,$C$20))</f>
        <v>0.0986</v>
      </c>
      <c r="N56" s="121">
        <f>IF(VLOOKUP($E56,武器奇术!$A:$R,15,FALSE)="天工",100%,MIN($C$16,1))</f>
        <v>1</v>
      </c>
      <c r="O56" s="122" t="str">
        <f>VLOOKUP($E56,武器奇术!$A:$R,16,FALSE)</f>
        <v>伞</v>
      </c>
      <c r="P56" s="123">
        <f t="shared" si="1"/>
        <v>0.17</v>
      </c>
      <c r="Q56" s="110">
        <f>$B$5*(1+VLOOKUP($E56,武器奇术!$A:$R,5,FALSE))*(1+VLOOKUP($E56,武器奇术!$A:$S,19,FALSE)+IF($G$5="飞隼",0.1,0)+IF($G$5="撼天",0.05,0))-$F$9+IF($J$5="√",160,0)</f>
        <v>3324.7</v>
      </c>
      <c r="R56" s="102">
        <f>IF(VLOOKUP($E56,武器奇术!$A:$Z,18,FALSE)="叶龙",(S56-(Q56+S56)*0.5)*($G$15-0.5)*2+(Q56+S56)*0.5,(Q56+S56)*0.5)</f>
        <v>3404.7</v>
      </c>
      <c r="S56" s="102">
        <f>MAX($C$5,$B$5)*(1+VLOOKUP($E56,武器奇术!$A:$R,6,FALSE))*(1+VLOOKUP($E56,武器奇术!$A:$S,19,FALSE)+IF($G$5="飞隼",0.1,0)+IF($G$5="撼天",0.05,0))-$F$9+IF($J$5="√",320,0)</f>
        <v>3484.7</v>
      </c>
      <c r="T56" s="104">
        <f>IF(($D$5+VLOOKUP($E56,武器奇术!$A:$R,13,FALSE)+IF($I$3="√",10,0)-VLOOKUP($F$7,目标属性!$A:$R,5,FALSE))&gt;0,($D$5+VLOOKUP($E56,武器奇术!$A:$R,13,FALSE)+IF($I$3="√",10,0)-VLOOKUP($F$7,目标属性!$A:$R,5,FALSE))/200,($D$5+VLOOKUP($E56,武器奇术!$A:$R,13,FALSE)+IF($I$3="√",10,0)-VLOOKUP($F$7,目标属性!$A:$R,5,FALSE))/100)</f>
        <v>0.3925</v>
      </c>
      <c r="U56" s="111">
        <f>$E$5+IF($G$5="烟柳",IF(VLOOKUP($E56,武器奇术!$A:$T,20,FALSE)=1,0.1,0),0)</f>
        <v>0</v>
      </c>
      <c r="V56" s="102">
        <v>1</v>
      </c>
      <c r="W56" s="103">
        <f>Q56*VLOOKUP($E56,武器奇术!$A:$R,2,FALSE)*(1+T56)*(1+U56)*V56</f>
        <v>2495.37852025</v>
      </c>
      <c r="X56" s="104">
        <f>(1-IF(VLOOKUP($E56,武器奇术!$A:$R,18,FALSE)="叶龙",1,$N56))*(1-$M56)</f>
        <v>0</v>
      </c>
      <c r="Y56" s="103">
        <f>R56*VLOOKUP($E56,武器奇术!$A:$R,2,FALSE)*(1+T56)*(1+U56)*V56*(1+$E$16+VLOOKUP($E56,武器奇术!$A:$R,8,FALSE))</f>
        <v>4839.9713897535</v>
      </c>
      <c r="Z56" s="104">
        <f t="shared" si="2"/>
        <v>0.8703</v>
      </c>
      <c r="AA56" s="103">
        <f>S56*VLOOKUP($E56,武器奇术!$A:$R,2,FALSE)*(1+T56)*(1+U56)*V56*(1+$E$17+VLOOKUP($E56,武器奇术!$A:$R,10,FALSE))</f>
        <v>3530.8814223375</v>
      </c>
      <c r="AB56" s="104">
        <f t="shared" si="3"/>
        <v>0.0986</v>
      </c>
      <c r="AC56" s="103">
        <f>R56*VLOOKUP($E56,武器奇术!$A:$R,2,FALSE)*(1+T56)*(1+U56)*V56</f>
        <v>2555.42312025</v>
      </c>
      <c r="AD56" s="104">
        <f t="shared" si="4"/>
        <v>0.0311</v>
      </c>
      <c r="AE56" s="112">
        <f t="shared" si="5"/>
        <v>4639.84566778472</v>
      </c>
      <c r="AF56" s="113">
        <f>VLOOKUP($E56,武器奇术!$A:$R,3,FALSE)*(1+IF(VLOOKUP($E56,武器奇术!$A:$R,15,FALSE)="武器",$E$15,0))</f>
        <v>161.8617</v>
      </c>
      <c r="AG56" s="103">
        <f t="shared" si="6"/>
        <v>161.8617</v>
      </c>
      <c r="AH56" s="103">
        <f>VLOOKUP($E56,武器奇术!$A:$R,3,FALSE)*(1+IF(VLOOKUP($E56,武器奇术!$A:$R,15,FALSE)="武器",$E$15,0))</f>
        <v>161.8617</v>
      </c>
      <c r="AI56" s="104">
        <f>IF(($D$5+VLOOKUP($E56,武器奇术!$A:$R,13,FALSE)+IF($I$3="√",10,0)-VLOOKUP($F$7,目标属性!$A:$R,5,FALSE))&gt;0,($D$5+VLOOKUP($E56,武器奇术!$A:$R,13,FALSE)+IF($I$3="√",10,0)-VLOOKUP($F$7,目标属性!$A:$R,5,FALSE))/200,($D$5+VLOOKUP($E56,武器奇术!$A:$R,13,FALSE)+IF($I$3="√",10,0)-VLOOKUP($F$7,目标属性!$A:$R,5,FALSE))/100)</f>
        <v>0.3925</v>
      </c>
      <c r="AJ56" s="111">
        <f>$E$5+IF($G$5="烟柳",IF(VLOOKUP($E56,武器奇术!$A:$T,20,FALSE)=1,0.1,0),0)</f>
        <v>0</v>
      </c>
      <c r="AK56" s="102">
        <v>1</v>
      </c>
      <c r="AL56" s="103">
        <f t="shared" si="7"/>
        <v>225.39241725</v>
      </c>
      <c r="AM56" s="104">
        <f>(1-IF(VLOOKUP($E56,武器奇术!$A:$R,18,FALSE)="叶龙",1,$N56))*(1-$M56)</f>
        <v>0</v>
      </c>
      <c r="AN56" s="103">
        <f>AG56*(1+AI56)*(1+AJ56)*AK56*(1+$E$16+VLOOKUP($E56,武器奇术!$A:$R,8,FALSE))</f>
        <v>426.8932382715</v>
      </c>
      <c r="AO56" s="104">
        <f t="shared" si="8"/>
        <v>0.8703</v>
      </c>
      <c r="AP56" s="103">
        <f>AH56*(1+AI56)*(1+AJ56)*AK56*(1+$E$17+VLOOKUP($E56,武器奇术!$A:$R,10,FALSE))</f>
        <v>304.2797632875</v>
      </c>
      <c r="AQ56" s="104">
        <f t="shared" si="9"/>
        <v>0.0986</v>
      </c>
      <c r="AR56" s="103">
        <f t="shared" si="10"/>
        <v>225.39241725</v>
      </c>
      <c r="AS56" s="104">
        <f t="shared" si="11"/>
        <v>0.0311</v>
      </c>
      <c r="AT56" s="112">
        <f t="shared" si="12"/>
        <v>408.536874104309</v>
      </c>
      <c r="AU56" s="110">
        <f>$B$7*IF($G$5="撼天",1.05,1)+IF(AND(VLOOKUP($E56,武器奇术!$A:$R,15,FALSE)="武器",VLOOKUP($E56,武器奇术!$A:$R,17,FALSE)="鸣金"),$E$3*(1+$E$15),0)</f>
        <v>0</v>
      </c>
      <c r="AV56" s="102">
        <f t="shared" si="13"/>
        <v>0</v>
      </c>
      <c r="AW56" s="102">
        <f>MAX($C$7*IF($G$5="撼天",1.05,1)+IF(AND(VLOOKUP($E56,武器奇术!$A:$R,15,FALSE)="武器",VLOOKUP($E56,武器奇术!$A:$R,17,FALSE)="鸣金"),$E$3*(1+$E$15),0),AU56)</f>
        <v>0</v>
      </c>
      <c r="AX56" s="104">
        <f>IF(($D$7+IF(VLOOKUP($E56,武器奇术!$A:$R,17,FALSE)="鸣金",$D$15,0)-VLOOKUP($F$7,目标属性!$A:$R,6,FALSE))&gt;0,($D$7+IF(VLOOKUP($E56,武器奇术!$A:$R,17,FALSE)="鸣金",$D$15,0)-VLOOKUP($F$7,目标属性!$A:$R,6,FALSE))/200,($D$7+IF(VLOOKUP($E56,武器奇术!$A:$R,17,FALSE)="鸣金",$D$15,0)-VLOOKUP($F$7,目标属性!$A:$R,6,FALSE))/100)</f>
        <v>-0.24</v>
      </c>
      <c r="AY56" s="111">
        <f t="shared" si="14"/>
        <v>0</v>
      </c>
      <c r="AZ56" s="102">
        <v>1</v>
      </c>
      <c r="BA56" s="103">
        <f>AU56*IF(VLOOKUP($E56,武器奇术!$A:$R,17,FALSE)="鸣金",VLOOKUP($E56,武器奇术!$A:$R,4,FALSE),VLOOKUP($E56,武器奇术!$A:$R,2,FALSE))*(1+AX56)*(1+AY56)*AZ56</f>
        <v>0</v>
      </c>
      <c r="BB56" s="104">
        <f>(1-IF(VLOOKUP($E56,武器奇术!$A:$R,18,FALSE)="叶龙",1,$N56))*(1-$M56)</f>
        <v>0</v>
      </c>
      <c r="BC56" s="103">
        <f>AV56*IF(VLOOKUP($E56,武器奇术!$A:$R,17,FALSE)="鸣金",VLOOKUP($E56,武器奇术!$A:$R,4,FALSE),VLOOKUP($E56,武器奇术!$A:$R,2,FALSE))*(1+AX56)*(1+AY56)*AZ56*(1+$E$16+VLOOKUP($E56,武器奇术!$A:$R,8,FALSE))</f>
        <v>0</v>
      </c>
      <c r="BD56" s="104">
        <f t="shared" si="15"/>
        <v>0.8703</v>
      </c>
      <c r="BE56" s="103">
        <f>AW56*IF(VLOOKUP($E56,武器奇术!$A:$R,17,FALSE)="鸣金",VLOOKUP($E56,武器奇术!$A:$R,4,FALSE),VLOOKUP($E56,武器奇术!$A:$R,2,FALSE))*(1+AX56)*(1+AY56)*AZ56*(1+$E$17+VLOOKUP($E56,武器奇术!$A:$R,10,FALSE))</f>
        <v>0</v>
      </c>
      <c r="BF56" s="104">
        <f t="shared" si="16"/>
        <v>0.0986</v>
      </c>
      <c r="BG56" s="103">
        <f>AV56*IF(VLOOKUP($E56,武器奇术!$A:$R,17,FALSE)="鸣金",VLOOKUP($E56,武器奇术!$A:$R,4,FALSE),VLOOKUP($E56,武器奇术!$A:$R,2,FALSE))*(1+AX56)*(1+AY56)*AZ56</f>
        <v>0</v>
      </c>
      <c r="BH56" s="104">
        <f t="shared" si="17"/>
        <v>0.0311</v>
      </c>
      <c r="BI56" s="112">
        <f t="shared" si="18"/>
        <v>0</v>
      </c>
      <c r="BJ56" s="110">
        <f>$B$9*IF($G$5="撼天",1.05,1)+IF(AND(VLOOKUP($E56,武器奇术!$A:$R,15,FALSE)="武器",VLOOKUP($E56,武器奇术!$A:$R,17,FALSE)="裂石"),$E$3*(1+$E$15),0)</f>
        <v>0</v>
      </c>
      <c r="BK56" s="102">
        <f t="shared" si="19"/>
        <v>0</v>
      </c>
      <c r="BL56" s="102">
        <f>MAX($C$9*IF($G$5="撼天",1.05,1)+IF(AND(VLOOKUP($E56,武器奇术!$A:$R,15,FALSE)="武器",VLOOKUP($E56,武器奇术!$A:$R,17,FALSE)="裂石"),$E$3*(1+$E$15),0),BJ56)</f>
        <v>0</v>
      </c>
      <c r="BM56" s="104">
        <f>IF(($D$9+IF(VLOOKUP($E56,武器奇术!$A:$R,17,FALSE)="裂石",$D$15,0)-VLOOKUP($F$7,目标属性!$A:$R,6,FALSE))&gt;0,($D$9+IF(VLOOKUP($E56,武器奇术!$A:$R,17,FALSE)="裂石",$D$15,0)-VLOOKUP($F$7,目标属性!$A:$R,6,FALSE))/200,($D$9+IF(VLOOKUP($E56,武器奇术!$A:$R,17,FALSE)="裂石",$D$15,0)-VLOOKUP($F$7,目标属性!$A:$R,6,FALSE))/100)</f>
        <v>-0.24</v>
      </c>
      <c r="BN56" s="111">
        <f t="shared" si="20"/>
        <v>0</v>
      </c>
      <c r="BO56" s="102">
        <v>1</v>
      </c>
      <c r="BP56" s="103">
        <f>BJ56*IF(VLOOKUP($E56,武器奇术!$A:$R,17,FALSE)="裂石",VLOOKUP($E56,武器奇术!$A:$R,4,FALSE),VLOOKUP($E56,武器奇术!$A:$R,2,FALSE))*(1+BM56)*(1+BN56)*BO56</f>
        <v>0</v>
      </c>
      <c r="BQ56" s="104">
        <f>(1-IF(VLOOKUP($E56,武器奇术!$A:$R,18,FALSE)="叶龙",1,$N56))*(1-$M56)</f>
        <v>0</v>
      </c>
      <c r="BR56" s="103">
        <f>BK56*IF(VLOOKUP($E56,武器奇术!$A:$R,17,FALSE)="裂石",VLOOKUP($E56,武器奇术!$A:$R,4,FALSE),VLOOKUP($E56,武器奇术!$A:$R,2,FALSE))*(1+BM56)*(1+BN56)*BO56*(1+$E$16+VLOOKUP($E56,武器奇术!$A:$R,8,FALSE))</f>
        <v>0</v>
      </c>
      <c r="BS56" s="104">
        <f t="shared" si="21"/>
        <v>0.8703</v>
      </c>
      <c r="BT56" s="103">
        <f>BL56*IF(VLOOKUP($E56,武器奇术!$A:$R,17,FALSE)="裂石",VLOOKUP($E56,武器奇术!$A:$R,4,FALSE),VLOOKUP($E56,武器奇术!$A:$R,2,FALSE))*(1+BM56)*(1+BN56)*BO56*(1+$E$17+VLOOKUP($E56,武器奇术!$A:$R,10,FALSE))</f>
        <v>0</v>
      </c>
      <c r="BU56" s="104">
        <f t="shared" si="22"/>
        <v>0.0986</v>
      </c>
      <c r="BV56" s="103">
        <f>BK56*IF(VLOOKUP($E56,武器奇术!$A:$R,17,FALSE)="裂石",VLOOKUP($E56,武器奇术!$A:$R,4,FALSE),VLOOKUP($E56,武器奇术!$A:$R,2,FALSE))*(1+BM56)*(1+BN56)*BO56</f>
        <v>0</v>
      </c>
      <c r="BW56" s="104">
        <f t="shared" si="23"/>
        <v>0.0311</v>
      </c>
      <c r="BX56" s="112">
        <f t="shared" si="24"/>
        <v>0</v>
      </c>
      <c r="BY56" s="110">
        <f>$B$11*IF($G$5="撼天",1.05,1)+IF(AND(VLOOKUP($E56,武器奇术!$A:$R,15,FALSE)="武器",VLOOKUP($E56,武器奇术!$A:$R,17,FALSE)="牵丝"),$E$3*(1+$E$15),0)</f>
        <v>686.71</v>
      </c>
      <c r="BZ56" s="102">
        <f>IF(VLOOKUP($E56,武器奇术!$A:$Z,18,FALSE)="叶龙",(CA56-(BY56+CA56)*0.5)*($G$15-0.5)*2+(BY56+CA56)*0.5,(BY56+CA56)*0.5)</f>
        <v>1052.21</v>
      </c>
      <c r="CA56" s="102">
        <f>MAX($C$11*IF($G$5="撼天",1.05,1)+IF(AND(VLOOKUP($E56,武器奇术!$A:$R,15,FALSE)="武器",VLOOKUP($E56,武器奇术!$A:$R,17,FALSE)="牵丝"),$E$3*(1+$E$15),0),BY56)</f>
        <v>1417.71</v>
      </c>
      <c r="CB56" s="104">
        <f>IF(($D$11+IF(VLOOKUP($E56,武器奇术!$A:$R,17,FALSE)="牵丝",$D$15,0)-VLOOKUP($F$7,目标属性!$A:$R,6,FALSE))&gt;0,($D$11+IF(VLOOKUP($E56,武器奇术!$A:$R,17,FALSE)="牵丝",$D$15,0)-VLOOKUP($F$7,目标属性!$A:$R,6,FALSE))/200,($D$11+IF(VLOOKUP($E56,武器奇术!$A:$R,17,FALSE)="牵丝",$D$15,0)-VLOOKUP($F$7,目标属性!$A:$R,6,FALSE))/100)</f>
        <v>0.028</v>
      </c>
      <c r="CC56" s="111">
        <f>$E$11+IF($G$5="烟柳",IF(VLOOKUP($E56,武器奇术!$A:$T,20,FALSE)=1,0.1,0),0)</f>
        <v>0.148</v>
      </c>
      <c r="CD56" s="102">
        <v>1</v>
      </c>
      <c r="CE56" s="103">
        <f>BY56*IF(VLOOKUP($E56,武器奇术!$A:$R,17,FALSE)="牵丝",VLOOKUP($E56,武器奇术!$A:$R,4,FALSE),VLOOKUP($E56,武器奇术!$A:$R,2,FALSE))*(1+CB56)*(1+CC56)*CD56</f>
        <v>655.22189082504</v>
      </c>
      <c r="CF56" s="104">
        <f>(1-IF(VLOOKUP($E56,武器奇术!$A:$R,18,FALSE)="叶龙",1,$N56))*(1-$M56)</f>
        <v>0</v>
      </c>
      <c r="CG56" s="124">
        <f>BZ56*IF(VLOOKUP($E56,武器奇术!$A:$R,17,FALSE)="牵丝",VLOOKUP($E56,武器奇术!$A:$R,4,FALSE),VLOOKUP($E56,武器奇术!$A:$R,2,FALSE))*(1+CB56)*(1+CC56)*CD56*(1+$E$16+VLOOKUP($E56,武器奇术!$A:$R,8,FALSE))</f>
        <v>1901.50480226159</v>
      </c>
      <c r="CH56" s="104">
        <f t="shared" si="25"/>
        <v>0.8703</v>
      </c>
      <c r="CI56" s="103">
        <f>CA56*IF(VLOOKUP($E56,武器奇术!$A:$R,17,FALSE)="牵丝",VLOOKUP($E56,武器奇术!$A:$R,4,FALSE),VLOOKUP($E56,武器奇术!$A:$R,2,FALSE))*(1+CB56)*(1+CC56)*CD56*(1+$E$17+VLOOKUP($E56,武器奇术!$A:$R,10,FALSE))</f>
        <v>1826.1489511382</v>
      </c>
      <c r="CJ56" s="104">
        <f t="shared" si="26"/>
        <v>0.0986</v>
      </c>
      <c r="CK56" s="124">
        <f>BZ56*IF(VLOOKUP($E56,武器奇术!$A:$R,17,FALSE)="牵丝",VLOOKUP($E56,武器奇术!$A:$R,4,FALSE),VLOOKUP($E56,武器奇术!$A:$R,2,FALSE))*(1+CB56)*(1+CC56)*CD56</f>
        <v>1003.96240879704</v>
      </c>
      <c r="CL56" s="104">
        <f t="shared" si="27"/>
        <v>0.0311</v>
      </c>
      <c r="CM56" s="112">
        <f t="shared" si="28"/>
        <v>1866.16114690408</v>
      </c>
      <c r="CN56" s="110">
        <f>$B$13*IF($G$5="撼天",1.05,1)+IF(AND(VLOOKUP($E56,武器奇术!$A:$R,15,FALSE)="武器",VLOOKUP($E56,武器奇术!$A:$R,17,FALSE)="破竹"),$E$3*(1+$E$15),0)</f>
        <v>0</v>
      </c>
      <c r="CO56" s="102">
        <f t="shared" si="29"/>
        <v>0</v>
      </c>
      <c r="CP56" s="102">
        <f>MAX($C$13*IF($G$5="撼天",1.05,1)+IF(AND(VLOOKUP($E56,武器奇术!$A:$R,15,FALSE)="武器",VLOOKUP($E56,武器奇术!$A:$R,17,FALSE)="破竹"),$E$3*(1+$E$15),0),CN56)</f>
        <v>0</v>
      </c>
      <c r="CQ56" s="104">
        <f>IF(($D$13+IF(VLOOKUP($E56,武器奇术!$A:$R,17,FALSE)="破竹",$D$15,0)-VLOOKUP($F$7,目标属性!$A:$R,6,FALSE))&gt;0,($D$13+IF(VLOOKUP($E56,武器奇术!$A:$R,17,FALSE)="破竹",$D$15,0)-VLOOKUP($F$7,目标属性!$A:$R,6,FALSE))/200,($D$13+IF(VLOOKUP($E56,武器奇术!$A:$R,17,FALSE)="破竹",$D$15,0)-VLOOKUP($F$7,目标属性!$A:$R,6,FALSE))/100)</f>
        <v>-0.24</v>
      </c>
      <c r="CR56" s="111">
        <f t="shared" si="30"/>
        <v>0</v>
      </c>
      <c r="CS56" s="102">
        <v>1</v>
      </c>
      <c r="CT56" s="103">
        <f>CN56*IF(VLOOKUP($E56,武器奇术!$A:$R,17,FALSE)="破竹",VLOOKUP($E56,武器奇术!$A:$R,4,FALSE),VLOOKUP($E56,武器奇术!$A:$R,2,FALSE))*(1+CQ56)*(1+CR56)*CS56</f>
        <v>0</v>
      </c>
      <c r="CU56" s="104">
        <f>(1-IF(VLOOKUP($E56,武器奇术!$A:$R,18,FALSE)="叶龙",1,$N56))*(1-$M56)</f>
        <v>0</v>
      </c>
      <c r="CV56" s="103">
        <f>CO56*IF(VLOOKUP($E56,武器奇术!$A:$R,17,FALSE)="破竹",VLOOKUP($E56,武器奇术!$A:$R,4,FALSE),VLOOKUP($E56,武器奇术!$A:$R,2,FALSE))*(1+CQ56)*(1+CR56)*CS56*(1+$E$16+VLOOKUP($E56,武器奇术!$A:$R,8,FALSE))</f>
        <v>0</v>
      </c>
      <c r="CW56" s="104">
        <f t="shared" si="31"/>
        <v>0.8703</v>
      </c>
      <c r="CX56" s="103">
        <f>CP56*IF(VLOOKUP($E56,武器奇术!$A:$R,17,FALSE)="破竹",VLOOKUP($E56,武器奇术!$A:$R,4,FALSE),VLOOKUP($E56,武器奇术!$A:$R,2,FALSE))*(1+CQ56)*(1+CR56)*CS56*(1+$E$17+VLOOKUP($E56,武器奇术!$A:$R,10,FALSE))</f>
        <v>0</v>
      </c>
      <c r="CY56" s="104">
        <f t="shared" si="32"/>
        <v>0.0986</v>
      </c>
      <c r="CZ56" s="103">
        <f>CO56*IF(VLOOKUP($E56,武器奇术!$A:$R,17,FALSE)="破竹",VLOOKUP($E56,武器奇术!$A:$R,4,FALSE),VLOOKUP($E56,武器奇术!$A:$R,2,FALSE))*(1+CQ56)*(1+CR56)*CS56</f>
        <v>0</v>
      </c>
      <c r="DA56" s="104">
        <f t="shared" si="33"/>
        <v>0.0311</v>
      </c>
      <c r="DB56" s="112">
        <f t="shared" si="34"/>
        <v>0</v>
      </c>
      <c r="DC56" s="110">
        <f t="shared" si="35"/>
        <v>66</v>
      </c>
      <c r="DD56" s="102">
        <f t="shared" si="36"/>
        <v>125.8</v>
      </c>
      <c r="DE56" s="102">
        <f t="shared" si="37"/>
        <v>185.6</v>
      </c>
      <c r="DF56" s="104">
        <f>IF((IF(VLOOKUP($E56,武器奇术!$A:$R,17,FALSE)="鸣金",$D$7,0)+IF(VLOOKUP($E56,武器奇术!$A:$R,17,FALSE)="裂石",$D$9,0)+IF(VLOOKUP($E56,武器奇术!$A:$R,17,FALSE)="牵丝",$D$11,0)+IF(VLOOKUP($E56,武器奇术!$A:$R,17,FALSE)="破竹",$D$13,0)+$D$15-VLOOKUP($F$7,目标属性!$A:$R,6,FALSE))&gt;0,(IF(VLOOKUP($E56,武器奇术!$A:$R,17,FALSE)="鸣金",$D$7,0)+IF(VLOOKUP($E56,武器奇术!$A:$R,17,FALSE)="裂石",$D$9,0)+IF(VLOOKUP($E56,武器奇术!$A:$R,17,FALSE)="牵丝",$D$11,0)+IF(VLOOKUP($E56,武器奇术!$A:$R,17,FALSE)="破竹",$D$13,0)+$D$15-VLOOKUP($F$7,目标属性!$A:$R,6,FALSE))/200,(IF(VLOOKUP($E56,武器奇术!$A:$R,17,FALSE)="鸣金",$D$7,0)+IF(VLOOKUP($E56,武器奇术!$A:$R,17,FALSE)="裂石",$D$9,0)+IF(VLOOKUP($E56,武器奇术!$A:$R,17,FALSE)="牵丝",$D$11,0)+IF(VLOOKUP($E56,武器奇术!$A:$R,17,FALSE)="破竹",$D$13,0)+$D$15-VLOOKUP($F$7,目标属性!$A:$R,6,FALSE))/100)</f>
        <v>0.028</v>
      </c>
      <c r="DG56" s="111">
        <f>$E$11+IF($G$5="烟柳",IF(VLOOKUP($E56,武器奇术!$A:$T,20,FALSE)=1,0.1,0),0)</f>
        <v>0.148</v>
      </c>
      <c r="DH56" s="102">
        <v>1</v>
      </c>
      <c r="DI56" s="103">
        <f>DC56*IF(VLOOKUP($E56,武器奇术!$A:$R,17,FALSE)="牵丝",VLOOKUP($E56,武器奇术!$A:$R,4,FALSE),VLOOKUP($E56,武器奇术!$A:$R,2,FALSE))*(1+DF56)*(1+DG56)*DH56</f>
        <v>62.973663984</v>
      </c>
      <c r="DJ56" s="104">
        <f>(1-IF(VLOOKUP($E56,武器奇术!$A:$R,18,FALSE)="叶龙",1,$N56))*(1-$M56)</f>
        <v>0</v>
      </c>
      <c r="DK56" s="124">
        <f>DD56*IF(VLOOKUP($E56,武器奇术!$A:$R,17,FALSE)="牵丝",VLOOKUP($E56,武器奇术!$A:$R,4,FALSE),VLOOKUP($E56,武器奇术!$A:$R,2,FALSE))*(1+DF56)*(1+DG56)*DH56*(1+$E$16+VLOOKUP($E56,武器奇术!$A:$R,8,FALSE))</f>
        <v>227.339888543645</v>
      </c>
      <c r="DL56" s="104">
        <f t="shared" si="38"/>
        <v>0.8703</v>
      </c>
      <c r="DM56" s="103">
        <f>DE56*IF(VLOOKUP($E56,武器奇术!$A:$R,17,FALSE)="牵丝",VLOOKUP($E56,武器奇术!$A:$R,4,FALSE),VLOOKUP($E56,武器奇术!$A:$R,2,FALSE))*(1+DF56)*(1+DG56)*DH56*(1+$E$17+VLOOKUP($E56,武器奇术!$A:$R,10,FALSE))</f>
        <v>239.07092799744</v>
      </c>
      <c r="DN56" s="104">
        <f t="shared" si="39"/>
        <v>0.0986</v>
      </c>
      <c r="DO56" s="124">
        <f>DD56*IF(VLOOKUP($E56,武器奇术!$A:$R,17,FALSE)="牵丝",VLOOKUP($E56,武器奇术!$A:$R,4,FALSE),VLOOKUP($E56,武器奇术!$A:$R,2,FALSE))*(1+DF56)*(1+DG56)*DH56</f>
        <v>120.0316201392</v>
      </c>
      <c r="DP56" s="104">
        <f t="shared" si="40"/>
        <v>0.0311</v>
      </c>
      <c r="DQ56" s="112">
        <f t="shared" si="41"/>
        <v>225.159281886411</v>
      </c>
    </row>
    <row r="57" customFormat="1" customHeight="1" spans="1:121">
      <c r="A57" s="139"/>
      <c r="B57" s="139"/>
      <c r="C57" s="139"/>
      <c r="D57" s="139"/>
      <c r="E57" s="115" t="str">
        <f>期望!E57</f>
        <v>衍九矢(大纵气竭)</v>
      </c>
      <c r="F57" s="116">
        <f>期望!F57</f>
        <v>1</v>
      </c>
      <c r="G57" s="117"/>
      <c r="H57" s="103">
        <f>IF(VLOOKUP($E57,武器奇术!$A:$R,18,FALSE)="天工",AE57,(AE57+AT57+BI57+BX57+CM57+DB57+DQ57))*(1+J57)*F57*K57*(1+G57)</f>
        <v>134784.681629361</v>
      </c>
      <c r="I57" s="104">
        <f t="shared" si="0"/>
        <v>0.0155339288793641</v>
      </c>
      <c r="J57" s="138">
        <f>$F$3+VLOOKUP($E57,武器奇术!$A:$R,12,FALSE)+VLOOKUP($E57,武器奇术!$A:$R,14,FALSE)*$G$3+$P57</f>
        <v>0.433</v>
      </c>
      <c r="K57" s="105">
        <f>VLOOKUP($E57,武器奇术!$A:$R,11,FALSE)</f>
        <v>1</v>
      </c>
      <c r="L57" s="119">
        <f>IF(VLOOKUP($E57,武器奇术!$A:$R,15,FALSE)="天工",0%,IF($C$17+VLOOKUP($E57,武器奇术!$A:$R,7,FALSE)&gt;80%,80%,$C$17+VLOOKUP($E57,武器奇术!$A:$R,7,FALSE))+IF($C$19&gt;20%,20%,$C$19))</f>
        <v>0.8703</v>
      </c>
      <c r="M57" s="120">
        <f>IF(VLOOKUP($E57,武器奇术!$A:$R,15,FALSE)="天工",0%,IF($C$18+VLOOKUP($E57,武器奇术!$A:$R,9,FALSE)&gt;40%,40%,$C$18+VLOOKUP($E57,武器奇术!$A:$R,9,FALSE))+IF($C$20&gt;10%,10%,$C$20))</f>
        <v>0.0986</v>
      </c>
      <c r="N57" s="121">
        <f>IF(VLOOKUP($E57,武器奇术!$A:$R,15,FALSE)="天工",100%,MIN($C$16,1))</f>
        <v>1</v>
      </c>
      <c r="O57" s="122" t="str">
        <f>VLOOKUP($E57,武器奇术!$A:$R,16,FALSE)</f>
        <v>群体奇术</v>
      </c>
      <c r="P57" s="123">
        <f t="shared" si="1"/>
        <v>0</v>
      </c>
      <c r="Q57" s="110">
        <f>$B$5*(1+VLOOKUP($E57,武器奇术!$A:$R,5,FALSE))*(1+VLOOKUP($E57,武器奇术!$A:$S,19,FALSE)+IF($G$5="飞隼",0.1,0)+IF($G$5="撼天",0.05,0))-$F$9+IF($J$5="√",160,0)</f>
        <v>3324.7</v>
      </c>
      <c r="R57" s="102">
        <f>IF(VLOOKUP($E57,武器奇术!$A:$Z,18,FALSE)="叶龙",(S57-(Q57+S57)*0.5)*($G$15-0.5)*2+(Q57+S57)*0.5,(Q57+S57)*0.5)</f>
        <v>3404.7</v>
      </c>
      <c r="S57" s="102">
        <f>MAX($C$5,$B$5)*(1+VLOOKUP($E57,武器奇术!$A:$R,6,FALSE))*(1+VLOOKUP($E57,武器奇术!$A:$S,19,FALSE)+IF($G$5="飞隼",0.1,0)+IF($G$5="撼天",0.05,0))-$F$9+IF($J$5="√",320,0)</f>
        <v>3484.7</v>
      </c>
      <c r="T57" s="104">
        <f>IF(($D$5+VLOOKUP($E57,武器奇术!$A:$R,13,FALSE)+IF($I$3="√",10,0)-VLOOKUP($F$7,目标属性!$A:$R,5,FALSE))&gt;0,($D$5+VLOOKUP($E57,武器奇术!$A:$R,13,FALSE)+IF($I$3="√",10,0)-VLOOKUP($F$7,目标属性!$A:$R,5,FALSE))/200,($D$5+VLOOKUP($E57,武器奇术!$A:$R,13,FALSE)+IF($I$3="√",10,0)-VLOOKUP($F$7,目标属性!$A:$R,5,FALSE))/100)</f>
        <v>0.3925</v>
      </c>
      <c r="U57" s="111">
        <f>$E$5+IF($G$5="烟柳",IF(VLOOKUP($E57,武器奇术!$A:$T,20,FALSE)=1,0.1,0),0)</f>
        <v>0</v>
      </c>
      <c r="V57" s="102">
        <v>1</v>
      </c>
      <c r="W57" s="103">
        <f>Q57*VLOOKUP($E57,武器奇术!$A:$R,2,FALSE)*(1+T57)*(1+U57)*V57</f>
        <v>35372.3377479</v>
      </c>
      <c r="X57" s="104">
        <f>(1-IF(VLOOKUP($E57,武器奇术!$A:$R,18,FALSE)="叶龙",1,$N57))*(1-$M57)</f>
        <v>0</v>
      </c>
      <c r="Y57" s="103">
        <f>R57*VLOOKUP($E57,武器奇术!$A:$R,2,FALSE)*(1+T57)*(1+U57)*V57*(1+$E$16+VLOOKUP($E57,武器奇术!$A:$R,8,FALSE))</f>
        <v>68607.2679151626</v>
      </c>
      <c r="Z57" s="104">
        <f t="shared" si="2"/>
        <v>0.8703</v>
      </c>
      <c r="AA57" s="103">
        <f>S57*VLOOKUP($E57,武器奇术!$A:$R,2,FALSE)*(1+T57)*(1+U57)*V57*(1+$E$17+VLOOKUP($E57,武器奇术!$A:$R,10,FALSE))</f>
        <v>50050.735471665</v>
      </c>
      <c r="AB57" s="104">
        <f t="shared" si="3"/>
        <v>0.0986</v>
      </c>
      <c r="AC57" s="103">
        <f>R57*VLOOKUP($E57,武器奇术!$A:$R,2,FALSE)*(1+T57)*(1+U57)*V57</f>
        <v>36223.4783079</v>
      </c>
      <c r="AD57" s="104">
        <f t="shared" si="4"/>
        <v>0.0311</v>
      </c>
      <c r="AE57" s="112">
        <f t="shared" si="5"/>
        <v>65770.4579594479</v>
      </c>
      <c r="AF57" s="113">
        <f>VLOOKUP($E57,武器奇术!$A:$R,3,FALSE)*(1+IF(VLOOKUP($E57,武器奇术!$A:$R,15,FALSE)="武器",$E$15,0))</f>
        <v>1365</v>
      </c>
      <c r="AG57" s="103">
        <f t="shared" si="6"/>
        <v>1365</v>
      </c>
      <c r="AH57" s="103">
        <f>VLOOKUP($E57,武器奇术!$A:$R,3,FALSE)*(1+IF(VLOOKUP($E57,武器奇术!$A:$R,15,FALSE)="武器",$E$15,0))</f>
        <v>1365</v>
      </c>
      <c r="AI57" s="104">
        <f>IF(($D$5+VLOOKUP($E57,武器奇术!$A:$R,13,FALSE)+IF($I$3="√",10,0)-VLOOKUP($F$7,目标属性!$A:$R,5,FALSE))&gt;0,($D$5+VLOOKUP($E57,武器奇术!$A:$R,13,FALSE)+IF($I$3="√",10,0)-VLOOKUP($F$7,目标属性!$A:$R,5,FALSE))/200,($D$5+VLOOKUP($E57,武器奇术!$A:$R,13,FALSE)+IF($I$3="√",10,0)-VLOOKUP($F$7,目标属性!$A:$R,5,FALSE))/100)</f>
        <v>0.3925</v>
      </c>
      <c r="AJ57" s="111">
        <f>$E$5+IF($G$5="烟柳",IF(VLOOKUP($E57,武器奇术!$A:$T,20,FALSE)=1,0.1,0),0)</f>
        <v>0</v>
      </c>
      <c r="AK57" s="102">
        <v>1</v>
      </c>
      <c r="AL57" s="103">
        <f t="shared" si="7"/>
        <v>1900.7625</v>
      </c>
      <c r="AM57" s="104">
        <f>(1-IF(VLOOKUP($E57,武器奇术!$A:$R,18,FALSE)="叶龙",1,$N57))*(1-$M57)</f>
        <v>0</v>
      </c>
      <c r="AN57" s="103">
        <f>AG57*(1+AI57)*(1+AJ57)*AK57*(1+$E$16+VLOOKUP($E57,武器奇术!$A:$R,8,FALSE))</f>
        <v>3600.044175</v>
      </c>
      <c r="AO57" s="104">
        <f t="shared" si="8"/>
        <v>0.8703</v>
      </c>
      <c r="AP57" s="103">
        <f>AH57*(1+AI57)*(1+AJ57)*AK57*(1+$E$17+VLOOKUP($E57,武器奇术!$A:$R,10,FALSE))</f>
        <v>2566.029375</v>
      </c>
      <c r="AQ57" s="104">
        <f t="shared" si="9"/>
        <v>0.0986</v>
      </c>
      <c r="AR57" s="103">
        <f t="shared" si="10"/>
        <v>1900.7625</v>
      </c>
      <c r="AS57" s="104">
        <f t="shared" si="11"/>
        <v>0.0311</v>
      </c>
      <c r="AT57" s="112">
        <f t="shared" si="12"/>
        <v>3445.2426556275</v>
      </c>
      <c r="AU57" s="110">
        <f>$B$7*IF($G$5="撼天",1.05,1)+IF(AND(VLOOKUP($E57,武器奇术!$A:$R,15,FALSE)="武器",VLOOKUP($E57,武器奇术!$A:$R,17,FALSE)="鸣金"),$E$3*(1+$E$15),0)</f>
        <v>0</v>
      </c>
      <c r="AV57" s="102">
        <f t="shared" si="13"/>
        <v>0</v>
      </c>
      <c r="AW57" s="102">
        <f>MAX($C$7*IF($G$5="撼天",1.05,1)+IF(AND(VLOOKUP($E57,武器奇术!$A:$R,15,FALSE)="武器",VLOOKUP($E57,武器奇术!$A:$R,17,FALSE)="鸣金"),$E$3*(1+$E$15),0),AU57)</f>
        <v>0</v>
      </c>
      <c r="AX57" s="104">
        <f>IF(($D$7+IF(VLOOKUP($E57,武器奇术!$A:$R,17,FALSE)="鸣金",$D$15,0)-VLOOKUP($F$7,目标属性!$A:$R,6,FALSE))&gt;0,($D$7+IF(VLOOKUP($E57,武器奇术!$A:$R,17,FALSE)="鸣金",$D$15,0)-VLOOKUP($F$7,目标属性!$A:$R,6,FALSE))/200,($D$7+IF(VLOOKUP($E57,武器奇术!$A:$R,17,FALSE)="鸣金",$D$15,0)-VLOOKUP($F$7,目标属性!$A:$R,6,FALSE))/100)</f>
        <v>-0.24</v>
      </c>
      <c r="AY57" s="111">
        <f t="shared" si="14"/>
        <v>0</v>
      </c>
      <c r="AZ57" s="102">
        <v>1</v>
      </c>
      <c r="BA57" s="103">
        <f>AU57*IF(VLOOKUP($E57,武器奇术!$A:$R,17,FALSE)="鸣金",VLOOKUP($E57,武器奇术!$A:$R,4,FALSE),VLOOKUP($E57,武器奇术!$A:$R,2,FALSE))*(1+AX57)*(1+AY57)*AZ57</f>
        <v>0</v>
      </c>
      <c r="BB57" s="104">
        <f>(1-IF(VLOOKUP($E57,武器奇术!$A:$R,18,FALSE)="叶龙",1,$N57))*(1-$M57)</f>
        <v>0</v>
      </c>
      <c r="BC57" s="103">
        <f>AV57*IF(VLOOKUP($E57,武器奇术!$A:$R,17,FALSE)="鸣金",VLOOKUP($E57,武器奇术!$A:$R,4,FALSE),VLOOKUP($E57,武器奇术!$A:$R,2,FALSE))*(1+AX57)*(1+AY57)*AZ57*(1+$E$16+VLOOKUP($E57,武器奇术!$A:$R,8,FALSE))</f>
        <v>0</v>
      </c>
      <c r="BD57" s="104">
        <f t="shared" si="15"/>
        <v>0.8703</v>
      </c>
      <c r="BE57" s="103">
        <f>AW57*IF(VLOOKUP($E57,武器奇术!$A:$R,17,FALSE)="鸣金",VLOOKUP($E57,武器奇术!$A:$R,4,FALSE),VLOOKUP($E57,武器奇术!$A:$R,2,FALSE))*(1+AX57)*(1+AY57)*AZ57*(1+$E$17+VLOOKUP($E57,武器奇术!$A:$R,10,FALSE))</f>
        <v>0</v>
      </c>
      <c r="BF57" s="104">
        <f t="shared" si="16"/>
        <v>0.0986</v>
      </c>
      <c r="BG57" s="103">
        <f>AV57*IF(VLOOKUP($E57,武器奇术!$A:$R,17,FALSE)="鸣金",VLOOKUP($E57,武器奇术!$A:$R,4,FALSE),VLOOKUP($E57,武器奇术!$A:$R,2,FALSE))*(1+AX57)*(1+AY57)*AZ57</f>
        <v>0</v>
      </c>
      <c r="BH57" s="104">
        <f t="shared" si="17"/>
        <v>0.0311</v>
      </c>
      <c r="BI57" s="112">
        <f t="shared" si="18"/>
        <v>0</v>
      </c>
      <c r="BJ57" s="110">
        <f>$B$9*IF($G$5="撼天",1.05,1)+IF(AND(VLOOKUP($E57,武器奇术!$A:$R,15,FALSE)="武器",VLOOKUP($E57,武器奇术!$A:$R,17,FALSE)="裂石"),$E$3*(1+$E$15),0)</f>
        <v>0</v>
      </c>
      <c r="BK57" s="102">
        <f t="shared" si="19"/>
        <v>0</v>
      </c>
      <c r="BL57" s="102">
        <f>MAX($C$9*IF($G$5="撼天",1.05,1)+IF(AND(VLOOKUP($E57,武器奇术!$A:$R,15,FALSE)="武器",VLOOKUP($E57,武器奇术!$A:$R,17,FALSE)="裂石"),$E$3*(1+$E$15),0),BJ57)</f>
        <v>0</v>
      </c>
      <c r="BM57" s="104">
        <f>IF(($D$9+IF(VLOOKUP($E57,武器奇术!$A:$R,17,FALSE)="裂石",$D$15,0)-VLOOKUP($F$7,目标属性!$A:$R,6,FALSE))&gt;0,($D$9+IF(VLOOKUP($E57,武器奇术!$A:$R,17,FALSE)="裂石",$D$15,0)-VLOOKUP($F$7,目标属性!$A:$R,6,FALSE))/200,($D$9+IF(VLOOKUP($E57,武器奇术!$A:$R,17,FALSE)="裂石",$D$15,0)-VLOOKUP($F$7,目标属性!$A:$R,6,FALSE))/100)</f>
        <v>-0.24</v>
      </c>
      <c r="BN57" s="111">
        <f t="shared" si="20"/>
        <v>0</v>
      </c>
      <c r="BO57" s="102">
        <v>1</v>
      </c>
      <c r="BP57" s="103">
        <f>BJ57*IF(VLOOKUP($E57,武器奇术!$A:$R,17,FALSE)="裂石",VLOOKUP($E57,武器奇术!$A:$R,4,FALSE),VLOOKUP($E57,武器奇术!$A:$R,2,FALSE))*(1+BM57)*(1+BN57)*BO57</f>
        <v>0</v>
      </c>
      <c r="BQ57" s="104">
        <f>(1-IF(VLOOKUP($E57,武器奇术!$A:$R,18,FALSE)="叶龙",1,$N57))*(1-$M57)</f>
        <v>0</v>
      </c>
      <c r="BR57" s="103">
        <f>BK57*IF(VLOOKUP($E57,武器奇术!$A:$R,17,FALSE)="裂石",VLOOKUP($E57,武器奇术!$A:$R,4,FALSE),VLOOKUP($E57,武器奇术!$A:$R,2,FALSE))*(1+BM57)*(1+BN57)*BO57*(1+$E$16+VLOOKUP($E57,武器奇术!$A:$R,8,FALSE))</f>
        <v>0</v>
      </c>
      <c r="BS57" s="104">
        <f t="shared" si="21"/>
        <v>0.8703</v>
      </c>
      <c r="BT57" s="103">
        <f>BL57*IF(VLOOKUP($E57,武器奇术!$A:$R,17,FALSE)="裂石",VLOOKUP($E57,武器奇术!$A:$R,4,FALSE),VLOOKUP($E57,武器奇术!$A:$R,2,FALSE))*(1+BM57)*(1+BN57)*BO57*(1+$E$17+VLOOKUP($E57,武器奇术!$A:$R,10,FALSE))</f>
        <v>0</v>
      </c>
      <c r="BU57" s="104">
        <f t="shared" si="22"/>
        <v>0.0986</v>
      </c>
      <c r="BV57" s="103">
        <f>BK57*IF(VLOOKUP($E57,武器奇术!$A:$R,17,FALSE)="裂石",VLOOKUP($E57,武器奇术!$A:$R,4,FALSE),VLOOKUP($E57,武器奇术!$A:$R,2,FALSE))*(1+BM57)*(1+BN57)*BO57</f>
        <v>0</v>
      </c>
      <c r="BW57" s="104">
        <f t="shared" si="23"/>
        <v>0.0311</v>
      </c>
      <c r="BX57" s="112">
        <f t="shared" si="24"/>
        <v>0</v>
      </c>
      <c r="BY57" s="110">
        <f>$B$11*IF($G$5="撼天",1.05,1)+IF(AND(VLOOKUP($E57,武器奇术!$A:$R,15,FALSE)="武器",VLOOKUP($E57,武器奇术!$A:$R,17,FALSE)="牵丝"),$E$3*(1+$E$15),0)</f>
        <v>490.8</v>
      </c>
      <c r="BZ57" s="102">
        <f>IF(VLOOKUP($E57,武器奇术!$A:$Z,18,FALSE)="叶龙",(CA57-(BY57+CA57)*0.5)*($G$15-0.5)*2+(BY57+CA57)*0.5,(BY57+CA57)*0.5)</f>
        <v>856.3</v>
      </c>
      <c r="CA57" s="102">
        <f>MAX($C$11*IF($G$5="撼天",1.05,1)+IF(AND(VLOOKUP($E57,武器奇术!$A:$R,15,FALSE)="武器",VLOOKUP($E57,武器奇术!$A:$R,17,FALSE)="牵丝"),$E$3*(1+$E$15),0),BY57)</f>
        <v>1221.8</v>
      </c>
      <c r="CB57" s="104">
        <f>IF(($D$11+IF(VLOOKUP($E57,武器奇术!$A:$R,17,FALSE)="牵丝",$D$15,0)-VLOOKUP($F$7,目标属性!$A:$R,6,FALSE))&gt;0,($D$11+IF(VLOOKUP($E57,武器奇术!$A:$R,17,FALSE)="牵丝",$D$15,0)-VLOOKUP($F$7,目标属性!$A:$R,6,FALSE))/200,($D$11+IF(VLOOKUP($E57,武器奇术!$A:$R,17,FALSE)="牵丝",$D$15,0)-VLOOKUP($F$7,目标属性!$A:$R,6,FALSE))/100)</f>
        <v>0.028</v>
      </c>
      <c r="CC57" s="111">
        <f>$E$11+IF($G$5="烟柳",IF(VLOOKUP($E57,武器奇术!$A:$T,20,FALSE)=1,0.1,0),0)</f>
        <v>0.148</v>
      </c>
      <c r="CD57" s="102">
        <v>1</v>
      </c>
      <c r="CE57" s="103">
        <f>BY57*IF(VLOOKUP($E57,武器奇术!$A:$R,17,FALSE)="牵丝",VLOOKUP($E57,武器奇术!$A:$R,4,FALSE),VLOOKUP($E57,武器奇术!$A:$R,2,FALSE))*(1+CB57)*(1+CC57)*CD57</f>
        <v>6638.14770659712</v>
      </c>
      <c r="CF57" s="104">
        <f>(1-IF(VLOOKUP($E57,武器奇术!$A:$R,18,FALSE)="叶龙",1,$N57))*(1-$M57)</f>
        <v>0</v>
      </c>
      <c r="CG57" s="124">
        <f>BZ57*IF(VLOOKUP($E57,武器奇术!$A:$R,17,FALSE)="牵丝",VLOOKUP($E57,武器奇术!$A:$R,4,FALSE),VLOOKUP($E57,武器奇术!$A:$R,2,FALSE))*(1+CB57)*(1+CC57)*CD57*(1+$E$16+VLOOKUP($E57,武器奇术!$A:$R,8,FALSE))</f>
        <v>21935.5372838536</v>
      </c>
      <c r="CH57" s="104">
        <f t="shared" si="25"/>
        <v>0.8703</v>
      </c>
      <c r="CI57" s="103">
        <f>CA57*IF(VLOOKUP($E57,武器奇术!$A:$R,17,FALSE)="牵丝",VLOOKUP($E57,武器奇术!$A:$R,4,FALSE),VLOOKUP($E57,武器奇术!$A:$R,2,FALSE))*(1+CB57)*(1+CC57)*CD57*(1+$E$17+VLOOKUP($E57,武器奇术!$A:$R,10,FALSE))</f>
        <v>22308.801898314</v>
      </c>
      <c r="CJ57" s="104">
        <f t="shared" si="26"/>
        <v>0.0986</v>
      </c>
      <c r="CK57" s="124">
        <f>BZ57*IF(VLOOKUP($E57,武器奇术!$A:$R,17,FALSE)="牵丝",VLOOKUP($E57,武器奇术!$A:$R,4,FALSE),VLOOKUP($E57,武器奇术!$A:$R,2,FALSE))*(1+CB57)*(1+CC57)*CD57</f>
        <v>11581.5930748963</v>
      </c>
      <c r="CL57" s="104">
        <f t="shared" si="27"/>
        <v>0.0311</v>
      </c>
      <c r="CM57" s="112">
        <f t="shared" si="28"/>
        <v>21650.3335099408</v>
      </c>
      <c r="CN57" s="110">
        <f>$B$13*IF($G$5="撼天",1.05,1)+IF(AND(VLOOKUP($E57,武器奇术!$A:$R,15,FALSE)="武器",VLOOKUP($E57,武器奇术!$A:$R,17,FALSE)="破竹"),$E$3*(1+$E$15),0)</f>
        <v>0</v>
      </c>
      <c r="CO57" s="102">
        <f t="shared" si="29"/>
        <v>0</v>
      </c>
      <c r="CP57" s="102">
        <f>MAX($C$13*IF($G$5="撼天",1.05,1)+IF(AND(VLOOKUP($E57,武器奇术!$A:$R,15,FALSE)="武器",VLOOKUP($E57,武器奇术!$A:$R,17,FALSE)="破竹"),$E$3*(1+$E$15),0),CN57)</f>
        <v>0</v>
      </c>
      <c r="CQ57" s="104">
        <f>IF(($D$13+IF(VLOOKUP($E57,武器奇术!$A:$R,17,FALSE)="破竹",$D$15,0)-VLOOKUP($F$7,目标属性!$A:$R,6,FALSE))&gt;0,($D$13+IF(VLOOKUP($E57,武器奇术!$A:$R,17,FALSE)="破竹",$D$15,0)-VLOOKUP($F$7,目标属性!$A:$R,6,FALSE))/200,($D$13+IF(VLOOKUP($E57,武器奇术!$A:$R,17,FALSE)="破竹",$D$15,0)-VLOOKUP($F$7,目标属性!$A:$R,6,FALSE))/100)</f>
        <v>-0.24</v>
      </c>
      <c r="CR57" s="111">
        <f t="shared" si="30"/>
        <v>0</v>
      </c>
      <c r="CS57" s="102">
        <v>1</v>
      </c>
      <c r="CT57" s="103">
        <f>CN57*IF(VLOOKUP($E57,武器奇术!$A:$R,17,FALSE)="破竹",VLOOKUP($E57,武器奇术!$A:$R,4,FALSE),VLOOKUP($E57,武器奇术!$A:$R,2,FALSE))*(1+CQ57)*(1+CR57)*CS57</f>
        <v>0</v>
      </c>
      <c r="CU57" s="104">
        <f>(1-IF(VLOOKUP($E57,武器奇术!$A:$R,18,FALSE)="叶龙",1,$N57))*(1-$M57)</f>
        <v>0</v>
      </c>
      <c r="CV57" s="103">
        <f>CO57*IF(VLOOKUP($E57,武器奇术!$A:$R,17,FALSE)="破竹",VLOOKUP($E57,武器奇术!$A:$R,4,FALSE),VLOOKUP($E57,武器奇术!$A:$R,2,FALSE))*(1+CQ57)*(1+CR57)*CS57*(1+$E$16+VLOOKUP($E57,武器奇术!$A:$R,8,FALSE))</f>
        <v>0</v>
      </c>
      <c r="CW57" s="104">
        <f t="shared" si="31"/>
        <v>0.8703</v>
      </c>
      <c r="CX57" s="103">
        <f>CP57*IF(VLOOKUP($E57,武器奇术!$A:$R,17,FALSE)="破竹",VLOOKUP($E57,武器奇术!$A:$R,4,FALSE),VLOOKUP($E57,武器奇术!$A:$R,2,FALSE))*(1+CQ57)*(1+CR57)*CS57*(1+$E$17+VLOOKUP($E57,武器奇术!$A:$R,10,FALSE))</f>
        <v>0</v>
      </c>
      <c r="CY57" s="104">
        <f t="shared" si="32"/>
        <v>0.0986</v>
      </c>
      <c r="CZ57" s="103">
        <f>CO57*IF(VLOOKUP($E57,武器奇术!$A:$R,17,FALSE)="破竹",VLOOKUP($E57,武器奇术!$A:$R,4,FALSE),VLOOKUP($E57,武器奇术!$A:$R,2,FALSE))*(1+CQ57)*(1+CR57)*CS57</f>
        <v>0</v>
      </c>
      <c r="DA57" s="104">
        <f t="shared" si="33"/>
        <v>0.0311</v>
      </c>
      <c r="DB57" s="112">
        <f t="shared" si="34"/>
        <v>0</v>
      </c>
      <c r="DC57" s="110">
        <f t="shared" si="35"/>
        <v>66</v>
      </c>
      <c r="DD57" s="102">
        <f t="shared" si="36"/>
        <v>125.8</v>
      </c>
      <c r="DE57" s="102">
        <f t="shared" si="37"/>
        <v>185.6</v>
      </c>
      <c r="DF57" s="104">
        <f>IF((IF(VLOOKUP($E57,武器奇术!$A:$R,17,FALSE)="鸣金",$D$7,0)+IF(VLOOKUP($E57,武器奇术!$A:$R,17,FALSE)="裂石",$D$9,0)+IF(VLOOKUP($E57,武器奇术!$A:$R,17,FALSE)="牵丝",$D$11,0)+IF(VLOOKUP($E57,武器奇术!$A:$R,17,FALSE)="破竹",$D$13,0)+$D$15-VLOOKUP($F$7,目标属性!$A:$R,6,FALSE))&gt;0,(IF(VLOOKUP($E57,武器奇术!$A:$R,17,FALSE)="鸣金",$D$7,0)+IF(VLOOKUP($E57,武器奇术!$A:$R,17,FALSE)="裂石",$D$9,0)+IF(VLOOKUP($E57,武器奇术!$A:$R,17,FALSE)="牵丝",$D$11,0)+IF(VLOOKUP($E57,武器奇术!$A:$R,17,FALSE)="破竹",$D$13,0)+$D$15-VLOOKUP($F$7,目标属性!$A:$R,6,FALSE))/200,(IF(VLOOKUP($E57,武器奇术!$A:$R,17,FALSE)="鸣金",$D$7,0)+IF(VLOOKUP($E57,武器奇术!$A:$R,17,FALSE)="裂石",$D$9,0)+IF(VLOOKUP($E57,武器奇术!$A:$R,17,FALSE)="牵丝",$D$11,0)+IF(VLOOKUP($E57,武器奇术!$A:$R,17,FALSE)="破竹",$D$13,0)+$D$15-VLOOKUP($F$7,目标属性!$A:$R,6,FALSE))/100)</f>
        <v>0.028</v>
      </c>
      <c r="DG57" s="111">
        <f>$E$11+IF($G$5="烟柳",IF(VLOOKUP($E57,武器奇术!$A:$T,20,FALSE)=1,0.1,0),0)</f>
        <v>0.148</v>
      </c>
      <c r="DH57" s="102">
        <v>1</v>
      </c>
      <c r="DI57" s="103">
        <f>DC57*IF(VLOOKUP($E57,武器奇术!$A:$R,17,FALSE)="牵丝",VLOOKUP($E57,武器奇术!$A:$R,4,FALSE),VLOOKUP($E57,武器奇术!$A:$R,2,FALSE))*(1+DF57)*(1+DG57)*DH57</f>
        <v>892.6604495424</v>
      </c>
      <c r="DJ57" s="104">
        <f>(1-IF(VLOOKUP($E57,武器奇术!$A:$R,18,FALSE)="叶龙",1,$N57))*(1-$M57)</f>
        <v>0</v>
      </c>
      <c r="DK57" s="124">
        <f>DD57*IF(VLOOKUP($E57,武器奇术!$A:$R,17,FALSE)="牵丝",VLOOKUP($E57,武器奇术!$A:$R,4,FALSE),VLOOKUP($E57,武器奇术!$A:$R,2,FALSE))*(1+DF57)*(1+DG57)*DH57*(1+$E$16+VLOOKUP($E57,武器奇术!$A:$R,8,FALSE))</f>
        <v>3222.57455367136</v>
      </c>
      <c r="DL57" s="104">
        <f t="shared" si="38"/>
        <v>0.8703</v>
      </c>
      <c r="DM57" s="103">
        <f>DE57*IF(VLOOKUP($E57,武器奇术!$A:$R,17,FALSE)="牵丝",VLOOKUP($E57,武器奇术!$A:$R,4,FALSE),VLOOKUP($E57,武器奇术!$A:$R,2,FALSE))*(1+DF57)*(1+DG57)*DH57*(1+$E$17+VLOOKUP($E57,武器奇术!$A:$R,10,FALSE))</f>
        <v>3388.86367026279</v>
      </c>
      <c r="DN57" s="104">
        <f t="shared" si="39"/>
        <v>0.0986</v>
      </c>
      <c r="DO57" s="124">
        <f>DD57*IF(VLOOKUP($E57,武器奇术!$A:$R,17,FALSE)="牵丝",VLOOKUP($E57,武器奇术!$A:$R,4,FALSE),VLOOKUP($E57,武器奇术!$A:$R,2,FALSE))*(1+DF57)*(1+DG57)*DH57</f>
        <v>1701.46491746112</v>
      </c>
      <c r="DP57" s="104">
        <f t="shared" si="40"/>
        <v>0.0311</v>
      </c>
      <c r="DQ57" s="112">
        <f t="shared" si="41"/>
        <v>3191.66415088114</v>
      </c>
    </row>
    <row r="58" customFormat="1" customHeight="1" spans="1:121">
      <c r="A58" s="139"/>
      <c r="B58" s="139"/>
      <c r="C58" s="139"/>
      <c r="D58" s="139"/>
      <c r="E58" s="115" t="str">
        <f>期望!E58</f>
        <v>骑龙回马打满(大纵气竭)</v>
      </c>
      <c r="F58" s="116">
        <f>期望!F58</f>
        <v>1</v>
      </c>
      <c r="G58" s="117"/>
      <c r="H58" s="103">
        <f>IF(VLOOKUP($E58,武器奇术!$A:$R,18,FALSE)="天工",AE58,(AE58+AT58+BI58+BX58+CM58+DB58+DQ58))*(1+J58)*F58*K58*(1+G58)</f>
        <v>125362.198079245</v>
      </c>
      <c r="I58" s="104">
        <f t="shared" si="0"/>
        <v>0.0144479880471783</v>
      </c>
      <c r="J58" s="138">
        <f>$F$3+VLOOKUP($E58,武器奇术!$A:$R,12,FALSE)+VLOOKUP($E58,武器奇术!$A:$R,14,FALSE)*$G$3+$P58</f>
        <v>0.433</v>
      </c>
      <c r="K58" s="105">
        <f>VLOOKUP($E58,武器奇术!$A:$R,11,FALSE)</f>
        <v>1</v>
      </c>
      <c r="L58" s="119">
        <f>IF(VLOOKUP($E58,武器奇术!$A:$R,15,FALSE)="天工",0%,IF($C$17+VLOOKUP($E58,武器奇术!$A:$R,7,FALSE)&gt;80%,80%,$C$17+VLOOKUP($E58,武器奇术!$A:$R,7,FALSE))+IF($C$19&gt;20%,20%,$C$19))</f>
        <v>0.8703</v>
      </c>
      <c r="M58" s="120">
        <f>IF(VLOOKUP($E58,武器奇术!$A:$R,15,FALSE)="天工",0%,IF($C$18+VLOOKUP($E58,武器奇术!$A:$R,9,FALSE)&gt;40%,40%,$C$18+VLOOKUP($E58,武器奇术!$A:$R,9,FALSE))+IF($C$20&gt;10%,10%,$C$20))</f>
        <v>0.0986</v>
      </c>
      <c r="N58" s="121">
        <f>IF(VLOOKUP($E58,武器奇术!$A:$R,15,FALSE)="天工",100%,MIN($C$16,1))</f>
        <v>1</v>
      </c>
      <c r="O58" s="122" t="str">
        <f>VLOOKUP($E58,武器奇术!$A:$R,16,FALSE)</f>
        <v>单体奇术</v>
      </c>
      <c r="P58" s="123">
        <f t="shared" si="1"/>
        <v>0</v>
      </c>
      <c r="Q58" s="110">
        <f>$B$5*(1+VLOOKUP($E58,武器奇术!$A:$R,5,FALSE))*(1+VLOOKUP($E58,武器奇术!$A:$S,19,FALSE)+IF($G$5="飞隼",0.1,0)+IF($G$5="撼天",0.05,0))-$F$9+IF($J$5="√",160,0)</f>
        <v>3324.7</v>
      </c>
      <c r="R58" s="102">
        <f>IF(VLOOKUP($E58,武器奇术!$A:$Z,18,FALSE)="叶龙",(S58-(Q58+S58)*0.5)*($G$15-0.5)*2+(Q58+S58)*0.5,(Q58+S58)*0.5)</f>
        <v>3404.7</v>
      </c>
      <c r="S58" s="102">
        <f>MAX($C$5,$B$5)*(1+VLOOKUP($E58,武器奇术!$A:$R,6,FALSE))*(1+VLOOKUP($E58,武器奇术!$A:$S,19,FALSE)+IF($G$5="飞隼",0.1,0)+IF($G$5="撼天",0.05,0))-$F$9+IF($J$5="√",320,0)</f>
        <v>3484.7</v>
      </c>
      <c r="T58" s="104">
        <f>IF(($D$5+VLOOKUP($E58,武器奇术!$A:$R,13,FALSE)+IF($I$3="√",10,0)-VLOOKUP($F$7,目标属性!$A:$R,5,FALSE))&gt;0,($D$5+VLOOKUP($E58,武器奇术!$A:$R,13,FALSE)+IF($I$3="√",10,0)-VLOOKUP($F$7,目标属性!$A:$R,5,FALSE))/200,($D$5+VLOOKUP($E58,武器奇术!$A:$R,13,FALSE)+IF($I$3="√",10,0)-VLOOKUP($F$7,目标属性!$A:$R,5,FALSE))/100)</f>
        <v>0.3925</v>
      </c>
      <c r="U58" s="111">
        <f>$E$5+IF($G$5="烟柳",IF(VLOOKUP($E58,武器奇术!$A:$T,20,FALSE)=1,0.1,0),0)</f>
        <v>0</v>
      </c>
      <c r="V58" s="102">
        <v>1</v>
      </c>
      <c r="W58" s="103">
        <f>Q58*VLOOKUP($E58,武器奇术!$A:$R,2,FALSE)*(1+T58)*(1+U58)*V58</f>
        <v>32900.1074514</v>
      </c>
      <c r="X58" s="104">
        <f>(1-IF(VLOOKUP($E58,武器奇术!$A:$R,18,FALSE)="叶龙",1,$N58))*(1-$M58)</f>
        <v>0</v>
      </c>
      <c r="Y58" s="103">
        <f>R58*VLOOKUP($E58,武器奇术!$A:$R,2,FALSE)*(1+T58)*(1+U58)*V58*(1+$E$16+VLOOKUP($E58,武器奇术!$A:$R,8,FALSE))</f>
        <v>63812.1942191916</v>
      </c>
      <c r="Z58" s="104">
        <f t="shared" si="2"/>
        <v>0.8703</v>
      </c>
      <c r="AA58" s="103">
        <f>S58*VLOOKUP($E58,武器奇术!$A:$R,2,FALSE)*(1+T58)*(1+U58)*V58*(1+$E$17+VLOOKUP($E58,武器奇术!$A:$R,10,FALSE))</f>
        <v>46552.60805139</v>
      </c>
      <c r="AB58" s="104">
        <f t="shared" si="3"/>
        <v>0.0986</v>
      </c>
      <c r="AC58" s="103">
        <f>R58*VLOOKUP($E58,武器奇术!$A:$R,2,FALSE)*(1+T58)*(1+U58)*V58</f>
        <v>33691.7604114</v>
      </c>
      <c r="AD58" s="104">
        <f t="shared" si="4"/>
        <v>0.0311</v>
      </c>
      <c r="AE58" s="112">
        <f t="shared" si="5"/>
        <v>61173.653531624</v>
      </c>
      <c r="AF58" s="113">
        <f>VLOOKUP($E58,武器奇术!$A:$R,3,FALSE)*(1+IF(VLOOKUP($E58,武器奇术!$A:$R,15,FALSE)="武器",$E$15,0))</f>
        <v>1269</v>
      </c>
      <c r="AG58" s="103">
        <f t="shared" si="6"/>
        <v>1269</v>
      </c>
      <c r="AH58" s="103">
        <f>VLOOKUP($E58,武器奇术!$A:$R,3,FALSE)*(1+IF(VLOOKUP($E58,武器奇术!$A:$R,15,FALSE)="武器",$E$15,0))</f>
        <v>1269</v>
      </c>
      <c r="AI58" s="104">
        <f>IF(($D$5+VLOOKUP($E58,武器奇术!$A:$R,13,FALSE)+IF($I$3="√",10,0)-VLOOKUP($F$7,目标属性!$A:$R,5,FALSE))&gt;0,($D$5+VLOOKUP($E58,武器奇术!$A:$R,13,FALSE)+IF($I$3="√",10,0)-VLOOKUP($F$7,目标属性!$A:$R,5,FALSE))/200,($D$5+VLOOKUP($E58,武器奇术!$A:$R,13,FALSE)+IF($I$3="√",10,0)-VLOOKUP($F$7,目标属性!$A:$R,5,FALSE))/100)</f>
        <v>0.3925</v>
      </c>
      <c r="AJ58" s="111">
        <f>$E$5+IF($G$5="烟柳",IF(VLOOKUP($E58,武器奇术!$A:$T,20,FALSE)=1,0.1,0),0)</f>
        <v>0</v>
      </c>
      <c r="AK58" s="102">
        <v>1</v>
      </c>
      <c r="AL58" s="103">
        <f t="shared" si="7"/>
        <v>1767.0825</v>
      </c>
      <c r="AM58" s="104">
        <f>(1-IF(VLOOKUP($E58,武器奇术!$A:$R,18,FALSE)="叶龙",1,$N58))*(1-$M58)</f>
        <v>0</v>
      </c>
      <c r="AN58" s="103">
        <f>AG58*(1+AI58)*(1+AJ58)*AK58*(1+$E$16+VLOOKUP($E58,武器奇术!$A:$R,8,FALSE))</f>
        <v>3346.854255</v>
      </c>
      <c r="AO58" s="104">
        <f t="shared" si="8"/>
        <v>0.8703</v>
      </c>
      <c r="AP58" s="103">
        <f>AH58*(1+AI58)*(1+AJ58)*AK58*(1+$E$17+VLOOKUP($E58,武器奇术!$A:$R,10,FALSE))</f>
        <v>2385.561375</v>
      </c>
      <c r="AQ58" s="104">
        <f t="shared" si="9"/>
        <v>0.0986</v>
      </c>
      <c r="AR58" s="103">
        <f t="shared" si="10"/>
        <v>1767.0825</v>
      </c>
      <c r="AS58" s="104">
        <f t="shared" si="11"/>
        <v>0.0311</v>
      </c>
      <c r="AT58" s="112">
        <f t="shared" si="12"/>
        <v>3202.9398754515</v>
      </c>
      <c r="AU58" s="110">
        <f>$B$7*IF($G$5="撼天",1.05,1)+IF(AND(VLOOKUP($E58,武器奇术!$A:$R,15,FALSE)="武器",VLOOKUP($E58,武器奇术!$A:$R,17,FALSE)="鸣金"),$E$3*(1+$E$15),0)</f>
        <v>0</v>
      </c>
      <c r="AV58" s="102">
        <f t="shared" si="13"/>
        <v>0</v>
      </c>
      <c r="AW58" s="102">
        <f>MAX($C$7*IF($G$5="撼天",1.05,1)+IF(AND(VLOOKUP($E58,武器奇术!$A:$R,15,FALSE)="武器",VLOOKUP($E58,武器奇术!$A:$R,17,FALSE)="鸣金"),$E$3*(1+$E$15),0),AU58)</f>
        <v>0</v>
      </c>
      <c r="AX58" s="104">
        <f>IF(($D$7+IF(VLOOKUP($E58,武器奇术!$A:$R,17,FALSE)="鸣金",$D$15,0)-VLOOKUP($F$7,目标属性!$A:$R,6,FALSE))&gt;0,($D$7+IF(VLOOKUP($E58,武器奇术!$A:$R,17,FALSE)="鸣金",$D$15,0)-VLOOKUP($F$7,目标属性!$A:$R,6,FALSE))/200,($D$7+IF(VLOOKUP($E58,武器奇术!$A:$R,17,FALSE)="鸣金",$D$15,0)-VLOOKUP($F$7,目标属性!$A:$R,6,FALSE))/100)</f>
        <v>-0.24</v>
      </c>
      <c r="AY58" s="111">
        <f t="shared" si="14"/>
        <v>0</v>
      </c>
      <c r="AZ58" s="102">
        <v>1</v>
      </c>
      <c r="BA58" s="103">
        <f>AU58*IF(VLOOKUP($E58,武器奇术!$A:$R,17,FALSE)="鸣金",VLOOKUP($E58,武器奇术!$A:$R,4,FALSE),VLOOKUP($E58,武器奇术!$A:$R,2,FALSE))*(1+AX58)*(1+AY58)*AZ58</f>
        <v>0</v>
      </c>
      <c r="BB58" s="104">
        <f>(1-IF(VLOOKUP($E58,武器奇术!$A:$R,18,FALSE)="叶龙",1,$N58))*(1-$M58)</f>
        <v>0</v>
      </c>
      <c r="BC58" s="103">
        <f>AV58*IF(VLOOKUP($E58,武器奇术!$A:$R,17,FALSE)="鸣金",VLOOKUP($E58,武器奇术!$A:$R,4,FALSE),VLOOKUP($E58,武器奇术!$A:$R,2,FALSE))*(1+AX58)*(1+AY58)*AZ58*(1+$E$16+VLOOKUP($E58,武器奇术!$A:$R,8,FALSE))</f>
        <v>0</v>
      </c>
      <c r="BD58" s="104">
        <f t="shared" si="15"/>
        <v>0.8703</v>
      </c>
      <c r="BE58" s="103">
        <f>AW58*IF(VLOOKUP($E58,武器奇术!$A:$R,17,FALSE)="鸣金",VLOOKUP($E58,武器奇术!$A:$R,4,FALSE),VLOOKUP($E58,武器奇术!$A:$R,2,FALSE))*(1+AX58)*(1+AY58)*AZ58*(1+$E$17+VLOOKUP($E58,武器奇术!$A:$R,10,FALSE))</f>
        <v>0</v>
      </c>
      <c r="BF58" s="104">
        <f t="shared" si="16"/>
        <v>0.0986</v>
      </c>
      <c r="BG58" s="103">
        <f>AV58*IF(VLOOKUP($E58,武器奇术!$A:$R,17,FALSE)="鸣金",VLOOKUP($E58,武器奇术!$A:$R,4,FALSE),VLOOKUP($E58,武器奇术!$A:$R,2,FALSE))*(1+AX58)*(1+AY58)*AZ58</f>
        <v>0</v>
      </c>
      <c r="BH58" s="104">
        <f t="shared" si="17"/>
        <v>0.0311</v>
      </c>
      <c r="BI58" s="112">
        <f t="shared" si="18"/>
        <v>0</v>
      </c>
      <c r="BJ58" s="110">
        <f>$B$9*IF($G$5="撼天",1.05,1)+IF(AND(VLOOKUP($E58,武器奇术!$A:$R,15,FALSE)="武器",VLOOKUP($E58,武器奇术!$A:$R,17,FALSE)="裂石"),$E$3*(1+$E$15),0)</f>
        <v>0</v>
      </c>
      <c r="BK58" s="102">
        <f t="shared" si="19"/>
        <v>0</v>
      </c>
      <c r="BL58" s="102">
        <f>MAX($C$9*IF($G$5="撼天",1.05,1)+IF(AND(VLOOKUP($E58,武器奇术!$A:$R,15,FALSE)="武器",VLOOKUP($E58,武器奇术!$A:$R,17,FALSE)="裂石"),$E$3*(1+$E$15),0),BJ58)</f>
        <v>0</v>
      </c>
      <c r="BM58" s="104">
        <f>IF(($D$9+IF(VLOOKUP($E58,武器奇术!$A:$R,17,FALSE)="裂石",$D$15,0)-VLOOKUP($F$7,目标属性!$A:$R,6,FALSE))&gt;0,($D$9+IF(VLOOKUP($E58,武器奇术!$A:$R,17,FALSE)="裂石",$D$15,0)-VLOOKUP($F$7,目标属性!$A:$R,6,FALSE))/200,($D$9+IF(VLOOKUP($E58,武器奇术!$A:$R,17,FALSE)="裂石",$D$15,0)-VLOOKUP($F$7,目标属性!$A:$R,6,FALSE))/100)</f>
        <v>-0.24</v>
      </c>
      <c r="BN58" s="111">
        <f t="shared" si="20"/>
        <v>0</v>
      </c>
      <c r="BO58" s="102">
        <v>1</v>
      </c>
      <c r="BP58" s="103">
        <f>BJ58*IF(VLOOKUP($E58,武器奇术!$A:$R,17,FALSE)="裂石",VLOOKUP($E58,武器奇术!$A:$R,4,FALSE),VLOOKUP($E58,武器奇术!$A:$R,2,FALSE))*(1+BM58)*(1+BN58)*BO58</f>
        <v>0</v>
      </c>
      <c r="BQ58" s="104">
        <f>(1-IF(VLOOKUP($E58,武器奇术!$A:$R,18,FALSE)="叶龙",1,$N58))*(1-$M58)</f>
        <v>0</v>
      </c>
      <c r="BR58" s="103">
        <f>BK58*IF(VLOOKUP($E58,武器奇术!$A:$R,17,FALSE)="裂石",VLOOKUP($E58,武器奇术!$A:$R,4,FALSE),VLOOKUP($E58,武器奇术!$A:$R,2,FALSE))*(1+BM58)*(1+BN58)*BO58*(1+$E$16+VLOOKUP($E58,武器奇术!$A:$R,8,FALSE))</f>
        <v>0</v>
      </c>
      <c r="BS58" s="104">
        <f t="shared" si="21"/>
        <v>0.8703</v>
      </c>
      <c r="BT58" s="103">
        <f>BL58*IF(VLOOKUP($E58,武器奇术!$A:$R,17,FALSE)="裂石",VLOOKUP($E58,武器奇术!$A:$R,4,FALSE),VLOOKUP($E58,武器奇术!$A:$R,2,FALSE))*(1+BM58)*(1+BN58)*BO58*(1+$E$17+VLOOKUP($E58,武器奇术!$A:$R,10,FALSE))</f>
        <v>0</v>
      </c>
      <c r="BU58" s="104">
        <f t="shared" si="22"/>
        <v>0.0986</v>
      </c>
      <c r="BV58" s="103">
        <f>BK58*IF(VLOOKUP($E58,武器奇术!$A:$R,17,FALSE)="裂石",VLOOKUP($E58,武器奇术!$A:$R,4,FALSE),VLOOKUP($E58,武器奇术!$A:$R,2,FALSE))*(1+BM58)*(1+BN58)*BO58</f>
        <v>0</v>
      </c>
      <c r="BW58" s="104">
        <f t="shared" si="23"/>
        <v>0.0311</v>
      </c>
      <c r="BX58" s="112">
        <f t="shared" si="24"/>
        <v>0</v>
      </c>
      <c r="BY58" s="110">
        <f>$B$11*IF($G$5="撼天",1.05,1)+IF(AND(VLOOKUP($E58,武器奇术!$A:$R,15,FALSE)="武器",VLOOKUP($E58,武器奇术!$A:$R,17,FALSE)="牵丝"),$E$3*(1+$E$15),0)</f>
        <v>490.8</v>
      </c>
      <c r="BZ58" s="102">
        <f>IF(VLOOKUP($E58,武器奇术!$A:$Z,18,FALSE)="叶龙",(CA58-(BY58+CA58)*0.5)*($G$15-0.5)*2+(BY58+CA58)*0.5,(BY58+CA58)*0.5)</f>
        <v>856.3</v>
      </c>
      <c r="CA58" s="102">
        <f>MAX($C$11*IF($G$5="撼天",1.05,1)+IF(AND(VLOOKUP($E58,武器奇术!$A:$R,15,FALSE)="武器",VLOOKUP($E58,武器奇术!$A:$R,17,FALSE)="牵丝"),$E$3*(1+$E$15),0),BY58)</f>
        <v>1221.8</v>
      </c>
      <c r="CB58" s="104">
        <f>IF(($D$11+IF(VLOOKUP($E58,武器奇术!$A:$R,17,FALSE)="牵丝",$D$15,0)-VLOOKUP($F$7,目标属性!$A:$R,6,FALSE))&gt;0,($D$11+IF(VLOOKUP($E58,武器奇术!$A:$R,17,FALSE)="牵丝",$D$15,0)-VLOOKUP($F$7,目标属性!$A:$R,6,FALSE))/200,($D$11+IF(VLOOKUP($E58,武器奇术!$A:$R,17,FALSE)="牵丝",$D$15,0)-VLOOKUP($F$7,目标属性!$A:$R,6,FALSE))/100)</f>
        <v>0.028</v>
      </c>
      <c r="CC58" s="111">
        <f>$E$11+IF($G$5="烟柳",IF(VLOOKUP($E58,武器奇术!$A:$T,20,FALSE)=1,0.1,0),0)</f>
        <v>0.148</v>
      </c>
      <c r="CD58" s="102">
        <v>1</v>
      </c>
      <c r="CE58" s="103">
        <f>BY58*IF(VLOOKUP($E58,武器奇术!$A:$R,17,FALSE)="牵丝",VLOOKUP($E58,武器奇术!$A:$R,4,FALSE),VLOOKUP($E58,武器奇术!$A:$R,2,FALSE))*(1+CB58)*(1+CC58)*CD58</f>
        <v>6174.19675176192</v>
      </c>
      <c r="CF58" s="104">
        <f>(1-IF(VLOOKUP($E58,武器奇术!$A:$R,18,FALSE)="叶龙",1,$N58))*(1-$M58)</f>
        <v>0</v>
      </c>
      <c r="CG58" s="124">
        <f>BZ58*IF(VLOOKUP($E58,武器奇术!$A:$R,17,FALSE)="牵丝",VLOOKUP($E58,武器奇术!$A:$R,4,FALSE),VLOOKUP($E58,武器奇术!$A:$R,2,FALSE))*(1+CB58)*(1+CC58)*CD58*(1+$E$16+VLOOKUP($E58,武器奇术!$A:$R,8,FALSE))</f>
        <v>20402.4268564444</v>
      </c>
      <c r="CH58" s="104">
        <f t="shared" si="25"/>
        <v>0.8703</v>
      </c>
      <c r="CI58" s="103">
        <f>CA58*IF(VLOOKUP($E58,武器奇术!$A:$R,17,FALSE)="牵丝",VLOOKUP($E58,武器奇术!$A:$R,4,FALSE),VLOOKUP($E58,武器奇术!$A:$R,2,FALSE))*(1+CB58)*(1+CC58)*CD58*(1+$E$17+VLOOKUP($E58,武器奇术!$A:$R,10,FALSE))</f>
        <v>20749.60339906</v>
      </c>
      <c r="CJ58" s="104">
        <f t="shared" si="26"/>
        <v>0.0986</v>
      </c>
      <c r="CK58" s="124">
        <f>BZ58*IF(VLOOKUP($E58,武器奇术!$A:$R,17,FALSE)="牵丝",VLOOKUP($E58,武器奇术!$A:$R,4,FALSE),VLOOKUP($E58,武器奇术!$A:$R,2,FALSE))*(1+CB58)*(1+CC58)*CD58</f>
        <v>10772.1366718291</v>
      </c>
      <c r="CL58" s="104">
        <f t="shared" si="27"/>
        <v>0.0311</v>
      </c>
      <c r="CM58" s="112">
        <f t="shared" si="28"/>
        <v>20137.1564388047</v>
      </c>
      <c r="CN58" s="110">
        <f>$B$13*IF($G$5="撼天",1.05,1)+IF(AND(VLOOKUP($E58,武器奇术!$A:$R,15,FALSE)="武器",VLOOKUP($E58,武器奇术!$A:$R,17,FALSE)="破竹"),$E$3*(1+$E$15),0)</f>
        <v>0</v>
      </c>
      <c r="CO58" s="102">
        <f t="shared" si="29"/>
        <v>0</v>
      </c>
      <c r="CP58" s="102">
        <f>MAX($C$13*IF($G$5="撼天",1.05,1)+IF(AND(VLOOKUP($E58,武器奇术!$A:$R,15,FALSE)="武器",VLOOKUP($E58,武器奇术!$A:$R,17,FALSE)="破竹"),$E$3*(1+$E$15),0),CN58)</f>
        <v>0</v>
      </c>
      <c r="CQ58" s="104">
        <f>IF(($D$13+IF(VLOOKUP($E58,武器奇术!$A:$R,17,FALSE)="破竹",$D$15,0)-VLOOKUP($F$7,目标属性!$A:$R,6,FALSE))&gt;0,($D$13+IF(VLOOKUP($E58,武器奇术!$A:$R,17,FALSE)="破竹",$D$15,0)-VLOOKUP($F$7,目标属性!$A:$R,6,FALSE))/200,($D$13+IF(VLOOKUP($E58,武器奇术!$A:$R,17,FALSE)="破竹",$D$15,0)-VLOOKUP($F$7,目标属性!$A:$R,6,FALSE))/100)</f>
        <v>-0.24</v>
      </c>
      <c r="CR58" s="111">
        <f t="shared" si="30"/>
        <v>0</v>
      </c>
      <c r="CS58" s="102">
        <v>1</v>
      </c>
      <c r="CT58" s="103">
        <f>CN58*IF(VLOOKUP($E58,武器奇术!$A:$R,17,FALSE)="破竹",VLOOKUP($E58,武器奇术!$A:$R,4,FALSE),VLOOKUP($E58,武器奇术!$A:$R,2,FALSE))*(1+CQ58)*(1+CR58)*CS58</f>
        <v>0</v>
      </c>
      <c r="CU58" s="104">
        <f>(1-IF(VLOOKUP($E58,武器奇术!$A:$R,18,FALSE)="叶龙",1,$N58))*(1-$M58)</f>
        <v>0</v>
      </c>
      <c r="CV58" s="103">
        <f>CO58*IF(VLOOKUP($E58,武器奇术!$A:$R,17,FALSE)="破竹",VLOOKUP($E58,武器奇术!$A:$R,4,FALSE),VLOOKUP($E58,武器奇术!$A:$R,2,FALSE))*(1+CQ58)*(1+CR58)*CS58*(1+$E$16+VLOOKUP($E58,武器奇术!$A:$R,8,FALSE))</f>
        <v>0</v>
      </c>
      <c r="CW58" s="104">
        <f t="shared" si="31"/>
        <v>0.8703</v>
      </c>
      <c r="CX58" s="103">
        <f>CP58*IF(VLOOKUP($E58,武器奇术!$A:$R,17,FALSE)="破竹",VLOOKUP($E58,武器奇术!$A:$R,4,FALSE),VLOOKUP($E58,武器奇术!$A:$R,2,FALSE))*(1+CQ58)*(1+CR58)*CS58*(1+$E$17+VLOOKUP($E58,武器奇术!$A:$R,10,FALSE))</f>
        <v>0</v>
      </c>
      <c r="CY58" s="104">
        <f t="shared" si="32"/>
        <v>0.0986</v>
      </c>
      <c r="CZ58" s="103">
        <f>CO58*IF(VLOOKUP($E58,武器奇术!$A:$R,17,FALSE)="破竹",VLOOKUP($E58,武器奇术!$A:$R,4,FALSE),VLOOKUP($E58,武器奇术!$A:$R,2,FALSE))*(1+CQ58)*(1+CR58)*CS58</f>
        <v>0</v>
      </c>
      <c r="DA58" s="104">
        <f t="shared" si="33"/>
        <v>0.0311</v>
      </c>
      <c r="DB58" s="112">
        <f t="shared" si="34"/>
        <v>0</v>
      </c>
      <c r="DC58" s="110">
        <f t="shared" si="35"/>
        <v>66</v>
      </c>
      <c r="DD58" s="102">
        <f t="shared" si="36"/>
        <v>125.8</v>
      </c>
      <c r="DE58" s="102">
        <f t="shared" si="37"/>
        <v>185.6</v>
      </c>
      <c r="DF58" s="104">
        <f>IF((IF(VLOOKUP($E58,武器奇术!$A:$R,17,FALSE)="鸣金",$D$7,0)+IF(VLOOKUP($E58,武器奇术!$A:$R,17,FALSE)="裂石",$D$9,0)+IF(VLOOKUP($E58,武器奇术!$A:$R,17,FALSE)="牵丝",$D$11,0)+IF(VLOOKUP($E58,武器奇术!$A:$R,17,FALSE)="破竹",$D$13,0)+$D$15-VLOOKUP($F$7,目标属性!$A:$R,6,FALSE))&gt;0,(IF(VLOOKUP($E58,武器奇术!$A:$R,17,FALSE)="鸣金",$D$7,0)+IF(VLOOKUP($E58,武器奇术!$A:$R,17,FALSE)="裂石",$D$9,0)+IF(VLOOKUP($E58,武器奇术!$A:$R,17,FALSE)="牵丝",$D$11,0)+IF(VLOOKUP($E58,武器奇术!$A:$R,17,FALSE)="破竹",$D$13,0)+$D$15-VLOOKUP($F$7,目标属性!$A:$R,6,FALSE))/200,(IF(VLOOKUP($E58,武器奇术!$A:$R,17,FALSE)="鸣金",$D$7,0)+IF(VLOOKUP($E58,武器奇术!$A:$R,17,FALSE)="裂石",$D$9,0)+IF(VLOOKUP($E58,武器奇术!$A:$R,17,FALSE)="牵丝",$D$11,0)+IF(VLOOKUP($E58,武器奇术!$A:$R,17,FALSE)="破竹",$D$13,0)+$D$15-VLOOKUP($F$7,目标属性!$A:$R,6,FALSE))/100)</f>
        <v>0.028</v>
      </c>
      <c r="DG58" s="111">
        <f>$E$11+IF($G$5="烟柳",IF(VLOOKUP($E58,武器奇术!$A:$T,20,FALSE)=1,0.1,0),0)</f>
        <v>0.148</v>
      </c>
      <c r="DH58" s="102">
        <v>1</v>
      </c>
      <c r="DI58" s="103">
        <f>DC58*IF(VLOOKUP($E58,武器奇术!$A:$R,17,FALSE)="牵丝",VLOOKUP($E58,武器奇术!$A:$R,4,FALSE),VLOOKUP($E58,武器奇术!$A:$R,2,FALSE))*(1+DF58)*(1+DG58)*DH58</f>
        <v>830.2709568384</v>
      </c>
      <c r="DJ58" s="104">
        <f>(1-IF(VLOOKUP($E58,武器奇术!$A:$R,18,FALSE)="叶龙",1,$N58))*(1-$M58)</f>
        <v>0</v>
      </c>
      <c r="DK58" s="124">
        <f>DD58*IF(VLOOKUP($E58,武器奇术!$A:$R,17,FALSE)="牵丝",VLOOKUP($E58,武器奇术!$A:$R,4,FALSE),VLOOKUP($E58,武器奇术!$A:$R,2,FALSE))*(1+DF58)*(1+DG58)*DH58*(1+$E$16+VLOOKUP($E58,武器奇术!$A:$R,8,FALSE))</f>
        <v>2997.34356947413</v>
      </c>
      <c r="DL58" s="104">
        <f t="shared" si="38"/>
        <v>0.8703</v>
      </c>
      <c r="DM58" s="103">
        <f>DE58*IF(VLOOKUP($E58,武器奇术!$A:$R,17,FALSE)="牵丝",VLOOKUP($E58,武器奇术!$A:$R,4,FALSE),VLOOKUP($E58,武器奇术!$A:$R,2,FALSE))*(1+DF58)*(1+DG58)*DH58*(1+$E$17+VLOOKUP($E58,武器奇术!$A:$R,10,FALSE))</f>
        <v>3152.01046887014</v>
      </c>
      <c r="DN58" s="104">
        <f t="shared" si="39"/>
        <v>0.0986</v>
      </c>
      <c r="DO58" s="124">
        <f>DD58*IF(VLOOKUP($E58,武器奇术!$A:$R,17,FALSE)="牵丝",VLOOKUP($E58,武器奇术!$A:$R,4,FALSE),VLOOKUP($E58,武器奇术!$A:$R,2,FALSE))*(1+DF58)*(1+DG58)*DH58</f>
        <v>1582.54676318592</v>
      </c>
      <c r="DP58" s="104">
        <f t="shared" si="40"/>
        <v>0.0311</v>
      </c>
      <c r="DQ58" s="112">
        <f t="shared" si="41"/>
        <v>2968.59354507902</v>
      </c>
    </row>
    <row r="59" customFormat="1" customHeight="1" spans="1:121">
      <c r="A59" s="139"/>
      <c r="B59" s="139"/>
      <c r="C59" s="139"/>
      <c r="D59" s="139"/>
      <c r="E59" s="115" t="str">
        <f>期望!E59</f>
        <v>伞～(连中风墙大纵气竭)</v>
      </c>
      <c r="F59" s="116">
        <f>期望!F59</f>
        <v>10</v>
      </c>
      <c r="G59" s="117">
        <f>$E$23</f>
        <v>0.32</v>
      </c>
      <c r="H59" s="103">
        <f>IF(VLOOKUP($E59,武器奇术!$A:$R,18,FALSE)="天工",AE59,(AE59+AT59+BI59+BX59+CM59+DB59+DQ59))*(1+J59)*F59*K59*(1+G59)</f>
        <v>595186.83774528</v>
      </c>
      <c r="I59" s="104">
        <f t="shared" si="0"/>
        <v>0.0685952579751822</v>
      </c>
      <c r="J59" s="138">
        <f>$F$3+VLOOKUP($E59,武器奇术!$A:$R,12,FALSE)+VLOOKUP($E59,武器奇术!$A:$R,14,FALSE)*$G$3+$P59</f>
        <v>1.203</v>
      </c>
      <c r="K59" s="105">
        <f>VLOOKUP($E59,武器奇术!$A:$R,11,FALSE)</f>
        <v>1</v>
      </c>
      <c r="L59" s="119">
        <f>IF(VLOOKUP($E59,武器奇术!$A:$R,15,FALSE)="天工",0%,IF($C$17+VLOOKUP($E59,武器奇术!$A:$R,7,FALSE)&gt;80%,80%,$C$17+VLOOKUP($E59,武器奇术!$A:$R,7,FALSE))+IF($C$19&gt;20%,20%,$C$19))</f>
        <v>0.8703</v>
      </c>
      <c r="M59" s="120">
        <f>IF(VLOOKUP($E59,武器奇术!$A:$R,15,FALSE)="天工",0%,IF($C$18+VLOOKUP($E59,武器奇术!$A:$R,9,FALSE)&gt;40%,40%,$C$18+VLOOKUP($E59,武器奇术!$A:$R,9,FALSE))+IF($C$20&gt;10%,10%,$C$20))</f>
        <v>0.0986</v>
      </c>
      <c r="N59" s="121">
        <f>IF(VLOOKUP($E59,武器奇术!$A:$R,15,FALSE)="天工",100%,MIN($C$16,1))</f>
        <v>1</v>
      </c>
      <c r="O59" s="122" t="str">
        <f>VLOOKUP($E59,武器奇术!$A:$R,16,FALSE)</f>
        <v>伞</v>
      </c>
      <c r="P59" s="123">
        <f t="shared" si="1"/>
        <v>0.17</v>
      </c>
      <c r="Q59" s="110">
        <f>$B$5*(1+VLOOKUP($E59,武器奇术!$A:$R,5,FALSE))*(1+VLOOKUP($E59,武器奇术!$A:$S,19,FALSE)+IF($G$5="飞隼",0.1,0)+IF($G$5="撼天",0.05,0))-$F$9+IF($J$5="√",160,0)</f>
        <v>3324.7</v>
      </c>
      <c r="R59" s="102">
        <f>IF(VLOOKUP($E59,武器奇术!$A:$Z,18,FALSE)="叶龙",(S59-(Q59+S59)*0.5)*($G$15-0.5)*2+(Q59+S59)*0.5,(Q59+S59)*0.5)</f>
        <v>3404.7</v>
      </c>
      <c r="S59" s="102">
        <f>MAX($C$5,$B$5)*(1+VLOOKUP($E59,武器奇术!$A:$R,6,FALSE))*(1+VLOOKUP($E59,武器奇术!$A:$S,19,FALSE)+IF($G$5="飞隼",0.1,0)+IF($G$5="撼天",0.05,0))-$F$9+IF($J$5="√",320,0)</f>
        <v>3484.7</v>
      </c>
      <c r="T59" s="104">
        <f>IF(($D$5+VLOOKUP($E59,武器奇术!$A:$R,13,FALSE)+IF($I$3="√",10,0)-VLOOKUP($F$7,目标属性!$A:$R,5,FALSE))&gt;0,($D$5+VLOOKUP($E59,武器奇术!$A:$R,13,FALSE)+IF($I$3="√",10,0)-VLOOKUP($F$7,目标属性!$A:$R,5,FALSE))/200,($D$5+VLOOKUP($E59,武器奇术!$A:$R,13,FALSE)+IF($I$3="√",10,0)-VLOOKUP($F$7,目标属性!$A:$R,5,FALSE))/100)</f>
        <v>0.4175</v>
      </c>
      <c r="U59" s="111">
        <f>$E$5+IF($G$5="烟柳",IF(VLOOKUP($E59,武器奇术!$A:$T,20,FALSE)=1,0.1,0),0)</f>
        <v>0.1</v>
      </c>
      <c r="V59" s="102">
        <v>1</v>
      </c>
      <c r="W59" s="103">
        <f>Q59*VLOOKUP($E59,武器奇术!$A:$R,2,FALSE)*(1+T59)*(1+U59)*V59</f>
        <v>6091.01192639362</v>
      </c>
      <c r="X59" s="104">
        <f>(1-IF(VLOOKUP($E59,武器奇术!$A:$R,18,FALSE)="叶龙",1,$N59))*(1-$M59)</f>
        <v>0</v>
      </c>
      <c r="Y59" s="103">
        <f>R59*VLOOKUP($E59,武器奇术!$A:$R,2,FALSE)*(1+T59)*(1+U59)*V59*(1+$E$16+VLOOKUP($E59,武器奇术!$A:$R,8,FALSE))</f>
        <v>14059.495882713</v>
      </c>
      <c r="Z59" s="104">
        <f t="shared" si="2"/>
        <v>0.8703</v>
      </c>
      <c r="AA59" s="103">
        <f>S59*VLOOKUP($E59,武器奇术!$A:$R,2,FALSE)*(1+T59)*(1+U59)*V59*(1+$E$17+VLOOKUP($E59,武器奇术!$A:$R,10,FALSE))</f>
        <v>8618.58859472139</v>
      </c>
      <c r="AB59" s="104">
        <f t="shared" si="3"/>
        <v>0.0986</v>
      </c>
      <c r="AC59" s="103">
        <f>R59*VLOOKUP($E59,武器奇术!$A:$R,2,FALSE)*(1+T59)*(1+U59)*V59</f>
        <v>6237.57581309363</v>
      </c>
      <c r="AD59" s="104">
        <f t="shared" si="4"/>
        <v>0.0311</v>
      </c>
      <c r="AE59" s="112">
        <f t="shared" si="5"/>
        <v>13279.7607099519</v>
      </c>
      <c r="AF59" s="113">
        <f>VLOOKUP($E59,武器奇术!$A:$R,3,FALSE)*(1+IF(VLOOKUP($E59,武器奇术!$A:$R,15,FALSE)="武器",$E$15,0))</f>
        <v>421.59</v>
      </c>
      <c r="AG59" s="103">
        <f t="shared" si="6"/>
        <v>421.59</v>
      </c>
      <c r="AH59" s="103">
        <f>VLOOKUP($E59,武器奇术!$A:$R,3,FALSE)*(1+IF(VLOOKUP($E59,武器奇术!$A:$R,15,FALSE)="武器",$E$15,0))</f>
        <v>421.59</v>
      </c>
      <c r="AI59" s="104">
        <f>IF(($D$5+VLOOKUP($E59,武器奇术!$A:$R,13,FALSE)+IF($I$3="√",10,0)-VLOOKUP($F$7,目标属性!$A:$R,5,FALSE))&gt;0,($D$5+VLOOKUP($E59,武器奇术!$A:$R,13,FALSE)+IF($I$3="√",10,0)-VLOOKUP($F$7,目标属性!$A:$R,5,FALSE))/200,($D$5+VLOOKUP($E59,武器奇术!$A:$R,13,FALSE)+IF($I$3="√",10,0)-VLOOKUP($F$7,目标属性!$A:$R,5,FALSE))/100)</f>
        <v>0.4175</v>
      </c>
      <c r="AJ59" s="111">
        <f>$E$5+IF($G$5="烟柳",IF(VLOOKUP($E59,武器奇术!$A:$T,20,FALSE)=1,0.1,0),0)</f>
        <v>0.1</v>
      </c>
      <c r="AK59" s="102">
        <v>1</v>
      </c>
      <c r="AL59" s="103">
        <f t="shared" si="7"/>
        <v>657.3642075</v>
      </c>
      <c r="AM59" s="104">
        <f>(1-IF(VLOOKUP($E59,武器奇术!$A:$R,18,FALSE)="叶龙",1,$N59))*(1-$M59)</f>
        <v>0</v>
      </c>
      <c r="AN59" s="103">
        <f>AG59*(1+AI59)*(1+AJ59)*AK59*(1+$E$16+VLOOKUP($E59,武器奇术!$A:$R,8,FALSE))</f>
        <v>1481.698923705</v>
      </c>
      <c r="AO59" s="104">
        <f t="shared" si="8"/>
        <v>0.8703</v>
      </c>
      <c r="AP59" s="103">
        <f>AH59*(1+AI59)*(1+AJ59)*AK59*(1+$E$17+VLOOKUP($E59,武器奇术!$A:$R,10,FALSE))</f>
        <v>887.441680125</v>
      </c>
      <c r="AQ59" s="104">
        <f t="shared" si="9"/>
        <v>0.0986</v>
      </c>
      <c r="AR59" s="103">
        <f t="shared" si="10"/>
        <v>657.3642075</v>
      </c>
      <c r="AS59" s="104">
        <f t="shared" si="11"/>
        <v>0.0311</v>
      </c>
      <c r="AT59" s="112">
        <f t="shared" si="12"/>
        <v>1397.46834981404</v>
      </c>
      <c r="AU59" s="110">
        <f>$B$7*IF($G$5="撼天",1.05,1)+IF(AND(VLOOKUP($E59,武器奇术!$A:$R,15,FALSE)="武器",VLOOKUP($E59,武器奇术!$A:$R,17,FALSE)="鸣金"),$E$3*(1+$E$15),0)</f>
        <v>0</v>
      </c>
      <c r="AV59" s="102">
        <f t="shared" si="13"/>
        <v>0</v>
      </c>
      <c r="AW59" s="102">
        <f>MAX($C$7*IF($G$5="撼天",1.05,1)+IF(AND(VLOOKUP($E59,武器奇术!$A:$R,15,FALSE)="武器",VLOOKUP($E59,武器奇术!$A:$R,17,FALSE)="鸣金"),$E$3*(1+$E$15),0),AU59)</f>
        <v>0</v>
      </c>
      <c r="AX59" s="104">
        <f>IF(($D$7+IF(VLOOKUP($E59,武器奇术!$A:$R,17,FALSE)="鸣金",$D$15,0)-VLOOKUP($F$7,目标属性!$A:$R,6,FALSE))&gt;0,($D$7+IF(VLOOKUP($E59,武器奇术!$A:$R,17,FALSE)="鸣金",$D$15,0)-VLOOKUP($F$7,目标属性!$A:$R,6,FALSE))/200,($D$7+IF(VLOOKUP($E59,武器奇术!$A:$R,17,FALSE)="鸣金",$D$15,0)-VLOOKUP($F$7,目标属性!$A:$R,6,FALSE))/100)</f>
        <v>-0.24</v>
      </c>
      <c r="AY59" s="111">
        <f t="shared" si="14"/>
        <v>0</v>
      </c>
      <c r="AZ59" s="102">
        <v>1</v>
      </c>
      <c r="BA59" s="103">
        <f>AU59*IF(VLOOKUP($E59,武器奇术!$A:$R,17,FALSE)="鸣金",VLOOKUP($E59,武器奇术!$A:$R,4,FALSE),VLOOKUP($E59,武器奇术!$A:$R,2,FALSE))*(1+AX59)*(1+AY59)*AZ59</f>
        <v>0</v>
      </c>
      <c r="BB59" s="104">
        <f>(1-IF(VLOOKUP($E59,武器奇术!$A:$R,18,FALSE)="叶龙",1,$N59))*(1-$M59)</f>
        <v>0</v>
      </c>
      <c r="BC59" s="103">
        <f>AV59*IF(VLOOKUP($E59,武器奇术!$A:$R,17,FALSE)="鸣金",VLOOKUP($E59,武器奇术!$A:$R,4,FALSE),VLOOKUP($E59,武器奇术!$A:$R,2,FALSE))*(1+AX59)*(1+AY59)*AZ59*(1+$E$16+VLOOKUP($E59,武器奇术!$A:$R,8,FALSE))</f>
        <v>0</v>
      </c>
      <c r="BD59" s="104">
        <f t="shared" si="15"/>
        <v>0.8703</v>
      </c>
      <c r="BE59" s="103">
        <f>AW59*IF(VLOOKUP($E59,武器奇术!$A:$R,17,FALSE)="鸣金",VLOOKUP($E59,武器奇术!$A:$R,4,FALSE),VLOOKUP($E59,武器奇术!$A:$R,2,FALSE))*(1+AX59)*(1+AY59)*AZ59*(1+$E$17+VLOOKUP($E59,武器奇术!$A:$R,10,FALSE))</f>
        <v>0</v>
      </c>
      <c r="BF59" s="104">
        <f t="shared" si="16"/>
        <v>0.0986</v>
      </c>
      <c r="BG59" s="103">
        <f>AV59*IF(VLOOKUP($E59,武器奇术!$A:$R,17,FALSE)="鸣金",VLOOKUP($E59,武器奇术!$A:$R,4,FALSE),VLOOKUP($E59,武器奇术!$A:$R,2,FALSE))*(1+AX59)*(1+AY59)*AZ59</f>
        <v>0</v>
      </c>
      <c r="BH59" s="104">
        <f t="shared" si="17"/>
        <v>0.0311</v>
      </c>
      <c r="BI59" s="112">
        <f t="shared" si="18"/>
        <v>0</v>
      </c>
      <c r="BJ59" s="110">
        <f>$B$9*IF($G$5="撼天",1.05,1)+IF(AND(VLOOKUP($E59,武器奇术!$A:$R,15,FALSE)="武器",VLOOKUP($E59,武器奇术!$A:$R,17,FALSE)="裂石"),$E$3*(1+$E$15),0)</f>
        <v>0</v>
      </c>
      <c r="BK59" s="102">
        <f t="shared" si="19"/>
        <v>0</v>
      </c>
      <c r="BL59" s="102">
        <f>MAX($C$9*IF($G$5="撼天",1.05,1)+IF(AND(VLOOKUP($E59,武器奇术!$A:$R,15,FALSE)="武器",VLOOKUP($E59,武器奇术!$A:$R,17,FALSE)="裂石"),$E$3*(1+$E$15),0),BJ59)</f>
        <v>0</v>
      </c>
      <c r="BM59" s="104">
        <f>IF(($D$9+IF(VLOOKUP($E59,武器奇术!$A:$R,17,FALSE)="裂石",$D$15,0)-VLOOKUP($F$7,目标属性!$A:$R,6,FALSE))&gt;0,($D$9+IF(VLOOKUP($E59,武器奇术!$A:$R,17,FALSE)="裂石",$D$15,0)-VLOOKUP($F$7,目标属性!$A:$R,6,FALSE))/200,($D$9+IF(VLOOKUP($E59,武器奇术!$A:$R,17,FALSE)="裂石",$D$15,0)-VLOOKUP($F$7,目标属性!$A:$R,6,FALSE))/100)</f>
        <v>-0.24</v>
      </c>
      <c r="BN59" s="111">
        <f t="shared" si="20"/>
        <v>0</v>
      </c>
      <c r="BO59" s="102">
        <v>1</v>
      </c>
      <c r="BP59" s="103">
        <f>BJ59*IF(VLOOKUP($E59,武器奇术!$A:$R,17,FALSE)="裂石",VLOOKUP($E59,武器奇术!$A:$R,4,FALSE),VLOOKUP($E59,武器奇术!$A:$R,2,FALSE))*(1+BM59)*(1+BN59)*BO59</f>
        <v>0</v>
      </c>
      <c r="BQ59" s="104">
        <f>(1-IF(VLOOKUP($E59,武器奇术!$A:$R,18,FALSE)="叶龙",1,$N59))*(1-$M59)</f>
        <v>0</v>
      </c>
      <c r="BR59" s="103">
        <f>BK59*IF(VLOOKUP($E59,武器奇术!$A:$R,17,FALSE)="裂石",VLOOKUP($E59,武器奇术!$A:$R,4,FALSE),VLOOKUP($E59,武器奇术!$A:$R,2,FALSE))*(1+BM59)*(1+BN59)*BO59*(1+$E$16+VLOOKUP($E59,武器奇术!$A:$R,8,FALSE))</f>
        <v>0</v>
      </c>
      <c r="BS59" s="104">
        <f t="shared" si="21"/>
        <v>0.8703</v>
      </c>
      <c r="BT59" s="103">
        <f>BL59*IF(VLOOKUP($E59,武器奇术!$A:$R,17,FALSE)="裂石",VLOOKUP($E59,武器奇术!$A:$R,4,FALSE),VLOOKUP($E59,武器奇术!$A:$R,2,FALSE))*(1+BM59)*(1+BN59)*BO59*(1+$E$17+VLOOKUP($E59,武器奇术!$A:$R,10,FALSE))</f>
        <v>0</v>
      </c>
      <c r="BU59" s="104">
        <f t="shared" si="22"/>
        <v>0.0986</v>
      </c>
      <c r="BV59" s="103">
        <f>BK59*IF(VLOOKUP($E59,武器奇术!$A:$R,17,FALSE)="裂石",VLOOKUP($E59,武器奇术!$A:$R,4,FALSE),VLOOKUP($E59,武器奇术!$A:$R,2,FALSE))*(1+BM59)*(1+BN59)*BO59</f>
        <v>0</v>
      </c>
      <c r="BW59" s="104">
        <f t="shared" si="23"/>
        <v>0.0311</v>
      </c>
      <c r="BX59" s="112">
        <f t="shared" si="24"/>
        <v>0</v>
      </c>
      <c r="BY59" s="110">
        <f>$B$11*IF($G$5="撼天",1.05,1)+IF(AND(VLOOKUP($E59,武器奇术!$A:$R,15,FALSE)="武器",VLOOKUP($E59,武器奇术!$A:$R,17,FALSE)="牵丝"),$E$3*(1+$E$15),0)</f>
        <v>686.71</v>
      </c>
      <c r="BZ59" s="102">
        <f>IF(VLOOKUP($E59,武器奇术!$A:$Z,18,FALSE)="叶龙",(CA59-(BY59+CA59)*0.5)*($G$15-0.5)*2+(BY59+CA59)*0.5,(BY59+CA59)*0.5)</f>
        <v>1052.21</v>
      </c>
      <c r="CA59" s="102">
        <f>MAX($C$11*IF($G$5="撼天",1.05,1)+IF(AND(VLOOKUP($E59,武器奇术!$A:$R,15,FALSE)="武器",VLOOKUP($E59,武器奇术!$A:$R,17,FALSE)="牵丝"),$E$3*(1+$E$15),0),BY59)</f>
        <v>1417.71</v>
      </c>
      <c r="CB59" s="104">
        <f>IF(($D$11+IF(VLOOKUP($E59,武器奇术!$A:$R,17,FALSE)="牵丝",$D$15,0)-VLOOKUP($F$7,目标属性!$A:$R,6,FALSE))&gt;0,($D$11+IF(VLOOKUP($E59,武器奇术!$A:$R,17,FALSE)="牵丝",$D$15,0)-VLOOKUP($F$7,目标属性!$A:$R,6,FALSE))/200,($D$11+IF(VLOOKUP($E59,武器奇术!$A:$R,17,FALSE)="牵丝",$D$15,0)-VLOOKUP($F$7,目标属性!$A:$R,6,FALSE))/100)</f>
        <v>0.028</v>
      </c>
      <c r="CC59" s="111">
        <f>$E$11+IF($G$5="烟柳",IF(VLOOKUP($E59,武器奇术!$A:$T,20,FALSE)=1,0.1,0),0)</f>
        <v>0.248</v>
      </c>
      <c r="CD59" s="102">
        <v>1</v>
      </c>
      <c r="CE59" s="103">
        <f>BY59*IF(VLOOKUP($E59,武器奇术!$A:$R,17,FALSE)="牵丝",VLOOKUP($E59,武器奇术!$A:$R,4,FALSE),VLOOKUP($E59,武器奇术!$A:$R,2,FALSE))*(1+CB59)*(1+CC59)*CD59</f>
        <v>1552.67083453872</v>
      </c>
      <c r="CF59" s="104">
        <f>(1-IF(VLOOKUP($E59,武器奇术!$A:$R,18,FALSE)="叶龙",1,$N59))*(1-$M59)</f>
        <v>0</v>
      </c>
      <c r="CG59" s="124">
        <f>BZ59*IF(VLOOKUP($E59,武器奇术!$A:$R,17,FALSE)="牵丝",VLOOKUP($E59,武器奇术!$A:$R,4,FALSE),VLOOKUP($E59,武器奇术!$A:$R,2,FALSE))*(1+CB59)*(1+CC59)*CD59*(1+$E$16+VLOOKUP($E59,武器奇术!$A:$R,8,FALSE))</f>
        <v>5362.43894138386</v>
      </c>
      <c r="CH59" s="104">
        <f t="shared" si="25"/>
        <v>0.8703</v>
      </c>
      <c r="CI59" s="103">
        <f>CA59*IF(VLOOKUP($E59,武器奇术!$A:$R,17,FALSE)="牵丝",VLOOKUP($E59,武器奇术!$A:$R,4,FALSE),VLOOKUP($E59,武器奇术!$A:$R,2,FALSE))*(1+CB59)*(1+CC59)*CD59*(1+$E$17+VLOOKUP($E59,武器奇术!$A:$R,10,FALSE))</f>
        <v>4327.40153474647</v>
      </c>
      <c r="CJ59" s="104">
        <f t="shared" si="26"/>
        <v>0.0986</v>
      </c>
      <c r="CK59" s="124">
        <f>BZ59*IF(VLOOKUP($E59,武器奇术!$A:$R,17,FALSE)="牵丝",VLOOKUP($E59,武器奇术!$A:$R,4,FALSE),VLOOKUP($E59,武器奇术!$A:$R,2,FALSE))*(1+CB59)*(1+CC59)*CD59</f>
        <v>2379.07672643472</v>
      </c>
      <c r="CL59" s="104">
        <f t="shared" si="27"/>
        <v>0.0311</v>
      </c>
      <c r="CM59" s="112">
        <f t="shared" si="28"/>
        <v>5167.60168820449</v>
      </c>
      <c r="CN59" s="110">
        <f>$B$13*IF($G$5="撼天",1.05,1)+IF(AND(VLOOKUP($E59,武器奇术!$A:$R,15,FALSE)="武器",VLOOKUP($E59,武器奇术!$A:$R,17,FALSE)="破竹"),$E$3*(1+$E$15),0)</f>
        <v>0</v>
      </c>
      <c r="CO59" s="102">
        <f t="shared" si="29"/>
        <v>0</v>
      </c>
      <c r="CP59" s="102">
        <f>MAX($C$13*IF($G$5="撼天",1.05,1)+IF(AND(VLOOKUP($E59,武器奇术!$A:$R,15,FALSE)="武器",VLOOKUP($E59,武器奇术!$A:$R,17,FALSE)="破竹"),$E$3*(1+$E$15),0),CN59)</f>
        <v>0</v>
      </c>
      <c r="CQ59" s="104">
        <f>IF(($D$13+IF(VLOOKUP($E59,武器奇术!$A:$R,17,FALSE)="破竹",$D$15,0)-VLOOKUP($F$7,目标属性!$A:$R,6,FALSE))&gt;0,($D$13+IF(VLOOKUP($E59,武器奇术!$A:$R,17,FALSE)="破竹",$D$15,0)-VLOOKUP($F$7,目标属性!$A:$R,6,FALSE))/200,($D$13+IF(VLOOKUP($E59,武器奇术!$A:$R,17,FALSE)="破竹",$D$15,0)-VLOOKUP($F$7,目标属性!$A:$R,6,FALSE))/100)</f>
        <v>-0.24</v>
      </c>
      <c r="CR59" s="111">
        <f t="shared" si="30"/>
        <v>0</v>
      </c>
      <c r="CS59" s="102">
        <v>1</v>
      </c>
      <c r="CT59" s="103">
        <f>CN59*IF(VLOOKUP($E59,武器奇术!$A:$R,17,FALSE)="破竹",VLOOKUP($E59,武器奇术!$A:$R,4,FALSE),VLOOKUP($E59,武器奇术!$A:$R,2,FALSE))*(1+CQ59)*(1+CR59)*CS59</f>
        <v>0</v>
      </c>
      <c r="CU59" s="104">
        <f>(1-IF(VLOOKUP($E59,武器奇术!$A:$R,18,FALSE)="叶龙",1,$N59))*(1-$M59)</f>
        <v>0</v>
      </c>
      <c r="CV59" s="103">
        <f>CO59*IF(VLOOKUP($E59,武器奇术!$A:$R,17,FALSE)="破竹",VLOOKUP($E59,武器奇术!$A:$R,4,FALSE),VLOOKUP($E59,武器奇术!$A:$R,2,FALSE))*(1+CQ59)*(1+CR59)*CS59*(1+$E$16+VLOOKUP($E59,武器奇术!$A:$R,8,FALSE))</f>
        <v>0</v>
      </c>
      <c r="CW59" s="104">
        <f t="shared" si="31"/>
        <v>0.8703</v>
      </c>
      <c r="CX59" s="103">
        <f>CP59*IF(VLOOKUP($E59,武器奇术!$A:$R,17,FALSE)="破竹",VLOOKUP($E59,武器奇术!$A:$R,4,FALSE),VLOOKUP($E59,武器奇术!$A:$R,2,FALSE))*(1+CQ59)*(1+CR59)*CS59*(1+$E$17+VLOOKUP($E59,武器奇术!$A:$R,10,FALSE))</f>
        <v>0</v>
      </c>
      <c r="CY59" s="104">
        <f t="shared" si="32"/>
        <v>0.0986</v>
      </c>
      <c r="CZ59" s="103">
        <f>CO59*IF(VLOOKUP($E59,武器奇术!$A:$R,17,FALSE)="破竹",VLOOKUP($E59,武器奇术!$A:$R,4,FALSE),VLOOKUP($E59,武器奇术!$A:$R,2,FALSE))*(1+CQ59)*(1+CR59)*CS59</f>
        <v>0</v>
      </c>
      <c r="DA59" s="104">
        <f t="shared" si="33"/>
        <v>0.0311</v>
      </c>
      <c r="DB59" s="112">
        <f t="shared" si="34"/>
        <v>0</v>
      </c>
      <c r="DC59" s="110">
        <f t="shared" si="35"/>
        <v>66</v>
      </c>
      <c r="DD59" s="102">
        <f t="shared" si="36"/>
        <v>125.8</v>
      </c>
      <c r="DE59" s="102">
        <f t="shared" si="37"/>
        <v>185.6</v>
      </c>
      <c r="DF59" s="104">
        <f>IF((IF(VLOOKUP($E59,武器奇术!$A:$R,17,FALSE)="鸣金",$D$7,0)+IF(VLOOKUP($E59,武器奇术!$A:$R,17,FALSE)="裂石",$D$9,0)+IF(VLOOKUP($E59,武器奇术!$A:$R,17,FALSE)="牵丝",$D$11,0)+IF(VLOOKUP($E59,武器奇术!$A:$R,17,FALSE)="破竹",$D$13,0)+$D$15-VLOOKUP($F$7,目标属性!$A:$R,6,FALSE))&gt;0,(IF(VLOOKUP($E59,武器奇术!$A:$R,17,FALSE)="鸣金",$D$7,0)+IF(VLOOKUP($E59,武器奇术!$A:$R,17,FALSE)="裂石",$D$9,0)+IF(VLOOKUP($E59,武器奇术!$A:$R,17,FALSE)="牵丝",$D$11,0)+IF(VLOOKUP($E59,武器奇术!$A:$R,17,FALSE)="破竹",$D$13,0)+$D$15-VLOOKUP($F$7,目标属性!$A:$R,6,FALSE))/200,(IF(VLOOKUP($E59,武器奇术!$A:$R,17,FALSE)="鸣金",$D$7,0)+IF(VLOOKUP($E59,武器奇术!$A:$R,17,FALSE)="裂石",$D$9,0)+IF(VLOOKUP($E59,武器奇术!$A:$R,17,FALSE)="牵丝",$D$11,0)+IF(VLOOKUP($E59,武器奇术!$A:$R,17,FALSE)="破竹",$D$13,0)+$D$15-VLOOKUP($F$7,目标属性!$A:$R,6,FALSE))/100)</f>
        <v>0.028</v>
      </c>
      <c r="DG59" s="111">
        <f>$E$11+IF($G$5="烟柳",IF(VLOOKUP($E59,武器奇术!$A:$T,20,FALSE)=1,0.1,0),0)</f>
        <v>0.248</v>
      </c>
      <c r="DH59" s="102">
        <v>1</v>
      </c>
      <c r="DI59" s="103">
        <f>DC59*IF(VLOOKUP($E59,武器奇术!$A:$R,17,FALSE)="牵丝",VLOOKUP($E59,武器奇术!$A:$R,4,FALSE),VLOOKUP($E59,武器奇术!$A:$R,2,FALSE))*(1+DF59)*(1+DG59)*DH59</f>
        <v>149.227876512</v>
      </c>
      <c r="DJ59" s="104">
        <f>(1-IF(VLOOKUP($E59,武器奇术!$A:$R,18,FALSE)="叶龙",1,$N59))*(1-$M59)</f>
        <v>0</v>
      </c>
      <c r="DK59" s="124">
        <f>DD59*IF(VLOOKUP($E59,武器奇术!$A:$R,17,FALSE)="牵丝",VLOOKUP($E59,武器奇术!$A:$R,4,FALSE),VLOOKUP($E59,武器奇术!$A:$R,2,FALSE))*(1+DF59)*(1+DG59)*DH59*(1+$E$16+VLOOKUP($E59,武器奇术!$A:$R,8,FALSE))</f>
        <v>641.121847184582</v>
      </c>
      <c r="DL59" s="104">
        <f t="shared" si="38"/>
        <v>0.8703</v>
      </c>
      <c r="DM59" s="103">
        <f>DE59*IF(VLOOKUP($E59,武器奇术!$A:$R,17,FALSE)="牵丝",VLOOKUP($E59,武器奇术!$A:$R,4,FALSE),VLOOKUP($E59,武器奇术!$A:$R,2,FALSE))*(1+DF59)*(1+DG59)*DH59*(1+$E$17+VLOOKUP($E59,武器奇术!$A:$R,10,FALSE))</f>
        <v>566.52328392192</v>
      </c>
      <c r="DN59" s="104">
        <f t="shared" si="39"/>
        <v>0.0986</v>
      </c>
      <c r="DO59" s="124">
        <f>DD59*IF(VLOOKUP($E59,武器奇术!$A:$R,17,FALSE)="牵丝",VLOOKUP($E59,武器奇术!$A:$R,4,FALSE),VLOOKUP($E59,武器奇术!$A:$R,2,FALSE))*(1+DF59)*(1+DG59)*DH59</f>
        <v>284.4373767456</v>
      </c>
      <c r="DP59" s="104">
        <f t="shared" si="40"/>
        <v>0.0311</v>
      </c>
      <c r="DQ59" s="112">
        <f t="shared" si="41"/>
        <v>622.673541816231</v>
      </c>
    </row>
    <row r="60" customFormat="1" customHeight="1" spans="1:121">
      <c r="A60" s="139"/>
      <c r="B60" s="139"/>
      <c r="C60" s="139"/>
      <c r="D60" s="139"/>
      <c r="E60" s="115" t="str">
        <f>期望!E60</f>
        <v>伞Q(连中风墙大纵气竭)</v>
      </c>
      <c r="F60" s="116">
        <f>期望!F60</f>
        <v>1</v>
      </c>
      <c r="G60" s="117"/>
      <c r="H60" s="103">
        <f>IF(VLOOKUP($E60,武器奇术!$A:$R,18,FALSE)="天工",AE60,(AE60+AT60+BI60+BX60+CM60+DB60+DQ60))*(1+J60)*F60*K60*(1+G60)</f>
        <v>89809.5296030743</v>
      </c>
      <c r="I60" s="104">
        <f t="shared" si="0"/>
        <v>0.0103505445031181</v>
      </c>
      <c r="J60" s="138">
        <f>$F$3+VLOOKUP($E60,武器奇术!$A:$R,12,FALSE)+VLOOKUP($E60,武器奇术!$A:$R,14,FALSE)*$G$3+$P60</f>
        <v>1.203</v>
      </c>
      <c r="K60" s="105">
        <f>VLOOKUP($E60,武器奇术!$A:$R,11,FALSE)</f>
        <v>1</v>
      </c>
      <c r="L60" s="119">
        <f>IF(VLOOKUP($E60,武器奇术!$A:$R,15,FALSE)="天工",0%,IF($C$17+VLOOKUP($E60,武器奇术!$A:$R,7,FALSE)&gt;80%,80%,$C$17+VLOOKUP($E60,武器奇术!$A:$R,7,FALSE))+IF($C$19&gt;20%,20%,$C$19))</f>
        <v>0.8703</v>
      </c>
      <c r="M60" s="120">
        <f>IF(VLOOKUP($E60,武器奇术!$A:$R,15,FALSE)="天工",0%,IF($C$18+VLOOKUP($E60,武器奇术!$A:$R,9,FALSE)&gt;40%,40%,$C$18+VLOOKUP($E60,武器奇术!$A:$R,9,FALSE))+IF($C$20&gt;10%,10%,$C$20))</f>
        <v>0.0986</v>
      </c>
      <c r="N60" s="121">
        <f>IF(VLOOKUP($E60,武器奇术!$A:$R,15,FALSE)="天工",100%,MIN($C$16,1))</f>
        <v>1</v>
      </c>
      <c r="O60" s="122" t="str">
        <f>VLOOKUP($E60,武器奇术!$A:$R,16,FALSE)</f>
        <v>伞</v>
      </c>
      <c r="P60" s="123">
        <f t="shared" si="1"/>
        <v>0.17</v>
      </c>
      <c r="Q60" s="110">
        <f>$B$5*(1+VLOOKUP($E60,武器奇术!$A:$R,5,FALSE))*(1+VLOOKUP($E60,武器奇术!$A:$S,19,FALSE)+IF($G$5="飞隼",0.1,0)+IF($G$5="撼天",0.05,0))-$F$9+IF($J$5="√",160,0)</f>
        <v>3324.7</v>
      </c>
      <c r="R60" s="102">
        <f>IF(VLOOKUP($E60,武器奇术!$A:$Z,18,FALSE)="叶龙",(S60-(Q60+S60)*0.5)*($G$15-0.5)*2+(Q60+S60)*0.5,(Q60+S60)*0.5)</f>
        <v>3404.7</v>
      </c>
      <c r="S60" s="102">
        <f>MAX($C$5,$B$5)*(1+VLOOKUP($E60,武器奇术!$A:$R,6,FALSE))*(1+VLOOKUP($E60,武器奇术!$A:$S,19,FALSE)+IF($G$5="飞隼",0.1,0)+IF($G$5="撼天",0.05,0))-$F$9+IF($J$5="√",320,0)</f>
        <v>3484.7</v>
      </c>
      <c r="T60" s="104">
        <f>IF(($D$5+VLOOKUP($E60,武器奇术!$A:$R,13,FALSE)+IF($I$3="√",10,0)-VLOOKUP($F$7,目标属性!$A:$R,5,FALSE))&gt;0,($D$5+VLOOKUP($E60,武器奇术!$A:$R,13,FALSE)+IF($I$3="√",10,0)-VLOOKUP($F$7,目标属性!$A:$R,5,FALSE))/200,($D$5+VLOOKUP($E60,武器奇术!$A:$R,13,FALSE)+IF($I$3="√",10,0)-VLOOKUP($F$7,目标属性!$A:$R,5,FALSE))/100)</f>
        <v>0.4175</v>
      </c>
      <c r="U60" s="111">
        <f>$E$5+IF($G$5="烟柳",IF(VLOOKUP($E60,武器奇术!$A:$T,20,FALSE)=1,0.1,0),0)</f>
        <v>0.1</v>
      </c>
      <c r="V60" s="102">
        <v>1</v>
      </c>
      <c r="W60" s="103">
        <f>Q60*VLOOKUP($E60,武器奇术!$A:$R,2,FALSE)*(1+T60)*(1+U60)*V60</f>
        <v>12129.0948199575</v>
      </c>
      <c r="X60" s="104">
        <f>(1-IF(VLOOKUP($E60,武器奇术!$A:$R,18,FALSE)="叶龙",1,$N60))*(1-$M60)</f>
        <v>0</v>
      </c>
      <c r="Y60" s="103">
        <f>R60*VLOOKUP($E60,武器奇术!$A:$R,2,FALSE)*(1+T60)*(1+U60)*V60*(1+$E$16+VLOOKUP($E60,武器奇术!$A:$R,8,FALSE))</f>
        <v>27996.8190413962</v>
      </c>
      <c r="Z60" s="104">
        <f t="shared" si="2"/>
        <v>0.8703</v>
      </c>
      <c r="AA60" s="103">
        <f>S60*VLOOKUP($E60,武器奇术!$A:$R,2,FALSE)*(1+T60)*(1+U60)*V60*(1+$E$17+VLOOKUP($E60,武器奇术!$A:$R,10,FALSE))</f>
        <v>17162.2842875426</v>
      </c>
      <c r="AB60" s="104">
        <f t="shared" si="3"/>
        <v>0.0986</v>
      </c>
      <c r="AC60" s="103">
        <f>R60*VLOOKUP($E60,武器奇术!$A:$R,2,FALSE)*(1+T60)*(1+U60)*V60</f>
        <v>12420.9489979575</v>
      </c>
      <c r="AD60" s="104">
        <f t="shared" si="4"/>
        <v>0.0311</v>
      </c>
      <c r="AE60" s="112">
        <f t="shared" si="5"/>
        <v>26444.1243563153</v>
      </c>
      <c r="AF60" s="113">
        <f>VLOOKUP($E60,武器奇术!$A:$R,3,FALSE)*(1+IF(VLOOKUP($E60,武器奇术!$A:$R,15,FALSE)="武器",$E$15,0))</f>
        <v>842.4</v>
      </c>
      <c r="AG60" s="103">
        <f t="shared" si="6"/>
        <v>842.4</v>
      </c>
      <c r="AH60" s="103">
        <f>VLOOKUP($E60,武器奇术!$A:$R,3,FALSE)*(1+IF(VLOOKUP($E60,武器奇术!$A:$R,15,FALSE)="武器",$E$15,0))</f>
        <v>842.4</v>
      </c>
      <c r="AI60" s="104">
        <f>IF(($D$5+VLOOKUP($E60,武器奇术!$A:$R,13,FALSE)+IF($I$3="√",10,0)-VLOOKUP($F$7,目标属性!$A:$R,5,FALSE))&gt;0,($D$5+VLOOKUP($E60,武器奇术!$A:$R,13,FALSE)+IF($I$3="√",10,0)-VLOOKUP($F$7,目标属性!$A:$R,5,FALSE))/200,($D$5+VLOOKUP($E60,武器奇术!$A:$R,13,FALSE)+IF($I$3="√",10,0)-VLOOKUP($F$7,目标属性!$A:$R,5,FALSE))/100)</f>
        <v>0.4175</v>
      </c>
      <c r="AJ60" s="111">
        <f>$E$5+IF($G$5="烟柳",IF(VLOOKUP($E60,武器奇术!$A:$T,20,FALSE)=1,0.1,0),0)</f>
        <v>0.1</v>
      </c>
      <c r="AK60" s="102">
        <v>1</v>
      </c>
      <c r="AL60" s="103">
        <f t="shared" si="7"/>
        <v>1313.5122</v>
      </c>
      <c r="AM60" s="104">
        <f>(1-IF(VLOOKUP($E60,武器奇术!$A:$R,18,FALSE)="叶龙",1,$N60))*(1-$M60)</f>
        <v>0</v>
      </c>
      <c r="AN60" s="103">
        <f>AG60*(1+AI60)*(1+AJ60)*AK60*(1+$E$16+VLOOKUP($E60,武器奇术!$A:$R,8,FALSE))</f>
        <v>2960.6564988</v>
      </c>
      <c r="AO60" s="104">
        <f t="shared" si="8"/>
        <v>0.8703</v>
      </c>
      <c r="AP60" s="103">
        <f>AH60*(1+AI60)*(1+AJ60)*AK60*(1+$E$17+VLOOKUP($E60,武器奇术!$A:$R,10,FALSE))</f>
        <v>1773.24147</v>
      </c>
      <c r="AQ60" s="104">
        <f t="shared" si="9"/>
        <v>0.0986</v>
      </c>
      <c r="AR60" s="103">
        <f t="shared" si="10"/>
        <v>1313.5122</v>
      </c>
      <c r="AS60" s="104">
        <f t="shared" si="11"/>
        <v>0.0311</v>
      </c>
      <c r="AT60" s="112">
        <f t="shared" si="12"/>
        <v>2792.35118926764</v>
      </c>
      <c r="AU60" s="110">
        <f>$B$7*IF($G$5="撼天",1.05,1)+IF(AND(VLOOKUP($E60,武器奇术!$A:$R,15,FALSE)="武器",VLOOKUP($E60,武器奇术!$A:$R,17,FALSE)="鸣金"),$E$3*(1+$E$15),0)</f>
        <v>0</v>
      </c>
      <c r="AV60" s="102">
        <f t="shared" si="13"/>
        <v>0</v>
      </c>
      <c r="AW60" s="102">
        <f>MAX($C$7*IF($G$5="撼天",1.05,1)+IF(AND(VLOOKUP($E60,武器奇术!$A:$R,15,FALSE)="武器",VLOOKUP($E60,武器奇术!$A:$R,17,FALSE)="鸣金"),$E$3*(1+$E$15),0),AU60)</f>
        <v>0</v>
      </c>
      <c r="AX60" s="104">
        <f>IF(($D$7+IF(VLOOKUP($E60,武器奇术!$A:$R,17,FALSE)="鸣金",$D$15,0)-VLOOKUP($F$7,目标属性!$A:$R,6,FALSE))&gt;0,($D$7+IF(VLOOKUP($E60,武器奇术!$A:$R,17,FALSE)="鸣金",$D$15,0)-VLOOKUP($F$7,目标属性!$A:$R,6,FALSE))/200,($D$7+IF(VLOOKUP($E60,武器奇术!$A:$R,17,FALSE)="鸣金",$D$15,0)-VLOOKUP($F$7,目标属性!$A:$R,6,FALSE))/100)</f>
        <v>-0.24</v>
      </c>
      <c r="AY60" s="111">
        <f t="shared" si="14"/>
        <v>0</v>
      </c>
      <c r="AZ60" s="102">
        <v>1</v>
      </c>
      <c r="BA60" s="103">
        <f>AU60*IF(VLOOKUP($E60,武器奇术!$A:$R,17,FALSE)="鸣金",VLOOKUP($E60,武器奇术!$A:$R,4,FALSE),VLOOKUP($E60,武器奇术!$A:$R,2,FALSE))*(1+AX60)*(1+AY60)*AZ60</f>
        <v>0</v>
      </c>
      <c r="BB60" s="104">
        <f>(1-IF(VLOOKUP($E60,武器奇术!$A:$R,18,FALSE)="叶龙",1,$N60))*(1-$M60)</f>
        <v>0</v>
      </c>
      <c r="BC60" s="103">
        <f>AV60*IF(VLOOKUP($E60,武器奇术!$A:$R,17,FALSE)="鸣金",VLOOKUP($E60,武器奇术!$A:$R,4,FALSE),VLOOKUP($E60,武器奇术!$A:$R,2,FALSE))*(1+AX60)*(1+AY60)*AZ60*(1+$E$16+VLOOKUP($E60,武器奇术!$A:$R,8,FALSE))</f>
        <v>0</v>
      </c>
      <c r="BD60" s="104">
        <f t="shared" si="15"/>
        <v>0.8703</v>
      </c>
      <c r="BE60" s="103">
        <f>AW60*IF(VLOOKUP($E60,武器奇术!$A:$R,17,FALSE)="鸣金",VLOOKUP($E60,武器奇术!$A:$R,4,FALSE),VLOOKUP($E60,武器奇术!$A:$R,2,FALSE))*(1+AX60)*(1+AY60)*AZ60*(1+$E$17+VLOOKUP($E60,武器奇术!$A:$R,10,FALSE))</f>
        <v>0</v>
      </c>
      <c r="BF60" s="104">
        <f t="shared" si="16"/>
        <v>0.0986</v>
      </c>
      <c r="BG60" s="103">
        <f>AV60*IF(VLOOKUP($E60,武器奇术!$A:$R,17,FALSE)="鸣金",VLOOKUP($E60,武器奇术!$A:$R,4,FALSE),VLOOKUP($E60,武器奇术!$A:$R,2,FALSE))*(1+AX60)*(1+AY60)*AZ60</f>
        <v>0</v>
      </c>
      <c r="BH60" s="104">
        <f t="shared" si="17"/>
        <v>0.0311</v>
      </c>
      <c r="BI60" s="112">
        <f t="shared" si="18"/>
        <v>0</v>
      </c>
      <c r="BJ60" s="110">
        <f>$B$9*IF($G$5="撼天",1.05,1)+IF(AND(VLOOKUP($E60,武器奇术!$A:$R,15,FALSE)="武器",VLOOKUP($E60,武器奇术!$A:$R,17,FALSE)="裂石"),$E$3*(1+$E$15),0)</f>
        <v>0</v>
      </c>
      <c r="BK60" s="102">
        <f t="shared" si="19"/>
        <v>0</v>
      </c>
      <c r="BL60" s="102">
        <f>MAX($C$9*IF($G$5="撼天",1.05,1)+IF(AND(VLOOKUP($E60,武器奇术!$A:$R,15,FALSE)="武器",VLOOKUP($E60,武器奇术!$A:$R,17,FALSE)="裂石"),$E$3*(1+$E$15),0),BJ60)</f>
        <v>0</v>
      </c>
      <c r="BM60" s="104">
        <f>IF(($D$9+IF(VLOOKUP($E60,武器奇术!$A:$R,17,FALSE)="裂石",$D$15,0)-VLOOKUP($F$7,目标属性!$A:$R,6,FALSE))&gt;0,($D$9+IF(VLOOKUP($E60,武器奇术!$A:$R,17,FALSE)="裂石",$D$15,0)-VLOOKUP($F$7,目标属性!$A:$R,6,FALSE))/200,($D$9+IF(VLOOKUP($E60,武器奇术!$A:$R,17,FALSE)="裂石",$D$15,0)-VLOOKUP($F$7,目标属性!$A:$R,6,FALSE))/100)</f>
        <v>-0.24</v>
      </c>
      <c r="BN60" s="111">
        <f t="shared" si="20"/>
        <v>0</v>
      </c>
      <c r="BO60" s="102">
        <v>1</v>
      </c>
      <c r="BP60" s="103">
        <f>BJ60*IF(VLOOKUP($E60,武器奇术!$A:$R,17,FALSE)="裂石",VLOOKUP($E60,武器奇术!$A:$R,4,FALSE),VLOOKUP($E60,武器奇术!$A:$R,2,FALSE))*(1+BM60)*(1+BN60)*BO60</f>
        <v>0</v>
      </c>
      <c r="BQ60" s="104">
        <f>(1-IF(VLOOKUP($E60,武器奇术!$A:$R,18,FALSE)="叶龙",1,$N60))*(1-$M60)</f>
        <v>0</v>
      </c>
      <c r="BR60" s="103">
        <f>BK60*IF(VLOOKUP($E60,武器奇术!$A:$R,17,FALSE)="裂石",VLOOKUP($E60,武器奇术!$A:$R,4,FALSE),VLOOKUP($E60,武器奇术!$A:$R,2,FALSE))*(1+BM60)*(1+BN60)*BO60*(1+$E$16+VLOOKUP($E60,武器奇术!$A:$R,8,FALSE))</f>
        <v>0</v>
      </c>
      <c r="BS60" s="104">
        <f t="shared" si="21"/>
        <v>0.8703</v>
      </c>
      <c r="BT60" s="103">
        <f>BL60*IF(VLOOKUP($E60,武器奇术!$A:$R,17,FALSE)="裂石",VLOOKUP($E60,武器奇术!$A:$R,4,FALSE),VLOOKUP($E60,武器奇术!$A:$R,2,FALSE))*(1+BM60)*(1+BN60)*BO60*(1+$E$17+VLOOKUP($E60,武器奇术!$A:$R,10,FALSE))</f>
        <v>0</v>
      </c>
      <c r="BU60" s="104">
        <f t="shared" si="22"/>
        <v>0.0986</v>
      </c>
      <c r="BV60" s="103">
        <f>BK60*IF(VLOOKUP($E60,武器奇术!$A:$R,17,FALSE)="裂石",VLOOKUP($E60,武器奇术!$A:$R,4,FALSE),VLOOKUP($E60,武器奇术!$A:$R,2,FALSE))*(1+BM60)*(1+BN60)*BO60</f>
        <v>0</v>
      </c>
      <c r="BW60" s="104">
        <f t="shared" si="23"/>
        <v>0.0311</v>
      </c>
      <c r="BX60" s="112">
        <f t="shared" si="24"/>
        <v>0</v>
      </c>
      <c r="BY60" s="110">
        <f>$B$11*IF($G$5="撼天",1.05,1)+IF(AND(VLOOKUP($E60,武器奇术!$A:$R,15,FALSE)="武器",VLOOKUP($E60,武器奇术!$A:$R,17,FALSE)="牵丝"),$E$3*(1+$E$15),0)</f>
        <v>686.71</v>
      </c>
      <c r="BZ60" s="102">
        <f>IF(VLOOKUP($E60,武器奇术!$A:$Z,18,FALSE)="叶龙",(CA60-(BY60+CA60)*0.5)*($G$15-0.5)*2+(BY60+CA60)*0.5,(BY60+CA60)*0.5)</f>
        <v>1052.21</v>
      </c>
      <c r="CA60" s="102">
        <f>MAX($C$11*IF($G$5="撼天",1.05,1)+IF(AND(VLOOKUP($E60,武器奇术!$A:$R,15,FALSE)="武器",VLOOKUP($E60,武器奇术!$A:$R,17,FALSE)="牵丝"),$E$3*(1+$E$15),0),BY60)</f>
        <v>1417.71</v>
      </c>
      <c r="CB60" s="104">
        <f>IF(($D$11+IF(VLOOKUP($E60,武器奇术!$A:$R,17,FALSE)="牵丝",$D$15,0)-VLOOKUP($F$7,目标属性!$A:$R,6,FALSE))&gt;0,($D$11+IF(VLOOKUP($E60,武器奇术!$A:$R,17,FALSE)="牵丝",$D$15,0)-VLOOKUP($F$7,目标属性!$A:$R,6,FALSE))/200,($D$11+IF(VLOOKUP($E60,武器奇术!$A:$R,17,FALSE)="牵丝",$D$15,0)-VLOOKUP($F$7,目标属性!$A:$R,6,FALSE))/100)</f>
        <v>0.028</v>
      </c>
      <c r="CC60" s="111">
        <f>$E$11+IF($G$5="烟柳",IF(VLOOKUP($E60,武器奇术!$A:$T,20,FALSE)=1,0.1,0),0)</f>
        <v>0.248</v>
      </c>
      <c r="CD60" s="102">
        <v>1</v>
      </c>
      <c r="CE60" s="103">
        <f>BY60*IF(VLOOKUP($E60,武器奇术!$A:$R,17,FALSE)="牵丝",VLOOKUP($E60,武器奇术!$A:$R,4,FALSE),VLOOKUP($E60,武器奇术!$A:$R,2,FALSE))*(1+CB60)*(1+CC60)*CD60</f>
        <v>3091.90625934528</v>
      </c>
      <c r="CF60" s="104">
        <f>(1-IF(VLOOKUP($E60,武器奇术!$A:$R,18,FALSE)="叶龙",1,$N60))*(1-$M60)</f>
        <v>0</v>
      </c>
      <c r="CG60" s="124">
        <f>BZ60*IF(VLOOKUP($E60,武器奇术!$A:$R,17,FALSE)="牵丝",VLOOKUP($E60,武器奇术!$A:$R,4,FALSE),VLOOKUP($E60,武器奇术!$A:$R,2,FALSE))*(1+CB60)*(1+CC60)*CD60*(1+$E$16+VLOOKUP($E60,武器奇术!$A:$R,8,FALSE))</f>
        <v>10678.4761840055</v>
      </c>
      <c r="CH60" s="104">
        <f t="shared" si="25"/>
        <v>0.8703</v>
      </c>
      <c r="CI60" s="103">
        <f>CA60*IF(VLOOKUP($E60,武器奇术!$A:$R,17,FALSE)="牵丝",VLOOKUP($E60,武器奇术!$A:$R,4,FALSE),VLOOKUP($E60,武器奇术!$A:$R,2,FALSE))*(1+CB60)*(1+CC60)*CD60*(1+$E$17+VLOOKUP($E60,武器奇术!$A:$R,10,FALSE))</f>
        <v>8617.35764873693</v>
      </c>
      <c r="CJ60" s="104">
        <f t="shared" si="26"/>
        <v>0.0986</v>
      </c>
      <c r="CK60" s="124">
        <f>BZ60*IF(VLOOKUP($E60,武器奇术!$A:$R,17,FALSE)="牵丝",VLOOKUP($E60,武器奇术!$A:$R,4,FALSE),VLOOKUP($E60,武器奇术!$A:$R,2,FALSE))*(1+CB60)*(1+CC60)*CD60</f>
        <v>4737.56707364928</v>
      </c>
      <c r="CL60" s="104">
        <f t="shared" si="27"/>
        <v>0.0311</v>
      </c>
      <c r="CM60" s="112">
        <f t="shared" si="28"/>
        <v>10290.4876230959</v>
      </c>
      <c r="CN60" s="110">
        <f>$B$13*IF($G$5="撼天",1.05,1)+IF(AND(VLOOKUP($E60,武器奇术!$A:$R,15,FALSE)="武器",VLOOKUP($E60,武器奇术!$A:$R,17,FALSE)="破竹"),$E$3*(1+$E$15),0)</f>
        <v>0</v>
      </c>
      <c r="CO60" s="102">
        <f t="shared" si="29"/>
        <v>0</v>
      </c>
      <c r="CP60" s="102">
        <f>MAX($C$13*IF($G$5="撼天",1.05,1)+IF(AND(VLOOKUP($E60,武器奇术!$A:$R,15,FALSE)="武器",VLOOKUP($E60,武器奇术!$A:$R,17,FALSE)="破竹"),$E$3*(1+$E$15),0),CN60)</f>
        <v>0</v>
      </c>
      <c r="CQ60" s="104">
        <f>IF(($D$13+IF(VLOOKUP($E60,武器奇术!$A:$R,17,FALSE)="破竹",$D$15,0)-VLOOKUP($F$7,目标属性!$A:$R,6,FALSE))&gt;0,($D$13+IF(VLOOKUP($E60,武器奇术!$A:$R,17,FALSE)="破竹",$D$15,0)-VLOOKUP($F$7,目标属性!$A:$R,6,FALSE))/200,($D$13+IF(VLOOKUP($E60,武器奇术!$A:$R,17,FALSE)="破竹",$D$15,0)-VLOOKUP($F$7,目标属性!$A:$R,6,FALSE))/100)</f>
        <v>-0.24</v>
      </c>
      <c r="CR60" s="111">
        <f t="shared" si="30"/>
        <v>0</v>
      </c>
      <c r="CS60" s="102">
        <v>1</v>
      </c>
      <c r="CT60" s="103">
        <f>CN60*IF(VLOOKUP($E60,武器奇术!$A:$R,17,FALSE)="破竹",VLOOKUP($E60,武器奇术!$A:$R,4,FALSE),VLOOKUP($E60,武器奇术!$A:$R,2,FALSE))*(1+CQ60)*(1+CR60)*CS60</f>
        <v>0</v>
      </c>
      <c r="CU60" s="104">
        <f>(1-IF(VLOOKUP($E60,武器奇术!$A:$R,18,FALSE)="叶龙",1,$N60))*(1-$M60)</f>
        <v>0</v>
      </c>
      <c r="CV60" s="103">
        <f>CO60*IF(VLOOKUP($E60,武器奇术!$A:$R,17,FALSE)="破竹",VLOOKUP($E60,武器奇术!$A:$R,4,FALSE),VLOOKUP($E60,武器奇术!$A:$R,2,FALSE))*(1+CQ60)*(1+CR60)*CS60*(1+$E$16+VLOOKUP($E60,武器奇术!$A:$R,8,FALSE))</f>
        <v>0</v>
      </c>
      <c r="CW60" s="104">
        <f t="shared" si="31"/>
        <v>0.8703</v>
      </c>
      <c r="CX60" s="103">
        <f>CP60*IF(VLOOKUP($E60,武器奇术!$A:$R,17,FALSE)="破竹",VLOOKUP($E60,武器奇术!$A:$R,4,FALSE),VLOOKUP($E60,武器奇术!$A:$R,2,FALSE))*(1+CQ60)*(1+CR60)*CS60*(1+$E$17+VLOOKUP($E60,武器奇术!$A:$R,10,FALSE))</f>
        <v>0</v>
      </c>
      <c r="CY60" s="104">
        <f t="shared" si="32"/>
        <v>0.0986</v>
      </c>
      <c r="CZ60" s="103">
        <f>CO60*IF(VLOOKUP($E60,武器奇术!$A:$R,17,FALSE)="破竹",VLOOKUP($E60,武器奇术!$A:$R,4,FALSE),VLOOKUP($E60,武器奇术!$A:$R,2,FALSE))*(1+CQ60)*(1+CR60)*CS60</f>
        <v>0</v>
      </c>
      <c r="DA60" s="104">
        <f t="shared" si="33"/>
        <v>0.0311</v>
      </c>
      <c r="DB60" s="112">
        <f t="shared" si="34"/>
        <v>0</v>
      </c>
      <c r="DC60" s="110">
        <f t="shared" si="35"/>
        <v>66</v>
      </c>
      <c r="DD60" s="102">
        <f t="shared" si="36"/>
        <v>125.8</v>
      </c>
      <c r="DE60" s="102">
        <f t="shared" si="37"/>
        <v>185.6</v>
      </c>
      <c r="DF60" s="104">
        <f>IF((IF(VLOOKUP($E60,武器奇术!$A:$R,17,FALSE)="鸣金",$D$7,0)+IF(VLOOKUP($E60,武器奇术!$A:$R,17,FALSE)="裂石",$D$9,0)+IF(VLOOKUP($E60,武器奇术!$A:$R,17,FALSE)="牵丝",$D$11,0)+IF(VLOOKUP($E60,武器奇术!$A:$R,17,FALSE)="破竹",$D$13,0)+$D$15-VLOOKUP($F$7,目标属性!$A:$R,6,FALSE))&gt;0,(IF(VLOOKUP($E60,武器奇术!$A:$R,17,FALSE)="鸣金",$D$7,0)+IF(VLOOKUP($E60,武器奇术!$A:$R,17,FALSE)="裂石",$D$9,0)+IF(VLOOKUP($E60,武器奇术!$A:$R,17,FALSE)="牵丝",$D$11,0)+IF(VLOOKUP($E60,武器奇术!$A:$R,17,FALSE)="破竹",$D$13,0)+$D$15-VLOOKUP($F$7,目标属性!$A:$R,6,FALSE))/200,(IF(VLOOKUP($E60,武器奇术!$A:$R,17,FALSE)="鸣金",$D$7,0)+IF(VLOOKUP($E60,武器奇术!$A:$R,17,FALSE)="裂石",$D$9,0)+IF(VLOOKUP($E60,武器奇术!$A:$R,17,FALSE)="牵丝",$D$11,0)+IF(VLOOKUP($E60,武器奇术!$A:$R,17,FALSE)="破竹",$D$13,0)+$D$15-VLOOKUP($F$7,目标属性!$A:$R,6,FALSE))/100)</f>
        <v>0.028</v>
      </c>
      <c r="DG60" s="111">
        <f>$E$11+IF($G$5="烟柳",IF(VLOOKUP($E60,武器奇术!$A:$T,20,FALSE)=1,0.1,0),0)</f>
        <v>0.248</v>
      </c>
      <c r="DH60" s="102">
        <v>1</v>
      </c>
      <c r="DI60" s="103">
        <f>DC60*IF(VLOOKUP($E60,武器奇术!$A:$R,17,FALSE)="牵丝",VLOOKUP($E60,武器奇术!$A:$R,4,FALSE),VLOOKUP($E60,武器奇术!$A:$R,2,FALSE))*(1+DF60)*(1+DG60)*DH60</f>
        <v>297.164469888</v>
      </c>
      <c r="DJ60" s="104">
        <f>(1-IF(VLOOKUP($E60,武器奇术!$A:$R,18,FALSE)="叶龙",1,$N60))*(1-$M60)</f>
        <v>0</v>
      </c>
      <c r="DK60" s="124">
        <f>DD60*IF(VLOOKUP($E60,武器奇术!$A:$R,17,FALSE)="牵丝",VLOOKUP($E60,武器奇术!$A:$R,4,FALSE),VLOOKUP($E60,武器奇术!$A:$R,2,FALSE))*(1+DF60)*(1+DG60)*DH60*(1+$E$16+VLOOKUP($E60,武器奇术!$A:$R,8,FALSE))</f>
        <v>1276.6960055007</v>
      </c>
      <c r="DL60" s="104">
        <f t="shared" si="38"/>
        <v>0.8703</v>
      </c>
      <c r="DM60" s="103">
        <f>DE60*IF(VLOOKUP($E60,武器奇术!$A:$R,17,FALSE)="牵丝",VLOOKUP($E60,武器奇术!$A:$R,4,FALSE),VLOOKUP($E60,武器奇术!$A:$R,2,FALSE))*(1+DF60)*(1+DG60)*DH60*(1+$E$17+VLOOKUP($E60,武器奇术!$A:$R,10,FALSE))</f>
        <v>1128.14438750208</v>
      </c>
      <c r="DN60" s="104">
        <f t="shared" si="39"/>
        <v>0.0986</v>
      </c>
      <c r="DO60" s="124">
        <f>DD60*IF(VLOOKUP($E60,武器奇术!$A:$R,17,FALSE)="牵丝",VLOOKUP($E60,武器奇术!$A:$R,4,FALSE),VLOOKUP($E60,武器奇术!$A:$R,2,FALSE))*(1+DF60)*(1+DG60)*DH60</f>
        <v>566.4134895744</v>
      </c>
      <c r="DP60" s="104">
        <f t="shared" si="40"/>
        <v>0.0311</v>
      </c>
      <c r="DQ60" s="112">
        <f t="shared" si="41"/>
        <v>1239.95902972073</v>
      </c>
    </row>
    <row r="61" customFormat="1" customHeight="1" spans="1:121">
      <c r="A61" s="139"/>
      <c r="B61" s="139"/>
      <c r="C61" s="139"/>
      <c r="D61" s="139"/>
      <c r="E61" s="115" t="str">
        <f>期望!E61</f>
        <v>伞重击派生(大纵断石)</v>
      </c>
      <c r="F61" s="116">
        <f>期望!F61</f>
        <v>1</v>
      </c>
      <c r="G61" s="117"/>
      <c r="H61" s="103">
        <f>IF(VLOOKUP($E61,武器奇术!$A:$R,18,FALSE)="天工",AE61,(AE61+AT61+BI61+BX61+CM61+DB61+DQ61))*(1+J61)*F61*K61*(1+G61)</f>
        <v>40054.7654770893</v>
      </c>
      <c r="I61" s="104">
        <f t="shared" si="0"/>
        <v>0.00461631003374478</v>
      </c>
      <c r="J61" s="138">
        <f>$F$3+VLOOKUP($E61,武器奇术!$A:$R,12,FALSE)+VLOOKUP($E61,武器奇术!$A:$R,14,FALSE)*$G$3+$P61</f>
        <v>0.623</v>
      </c>
      <c r="K61" s="105">
        <f>VLOOKUP($E61,武器奇术!$A:$R,11,FALSE)</f>
        <v>1</v>
      </c>
      <c r="L61" s="119">
        <f>IF(VLOOKUP($E61,武器奇术!$A:$R,15,FALSE)="天工",0%,IF($C$17+VLOOKUP($E61,武器奇术!$A:$R,7,FALSE)&gt;80%,80%,$C$17+VLOOKUP($E61,武器奇术!$A:$R,7,FALSE))+IF($C$19&gt;20%,20%,$C$19))</f>
        <v>0.8703</v>
      </c>
      <c r="M61" s="120">
        <f>IF(VLOOKUP($E61,武器奇术!$A:$R,15,FALSE)="天工",0%,IF($C$18+VLOOKUP($E61,武器奇术!$A:$R,9,FALSE)&gt;40%,40%,$C$18+VLOOKUP($E61,武器奇术!$A:$R,9,FALSE))+IF($C$20&gt;10%,10%,$C$20))</f>
        <v>0.0986</v>
      </c>
      <c r="N61" s="121">
        <f>IF(VLOOKUP($E61,武器奇术!$A:$R,15,FALSE)="天工",100%,MIN($C$16,1))</f>
        <v>1</v>
      </c>
      <c r="O61" s="122" t="str">
        <f>VLOOKUP($E61,武器奇术!$A:$R,16,FALSE)</f>
        <v>伞</v>
      </c>
      <c r="P61" s="123">
        <f t="shared" si="1"/>
        <v>0.17</v>
      </c>
      <c r="Q61" s="110">
        <f>$B$5*(1+VLOOKUP($E61,武器奇术!$A:$R,5,FALSE))*(1+VLOOKUP($E61,武器奇术!$A:$S,19,FALSE)+IF($G$5="飞隼",0.1,0)+IF($G$5="撼天",0.05,0))-$F$9+IF($J$5="√",160,0)</f>
        <v>3324.7</v>
      </c>
      <c r="R61" s="102">
        <f>IF(VLOOKUP($E61,武器奇术!$A:$Z,18,FALSE)="叶龙",(S61-(Q61+S61)*0.5)*($G$15-0.5)*2+(Q61+S61)*0.5,(Q61+S61)*0.5)</f>
        <v>3404.7</v>
      </c>
      <c r="S61" s="102">
        <f>MAX($C$5,$B$5)*(1+VLOOKUP($E61,武器奇术!$A:$R,6,FALSE))*(1+VLOOKUP($E61,武器奇术!$A:$S,19,FALSE)+IF($G$5="飞隼",0.1,0)+IF($G$5="撼天",0.05,0))-$F$9+IF($J$5="√",320,0)</f>
        <v>3484.7</v>
      </c>
      <c r="T61" s="104">
        <f>IF(($D$5+VLOOKUP($E61,武器奇术!$A:$R,13,FALSE)+IF($I$3="√",10,0)-VLOOKUP($F$7,目标属性!$A:$R,5,FALSE))&gt;0,($D$5+VLOOKUP($E61,武器奇术!$A:$R,13,FALSE)+IF($I$3="√",10,0)-VLOOKUP($F$7,目标属性!$A:$R,5,FALSE))/200,($D$5+VLOOKUP($E61,武器奇术!$A:$R,13,FALSE)+IF($I$3="√",10,0)-VLOOKUP($F$7,目标属性!$A:$R,5,FALSE))/100)</f>
        <v>0.3925</v>
      </c>
      <c r="U61" s="111">
        <f>$E$5+IF($G$5="烟柳",IF(VLOOKUP($E61,武器奇术!$A:$T,20,FALSE)=1,0.1,0),0)</f>
        <v>0.1</v>
      </c>
      <c r="V61" s="102">
        <v>1</v>
      </c>
      <c r="W61" s="103">
        <f>Q61*VLOOKUP($E61,武器奇术!$A:$R,2,FALSE)*(1+T61)*(1+U61)*V61</f>
        <v>8654.8893778875</v>
      </c>
      <c r="X61" s="104">
        <f>(1-IF(VLOOKUP($E61,武器奇术!$A:$R,18,FALSE)="叶龙",1,$N61))*(1-$M61)</f>
        <v>0</v>
      </c>
      <c r="Y61" s="103">
        <f>R61*VLOOKUP($E61,武器奇术!$A:$R,2,FALSE)*(1+T61)*(1+U61)*V61*(1+$E$16+VLOOKUP($E61,武器奇术!$A:$R,8,FALSE))</f>
        <v>16786.7987283389</v>
      </c>
      <c r="Z61" s="104">
        <f t="shared" si="2"/>
        <v>0.8703</v>
      </c>
      <c r="AA61" s="103">
        <f>S61*VLOOKUP($E61,武器奇术!$A:$R,2,FALSE)*(1+T61)*(1+U61)*V61*(1+$E$17+VLOOKUP($E61,武器奇术!$A:$R,10,FALSE))</f>
        <v>12246.3938311481</v>
      </c>
      <c r="AB61" s="104">
        <f t="shared" si="3"/>
        <v>0.0986</v>
      </c>
      <c r="AC61" s="103">
        <f>R61*VLOOKUP($E61,武器奇术!$A:$R,2,FALSE)*(1+T61)*(1+U61)*V61</f>
        <v>8863.1461078875</v>
      </c>
      <c r="AD61" s="104">
        <f t="shared" si="4"/>
        <v>0.0311</v>
      </c>
      <c r="AE61" s="112">
        <f t="shared" si="5"/>
        <v>16092.6892089799</v>
      </c>
      <c r="AF61" s="113">
        <f>VLOOKUP($E61,武器奇术!$A:$R,3,FALSE)*(1+IF(VLOOKUP($E61,武器奇术!$A:$R,15,FALSE)="武器",$E$15,0))</f>
        <v>510.9</v>
      </c>
      <c r="AG61" s="103">
        <f t="shared" si="6"/>
        <v>510.9</v>
      </c>
      <c r="AH61" s="103">
        <f>VLOOKUP($E61,武器奇术!$A:$R,3,FALSE)*(1+IF(VLOOKUP($E61,武器奇术!$A:$R,15,FALSE)="武器",$E$15,0))</f>
        <v>510.9</v>
      </c>
      <c r="AI61" s="104">
        <f>IF(($D$5+VLOOKUP($E61,武器奇术!$A:$R,13,FALSE)+IF($I$3="√",10,0)-VLOOKUP($F$7,目标属性!$A:$R,5,FALSE))&gt;0,($D$5+VLOOKUP($E61,武器奇术!$A:$R,13,FALSE)+IF($I$3="√",10,0)-VLOOKUP($F$7,目标属性!$A:$R,5,FALSE))/200,($D$5+VLOOKUP($E61,武器奇术!$A:$R,13,FALSE)+IF($I$3="√",10,0)-VLOOKUP($F$7,目标属性!$A:$R,5,FALSE))/100)</f>
        <v>0.3925</v>
      </c>
      <c r="AJ61" s="111">
        <f>$E$5+IF($G$5="烟柳",IF(VLOOKUP($E61,武器奇术!$A:$T,20,FALSE)=1,0.1,0),0)</f>
        <v>0.1</v>
      </c>
      <c r="AK61" s="102">
        <v>1</v>
      </c>
      <c r="AL61" s="103">
        <f t="shared" si="7"/>
        <v>782.571075</v>
      </c>
      <c r="AM61" s="104">
        <f>(1-IF(VLOOKUP($E61,武器奇术!$A:$R,18,FALSE)="叶龙",1,$N61))*(1-$M61)</f>
        <v>0</v>
      </c>
      <c r="AN61" s="103">
        <f>AG61*(1+AI61)*(1+AJ61)*AK61*(1+$E$16+VLOOKUP($E61,武器奇术!$A:$R,8,FALSE))</f>
        <v>1482.18961605</v>
      </c>
      <c r="AO61" s="104">
        <f t="shared" si="8"/>
        <v>0.8703</v>
      </c>
      <c r="AP61" s="103">
        <f>AH61*(1+AI61)*(1+AJ61)*AK61*(1+$E$17+VLOOKUP($E61,武器奇术!$A:$R,10,FALSE))</f>
        <v>1056.47095125</v>
      </c>
      <c r="AQ61" s="104">
        <f t="shared" si="9"/>
        <v>0.0986</v>
      </c>
      <c r="AR61" s="103">
        <f t="shared" si="10"/>
        <v>782.571075</v>
      </c>
      <c r="AS61" s="104">
        <f t="shared" si="11"/>
        <v>0.0311</v>
      </c>
      <c r="AT61" s="112">
        <f t="shared" si="12"/>
        <v>1418.45561907407</v>
      </c>
      <c r="AU61" s="110">
        <f>$B$7*IF($G$5="撼天",1.05,1)+IF(AND(VLOOKUP($E61,武器奇术!$A:$R,15,FALSE)="武器",VLOOKUP($E61,武器奇术!$A:$R,17,FALSE)="鸣金"),$E$3*(1+$E$15),0)</f>
        <v>0</v>
      </c>
      <c r="AV61" s="102">
        <f t="shared" si="13"/>
        <v>0</v>
      </c>
      <c r="AW61" s="102">
        <f>MAX($C$7*IF($G$5="撼天",1.05,1)+IF(AND(VLOOKUP($E61,武器奇术!$A:$R,15,FALSE)="武器",VLOOKUP($E61,武器奇术!$A:$R,17,FALSE)="鸣金"),$E$3*(1+$E$15),0),AU61)</f>
        <v>0</v>
      </c>
      <c r="AX61" s="104">
        <f>IF(($D$7+IF(VLOOKUP($E61,武器奇术!$A:$R,17,FALSE)="鸣金",$D$15,0)-VLOOKUP($F$7,目标属性!$A:$R,6,FALSE))&gt;0,($D$7+IF(VLOOKUP($E61,武器奇术!$A:$R,17,FALSE)="鸣金",$D$15,0)-VLOOKUP($F$7,目标属性!$A:$R,6,FALSE))/200,($D$7+IF(VLOOKUP($E61,武器奇术!$A:$R,17,FALSE)="鸣金",$D$15,0)-VLOOKUP($F$7,目标属性!$A:$R,6,FALSE))/100)</f>
        <v>-0.24</v>
      </c>
      <c r="AY61" s="111">
        <f t="shared" si="14"/>
        <v>0</v>
      </c>
      <c r="AZ61" s="102">
        <v>1</v>
      </c>
      <c r="BA61" s="103">
        <f>AU61*IF(VLOOKUP($E61,武器奇术!$A:$R,17,FALSE)="鸣金",VLOOKUP($E61,武器奇术!$A:$R,4,FALSE),VLOOKUP($E61,武器奇术!$A:$R,2,FALSE))*(1+AX61)*(1+AY61)*AZ61</f>
        <v>0</v>
      </c>
      <c r="BB61" s="104">
        <f>(1-IF(VLOOKUP($E61,武器奇术!$A:$R,18,FALSE)="叶龙",1,$N61))*(1-$M61)</f>
        <v>0</v>
      </c>
      <c r="BC61" s="103">
        <f>AV61*IF(VLOOKUP($E61,武器奇术!$A:$R,17,FALSE)="鸣金",VLOOKUP($E61,武器奇术!$A:$R,4,FALSE),VLOOKUP($E61,武器奇术!$A:$R,2,FALSE))*(1+AX61)*(1+AY61)*AZ61*(1+$E$16+VLOOKUP($E61,武器奇术!$A:$R,8,FALSE))</f>
        <v>0</v>
      </c>
      <c r="BD61" s="104">
        <f t="shared" si="15"/>
        <v>0.8703</v>
      </c>
      <c r="BE61" s="103">
        <f>AW61*IF(VLOOKUP($E61,武器奇术!$A:$R,17,FALSE)="鸣金",VLOOKUP($E61,武器奇术!$A:$R,4,FALSE),VLOOKUP($E61,武器奇术!$A:$R,2,FALSE))*(1+AX61)*(1+AY61)*AZ61*(1+$E$17+VLOOKUP($E61,武器奇术!$A:$R,10,FALSE))</f>
        <v>0</v>
      </c>
      <c r="BF61" s="104">
        <f t="shared" si="16"/>
        <v>0.0986</v>
      </c>
      <c r="BG61" s="103">
        <f>AV61*IF(VLOOKUP($E61,武器奇术!$A:$R,17,FALSE)="鸣金",VLOOKUP($E61,武器奇术!$A:$R,4,FALSE),VLOOKUP($E61,武器奇术!$A:$R,2,FALSE))*(1+AX61)*(1+AY61)*AZ61</f>
        <v>0</v>
      </c>
      <c r="BH61" s="104">
        <f t="shared" si="17"/>
        <v>0.0311</v>
      </c>
      <c r="BI61" s="112">
        <f t="shared" si="18"/>
        <v>0</v>
      </c>
      <c r="BJ61" s="110">
        <f>$B$9*IF($G$5="撼天",1.05,1)+IF(AND(VLOOKUP($E61,武器奇术!$A:$R,15,FALSE)="武器",VLOOKUP($E61,武器奇术!$A:$R,17,FALSE)="裂石"),$E$3*(1+$E$15),0)</f>
        <v>0</v>
      </c>
      <c r="BK61" s="102">
        <f t="shared" si="19"/>
        <v>0</v>
      </c>
      <c r="BL61" s="102">
        <f>MAX($C$9*IF($G$5="撼天",1.05,1)+IF(AND(VLOOKUP($E61,武器奇术!$A:$R,15,FALSE)="武器",VLOOKUP($E61,武器奇术!$A:$R,17,FALSE)="裂石"),$E$3*(1+$E$15),0),BJ61)</f>
        <v>0</v>
      </c>
      <c r="BM61" s="104">
        <f>IF(($D$9+IF(VLOOKUP($E61,武器奇术!$A:$R,17,FALSE)="裂石",$D$15,0)-VLOOKUP($F$7,目标属性!$A:$R,6,FALSE))&gt;0,($D$9+IF(VLOOKUP($E61,武器奇术!$A:$R,17,FALSE)="裂石",$D$15,0)-VLOOKUP($F$7,目标属性!$A:$R,6,FALSE))/200,($D$9+IF(VLOOKUP($E61,武器奇术!$A:$R,17,FALSE)="裂石",$D$15,0)-VLOOKUP($F$7,目标属性!$A:$R,6,FALSE))/100)</f>
        <v>-0.24</v>
      </c>
      <c r="BN61" s="111">
        <f t="shared" si="20"/>
        <v>0</v>
      </c>
      <c r="BO61" s="102">
        <v>1</v>
      </c>
      <c r="BP61" s="103">
        <f>BJ61*IF(VLOOKUP($E61,武器奇术!$A:$R,17,FALSE)="裂石",VLOOKUP($E61,武器奇术!$A:$R,4,FALSE),VLOOKUP($E61,武器奇术!$A:$R,2,FALSE))*(1+BM61)*(1+BN61)*BO61</f>
        <v>0</v>
      </c>
      <c r="BQ61" s="104">
        <f>(1-IF(VLOOKUP($E61,武器奇术!$A:$R,18,FALSE)="叶龙",1,$N61))*(1-$M61)</f>
        <v>0</v>
      </c>
      <c r="BR61" s="103">
        <f>BK61*IF(VLOOKUP($E61,武器奇术!$A:$R,17,FALSE)="裂石",VLOOKUP($E61,武器奇术!$A:$R,4,FALSE),VLOOKUP($E61,武器奇术!$A:$R,2,FALSE))*(1+BM61)*(1+BN61)*BO61*(1+$E$16+VLOOKUP($E61,武器奇术!$A:$R,8,FALSE))</f>
        <v>0</v>
      </c>
      <c r="BS61" s="104">
        <f t="shared" si="21"/>
        <v>0.8703</v>
      </c>
      <c r="BT61" s="103">
        <f>BL61*IF(VLOOKUP($E61,武器奇术!$A:$R,17,FALSE)="裂石",VLOOKUP($E61,武器奇术!$A:$R,4,FALSE),VLOOKUP($E61,武器奇术!$A:$R,2,FALSE))*(1+BM61)*(1+BN61)*BO61*(1+$E$17+VLOOKUP($E61,武器奇术!$A:$R,10,FALSE))</f>
        <v>0</v>
      </c>
      <c r="BU61" s="104">
        <f t="shared" si="22"/>
        <v>0.0986</v>
      </c>
      <c r="BV61" s="103">
        <f>BK61*IF(VLOOKUP($E61,武器奇术!$A:$R,17,FALSE)="裂石",VLOOKUP($E61,武器奇术!$A:$R,4,FALSE),VLOOKUP($E61,武器奇术!$A:$R,2,FALSE))*(1+BM61)*(1+BN61)*BO61</f>
        <v>0</v>
      </c>
      <c r="BW61" s="104">
        <f t="shared" si="23"/>
        <v>0.0311</v>
      </c>
      <c r="BX61" s="112">
        <f t="shared" si="24"/>
        <v>0</v>
      </c>
      <c r="BY61" s="110">
        <f>$B$11*IF($G$5="撼天",1.05,1)+IF(AND(VLOOKUP($E61,武器奇术!$A:$R,15,FALSE)="武器",VLOOKUP($E61,武器奇术!$A:$R,17,FALSE)="牵丝"),$E$3*(1+$E$15),0)</f>
        <v>686.71</v>
      </c>
      <c r="BZ61" s="102">
        <f>IF(VLOOKUP($E61,武器奇术!$A:$Z,18,FALSE)="叶龙",(CA61-(BY61+CA61)*0.5)*($G$15-0.5)*2+(BY61+CA61)*0.5,(BY61+CA61)*0.5)</f>
        <v>1052.21</v>
      </c>
      <c r="CA61" s="102">
        <f>MAX($C$11*IF($G$5="撼天",1.05,1)+IF(AND(VLOOKUP($E61,武器奇术!$A:$R,15,FALSE)="武器",VLOOKUP($E61,武器奇术!$A:$R,17,FALSE)="牵丝"),$E$3*(1+$E$15),0),BY61)</f>
        <v>1417.71</v>
      </c>
      <c r="CB61" s="104">
        <f>IF(($D$11+IF(VLOOKUP($E61,武器奇术!$A:$R,17,FALSE)="牵丝",$D$15,0)-VLOOKUP($F$7,目标属性!$A:$R,6,FALSE))&gt;0,($D$11+IF(VLOOKUP($E61,武器奇术!$A:$R,17,FALSE)="牵丝",$D$15,0)-VLOOKUP($F$7,目标属性!$A:$R,6,FALSE))/200,($D$11+IF(VLOOKUP($E61,武器奇术!$A:$R,17,FALSE)="牵丝",$D$15,0)-VLOOKUP($F$7,目标属性!$A:$R,6,FALSE))/100)</f>
        <v>0.028</v>
      </c>
      <c r="CC61" s="111">
        <f>$E$11+IF($G$5="烟柳",IF(VLOOKUP($E61,武器奇术!$A:$T,20,FALSE)=1,0.1,0),0)</f>
        <v>0.248</v>
      </c>
      <c r="CD61" s="102">
        <v>1</v>
      </c>
      <c r="CE61" s="103">
        <f>BY61*IF(VLOOKUP($E61,武器奇术!$A:$R,17,FALSE)="牵丝",VLOOKUP($E61,武器奇术!$A:$R,4,FALSE),VLOOKUP($E61,武器奇术!$A:$R,2,FALSE))*(1+CB61)*(1+CC61)*CD61</f>
        <v>2245.87190093261</v>
      </c>
      <c r="CF61" s="104">
        <f>(1-IF(VLOOKUP($E61,武器奇术!$A:$R,18,FALSE)="叶龙",1,$N61))*(1-$M61)</f>
        <v>0</v>
      </c>
      <c r="CG61" s="124">
        <f>BZ61*IF(VLOOKUP($E61,武器奇术!$A:$R,17,FALSE)="牵丝",VLOOKUP($E61,武器奇术!$A:$R,4,FALSE),VLOOKUP($E61,武器奇术!$A:$R,2,FALSE))*(1+CB61)*(1+CC61)*CD61*(1+$E$16+VLOOKUP($E61,武器奇术!$A:$R,8,FALSE))</f>
        <v>6517.69463854507</v>
      </c>
      <c r="CH61" s="104">
        <f t="shared" si="25"/>
        <v>0.8703</v>
      </c>
      <c r="CI61" s="103">
        <f>CA61*IF(VLOOKUP($E61,武器奇术!$A:$R,17,FALSE)="牵丝",VLOOKUP($E61,武器奇术!$A:$R,4,FALSE),VLOOKUP($E61,武器奇术!$A:$R,2,FALSE))*(1+CB61)*(1+CC61)*CD61*(1+$E$17+VLOOKUP($E61,武器奇术!$A:$R,10,FALSE))</f>
        <v>6259.4010879499</v>
      </c>
      <c r="CJ61" s="104">
        <f t="shared" si="26"/>
        <v>0.0986</v>
      </c>
      <c r="CK61" s="124">
        <f>BZ61*IF(VLOOKUP($E61,武器奇术!$A:$R,17,FALSE)="牵丝",VLOOKUP($E61,武器奇术!$A:$R,4,FALSE),VLOOKUP($E61,武器奇术!$A:$R,2,FALSE))*(1+CB61)*(1+CC61)*CD61</f>
        <v>3441.23264970701</v>
      </c>
      <c r="CL61" s="104">
        <f t="shared" si="27"/>
        <v>0.0311</v>
      </c>
      <c r="CM61" s="112">
        <f t="shared" si="28"/>
        <v>6396.54892660353</v>
      </c>
      <c r="CN61" s="110">
        <f>$B$13*IF($G$5="撼天",1.05,1)+IF(AND(VLOOKUP($E61,武器奇术!$A:$R,15,FALSE)="武器",VLOOKUP($E61,武器奇术!$A:$R,17,FALSE)="破竹"),$E$3*(1+$E$15),0)</f>
        <v>0</v>
      </c>
      <c r="CO61" s="102">
        <f t="shared" si="29"/>
        <v>0</v>
      </c>
      <c r="CP61" s="102">
        <f>MAX($C$13*IF($G$5="撼天",1.05,1)+IF(AND(VLOOKUP($E61,武器奇术!$A:$R,15,FALSE)="武器",VLOOKUP($E61,武器奇术!$A:$R,17,FALSE)="破竹"),$E$3*(1+$E$15),0),CN61)</f>
        <v>0</v>
      </c>
      <c r="CQ61" s="104">
        <f>IF(($D$13+IF(VLOOKUP($E61,武器奇术!$A:$R,17,FALSE)="破竹",$D$15,0)-VLOOKUP($F$7,目标属性!$A:$R,6,FALSE))&gt;0,($D$13+IF(VLOOKUP($E61,武器奇术!$A:$R,17,FALSE)="破竹",$D$15,0)-VLOOKUP($F$7,目标属性!$A:$R,6,FALSE))/200,($D$13+IF(VLOOKUP($E61,武器奇术!$A:$R,17,FALSE)="破竹",$D$15,0)-VLOOKUP($F$7,目标属性!$A:$R,6,FALSE))/100)</f>
        <v>-0.24</v>
      </c>
      <c r="CR61" s="111">
        <f t="shared" si="30"/>
        <v>0</v>
      </c>
      <c r="CS61" s="102">
        <v>1</v>
      </c>
      <c r="CT61" s="103">
        <f>CN61*IF(VLOOKUP($E61,武器奇术!$A:$R,17,FALSE)="破竹",VLOOKUP($E61,武器奇术!$A:$R,4,FALSE),VLOOKUP($E61,武器奇术!$A:$R,2,FALSE))*(1+CQ61)*(1+CR61)*CS61</f>
        <v>0</v>
      </c>
      <c r="CU61" s="104">
        <f>(1-IF(VLOOKUP($E61,武器奇术!$A:$R,18,FALSE)="叶龙",1,$N61))*(1-$M61)</f>
        <v>0</v>
      </c>
      <c r="CV61" s="103">
        <f>CO61*IF(VLOOKUP($E61,武器奇术!$A:$R,17,FALSE)="破竹",VLOOKUP($E61,武器奇术!$A:$R,4,FALSE),VLOOKUP($E61,武器奇术!$A:$R,2,FALSE))*(1+CQ61)*(1+CR61)*CS61*(1+$E$16+VLOOKUP($E61,武器奇术!$A:$R,8,FALSE))</f>
        <v>0</v>
      </c>
      <c r="CW61" s="104">
        <f t="shared" si="31"/>
        <v>0.8703</v>
      </c>
      <c r="CX61" s="103">
        <f>CP61*IF(VLOOKUP($E61,武器奇术!$A:$R,17,FALSE)="破竹",VLOOKUP($E61,武器奇术!$A:$R,4,FALSE),VLOOKUP($E61,武器奇术!$A:$R,2,FALSE))*(1+CQ61)*(1+CR61)*CS61*(1+$E$17+VLOOKUP($E61,武器奇术!$A:$R,10,FALSE))</f>
        <v>0</v>
      </c>
      <c r="CY61" s="104">
        <f t="shared" si="32"/>
        <v>0.0986</v>
      </c>
      <c r="CZ61" s="103">
        <f>CO61*IF(VLOOKUP($E61,武器奇术!$A:$R,17,FALSE)="破竹",VLOOKUP($E61,武器奇术!$A:$R,4,FALSE),VLOOKUP($E61,武器奇术!$A:$R,2,FALSE))*(1+CQ61)*(1+CR61)*CS61</f>
        <v>0</v>
      </c>
      <c r="DA61" s="104">
        <f t="shared" si="33"/>
        <v>0.0311</v>
      </c>
      <c r="DB61" s="112">
        <f t="shared" si="34"/>
        <v>0</v>
      </c>
      <c r="DC61" s="110">
        <f t="shared" si="35"/>
        <v>66</v>
      </c>
      <c r="DD61" s="102">
        <f t="shared" si="36"/>
        <v>125.8</v>
      </c>
      <c r="DE61" s="102">
        <f t="shared" si="37"/>
        <v>185.6</v>
      </c>
      <c r="DF61" s="104">
        <f>IF((IF(VLOOKUP($E61,武器奇术!$A:$R,17,FALSE)="鸣金",$D$7,0)+IF(VLOOKUP($E61,武器奇术!$A:$R,17,FALSE)="裂石",$D$9,0)+IF(VLOOKUP($E61,武器奇术!$A:$R,17,FALSE)="牵丝",$D$11,0)+IF(VLOOKUP($E61,武器奇术!$A:$R,17,FALSE)="破竹",$D$13,0)+$D$15-VLOOKUP($F$7,目标属性!$A:$R,6,FALSE))&gt;0,(IF(VLOOKUP($E61,武器奇术!$A:$R,17,FALSE)="鸣金",$D$7,0)+IF(VLOOKUP($E61,武器奇术!$A:$R,17,FALSE)="裂石",$D$9,0)+IF(VLOOKUP($E61,武器奇术!$A:$R,17,FALSE)="牵丝",$D$11,0)+IF(VLOOKUP($E61,武器奇术!$A:$R,17,FALSE)="破竹",$D$13,0)+$D$15-VLOOKUP($F$7,目标属性!$A:$R,6,FALSE))/200,(IF(VLOOKUP($E61,武器奇术!$A:$R,17,FALSE)="鸣金",$D$7,0)+IF(VLOOKUP($E61,武器奇术!$A:$R,17,FALSE)="裂石",$D$9,0)+IF(VLOOKUP($E61,武器奇术!$A:$R,17,FALSE)="牵丝",$D$11,0)+IF(VLOOKUP($E61,武器奇术!$A:$R,17,FALSE)="破竹",$D$13,0)+$D$15-VLOOKUP($F$7,目标属性!$A:$R,6,FALSE))/100)</f>
        <v>0.028</v>
      </c>
      <c r="DG61" s="111">
        <f>$E$11+IF($G$5="烟柳",IF(VLOOKUP($E61,武器奇术!$A:$T,20,FALSE)=1,0.1,0),0)</f>
        <v>0.248</v>
      </c>
      <c r="DH61" s="102">
        <v>1</v>
      </c>
      <c r="DI61" s="103">
        <f>DC61*IF(VLOOKUP($E61,武器奇术!$A:$R,17,FALSE)="牵丝",VLOOKUP($E61,武器奇术!$A:$R,4,FALSE),VLOOKUP($E61,武器奇术!$A:$R,2,FALSE))*(1+DF61)*(1+DG61)*DH61</f>
        <v>215.8517357568</v>
      </c>
      <c r="DJ61" s="104">
        <f>(1-IF(VLOOKUP($E61,武器奇术!$A:$R,18,FALSE)="叶龙",1,$N61))*(1-$M61)</f>
        <v>0</v>
      </c>
      <c r="DK61" s="124">
        <f>DD61*IF(VLOOKUP($E61,武器奇术!$A:$R,17,FALSE)="牵丝",VLOOKUP($E61,武器奇术!$A:$R,4,FALSE),VLOOKUP($E61,武器奇术!$A:$R,2,FALSE))*(1+DF61)*(1+DG61)*DH61*(1+$E$16+VLOOKUP($E61,武器奇术!$A:$R,8,FALSE))</f>
        <v>779.241772582441</v>
      </c>
      <c r="DL61" s="104">
        <f t="shared" si="38"/>
        <v>0.8703</v>
      </c>
      <c r="DM61" s="103">
        <f>DE61*IF(VLOOKUP($E61,武器奇术!$A:$R,17,FALSE)="牵丝",VLOOKUP($E61,武器奇术!$A:$R,4,FALSE),VLOOKUP($E61,武器奇术!$A:$R,2,FALSE))*(1+DF61)*(1+DG61)*DH61*(1+$E$17+VLOOKUP($E61,武器奇术!$A:$R,10,FALSE))</f>
        <v>819.451680473088</v>
      </c>
      <c r="DN61" s="104">
        <f t="shared" si="39"/>
        <v>0.0986</v>
      </c>
      <c r="DO61" s="124">
        <f>DD61*IF(VLOOKUP($E61,武器奇术!$A:$R,17,FALSE)="牵丝",VLOOKUP($E61,武器奇术!$A:$R,4,FALSE),VLOOKUP($E61,武器奇术!$A:$R,2,FALSE))*(1+DF61)*(1+DG61)*DH61</f>
        <v>411.42649027584</v>
      </c>
      <c r="DP61" s="104">
        <f t="shared" si="40"/>
        <v>0.0311</v>
      </c>
      <c r="DQ61" s="112">
        <f t="shared" si="41"/>
        <v>771.767414220723</v>
      </c>
    </row>
    <row r="62" customFormat="1" customHeight="1" spans="1:121">
      <c r="A62" s="139"/>
      <c r="B62" s="139"/>
      <c r="C62" s="139"/>
      <c r="D62" s="139"/>
      <c r="E62" s="115" t="str">
        <f>期望!E62</f>
        <v>丢伞(大纵断石)</v>
      </c>
      <c r="F62" s="116">
        <f>期望!F62</f>
        <v>1</v>
      </c>
      <c r="G62" s="117"/>
      <c r="H62" s="103">
        <f>IF(VLOOKUP($E62,武器奇术!$A:$R,18,FALSE)="天工",AE62,(AE62+AT62+BI62+BX62+CM62+DB62+DQ62))*(1+J62)*F62*K62*(1+G62)</f>
        <v>10730.9735649313</v>
      </c>
      <c r="I62" s="104">
        <f t="shared" si="0"/>
        <v>0.00123674425126711</v>
      </c>
      <c r="J62" s="138">
        <f>$F$3+VLOOKUP($E62,武器奇术!$A:$R,12,FALSE)+VLOOKUP($E62,武器奇术!$A:$R,14,FALSE)*$G$3+$P62</f>
        <v>0.503</v>
      </c>
      <c r="K62" s="105">
        <f>VLOOKUP($E62,武器奇术!$A:$R,11,FALSE)</f>
        <v>1</v>
      </c>
      <c r="L62" s="119">
        <f>IF(VLOOKUP($E62,武器奇术!$A:$R,15,FALSE)="天工",0%,IF($C$17+VLOOKUP($E62,武器奇术!$A:$R,7,FALSE)&gt;80%,80%,$C$17+VLOOKUP($E62,武器奇术!$A:$R,7,FALSE))+IF($C$19&gt;20%,20%,$C$19))</f>
        <v>0.8703</v>
      </c>
      <c r="M62" s="120">
        <f>IF(VLOOKUP($E62,武器奇术!$A:$R,15,FALSE)="天工",0%,IF($C$18+VLOOKUP($E62,武器奇术!$A:$R,9,FALSE)&gt;40%,40%,$C$18+VLOOKUP($E62,武器奇术!$A:$R,9,FALSE))+IF($C$20&gt;10%,10%,$C$20))</f>
        <v>0.0986</v>
      </c>
      <c r="N62" s="121">
        <f>IF(VLOOKUP($E62,武器奇术!$A:$R,15,FALSE)="天工",100%,MIN($C$16,1))</f>
        <v>1</v>
      </c>
      <c r="O62" s="122" t="str">
        <f>VLOOKUP($E62,武器奇术!$A:$R,16,FALSE)</f>
        <v>伞</v>
      </c>
      <c r="P62" s="123">
        <f t="shared" si="1"/>
        <v>0.17</v>
      </c>
      <c r="Q62" s="110">
        <f>$B$5*(1+VLOOKUP($E62,武器奇术!$A:$R,5,FALSE))*(1+VLOOKUP($E62,武器奇术!$A:$S,19,FALSE)+IF($G$5="飞隼",0.1,0)+IF($G$5="撼天",0.05,0))-$F$9+IF($J$5="√",160,0)</f>
        <v>3324.7</v>
      </c>
      <c r="R62" s="102">
        <f>IF(VLOOKUP($E62,武器奇术!$A:$Z,18,FALSE)="叶龙",(S62-(Q62+S62)*0.5)*($G$15-0.5)*2+(Q62+S62)*0.5,(Q62+S62)*0.5)</f>
        <v>3404.7</v>
      </c>
      <c r="S62" s="102">
        <f>MAX($C$5,$B$5)*(1+VLOOKUP($E62,武器奇术!$A:$R,6,FALSE))*(1+VLOOKUP($E62,武器奇术!$A:$S,19,FALSE)+IF($G$5="飞隼",0.1,0)+IF($G$5="撼天",0.05,0))-$F$9+IF($J$5="√",320,0)</f>
        <v>3484.7</v>
      </c>
      <c r="T62" s="104">
        <f>IF(($D$5+VLOOKUP($E62,武器奇术!$A:$R,13,FALSE)+IF($I$3="√",10,0)-VLOOKUP($F$7,目标属性!$A:$R,5,FALSE))&gt;0,($D$5+VLOOKUP($E62,武器奇术!$A:$R,13,FALSE)+IF($I$3="√",10,0)-VLOOKUP($F$7,目标属性!$A:$R,5,FALSE))/200,($D$5+VLOOKUP($E62,武器奇术!$A:$R,13,FALSE)+IF($I$3="√",10,0)-VLOOKUP($F$7,目标属性!$A:$R,5,FALSE))/100)</f>
        <v>0.3925</v>
      </c>
      <c r="U62" s="111">
        <f>$E$5+IF($G$5="烟柳",IF(VLOOKUP($E62,武器奇术!$A:$T,20,FALSE)=1,0.1,0),0)</f>
        <v>0</v>
      </c>
      <c r="V62" s="102">
        <v>1</v>
      </c>
      <c r="W62" s="103">
        <f>Q62*VLOOKUP($E62,武器奇术!$A:$R,2,FALSE)*(1+T62)*(1+U62)*V62</f>
        <v>2495.37852025</v>
      </c>
      <c r="X62" s="104">
        <f>(1-IF(VLOOKUP($E62,武器奇术!$A:$R,18,FALSE)="叶龙",1,$N62))*(1-$M62)</f>
        <v>0</v>
      </c>
      <c r="Y62" s="103">
        <f>R62*VLOOKUP($E62,武器奇术!$A:$R,2,FALSE)*(1+T62)*(1+U62)*V62*(1+$E$16+VLOOKUP($E62,武器奇术!$A:$R,8,FALSE))</f>
        <v>4839.9713897535</v>
      </c>
      <c r="Z62" s="104">
        <f t="shared" si="2"/>
        <v>0.8703</v>
      </c>
      <c r="AA62" s="103">
        <f>S62*VLOOKUP($E62,武器奇术!$A:$R,2,FALSE)*(1+T62)*(1+U62)*V62*(1+$E$17+VLOOKUP($E62,武器奇术!$A:$R,10,FALSE))</f>
        <v>3530.8814223375</v>
      </c>
      <c r="AB62" s="104">
        <f t="shared" si="3"/>
        <v>0.0986</v>
      </c>
      <c r="AC62" s="103">
        <f>R62*VLOOKUP($E62,武器奇术!$A:$R,2,FALSE)*(1+T62)*(1+U62)*V62</f>
        <v>2555.42312025</v>
      </c>
      <c r="AD62" s="104">
        <f t="shared" si="4"/>
        <v>0.0311</v>
      </c>
      <c r="AE62" s="112">
        <f t="shared" si="5"/>
        <v>4639.84566778472</v>
      </c>
      <c r="AF62" s="113">
        <f>VLOOKUP($E62,武器奇术!$A:$R,3,FALSE)*(1+IF(VLOOKUP($E62,武器奇术!$A:$R,15,FALSE)="武器",$E$15,0))</f>
        <v>161.8617</v>
      </c>
      <c r="AG62" s="103">
        <f t="shared" si="6"/>
        <v>161.8617</v>
      </c>
      <c r="AH62" s="103">
        <f>VLOOKUP($E62,武器奇术!$A:$R,3,FALSE)*(1+IF(VLOOKUP($E62,武器奇术!$A:$R,15,FALSE)="武器",$E$15,0))</f>
        <v>161.8617</v>
      </c>
      <c r="AI62" s="104">
        <f>IF(($D$5+VLOOKUP($E62,武器奇术!$A:$R,13,FALSE)+IF($I$3="√",10,0)-VLOOKUP($F$7,目标属性!$A:$R,5,FALSE))&gt;0,($D$5+VLOOKUP($E62,武器奇术!$A:$R,13,FALSE)+IF($I$3="√",10,0)-VLOOKUP($F$7,目标属性!$A:$R,5,FALSE))/200,($D$5+VLOOKUP($E62,武器奇术!$A:$R,13,FALSE)+IF($I$3="√",10,0)-VLOOKUP($F$7,目标属性!$A:$R,5,FALSE))/100)</f>
        <v>0.3925</v>
      </c>
      <c r="AJ62" s="111">
        <f>$E$5+IF($G$5="烟柳",IF(VLOOKUP($E62,武器奇术!$A:$T,20,FALSE)=1,0.1,0),0)</f>
        <v>0</v>
      </c>
      <c r="AK62" s="102">
        <v>1</v>
      </c>
      <c r="AL62" s="103">
        <f t="shared" si="7"/>
        <v>225.39241725</v>
      </c>
      <c r="AM62" s="104">
        <f>(1-IF(VLOOKUP($E62,武器奇术!$A:$R,18,FALSE)="叶龙",1,$N62))*(1-$M62)</f>
        <v>0</v>
      </c>
      <c r="AN62" s="103">
        <f>AG62*(1+AI62)*(1+AJ62)*AK62*(1+$E$16+VLOOKUP($E62,武器奇术!$A:$R,8,FALSE))</f>
        <v>426.8932382715</v>
      </c>
      <c r="AO62" s="104">
        <f t="shared" si="8"/>
        <v>0.8703</v>
      </c>
      <c r="AP62" s="103">
        <f>AH62*(1+AI62)*(1+AJ62)*AK62*(1+$E$17+VLOOKUP($E62,武器奇术!$A:$R,10,FALSE))</f>
        <v>304.2797632875</v>
      </c>
      <c r="AQ62" s="104">
        <f t="shared" si="9"/>
        <v>0.0986</v>
      </c>
      <c r="AR62" s="103">
        <f t="shared" si="10"/>
        <v>225.39241725</v>
      </c>
      <c r="AS62" s="104">
        <f t="shared" si="11"/>
        <v>0.0311</v>
      </c>
      <c r="AT62" s="112">
        <f t="shared" si="12"/>
        <v>408.536874104309</v>
      </c>
      <c r="AU62" s="110">
        <f>$B$7*IF($G$5="撼天",1.05,1)+IF(AND(VLOOKUP($E62,武器奇术!$A:$R,15,FALSE)="武器",VLOOKUP($E62,武器奇术!$A:$R,17,FALSE)="鸣金"),$E$3*(1+$E$15),0)</f>
        <v>0</v>
      </c>
      <c r="AV62" s="102">
        <f t="shared" si="13"/>
        <v>0</v>
      </c>
      <c r="AW62" s="102">
        <f>MAX($C$7*IF($G$5="撼天",1.05,1)+IF(AND(VLOOKUP($E62,武器奇术!$A:$R,15,FALSE)="武器",VLOOKUP($E62,武器奇术!$A:$R,17,FALSE)="鸣金"),$E$3*(1+$E$15),0),AU62)</f>
        <v>0</v>
      </c>
      <c r="AX62" s="104">
        <f>IF(($D$7+IF(VLOOKUP($E62,武器奇术!$A:$R,17,FALSE)="鸣金",$D$15,0)-VLOOKUP($F$7,目标属性!$A:$R,6,FALSE))&gt;0,($D$7+IF(VLOOKUP($E62,武器奇术!$A:$R,17,FALSE)="鸣金",$D$15,0)-VLOOKUP($F$7,目标属性!$A:$R,6,FALSE))/200,($D$7+IF(VLOOKUP($E62,武器奇术!$A:$R,17,FALSE)="鸣金",$D$15,0)-VLOOKUP($F$7,目标属性!$A:$R,6,FALSE))/100)</f>
        <v>-0.24</v>
      </c>
      <c r="AY62" s="111">
        <f t="shared" si="14"/>
        <v>0</v>
      </c>
      <c r="AZ62" s="102">
        <v>1</v>
      </c>
      <c r="BA62" s="103">
        <f>AU62*IF(VLOOKUP($E62,武器奇术!$A:$R,17,FALSE)="鸣金",VLOOKUP($E62,武器奇术!$A:$R,4,FALSE),VLOOKUP($E62,武器奇术!$A:$R,2,FALSE))*(1+AX62)*(1+AY62)*AZ62</f>
        <v>0</v>
      </c>
      <c r="BB62" s="104">
        <f>(1-IF(VLOOKUP($E62,武器奇术!$A:$R,18,FALSE)="叶龙",1,$N62))*(1-$M62)</f>
        <v>0</v>
      </c>
      <c r="BC62" s="103">
        <f>AV62*IF(VLOOKUP($E62,武器奇术!$A:$R,17,FALSE)="鸣金",VLOOKUP($E62,武器奇术!$A:$R,4,FALSE),VLOOKUP($E62,武器奇术!$A:$R,2,FALSE))*(1+AX62)*(1+AY62)*AZ62*(1+$E$16+VLOOKUP($E62,武器奇术!$A:$R,8,FALSE))</f>
        <v>0</v>
      </c>
      <c r="BD62" s="104">
        <f t="shared" si="15"/>
        <v>0.8703</v>
      </c>
      <c r="BE62" s="103">
        <f>AW62*IF(VLOOKUP($E62,武器奇术!$A:$R,17,FALSE)="鸣金",VLOOKUP($E62,武器奇术!$A:$R,4,FALSE),VLOOKUP($E62,武器奇术!$A:$R,2,FALSE))*(1+AX62)*(1+AY62)*AZ62*(1+$E$17+VLOOKUP($E62,武器奇术!$A:$R,10,FALSE))</f>
        <v>0</v>
      </c>
      <c r="BF62" s="104">
        <f t="shared" si="16"/>
        <v>0.0986</v>
      </c>
      <c r="BG62" s="103">
        <f>AV62*IF(VLOOKUP($E62,武器奇术!$A:$R,17,FALSE)="鸣金",VLOOKUP($E62,武器奇术!$A:$R,4,FALSE),VLOOKUP($E62,武器奇术!$A:$R,2,FALSE))*(1+AX62)*(1+AY62)*AZ62</f>
        <v>0</v>
      </c>
      <c r="BH62" s="104">
        <f t="shared" si="17"/>
        <v>0.0311</v>
      </c>
      <c r="BI62" s="112">
        <f t="shared" si="18"/>
        <v>0</v>
      </c>
      <c r="BJ62" s="110">
        <f>$B$9*IF($G$5="撼天",1.05,1)+IF(AND(VLOOKUP($E62,武器奇术!$A:$R,15,FALSE)="武器",VLOOKUP($E62,武器奇术!$A:$R,17,FALSE)="裂石"),$E$3*(1+$E$15),0)</f>
        <v>0</v>
      </c>
      <c r="BK62" s="102">
        <f t="shared" si="19"/>
        <v>0</v>
      </c>
      <c r="BL62" s="102">
        <f>MAX($C$9*IF($G$5="撼天",1.05,1)+IF(AND(VLOOKUP($E62,武器奇术!$A:$R,15,FALSE)="武器",VLOOKUP($E62,武器奇术!$A:$R,17,FALSE)="裂石"),$E$3*(1+$E$15),0),BJ62)</f>
        <v>0</v>
      </c>
      <c r="BM62" s="104">
        <f>IF(($D$9+IF(VLOOKUP($E62,武器奇术!$A:$R,17,FALSE)="裂石",$D$15,0)-VLOOKUP($F$7,目标属性!$A:$R,6,FALSE))&gt;0,($D$9+IF(VLOOKUP($E62,武器奇术!$A:$R,17,FALSE)="裂石",$D$15,0)-VLOOKUP($F$7,目标属性!$A:$R,6,FALSE))/200,($D$9+IF(VLOOKUP($E62,武器奇术!$A:$R,17,FALSE)="裂石",$D$15,0)-VLOOKUP($F$7,目标属性!$A:$R,6,FALSE))/100)</f>
        <v>-0.24</v>
      </c>
      <c r="BN62" s="111">
        <f t="shared" si="20"/>
        <v>0</v>
      </c>
      <c r="BO62" s="102">
        <v>1</v>
      </c>
      <c r="BP62" s="103">
        <f>BJ62*IF(VLOOKUP($E62,武器奇术!$A:$R,17,FALSE)="裂石",VLOOKUP($E62,武器奇术!$A:$R,4,FALSE),VLOOKUP($E62,武器奇术!$A:$R,2,FALSE))*(1+BM62)*(1+BN62)*BO62</f>
        <v>0</v>
      </c>
      <c r="BQ62" s="104">
        <f>(1-IF(VLOOKUP($E62,武器奇术!$A:$R,18,FALSE)="叶龙",1,$N62))*(1-$M62)</f>
        <v>0</v>
      </c>
      <c r="BR62" s="103">
        <f>BK62*IF(VLOOKUP($E62,武器奇术!$A:$R,17,FALSE)="裂石",VLOOKUP($E62,武器奇术!$A:$R,4,FALSE),VLOOKUP($E62,武器奇术!$A:$R,2,FALSE))*(1+BM62)*(1+BN62)*BO62*(1+$E$16+VLOOKUP($E62,武器奇术!$A:$R,8,FALSE))</f>
        <v>0</v>
      </c>
      <c r="BS62" s="104">
        <f t="shared" si="21"/>
        <v>0.8703</v>
      </c>
      <c r="BT62" s="103">
        <f>BL62*IF(VLOOKUP($E62,武器奇术!$A:$R,17,FALSE)="裂石",VLOOKUP($E62,武器奇术!$A:$R,4,FALSE),VLOOKUP($E62,武器奇术!$A:$R,2,FALSE))*(1+BM62)*(1+BN62)*BO62*(1+$E$17+VLOOKUP($E62,武器奇术!$A:$R,10,FALSE))</f>
        <v>0</v>
      </c>
      <c r="BU62" s="104">
        <f t="shared" si="22"/>
        <v>0.0986</v>
      </c>
      <c r="BV62" s="103">
        <f>BK62*IF(VLOOKUP($E62,武器奇术!$A:$R,17,FALSE)="裂石",VLOOKUP($E62,武器奇术!$A:$R,4,FALSE),VLOOKUP($E62,武器奇术!$A:$R,2,FALSE))*(1+BM62)*(1+BN62)*BO62</f>
        <v>0</v>
      </c>
      <c r="BW62" s="104">
        <f t="shared" si="23"/>
        <v>0.0311</v>
      </c>
      <c r="BX62" s="112">
        <f t="shared" si="24"/>
        <v>0</v>
      </c>
      <c r="BY62" s="110">
        <f>$B$11*IF($G$5="撼天",1.05,1)+IF(AND(VLOOKUP($E62,武器奇术!$A:$R,15,FALSE)="武器",VLOOKUP($E62,武器奇术!$A:$R,17,FALSE)="牵丝"),$E$3*(1+$E$15),0)</f>
        <v>686.71</v>
      </c>
      <c r="BZ62" s="102">
        <f>IF(VLOOKUP($E62,武器奇术!$A:$Z,18,FALSE)="叶龙",(CA62-(BY62+CA62)*0.5)*($G$15-0.5)*2+(BY62+CA62)*0.5,(BY62+CA62)*0.5)</f>
        <v>1052.21</v>
      </c>
      <c r="CA62" s="102">
        <f>MAX($C$11*IF($G$5="撼天",1.05,1)+IF(AND(VLOOKUP($E62,武器奇术!$A:$R,15,FALSE)="武器",VLOOKUP($E62,武器奇术!$A:$R,17,FALSE)="牵丝"),$E$3*(1+$E$15),0),BY62)</f>
        <v>1417.71</v>
      </c>
      <c r="CB62" s="104">
        <f>IF(($D$11+IF(VLOOKUP($E62,武器奇术!$A:$R,17,FALSE)="牵丝",$D$15,0)-VLOOKUP($F$7,目标属性!$A:$R,6,FALSE))&gt;0,($D$11+IF(VLOOKUP($E62,武器奇术!$A:$R,17,FALSE)="牵丝",$D$15,0)-VLOOKUP($F$7,目标属性!$A:$R,6,FALSE))/200,($D$11+IF(VLOOKUP($E62,武器奇术!$A:$R,17,FALSE)="牵丝",$D$15,0)-VLOOKUP($F$7,目标属性!$A:$R,6,FALSE))/100)</f>
        <v>0.028</v>
      </c>
      <c r="CC62" s="111">
        <f>$E$11+IF($G$5="烟柳",IF(VLOOKUP($E62,武器奇术!$A:$T,20,FALSE)=1,0.1,0),0)</f>
        <v>0.148</v>
      </c>
      <c r="CD62" s="102">
        <v>1</v>
      </c>
      <c r="CE62" s="103">
        <f>BY62*IF(VLOOKUP($E62,武器奇术!$A:$R,17,FALSE)="牵丝",VLOOKUP($E62,武器奇术!$A:$R,4,FALSE),VLOOKUP($E62,武器奇术!$A:$R,2,FALSE))*(1+CB62)*(1+CC62)*CD62</f>
        <v>655.22189082504</v>
      </c>
      <c r="CF62" s="104">
        <f>(1-IF(VLOOKUP($E62,武器奇术!$A:$R,18,FALSE)="叶龙",1,$N62))*(1-$M62)</f>
        <v>0</v>
      </c>
      <c r="CG62" s="124">
        <f>BZ62*IF(VLOOKUP($E62,武器奇术!$A:$R,17,FALSE)="牵丝",VLOOKUP($E62,武器奇术!$A:$R,4,FALSE),VLOOKUP($E62,武器奇术!$A:$R,2,FALSE))*(1+CB62)*(1+CC62)*CD62*(1+$E$16+VLOOKUP($E62,武器奇术!$A:$R,8,FALSE))</f>
        <v>1901.50480226159</v>
      </c>
      <c r="CH62" s="104">
        <f t="shared" si="25"/>
        <v>0.8703</v>
      </c>
      <c r="CI62" s="103">
        <f>CA62*IF(VLOOKUP($E62,武器奇术!$A:$R,17,FALSE)="牵丝",VLOOKUP($E62,武器奇术!$A:$R,4,FALSE),VLOOKUP($E62,武器奇术!$A:$R,2,FALSE))*(1+CB62)*(1+CC62)*CD62*(1+$E$17+VLOOKUP($E62,武器奇术!$A:$R,10,FALSE))</f>
        <v>1826.1489511382</v>
      </c>
      <c r="CJ62" s="104">
        <f t="shared" si="26"/>
        <v>0.0986</v>
      </c>
      <c r="CK62" s="124">
        <f>BZ62*IF(VLOOKUP($E62,武器奇术!$A:$R,17,FALSE)="牵丝",VLOOKUP($E62,武器奇术!$A:$R,4,FALSE),VLOOKUP($E62,武器奇术!$A:$R,2,FALSE))*(1+CB62)*(1+CC62)*CD62</f>
        <v>1003.96240879704</v>
      </c>
      <c r="CL62" s="104">
        <f t="shared" si="27"/>
        <v>0.0311</v>
      </c>
      <c r="CM62" s="112">
        <f t="shared" si="28"/>
        <v>1866.16114690408</v>
      </c>
      <c r="CN62" s="110">
        <f>$B$13*IF($G$5="撼天",1.05,1)+IF(AND(VLOOKUP($E62,武器奇术!$A:$R,15,FALSE)="武器",VLOOKUP($E62,武器奇术!$A:$R,17,FALSE)="破竹"),$E$3*(1+$E$15),0)</f>
        <v>0</v>
      </c>
      <c r="CO62" s="102">
        <f t="shared" si="29"/>
        <v>0</v>
      </c>
      <c r="CP62" s="102">
        <f>MAX($C$13*IF($G$5="撼天",1.05,1)+IF(AND(VLOOKUP($E62,武器奇术!$A:$R,15,FALSE)="武器",VLOOKUP($E62,武器奇术!$A:$R,17,FALSE)="破竹"),$E$3*(1+$E$15),0),CN62)</f>
        <v>0</v>
      </c>
      <c r="CQ62" s="104">
        <f>IF(($D$13+IF(VLOOKUP($E62,武器奇术!$A:$R,17,FALSE)="破竹",$D$15,0)-VLOOKUP($F$7,目标属性!$A:$R,6,FALSE))&gt;0,($D$13+IF(VLOOKUP($E62,武器奇术!$A:$R,17,FALSE)="破竹",$D$15,0)-VLOOKUP($F$7,目标属性!$A:$R,6,FALSE))/200,($D$13+IF(VLOOKUP($E62,武器奇术!$A:$R,17,FALSE)="破竹",$D$15,0)-VLOOKUP($F$7,目标属性!$A:$R,6,FALSE))/100)</f>
        <v>-0.24</v>
      </c>
      <c r="CR62" s="111">
        <f t="shared" si="30"/>
        <v>0</v>
      </c>
      <c r="CS62" s="102">
        <v>1</v>
      </c>
      <c r="CT62" s="103">
        <f>CN62*IF(VLOOKUP($E62,武器奇术!$A:$R,17,FALSE)="破竹",VLOOKUP($E62,武器奇术!$A:$R,4,FALSE),VLOOKUP($E62,武器奇术!$A:$R,2,FALSE))*(1+CQ62)*(1+CR62)*CS62</f>
        <v>0</v>
      </c>
      <c r="CU62" s="104">
        <f>(1-IF(VLOOKUP($E62,武器奇术!$A:$R,18,FALSE)="叶龙",1,$N62))*(1-$M62)</f>
        <v>0</v>
      </c>
      <c r="CV62" s="103">
        <f>CO62*IF(VLOOKUP($E62,武器奇术!$A:$R,17,FALSE)="破竹",VLOOKUP($E62,武器奇术!$A:$R,4,FALSE),VLOOKUP($E62,武器奇术!$A:$R,2,FALSE))*(1+CQ62)*(1+CR62)*CS62*(1+$E$16+VLOOKUP($E62,武器奇术!$A:$R,8,FALSE))</f>
        <v>0</v>
      </c>
      <c r="CW62" s="104">
        <f t="shared" si="31"/>
        <v>0.8703</v>
      </c>
      <c r="CX62" s="103">
        <f>CP62*IF(VLOOKUP($E62,武器奇术!$A:$R,17,FALSE)="破竹",VLOOKUP($E62,武器奇术!$A:$R,4,FALSE),VLOOKUP($E62,武器奇术!$A:$R,2,FALSE))*(1+CQ62)*(1+CR62)*CS62*(1+$E$17+VLOOKUP($E62,武器奇术!$A:$R,10,FALSE))</f>
        <v>0</v>
      </c>
      <c r="CY62" s="104">
        <f t="shared" si="32"/>
        <v>0.0986</v>
      </c>
      <c r="CZ62" s="103">
        <f>CO62*IF(VLOOKUP($E62,武器奇术!$A:$R,17,FALSE)="破竹",VLOOKUP($E62,武器奇术!$A:$R,4,FALSE),VLOOKUP($E62,武器奇术!$A:$R,2,FALSE))*(1+CQ62)*(1+CR62)*CS62</f>
        <v>0</v>
      </c>
      <c r="DA62" s="104">
        <f t="shared" si="33"/>
        <v>0.0311</v>
      </c>
      <c r="DB62" s="112">
        <f t="shared" si="34"/>
        <v>0</v>
      </c>
      <c r="DC62" s="110">
        <f t="shared" si="35"/>
        <v>66</v>
      </c>
      <c r="DD62" s="102">
        <f t="shared" si="36"/>
        <v>125.8</v>
      </c>
      <c r="DE62" s="102">
        <f t="shared" si="37"/>
        <v>185.6</v>
      </c>
      <c r="DF62" s="104">
        <f>IF((IF(VLOOKUP($E62,武器奇术!$A:$R,17,FALSE)="鸣金",$D$7,0)+IF(VLOOKUP($E62,武器奇术!$A:$R,17,FALSE)="裂石",$D$9,0)+IF(VLOOKUP($E62,武器奇术!$A:$R,17,FALSE)="牵丝",$D$11,0)+IF(VLOOKUP($E62,武器奇术!$A:$R,17,FALSE)="破竹",$D$13,0)+$D$15-VLOOKUP($F$7,目标属性!$A:$R,6,FALSE))&gt;0,(IF(VLOOKUP($E62,武器奇术!$A:$R,17,FALSE)="鸣金",$D$7,0)+IF(VLOOKUP($E62,武器奇术!$A:$R,17,FALSE)="裂石",$D$9,0)+IF(VLOOKUP($E62,武器奇术!$A:$R,17,FALSE)="牵丝",$D$11,0)+IF(VLOOKUP($E62,武器奇术!$A:$R,17,FALSE)="破竹",$D$13,0)+$D$15-VLOOKUP($F$7,目标属性!$A:$R,6,FALSE))/200,(IF(VLOOKUP($E62,武器奇术!$A:$R,17,FALSE)="鸣金",$D$7,0)+IF(VLOOKUP($E62,武器奇术!$A:$R,17,FALSE)="裂石",$D$9,0)+IF(VLOOKUP($E62,武器奇术!$A:$R,17,FALSE)="牵丝",$D$11,0)+IF(VLOOKUP($E62,武器奇术!$A:$R,17,FALSE)="破竹",$D$13,0)+$D$15-VLOOKUP($F$7,目标属性!$A:$R,6,FALSE))/100)</f>
        <v>0.028</v>
      </c>
      <c r="DG62" s="111">
        <f>$E$11+IF($G$5="烟柳",IF(VLOOKUP($E62,武器奇术!$A:$T,20,FALSE)=1,0.1,0),0)</f>
        <v>0.148</v>
      </c>
      <c r="DH62" s="102">
        <v>1</v>
      </c>
      <c r="DI62" s="103">
        <f>DC62*IF(VLOOKUP($E62,武器奇术!$A:$R,17,FALSE)="牵丝",VLOOKUP($E62,武器奇术!$A:$R,4,FALSE),VLOOKUP($E62,武器奇术!$A:$R,2,FALSE))*(1+DF62)*(1+DG62)*DH62</f>
        <v>62.973663984</v>
      </c>
      <c r="DJ62" s="104">
        <f>(1-IF(VLOOKUP($E62,武器奇术!$A:$R,18,FALSE)="叶龙",1,$N62))*(1-$M62)</f>
        <v>0</v>
      </c>
      <c r="DK62" s="124">
        <f>DD62*IF(VLOOKUP($E62,武器奇术!$A:$R,17,FALSE)="牵丝",VLOOKUP($E62,武器奇术!$A:$R,4,FALSE),VLOOKUP($E62,武器奇术!$A:$R,2,FALSE))*(1+DF62)*(1+DG62)*DH62*(1+$E$16+VLOOKUP($E62,武器奇术!$A:$R,8,FALSE))</f>
        <v>227.339888543645</v>
      </c>
      <c r="DL62" s="104">
        <f t="shared" si="38"/>
        <v>0.8703</v>
      </c>
      <c r="DM62" s="103">
        <f>DE62*IF(VLOOKUP($E62,武器奇术!$A:$R,17,FALSE)="牵丝",VLOOKUP($E62,武器奇术!$A:$R,4,FALSE),VLOOKUP($E62,武器奇术!$A:$R,2,FALSE))*(1+DF62)*(1+DG62)*DH62*(1+$E$17+VLOOKUP($E62,武器奇术!$A:$R,10,FALSE))</f>
        <v>239.07092799744</v>
      </c>
      <c r="DN62" s="104">
        <f t="shared" si="39"/>
        <v>0.0986</v>
      </c>
      <c r="DO62" s="124">
        <f>DD62*IF(VLOOKUP($E62,武器奇术!$A:$R,17,FALSE)="牵丝",VLOOKUP($E62,武器奇术!$A:$R,4,FALSE),VLOOKUP($E62,武器奇术!$A:$R,2,FALSE))*(1+DF62)*(1+DG62)*DH62</f>
        <v>120.0316201392</v>
      </c>
      <c r="DP62" s="104">
        <f t="shared" si="40"/>
        <v>0.0311</v>
      </c>
      <c r="DQ62" s="112">
        <f t="shared" si="41"/>
        <v>225.159281886411</v>
      </c>
    </row>
    <row r="63" customFormat="1" customHeight="1" spans="1:121">
      <c r="A63" s="139"/>
      <c r="B63" s="139"/>
      <c r="C63" s="139"/>
      <c r="D63" s="139"/>
      <c r="E63" s="115" t="str">
        <f>期望!E63</f>
        <v>扇Q(大纵断石)</v>
      </c>
      <c r="F63" s="116">
        <f>期望!F63</f>
        <v>1</v>
      </c>
      <c r="G63" s="117"/>
      <c r="H63" s="103">
        <f>IF(VLOOKUP($E63,武器奇术!$A:$R,18,FALSE)="天工",AE63,(AE63+AT63+BI63+BX63+CM63+DB63+DQ63))*(1+J63)*F63*K63*(1+G63)</f>
        <v>17396.6022034931</v>
      </c>
      <c r="I63" s="104">
        <f t="shared" si="0"/>
        <v>0.00200495767104134</v>
      </c>
      <c r="J63" s="104">
        <f>$F$3+VLOOKUP($E63,武器奇术!$A:$R,12,FALSE)+VLOOKUP($E63,武器奇术!$A:$R,14,FALSE)*$G$3+$P63</f>
        <v>0.417</v>
      </c>
      <c r="K63" s="105">
        <f>VLOOKUP($E63,武器奇术!$A:$R,11,FALSE)</f>
        <v>1</v>
      </c>
      <c r="L63" s="119">
        <f>IF(VLOOKUP($E63,武器奇术!$A:$R,15,FALSE)="天工",0%,IF($C$17+VLOOKUP($E63,武器奇术!$A:$R,7,FALSE)&gt;80%,80%,$C$17+VLOOKUP($E63,武器奇术!$A:$R,7,FALSE))+IF($C$19&gt;20%,20%,$C$19))</f>
        <v>0.8703</v>
      </c>
      <c r="M63" s="120">
        <f>IF(VLOOKUP($E63,武器奇术!$A:$R,15,FALSE)="天工",0%,IF($C$18+VLOOKUP($E63,武器奇术!$A:$R,9,FALSE)&gt;40%,40%,$C$18+VLOOKUP($E63,武器奇术!$A:$R,9,FALSE))+IF($C$20&gt;10%,10%,$C$20))</f>
        <v>0.0986</v>
      </c>
      <c r="N63" s="121">
        <f>IF(VLOOKUP($E63,武器奇术!$A:$R,15,FALSE)="天工",100%,MIN($C$16,1))</f>
        <v>1</v>
      </c>
      <c r="O63" s="122" t="str">
        <f>VLOOKUP($E63,武器奇术!$A:$R,16,FALSE)</f>
        <v>扇</v>
      </c>
      <c r="P63" s="123">
        <f t="shared" si="1"/>
        <v>0.084</v>
      </c>
      <c r="Q63" s="110">
        <f>$B$5*(1+VLOOKUP($E63,武器奇术!$A:$R,5,FALSE))*(1+VLOOKUP($E63,武器奇术!$A:$S,19,FALSE)+IF($G$5="飞隼",0.1,0)+IF($G$5="撼天",0.05,0))-$F$9+IF($J$5="√",160,0)</f>
        <v>3324.7</v>
      </c>
      <c r="R63" s="102">
        <f>IF(VLOOKUP($E63,武器奇术!$A:$Z,18,FALSE)="叶龙",(S63-(Q63+S63)*0.5)*($G$15-0.5)*2+(Q63+S63)*0.5,(Q63+S63)*0.5)</f>
        <v>3404.7</v>
      </c>
      <c r="S63" s="102">
        <f>MAX($C$5,$B$5)*(1+VLOOKUP($E63,武器奇术!$A:$R,6,FALSE))*(1+VLOOKUP($E63,武器奇术!$A:$S,19,FALSE)+IF($G$5="飞隼",0.1,0)+IF($G$5="撼天",0.05,0))-$F$9+IF($J$5="√",320,0)</f>
        <v>3484.7</v>
      </c>
      <c r="T63" s="104">
        <f>IF(($D$5+VLOOKUP($E63,武器奇术!$A:$R,13,FALSE)+IF($I$3="√",10,0)-VLOOKUP($F$7,目标属性!$A:$R,5,FALSE))&gt;0,($D$5+VLOOKUP($E63,武器奇术!$A:$R,13,FALSE)+IF($I$3="√",10,0)-VLOOKUP($F$7,目标属性!$A:$R,5,FALSE))/200,($D$5+VLOOKUP($E63,武器奇术!$A:$R,13,FALSE)+IF($I$3="√",10,0)-VLOOKUP($F$7,目标属性!$A:$R,5,FALSE))/100)</f>
        <v>0.3925</v>
      </c>
      <c r="U63" s="111">
        <f>$E$5+IF($G$5="烟柳",IF(VLOOKUP($E63,武器奇术!$A:$T,20,FALSE)=1,0.1,0),0)</f>
        <v>0</v>
      </c>
      <c r="V63" s="102">
        <v>1</v>
      </c>
      <c r="W63" s="103">
        <f>Q63*VLOOKUP($E63,武器奇术!$A:$R,2,FALSE)*(1+T63)*(1+U63)*V63</f>
        <v>4289.82882535</v>
      </c>
      <c r="X63" s="104">
        <f>(1-IF(VLOOKUP($E63,武器奇术!$A:$R,18,FALSE)="叶龙",1,$N63))*(1-$M63)</f>
        <v>0</v>
      </c>
      <c r="Y63" s="103">
        <f>R63*VLOOKUP($E63,武器奇术!$A:$R,2,FALSE)*(1+T63)*(1+U63)*V63*(1+$E$16+VLOOKUP($E63,武器奇术!$A:$R,8,FALSE))</f>
        <v>8320.4406117729</v>
      </c>
      <c r="Z63" s="104">
        <f t="shared" si="2"/>
        <v>0.8703</v>
      </c>
      <c r="AA63" s="103">
        <f>S63*VLOOKUP($E63,武器奇术!$A:$R,2,FALSE)*(1+T63)*(1+U63)*V63*(1+$E$17+VLOOKUP($E63,武器奇术!$A:$R,10,FALSE))</f>
        <v>6069.9716622225</v>
      </c>
      <c r="AB63" s="104">
        <f t="shared" si="3"/>
        <v>0.0986</v>
      </c>
      <c r="AC63" s="103">
        <f>R63*VLOOKUP($E63,武器奇术!$A:$R,2,FALSE)*(1+T63)*(1+U63)*V63</f>
        <v>4393.05206535</v>
      </c>
      <c r="AD63" s="104">
        <f t="shared" si="4"/>
        <v>0.0311</v>
      </c>
      <c r="AE63" s="112">
        <f t="shared" si="5"/>
        <v>7976.40258955348</v>
      </c>
      <c r="AF63" s="113">
        <f>VLOOKUP($E63,武器奇术!$A:$R,3,FALSE)*(1+IF(VLOOKUP($E63,武器奇术!$A:$R,15,FALSE)="武器",$E$15,0))</f>
        <v>279.5</v>
      </c>
      <c r="AG63" s="103">
        <f t="shared" si="6"/>
        <v>279.5</v>
      </c>
      <c r="AH63" s="103">
        <f>VLOOKUP($E63,武器奇术!$A:$R,3,FALSE)*(1+IF(VLOOKUP($E63,武器奇术!$A:$R,15,FALSE)="武器",$E$15,0))</f>
        <v>279.5</v>
      </c>
      <c r="AI63" s="104">
        <f>IF(($D$5+VLOOKUP($E63,武器奇术!$A:$R,13,FALSE)+IF($I$3="√",10,0)-VLOOKUP($F$7,目标属性!$A:$R,5,FALSE))&gt;0,($D$5+VLOOKUP($E63,武器奇术!$A:$R,13,FALSE)+IF($I$3="√",10,0)-VLOOKUP($F$7,目标属性!$A:$R,5,FALSE))/200,($D$5+VLOOKUP($E63,武器奇术!$A:$R,13,FALSE)+IF($I$3="√",10,0)-VLOOKUP($F$7,目标属性!$A:$R,5,FALSE))/100)</f>
        <v>0.3925</v>
      </c>
      <c r="AJ63" s="111">
        <f>$E$5+IF($G$5="烟柳",IF(VLOOKUP($E63,武器奇术!$A:$T,20,FALSE)=1,0.1,0),0)</f>
        <v>0</v>
      </c>
      <c r="AK63" s="102">
        <v>1</v>
      </c>
      <c r="AL63" s="103">
        <f t="shared" si="7"/>
        <v>389.20375</v>
      </c>
      <c r="AM63" s="104">
        <f>(1-IF(VLOOKUP($E63,武器奇术!$A:$R,18,FALSE)="叶龙",1,$N63))*(1-$M63)</f>
        <v>0</v>
      </c>
      <c r="AN63" s="103">
        <f>AG63*(1+AI63)*(1+AJ63)*AK63*(1+$E$16+VLOOKUP($E63,武器奇术!$A:$R,8,FALSE))</f>
        <v>737.1519025</v>
      </c>
      <c r="AO63" s="104">
        <f t="shared" si="8"/>
        <v>0.8703</v>
      </c>
      <c r="AP63" s="103">
        <f>AH63*(1+AI63)*(1+AJ63)*AK63*(1+$E$17+VLOOKUP($E63,武器奇术!$A:$R,10,FALSE))</f>
        <v>525.4250625</v>
      </c>
      <c r="AQ63" s="104">
        <f t="shared" si="9"/>
        <v>0.0986</v>
      </c>
      <c r="AR63" s="103">
        <f t="shared" si="10"/>
        <v>389.20375</v>
      </c>
      <c r="AS63" s="104">
        <f t="shared" si="11"/>
        <v>0.0311</v>
      </c>
      <c r="AT63" s="112">
        <f t="shared" si="12"/>
        <v>705.45444853325</v>
      </c>
      <c r="AU63" s="110">
        <f>$B$7*IF($G$5="撼天",1.05,1)+IF(AND(VLOOKUP($E63,武器奇术!$A:$R,15,FALSE)="武器",VLOOKUP($E63,武器奇术!$A:$R,17,FALSE)="鸣金"),$E$3*(1+$E$15),0)</f>
        <v>0</v>
      </c>
      <c r="AV63" s="102">
        <f t="shared" si="13"/>
        <v>0</v>
      </c>
      <c r="AW63" s="102">
        <f>MAX($C$7*IF($G$5="撼天",1.05,1)+IF(AND(VLOOKUP($E63,武器奇术!$A:$R,15,FALSE)="武器",VLOOKUP($E63,武器奇术!$A:$R,17,FALSE)="鸣金"),$E$3*(1+$E$15),0),AU63)</f>
        <v>0</v>
      </c>
      <c r="AX63" s="104">
        <f>IF(($D$7+IF(VLOOKUP($E63,武器奇术!$A:$R,17,FALSE)="鸣金",$D$15,0)-VLOOKUP($F$7,目标属性!$A:$R,6,FALSE))&gt;0,($D$7+IF(VLOOKUP($E63,武器奇术!$A:$R,17,FALSE)="鸣金",$D$15,0)-VLOOKUP($F$7,目标属性!$A:$R,6,FALSE))/200,($D$7+IF(VLOOKUP($E63,武器奇术!$A:$R,17,FALSE)="鸣金",$D$15,0)-VLOOKUP($F$7,目标属性!$A:$R,6,FALSE))/100)</f>
        <v>-0.24</v>
      </c>
      <c r="AY63" s="111">
        <f t="shared" si="14"/>
        <v>0</v>
      </c>
      <c r="AZ63" s="102">
        <v>1</v>
      </c>
      <c r="BA63" s="103">
        <f>AU63*IF(VLOOKUP($E63,武器奇术!$A:$R,17,FALSE)="鸣金",VLOOKUP($E63,武器奇术!$A:$R,4,FALSE),VLOOKUP($E63,武器奇术!$A:$R,2,FALSE))*(1+AX63)*(1+AY63)*AZ63</f>
        <v>0</v>
      </c>
      <c r="BB63" s="104">
        <f>(1-IF(VLOOKUP($E63,武器奇术!$A:$R,18,FALSE)="叶龙",1,$N63))*(1-$M63)</f>
        <v>0</v>
      </c>
      <c r="BC63" s="103">
        <f>AV63*IF(VLOOKUP($E63,武器奇术!$A:$R,17,FALSE)="鸣金",VLOOKUP($E63,武器奇术!$A:$R,4,FALSE),VLOOKUP($E63,武器奇术!$A:$R,2,FALSE))*(1+AX63)*(1+AY63)*AZ63*(1+$E$16+VLOOKUP($E63,武器奇术!$A:$R,8,FALSE))</f>
        <v>0</v>
      </c>
      <c r="BD63" s="104">
        <f t="shared" si="15"/>
        <v>0.8703</v>
      </c>
      <c r="BE63" s="103">
        <f>AW63*IF(VLOOKUP($E63,武器奇术!$A:$R,17,FALSE)="鸣金",VLOOKUP($E63,武器奇术!$A:$R,4,FALSE),VLOOKUP($E63,武器奇术!$A:$R,2,FALSE))*(1+AX63)*(1+AY63)*AZ63*(1+$E$17+VLOOKUP($E63,武器奇术!$A:$R,10,FALSE))</f>
        <v>0</v>
      </c>
      <c r="BF63" s="104">
        <f t="shared" si="16"/>
        <v>0.0986</v>
      </c>
      <c r="BG63" s="103">
        <f>AV63*IF(VLOOKUP($E63,武器奇术!$A:$R,17,FALSE)="鸣金",VLOOKUP($E63,武器奇术!$A:$R,4,FALSE),VLOOKUP($E63,武器奇术!$A:$R,2,FALSE))*(1+AX63)*(1+AY63)*AZ63</f>
        <v>0</v>
      </c>
      <c r="BH63" s="104">
        <f t="shared" si="17"/>
        <v>0.0311</v>
      </c>
      <c r="BI63" s="112">
        <f t="shared" si="18"/>
        <v>0</v>
      </c>
      <c r="BJ63" s="110">
        <f>$B$9*IF($G$5="撼天",1.05,1)+IF(AND(VLOOKUP($E63,武器奇术!$A:$R,15,FALSE)="武器",VLOOKUP($E63,武器奇术!$A:$R,17,FALSE)="裂石"),$E$3*(1+$E$15),0)</f>
        <v>0</v>
      </c>
      <c r="BK63" s="102">
        <f t="shared" si="19"/>
        <v>0</v>
      </c>
      <c r="BL63" s="102">
        <f>MAX($C$9*IF($G$5="撼天",1.05,1)+IF(AND(VLOOKUP($E63,武器奇术!$A:$R,15,FALSE)="武器",VLOOKUP($E63,武器奇术!$A:$R,17,FALSE)="裂石"),$E$3*(1+$E$15),0),BJ63)</f>
        <v>0</v>
      </c>
      <c r="BM63" s="104">
        <f>IF(($D$9+IF(VLOOKUP($E63,武器奇术!$A:$R,17,FALSE)="裂石",$D$15,0)-VLOOKUP($F$7,目标属性!$A:$R,6,FALSE))&gt;0,($D$9+IF(VLOOKUP($E63,武器奇术!$A:$R,17,FALSE)="裂石",$D$15,0)-VLOOKUP($F$7,目标属性!$A:$R,6,FALSE))/200,($D$9+IF(VLOOKUP($E63,武器奇术!$A:$R,17,FALSE)="裂石",$D$15,0)-VLOOKUP($F$7,目标属性!$A:$R,6,FALSE))/100)</f>
        <v>-0.24</v>
      </c>
      <c r="BN63" s="111">
        <f t="shared" si="20"/>
        <v>0</v>
      </c>
      <c r="BO63" s="102">
        <v>1</v>
      </c>
      <c r="BP63" s="103">
        <f>BJ63*IF(VLOOKUP($E63,武器奇术!$A:$R,17,FALSE)="裂石",VLOOKUP($E63,武器奇术!$A:$R,4,FALSE),VLOOKUP($E63,武器奇术!$A:$R,2,FALSE))*(1+BM63)*(1+BN63)*BO63</f>
        <v>0</v>
      </c>
      <c r="BQ63" s="104">
        <f>(1-IF(VLOOKUP($E63,武器奇术!$A:$R,18,FALSE)="叶龙",1,$N63))*(1-$M63)</f>
        <v>0</v>
      </c>
      <c r="BR63" s="103">
        <f>BK63*IF(VLOOKUP($E63,武器奇术!$A:$R,17,FALSE)="裂石",VLOOKUP($E63,武器奇术!$A:$R,4,FALSE),VLOOKUP($E63,武器奇术!$A:$R,2,FALSE))*(1+BM63)*(1+BN63)*BO63*(1+$E$16+VLOOKUP($E63,武器奇术!$A:$R,8,FALSE))</f>
        <v>0</v>
      </c>
      <c r="BS63" s="104">
        <f t="shared" si="21"/>
        <v>0.8703</v>
      </c>
      <c r="BT63" s="103">
        <f>BL63*IF(VLOOKUP($E63,武器奇术!$A:$R,17,FALSE)="裂石",VLOOKUP($E63,武器奇术!$A:$R,4,FALSE),VLOOKUP($E63,武器奇术!$A:$R,2,FALSE))*(1+BM63)*(1+BN63)*BO63*(1+$E$17+VLOOKUP($E63,武器奇术!$A:$R,10,FALSE))</f>
        <v>0</v>
      </c>
      <c r="BU63" s="104">
        <f t="shared" si="22"/>
        <v>0.0986</v>
      </c>
      <c r="BV63" s="103">
        <f>BK63*IF(VLOOKUP($E63,武器奇术!$A:$R,17,FALSE)="裂石",VLOOKUP($E63,武器奇术!$A:$R,4,FALSE),VLOOKUP($E63,武器奇术!$A:$R,2,FALSE))*(1+BM63)*(1+BN63)*BO63</f>
        <v>0</v>
      </c>
      <c r="BW63" s="104">
        <f t="shared" si="23"/>
        <v>0.0311</v>
      </c>
      <c r="BX63" s="112">
        <f t="shared" si="24"/>
        <v>0</v>
      </c>
      <c r="BY63" s="110">
        <f>$B$11*IF($G$5="撼天",1.05,1)+IF(AND(VLOOKUP($E63,武器奇术!$A:$R,15,FALSE)="武器",VLOOKUP($E63,武器奇术!$A:$R,17,FALSE)="牵丝"),$E$3*(1+$E$15),0)</f>
        <v>686.71</v>
      </c>
      <c r="BZ63" s="102">
        <f>IF(VLOOKUP($E63,武器奇术!$A:$Z,18,FALSE)="叶龙",(CA63-(BY63+CA63)*0.5)*($G$15-0.5)*2+(BY63+CA63)*0.5,(BY63+CA63)*0.5)</f>
        <v>1052.21</v>
      </c>
      <c r="CA63" s="102">
        <f>MAX($C$11*IF($G$5="撼天",1.05,1)+IF(AND(VLOOKUP($E63,武器奇术!$A:$R,15,FALSE)="武器",VLOOKUP($E63,武器奇术!$A:$R,17,FALSE)="牵丝"),$E$3*(1+$E$15),0),BY63)</f>
        <v>1417.71</v>
      </c>
      <c r="CB63" s="104">
        <f>IF(($D$11+IF(VLOOKUP($E63,武器奇术!$A:$R,17,FALSE)="牵丝",$D$15,0)-VLOOKUP($F$7,目标属性!$A:$R,6,FALSE))&gt;0,($D$11+IF(VLOOKUP($E63,武器奇术!$A:$R,17,FALSE)="牵丝",$D$15,0)-VLOOKUP($F$7,目标属性!$A:$R,6,FALSE))/200,($D$11+IF(VLOOKUP($E63,武器奇术!$A:$R,17,FALSE)="牵丝",$D$15,0)-VLOOKUP($F$7,目标属性!$A:$R,6,FALSE))/100)</f>
        <v>0.028</v>
      </c>
      <c r="CC63" s="111">
        <f>$E$11+IF($G$5="烟柳",IF(VLOOKUP($E63,武器奇术!$A:$T,20,FALSE)=1,0.1,0),0)</f>
        <v>0.148</v>
      </c>
      <c r="CD63" s="102">
        <v>1</v>
      </c>
      <c r="CE63" s="103">
        <f>BY63*IF(VLOOKUP($E63,武器奇术!$A:$R,17,FALSE)="牵丝",VLOOKUP($E63,武器奇术!$A:$R,4,FALSE),VLOOKUP($E63,武器奇术!$A:$R,2,FALSE))*(1+CB63)*(1+CC63)*CD63</f>
        <v>1126.39815220498</v>
      </c>
      <c r="CF63" s="104">
        <f>(1-IF(VLOOKUP($E63,武器奇术!$A:$R,18,FALSE)="叶龙",1,$N63))*(1-$M63)</f>
        <v>0</v>
      </c>
      <c r="CG63" s="124">
        <f>BZ63*IF(VLOOKUP($E63,武器奇术!$A:$R,17,FALSE)="牵丝",VLOOKUP($E63,武器奇术!$A:$R,4,FALSE),VLOOKUP($E63,武器奇术!$A:$R,2,FALSE))*(1+CB63)*(1+CC63)*CD63*(1+$E$16+VLOOKUP($E63,武器奇术!$A:$R,8,FALSE))</f>
        <v>3268.89489754284</v>
      </c>
      <c r="CH63" s="104">
        <f t="shared" si="25"/>
        <v>0.8703</v>
      </c>
      <c r="CI63" s="103">
        <f>CA63*IF(VLOOKUP($E63,武器奇术!$A:$R,17,FALSE)="牵丝",VLOOKUP($E63,武器奇术!$A:$R,4,FALSE),VLOOKUP($E63,武器奇术!$A:$R,2,FALSE))*(1+CB63)*(1+CC63)*CD63*(1+$E$17+VLOOKUP($E63,武器奇术!$A:$R,10,FALSE))</f>
        <v>3139.34994086208</v>
      </c>
      <c r="CJ63" s="104">
        <f t="shared" si="26"/>
        <v>0.0986</v>
      </c>
      <c r="CK63" s="124">
        <f>BZ63*IF(VLOOKUP($E63,武器奇术!$A:$R,17,FALSE)="牵丝",VLOOKUP($E63,武器奇术!$A:$R,4,FALSE),VLOOKUP($E63,武器奇术!$A:$R,2,FALSE))*(1+CB63)*(1+CC63)*CD63</f>
        <v>1725.92127642178</v>
      </c>
      <c r="CL63" s="104">
        <f t="shared" si="27"/>
        <v>0.0311</v>
      </c>
      <c r="CM63" s="112">
        <f t="shared" si="28"/>
        <v>3208.13528519726</v>
      </c>
      <c r="CN63" s="110">
        <f>$B$13*IF($G$5="撼天",1.05,1)+IF(AND(VLOOKUP($E63,武器奇术!$A:$R,15,FALSE)="武器",VLOOKUP($E63,武器奇术!$A:$R,17,FALSE)="破竹"),$E$3*(1+$E$15),0)</f>
        <v>0</v>
      </c>
      <c r="CO63" s="102">
        <f t="shared" si="29"/>
        <v>0</v>
      </c>
      <c r="CP63" s="102">
        <f>MAX($C$13*IF($G$5="撼天",1.05,1)+IF(AND(VLOOKUP($E63,武器奇术!$A:$R,15,FALSE)="武器",VLOOKUP($E63,武器奇术!$A:$R,17,FALSE)="破竹"),$E$3*(1+$E$15),0),CN63)</f>
        <v>0</v>
      </c>
      <c r="CQ63" s="104">
        <f>IF(($D$13+IF(VLOOKUP($E63,武器奇术!$A:$R,17,FALSE)="破竹",$D$15,0)-VLOOKUP($F$7,目标属性!$A:$R,6,FALSE))&gt;0,($D$13+IF(VLOOKUP($E63,武器奇术!$A:$R,17,FALSE)="破竹",$D$15,0)-VLOOKUP($F$7,目标属性!$A:$R,6,FALSE))/200,($D$13+IF(VLOOKUP($E63,武器奇术!$A:$R,17,FALSE)="破竹",$D$15,0)-VLOOKUP($F$7,目标属性!$A:$R,6,FALSE))/100)</f>
        <v>-0.24</v>
      </c>
      <c r="CR63" s="111">
        <f t="shared" si="30"/>
        <v>0</v>
      </c>
      <c r="CS63" s="102">
        <v>1</v>
      </c>
      <c r="CT63" s="103">
        <f>CN63*IF(VLOOKUP($E63,武器奇术!$A:$R,17,FALSE)="破竹",VLOOKUP($E63,武器奇术!$A:$R,4,FALSE),VLOOKUP($E63,武器奇术!$A:$R,2,FALSE))*(1+CQ63)*(1+CR63)*CS63</f>
        <v>0</v>
      </c>
      <c r="CU63" s="104">
        <f>(1-IF(VLOOKUP($E63,武器奇术!$A:$R,18,FALSE)="叶龙",1,$N63))*(1-$M63)</f>
        <v>0</v>
      </c>
      <c r="CV63" s="103">
        <f>CO63*IF(VLOOKUP($E63,武器奇术!$A:$R,17,FALSE)="破竹",VLOOKUP($E63,武器奇术!$A:$R,4,FALSE),VLOOKUP($E63,武器奇术!$A:$R,2,FALSE))*(1+CQ63)*(1+CR63)*CS63*(1+$E$16+VLOOKUP($E63,武器奇术!$A:$R,8,FALSE))</f>
        <v>0</v>
      </c>
      <c r="CW63" s="104">
        <f t="shared" si="31"/>
        <v>0.8703</v>
      </c>
      <c r="CX63" s="103">
        <f>CP63*IF(VLOOKUP($E63,武器奇术!$A:$R,17,FALSE)="破竹",VLOOKUP($E63,武器奇术!$A:$R,4,FALSE),VLOOKUP($E63,武器奇术!$A:$R,2,FALSE))*(1+CQ63)*(1+CR63)*CS63*(1+$E$17+VLOOKUP($E63,武器奇术!$A:$R,10,FALSE))</f>
        <v>0</v>
      </c>
      <c r="CY63" s="104">
        <f t="shared" si="32"/>
        <v>0.0986</v>
      </c>
      <c r="CZ63" s="103">
        <f>CO63*IF(VLOOKUP($E63,武器奇术!$A:$R,17,FALSE)="破竹",VLOOKUP($E63,武器奇术!$A:$R,4,FALSE),VLOOKUP($E63,武器奇术!$A:$R,2,FALSE))*(1+CQ63)*(1+CR63)*CS63</f>
        <v>0</v>
      </c>
      <c r="DA63" s="104">
        <f t="shared" si="33"/>
        <v>0.0311</v>
      </c>
      <c r="DB63" s="112">
        <f t="shared" si="34"/>
        <v>0</v>
      </c>
      <c r="DC63" s="110">
        <f t="shared" si="35"/>
        <v>66</v>
      </c>
      <c r="DD63" s="102">
        <f t="shared" si="36"/>
        <v>125.8</v>
      </c>
      <c r="DE63" s="102">
        <f t="shared" si="37"/>
        <v>185.6</v>
      </c>
      <c r="DF63" s="104">
        <f>IF((IF(VLOOKUP($E63,武器奇术!$A:$R,17,FALSE)="鸣金",$D$7,0)+IF(VLOOKUP($E63,武器奇术!$A:$R,17,FALSE)="裂石",$D$9,0)+IF(VLOOKUP($E63,武器奇术!$A:$R,17,FALSE)="牵丝",$D$11,0)+IF(VLOOKUP($E63,武器奇术!$A:$R,17,FALSE)="破竹",$D$13,0)+$D$15-VLOOKUP($F$7,目标属性!$A:$R,6,FALSE))&gt;0,(IF(VLOOKUP($E63,武器奇术!$A:$R,17,FALSE)="鸣金",$D$7,0)+IF(VLOOKUP($E63,武器奇术!$A:$R,17,FALSE)="裂石",$D$9,0)+IF(VLOOKUP($E63,武器奇术!$A:$R,17,FALSE)="牵丝",$D$11,0)+IF(VLOOKUP($E63,武器奇术!$A:$R,17,FALSE)="破竹",$D$13,0)+$D$15-VLOOKUP($F$7,目标属性!$A:$R,6,FALSE))/200,(IF(VLOOKUP($E63,武器奇术!$A:$R,17,FALSE)="鸣金",$D$7,0)+IF(VLOOKUP($E63,武器奇术!$A:$R,17,FALSE)="裂石",$D$9,0)+IF(VLOOKUP($E63,武器奇术!$A:$R,17,FALSE)="牵丝",$D$11,0)+IF(VLOOKUP($E63,武器奇术!$A:$R,17,FALSE)="破竹",$D$13,0)+$D$15-VLOOKUP($F$7,目标属性!$A:$R,6,FALSE))/100)</f>
        <v>0.028</v>
      </c>
      <c r="DG63" s="111">
        <f>$E$11+IF($G$5="烟柳",IF(VLOOKUP($E63,武器奇术!$A:$T,20,FALSE)=1,0.1,0),0)</f>
        <v>0.148</v>
      </c>
      <c r="DH63" s="102">
        <v>1</v>
      </c>
      <c r="DI63" s="103">
        <f>DC63*IF(VLOOKUP($E63,武器奇术!$A:$R,17,FALSE)="牵丝",VLOOKUP($E63,武器奇术!$A:$R,4,FALSE),VLOOKUP($E63,武器奇术!$A:$R,2,FALSE))*(1+DF63)*(1+DG63)*DH63</f>
        <v>108.2586216096</v>
      </c>
      <c r="DJ63" s="104">
        <f>(1-IF(VLOOKUP($E63,武器奇术!$A:$R,18,FALSE)="叶龙",1,$N63))*(1-$M63)</f>
        <v>0</v>
      </c>
      <c r="DK63" s="124">
        <f>DD63*IF(VLOOKUP($E63,武器奇术!$A:$R,17,FALSE)="牵丝",VLOOKUP($E63,武器奇术!$A:$R,4,FALSE),VLOOKUP($E63,武器奇术!$A:$R,2,FALSE))*(1+DF63)*(1+DG63)*DH63*(1+$E$16+VLOOKUP($E63,武器奇术!$A:$R,8,FALSE))</f>
        <v>390.822153477813</v>
      </c>
      <c r="DL63" s="104">
        <f t="shared" si="38"/>
        <v>0.8703</v>
      </c>
      <c r="DM63" s="103">
        <f>DE63*IF(VLOOKUP($E63,武器奇术!$A:$R,17,FALSE)="牵丝",VLOOKUP($E63,武器奇术!$A:$R,4,FALSE),VLOOKUP($E63,武器奇术!$A:$R,2,FALSE))*(1+DF63)*(1+DG63)*DH63*(1+$E$17+VLOOKUP($E63,武器奇术!$A:$R,10,FALSE))</f>
        <v>410.989094401536</v>
      </c>
      <c r="DN63" s="104">
        <f t="shared" si="39"/>
        <v>0.0986</v>
      </c>
      <c r="DO63" s="124">
        <f>DD63*IF(VLOOKUP($E63,武器奇术!$A:$R,17,FALSE)="牵丝",VLOOKUP($E63,武器奇术!$A:$R,4,FALSE),VLOOKUP($E63,武器奇术!$A:$R,2,FALSE))*(1+DF63)*(1+DG63)*DH63</f>
        <v>206.34749391648</v>
      </c>
      <c r="DP63" s="104">
        <f t="shared" si="40"/>
        <v>0.0311</v>
      </c>
      <c r="DQ63" s="112">
        <f t="shared" si="41"/>
        <v>387.073451940535</v>
      </c>
    </row>
    <row r="64" customFormat="1" customHeight="1" spans="1:121">
      <c r="A64" s="139"/>
      <c r="B64" s="139"/>
      <c r="C64" s="139"/>
      <c r="D64" s="139"/>
      <c r="E64" s="115" t="str">
        <f>期望!E64</f>
        <v>伞～(连中大纵断石)</v>
      </c>
      <c r="F64" s="116">
        <f>期望!F64</f>
        <v>3</v>
      </c>
      <c r="G64" s="117">
        <f t="shared" ref="G64:G66" si="43">$E$23</f>
        <v>0.32</v>
      </c>
      <c r="H64" s="103">
        <f>IF(VLOOKUP($E64,武器奇术!$A:$R,18,FALSE)="天工",AE64,(AE64+AT64+BI64+BX64+CM64+DB64+DQ64))*(1+J64)*F64*K64*(1+G64)</f>
        <v>138030.392829806</v>
      </c>
      <c r="I64" s="104">
        <f t="shared" si="0"/>
        <v>0.0159079969584751</v>
      </c>
      <c r="J64" s="104">
        <f>$F$3+VLOOKUP($E64,武器奇术!$A:$R,12,FALSE)+VLOOKUP($E64,武器奇术!$A:$R,14,FALSE)*$G$3+$P64</f>
        <v>0.703</v>
      </c>
      <c r="K64" s="105">
        <f>VLOOKUP($E64,武器奇术!$A:$R,11,FALSE)</f>
        <v>1</v>
      </c>
      <c r="L64" s="119">
        <f>IF(VLOOKUP($E64,武器奇术!$A:$R,15,FALSE)="天工",0%,IF($C$17+VLOOKUP($E64,武器奇术!$A:$R,7,FALSE)&gt;80%,80%,$C$17+VLOOKUP($E64,武器奇术!$A:$R,7,FALSE))+IF($C$19&gt;20%,20%,$C$19))</f>
        <v>0.8703</v>
      </c>
      <c r="M64" s="120">
        <f>IF(VLOOKUP($E64,武器奇术!$A:$R,15,FALSE)="天工",0%,IF($C$18+VLOOKUP($E64,武器奇术!$A:$R,9,FALSE)&gt;40%,40%,$C$18+VLOOKUP($E64,武器奇术!$A:$R,9,FALSE))+IF($C$20&gt;10%,10%,$C$20))</f>
        <v>0.0986</v>
      </c>
      <c r="N64" s="121">
        <f>IF(VLOOKUP($E64,武器奇术!$A:$R,15,FALSE)="天工",100%,MIN($C$16,1))</f>
        <v>1</v>
      </c>
      <c r="O64" s="122" t="str">
        <f>VLOOKUP($E64,武器奇术!$A:$R,16,FALSE)</f>
        <v>伞</v>
      </c>
      <c r="P64" s="123">
        <f t="shared" si="1"/>
        <v>0.17</v>
      </c>
      <c r="Q64" s="110">
        <f>$B$5*(1+VLOOKUP($E64,武器奇术!$A:$R,5,FALSE))*(1+VLOOKUP($E64,武器奇术!$A:$S,19,FALSE)+IF($G$5="飞隼",0.1,0)+IF($G$5="撼天",0.05,0))-$F$9+IF($J$5="√",160,0)</f>
        <v>3324.7</v>
      </c>
      <c r="R64" s="102">
        <f>IF(VLOOKUP($E64,武器奇术!$A:$Z,18,FALSE)="叶龙",(S64-(Q64+S64)*0.5)*($G$15-0.5)*2+(Q64+S64)*0.5,(Q64+S64)*0.5)</f>
        <v>3404.7</v>
      </c>
      <c r="S64" s="102">
        <f>MAX($C$5,$B$5)*(1+VLOOKUP($E64,武器奇术!$A:$R,6,FALSE))*(1+VLOOKUP($E64,武器奇术!$A:$S,19,FALSE)+IF($G$5="飞隼",0.1,0)+IF($G$5="撼天",0.05,0))-$F$9+IF($J$5="√",320,0)</f>
        <v>3484.7</v>
      </c>
      <c r="T64" s="104">
        <f>IF(($D$5+VLOOKUP($E64,武器奇术!$A:$R,13,FALSE)+IF($I$3="√",10,0)-VLOOKUP($F$7,目标属性!$A:$R,5,FALSE))&gt;0,($D$5+VLOOKUP($E64,武器奇术!$A:$R,13,FALSE)+IF($I$3="√",10,0)-VLOOKUP($F$7,目标属性!$A:$R,5,FALSE))/200,($D$5+VLOOKUP($E64,武器奇术!$A:$R,13,FALSE)+IF($I$3="√",10,0)-VLOOKUP($F$7,目标属性!$A:$R,5,FALSE))/100)</f>
        <v>0.4175</v>
      </c>
      <c r="U64" s="111">
        <f>$E$5+IF($G$5="烟柳",IF(VLOOKUP($E64,武器奇术!$A:$T,20,FALSE)=1,0.1,0),0)</f>
        <v>0.1</v>
      </c>
      <c r="V64" s="102">
        <v>1</v>
      </c>
      <c r="W64" s="103">
        <f>Q64*VLOOKUP($E64,武器奇术!$A:$R,2,FALSE)*(1+T64)*(1+U64)*V64</f>
        <v>6091.01192639362</v>
      </c>
      <c r="X64" s="104">
        <f>(1-IF(VLOOKUP($E64,武器奇术!$A:$R,18,FALSE)="叶龙",1,$N64))*(1-$M64)</f>
        <v>0</v>
      </c>
      <c r="Y64" s="103">
        <f>R64*VLOOKUP($E64,武器奇术!$A:$R,2,FALSE)*(1+T64)*(1+U64)*V64*(1+$E$16+VLOOKUP($E64,武器奇术!$A:$R,8,FALSE))</f>
        <v>14059.495882713</v>
      </c>
      <c r="Z64" s="104">
        <f t="shared" si="2"/>
        <v>0.8703</v>
      </c>
      <c r="AA64" s="103">
        <f>S64*VLOOKUP($E64,武器奇术!$A:$R,2,FALSE)*(1+T64)*(1+U64)*V64*(1+$E$17+VLOOKUP($E64,武器奇术!$A:$R,10,FALSE))</f>
        <v>8618.58859472139</v>
      </c>
      <c r="AB64" s="104">
        <f t="shared" si="3"/>
        <v>0.0986</v>
      </c>
      <c r="AC64" s="103">
        <f>R64*VLOOKUP($E64,武器奇术!$A:$R,2,FALSE)*(1+T64)*(1+U64)*V64</f>
        <v>6237.57581309363</v>
      </c>
      <c r="AD64" s="104">
        <f t="shared" si="4"/>
        <v>0.0311</v>
      </c>
      <c r="AE64" s="112">
        <f t="shared" si="5"/>
        <v>13279.7607099519</v>
      </c>
      <c r="AF64" s="113">
        <f>VLOOKUP($E64,武器奇术!$A:$R,3,FALSE)*(1+IF(VLOOKUP($E64,武器奇术!$A:$R,15,FALSE)="武器",$E$15,0))</f>
        <v>421.59</v>
      </c>
      <c r="AG64" s="103">
        <f t="shared" si="6"/>
        <v>421.59</v>
      </c>
      <c r="AH64" s="103">
        <f>VLOOKUP($E64,武器奇术!$A:$R,3,FALSE)*(1+IF(VLOOKUP($E64,武器奇术!$A:$R,15,FALSE)="武器",$E$15,0))</f>
        <v>421.59</v>
      </c>
      <c r="AI64" s="104">
        <f>IF(($D$5+VLOOKUP($E64,武器奇术!$A:$R,13,FALSE)+IF($I$3="√",10,0)-VLOOKUP($F$7,目标属性!$A:$R,5,FALSE))&gt;0,($D$5+VLOOKUP($E64,武器奇术!$A:$R,13,FALSE)+IF($I$3="√",10,0)-VLOOKUP($F$7,目标属性!$A:$R,5,FALSE))/200,($D$5+VLOOKUP($E64,武器奇术!$A:$R,13,FALSE)+IF($I$3="√",10,0)-VLOOKUP($F$7,目标属性!$A:$R,5,FALSE))/100)</f>
        <v>0.4175</v>
      </c>
      <c r="AJ64" s="111">
        <f>$E$5+IF($G$5="烟柳",IF(VLOOKUP($E64,武器奇术!$A:$T,20,FALSE)=1,0.1,0),0)</f>
        <v>0.1</v>
      </c>
      <c r="AK64" s="102">
        <v>1</v>
      </c>
      <c r="AL64" s="103">
        <f t="shared" si="7"/>
        <v>657.3642075</v>
      </c>
      <c r="AM64" s="104">
        <f>(1-IF(VLOOKUP($E64,武器奇术!$A:$R,18,FALSE)="叶龙",1,$N64))*(1-$M64)</f>
        <v>0</v>
      </c>
      <c r="AN64" s="103">
        <f>AG64*(1+AI64)*(1+AJ64)*AK64*(1+$E$16+VLOOKUP($E64,武器奇术!$A:$R,8,FALSE))</f>
        <v>1481.698923705</v>
      </c>
      <c r="AO64" s="104">
        <f t="shared" si="8"/>
        <v>0.8703</v>
      </c>
      <c r="AP64" s="103">
        <f>AH64*(1+AI64)*(1+AJ64)*AK64*(1+$E$17+VLOOKUP($E64,武器奇术!$A:$R,10,FALSE))</f>
        <v>887.441680125</v>
      </c>
      <c r="AQ64" s="104">
        <f t="shared" si="9"/>
        <v>0.0986</v>
      </c>
      <c r="AR64" s="103">
        <f t="shared" si="10"/>
        <v>657.3642075</v>
      </c>
      <c r="AS64" s="104">
        <f t="shared" si="11"/>
        <v>0.0311</v>
      </c>
      <c r="AT64" s="112">
        <f t="shared" si="12"/>
        <v>1397.46834981404</v>
      </c>
      <c r="AU64" s="110">
        <f>$B$7*IF($G$5="撼天",1.05,1)+IF(AND(VLOOKUP($E64,武器奇术!$A:$R,15,FALSE)="武器",VLOOKUP($E64,武器奇术!$A:$R,17,FALSE)="鸣金"),$E$3*(1+$E$15),0)</f>
        <v>0</v>
      </c>
      <c r="AV64" s="102">
        <f t="shared" si="13"/>
        <v>0</v>
      </c>
      <c r="AW64" s="102">
        <f>MAX($C$7*IF($G$5="撼天",1.05,1)+IF(AND(VLOOKUP($E64,武器奇术!$A:$R,15,FALSE)="武器",VLOOKUP($E64,武器奇术!$A:$R,17,FALSE)="鸣金"),$E$3*(1+$E$15),0),AU64)</f>
        <v>0</v>
      </c>
      <c r="AX64" s="104">
        <f>IF(($D$7+IF(VLOOKUP($E64,武器奇术!$A:$R,17,FALSE)="鸣金",$D$15,0)-VLOOKUP($F$7,目标属性!$A:$R,6,FALSE))&gt;0,($D$7+IF(VLOOKUP($E64,武器奇术!$A:$R,17,FALSE)="鸣金",$D$15,0)-VLOOKUP($F$7,目标属性!$A:$R,6,FALSE))/200,($D$7+IF(VLOOKUP($E64,武器奇术!$A:$R,17,FALSE)="鸣金",$D$15,0)-VLOOKUP($F$7,目标属性!$A:$R,6,FALSE))/100)</f>
        <v>-0.24</v>
      </c>
      <c r="AY64" s="111">
        <f t="shared" si="14"/>
        <v>0</v>
      </c>
      <c r="AZ64" s="102">
        <v>1</v>
      </c>
      <c r="BA64" s="103">
        <f>AU64*IF(VLOOKUP($E64,武器奇术!$A:$R,17,FALSE)="鸣金",VLOOKUP($E64,武器奇术!$A:$R,4,FALSE),VLOOKUP($E64,武器奇术!$A:$R,2,FALSE))*(1+AX64)*(1+AY64)*AZ64</f>
        <v>0</v>
      </c>
      <c r="BB64" s="104">
        <f>(1-IF(VLOOKUP($E64,武器奇术!$A:$R,18,FALSE)="叶龙",1,$N64))*(1-$M64)</f>
        <v>0</v>
      </c>
      <c r="BC64" s="103">
        <f>AV64*IF(VLOOKUP($E64,武器奇术!$A:$R,17,FALSE)="鸣金",VLOOKUP($E64,武器奇术!$A:$R,4,FALSE),VLOOKUP($E64,武器奇术!$A:$R,2,FALSE))*(1+AX64)*(1+AY64)*AZ64*(1+$E$16+VLOOKUP($E64,武器奇术!$A:$R,8,FALSE))</f>
        <v>0</v>
      </c>
      <c r="BD64" s="104">
        <f t="shared" si="15"/>
        <v>0.8703</v>
      </c>
      <c r="BE64" s="103">
        <f>AW64*IF(VLOOKUP($E64,武器奇术!$A:$R,17,FALSE)="鸣金",VLOOKUP($E64,武器奇术!$A:$R,4,FALSE),VLOOKUP($E64,武器奇术!$A:$R,2,FALSE))*(1+AX64)*(1+AY64)*AZ64*(1+$E$17+VLOOKUP($E64,武器奇术!$A:$R,10,FALSE))</f>
        <v>0</v>
      </c>
      <c r="BF64" s="104">
        <f t="shared" si="16"/>
        <v>0.0986</v>
      </c>
      <c r="BG64" s="103">
        <f>AV64*IF(VLOOKUP($E64,武器奇术!$A:$R,17,FALSE)="鸣金",VLOOKUP($E64,武器奇术!$A:$R,4,FALSE),VLOOKUP($E64,武器奇术!$A:$R,2,FALSE))*(1+AX64)*(1+AY64)*AZ64</f>
        <v>0</v>
      </c>
      <c r="BH64" s="104">
        <f t="shared" si="17"/>
        <v>0.0311</v>
      </c>
      <c r="BI64" s="112">
        <f t="shared" si="18"/>
        <v>0</v>
      </c>
      <c r="BJ64" s="110">
        <f>$B$9*IF($G$5="撼天",1.05,1)+IF(AND(VLOOKUP($E64,武器奇术!$A:$R,15,FALSE)="武器",VLOOKUP($E64,武器奇术!$A:$R,17,FALSE)="裂石"),$E$3*(1+$E$15),0)</f>
        <v>0</v>
      </c>
      <c r="BK64" s="102">
        <f t="shared" si="19"/>
        <v>0</v>
      </c>
      <c r="BL64" s="102">
        <f>MAX($C$9*IF($G$5="撼天",1.05,1)+IF(AND(VLOOKUP($E64,武器奇术!$A:$R,15,FALSE)="武器",VLOOKUP($E64,武器奇术!$A:$R,17,FALSE)="裂石"),$E$3*(1+$E$15),0),BJ64)</f>
        <v>0</v>
      </c>
      <c r="BM64" s="104">
        <f>IF(($D$9+IF(VLOOKUP($E64,武器奇术!$A:$R,17,FALSE)="裂石",$D$15,0)-VLOOKUP($F$7,目标属性!$A:$R,6,FALSE))&gt;0,($D$9+IF(VLOOKUP($E64,武器奇术!$A:$R,17,FALSE)="裂石",$D$15,0)-VLOOKUP($F$7,目标属性!$A:$R,6,FALSE))/200,($D$9+IF(VLOOKUP($E64,武器奇术!$A:$R,17,FALSE)="裂石",$D$15,0)-VLOOKUP($F$7,目标属性!$A:$R,6,FALSE))/100)</f>
        <v>-0.24</v>
      </c>
      <c r="BN64" s="111">
        <f t="shared" si="20"/>
        <v>0</v>
      </c>
      <c r="BO64" s="102">
        <v>1</v>
      </c>
      <c r="BP64" s="103">
        <f>BJ64*IF(VLOOKUP($E64,武器奇术!$A:$R,17,FALSE)="裂石",VLOOKUP($E64,武器奇术!$A:$R,4,FALSE),VLOOKUP($E64,武器奇术!$A:$R,2,FALSE))*(1+BM64)*(1+BN64)*BO64</f>
        <v>0</v>
      </c>
      <c r="BQ64" s="104">
        <f>(1-IF(VLOOKUP($E64,武器奇术!$A:$R,18,FALSE)="叶龙",1,$N64))*(1-$M64)</f>
        <v>0</v>
      </c>
      <c r="BR64" s="103">
        <f>BK64*IF(VLOOKUP($E64,武器奇术!$A:$R,17,FALSE)="裂石",VLOOKUP($E64,武器奇术!$A:$R,4,FALSE),VLOOKUP($E64,武器奇术!$A:$R,2,FALSE))*(1+BM64)*(1+BN64)*BO64*(1+$E$16+VLOOKUP($E64,武器奇术!$A:$R,8,FALSE))</f>
        <v>0</v>
      </c>
      <c r="BS64" s="104">
        <f t="shared" si="21"/>
        <v>0.8703</v>
      </c>
      <c r="BT64" s="103">
        <f>BL64*IF(VLOOKUP($E64,武器奇术!$A:$R,17,FALSE)="裂石",VLOOKUP($E64,武器奇术!$A:$R,4,FALSE),VLOOKUP($E64,武器奇术!$A:$R,2,FALSE))*(1+BM64)*(1+BN64)*BO64*(1+$E$17+VLOOKUP($E64,武器奇术!$A:$R,10,FALSE))</f>
        <v>0</v>
      </c>
      <c r="BU64" s="104">
        <f t="shared" si="22"/>
        <v>0.0986</v>
      </c>
      <c r="BV64" s="103">
        <f>BK64*IF(VLOOKUP($E64,武器奇术!$A:$R,17,FALSE)="裂石",VLOOKUP($E64,武器奇术!$A:$R,4,FALSE),VLOOKUP($E64,武器奇术!$A:$R,2,FALSE))*(1+BM64)*(1+BN64)*BO64</f>
        <v>0</v>
      </c>
      <c r="BW64" s="104">
        <f t="shared" si="23"/>
        <v>0.0311</v>
      </c>
      <c r="BX64" s="112">
        <f t="shared" si="24"/>
        <v>0</v>
      </c>
      <c r="BY64" s="110">
        <f>$B$11*IF($G$5="撼天",1.05,1)+IF(AND(VLOOKUP($E64,武器奇术!$A:$R,15,FALSE)="武器",VLOOKUP($E64,武器奇术!$A:$R,17,FALSE)="牵丝"),$E$3*(1+$E$15),0)</f>
        <v>686.71</v>
      </c>
      <c r="BZ64" s="102">
        <f>IF(VLOOKUP($E64,武器奇术!$A:$Z,18,FALSE)="叶龙",(CA64-(BY64+CA64)*0.5)*($G$15-0.5)*2+(BY64+CA64)*0.5,(BY64+CA64)*0.5)</f>
        <v>1052.21</v>
      </c>
      <c r="CA64" s="102">
        <f>MAX($C$11*IF($G$5="撼天",1.05,1)+IF(AND(VLOOKUP($E64,武器奇术!$A:$R,15,FALSE)="武器",VLOOKUP($E64,武器奇术!$A:$R,17,FALSE)="牵丝"),$E$3*(1+$E$15),0),BY64)</f>
        <v>1417.71</v>
      </c>
      <c r="CB64" s="104">
        <f>IF(($D$11+IF(VLOOKUP($E64,武器奇术!$A:$R,17,FALSE)="牵丝",$D$15,0)-VLOOKUP($F$7,目标属性!$A:$R,6,FALSE))&gt;0,($D$11+IF(VLOOKUP($E64,武器奇术!$A:$R,17,FALSE)="牵丝",$D$15,0)-VLOOKUP($F$7,目标属性!$A:$R,6,FALSE))/200,($D$11+IF(VLOOKUP($E64,武器奇术!$A:$R,17,FALSE)="牵丝",$D$15,0)-VLOOKUP($F$7,目标属性!$A:$R,6,FALSE))/100)</f>
        <v>0.028</v>
      </c>
      <c r="CC64" s="111">
        <f>$E$11+IF($G$5="烟柳",IF(VLOOKUP($E64,武器奇术!$A:$T,20,FALSE)=1,0.1,0),0)</f>
        <v>0.248</v>
      </c>
      <c r="CD64" s="102">
        <v>1</v>
      </c>
      <c r="CE64" s="103">
        <f>BY64*IF(VLOOKUP($E64,武器奇术!$A:$R,17,FALSE)="牵丝",VLOOKUP($E64,武器奇术!$A:$R,4,FALSE),VLOOKUP($E64,武器奇术!$A:$R,2,FALSE))*(1+CB64)*(1+CC64)*CD64</f>
        <v>1552.67083453872</v>
      </c>
      <c r="CF64" s="104">
        <f>(1-IF(VLOOKUP($E64,武器奇术!$A:$R,18,FALSE)="叶龙",1,$N64))*(1-$M64)</f>
        <v>0</v>
      </c>
      <c r="CG64" s="124">
        <f>BZ64*IF(VLOOKUP($E64,武器奇术!$A:$R,17,FALSE)="牵丝",VLOOKUP($E64,武器奇术!$A:$R,4,FALSE),VLOOKUP($E64,武器奇术!$A:$R,2,FALSE))*(1+CB64)*(1+CC64)*CD64*(1+$E$16+VLOOKUP($E64,武器奇术!$A:$R,8,FALSE))</f>
        <v>5362.43894138386</v>
      </c>
      <c r="CH64" s="104">
        <f t="shared" si="25"/>
        <v>0.8703</v>
      </c>
      <c r="CI64" s="103">
        <f>CA64*IF(VLOOKUP($E64,武器奇术!$A:$R,17,FALSE)="牵丝",VLOOKUP($E64,武器奇术!$A:$R,4,FALSE),VLOOKUP($E64,武器奇术!$A:$R,2,FALSE))*(1+CB64)*(1+CC64)*CD64*(1+$E$17+VLOOKUP($E64,武器奇术!$A:$R,10,FALSE))</f>
        <v>4327.40153474647</v>
      </c>
      <c r="CJ64" s="104">
        <f t="shared" si="26"/>
        <v>0.0986</v>
      </c>
      <c r="CK64" s="124">
        <f>BZ64*IF(VLOOKUP($E64,武器奇术!$A:$R,17,FALSE)="牵丝",VLOOKUP($E64,武器奇术!$A:$R,4,FALSE),VLOOKUP($E64,武器奇术!$A:$R,2,FALSE))*(1+CB64)*(1+CC64)*CD64</f>
        <v>2379.07672643472</v>
      </c>
      <c r="CL64" s="104">
        <f t="shared" si="27"/>
        <v>0.0311</v>
      </c>
      <c r="CM64" s="112">
        <f t="shared" si="28"/>
        <v>5167.60168820449</v>
      </c>
      <c r="CN64" s="110">
        <f>$B$13*IF($G$5="撼天",1.05,1)+IF(AND(VLOOKUP($E64,武器奇术!$A:$R,15,FALSE)="武器",VLOOKUP($E64,武器奇术!$A:$R,17,FALSE)="破竹"),$E$3*(1+$E$15),0)</f>
        <v>0</v>
      </c>
      <c r="CO64" s="102">
        <f t="shared" si="29"/>
        <v>0</v>
      </c>
      <c r="CP64" s="102">
        <f>MAX($C$13*IF($G$5="撼天",1.05,1)+IF(AND(VLOOKUP($E64,武器奇术!$A:$R,15,FALSE)="武器",VLOOKUP($E64,武器奇术!$A:$R,17,FALSE)="破竹"),$E$3*(1+$E$15),0),CN64)</f>
        <v>0</v>
      </c>
      <c r="CQ64" s="104">
        <f>IF(($D$13+IF(VLOOKUP($E64,武器奇术!$A:$R,17,FALSE)="破竹",$D$15,0)-VLOOKUP($F$7,目标属性!$A:$R,6,FALSE))&gt;0,($D$13+IF(VLOOKUP($E64,武器奇术!$A:$R,17,FALSE)="破竹",$D$15,0)-VLOOKUP($F$7,目标属性!$A:$R,6,FALSE))/200,($D$13+IF(VLOOKUP($E64,武器奇术!$A:$R,17,FALSE)="破竹",$D$15,0)-VLOOKUP($F$7,目标属性!$A:$R,6,FALSE))/100)</f>
        <v>-0.24</v>
      </c>
      <c r="CR64" s="111">
        <f t="shared" si="30"/>
        <v>0</v>
      </c>
      <c r="CS64" s="102">
        <v>1</v>
      </c>
      <c r="CT64" s="103">
        <f>CN64*IF(VLOOKUP($E64,武器奇术!$A:$R,17,FALSE)="破竹",VLOOKUP($E64,武器奇术!$A:$R,4,FALSE),VLOOKUP($E64,武器奇术!$A:$R,2,FALSE))*(1+CQ64)*(1+CR64)*CS64</f>
        <v>0</v>
      </c>
      <c r="CU64" s="104">
        <f>(1-IF(VLOOKUP($E64,武器奇术!$A:$R,18,FALSE)="叶龙",1,$N64))*(1-$M64)</f>
        <v>0</v>
      </c>
      <c r="CV64" s="103">
        <f>CO64*IF(VLOOKUP($E64,武器奇术!$A:$R,17,FALSE)="破竹",VLOOKUP($E64,武器奇术!$A:$R,4,FALSE),VLOOKUP($E64,武器奇术!$A:$R,2,FALSE))*(1+CQ64)*(1+CR64)*CS64*(1+$E$16+VLOOKUP($E64,武器奇术!$A:$R,8,FALSE))</f>
        <v>0</v>
      </c>
      <c r="CW64" s="104">
        <f t="shared" si="31"/>
        <v>0.8703</v>
      </c>
      <c r="CX64" s="103">
        <f>CP64*IF(VLOOKUP($E64,武器奇术!$A:$R,17,FALSE)="破竹",VLOOKUP($E64,武器奇术!$A:$R,4,FALSE),VLOOKUP($E64,武器奇术!$A:$R,2,FALSE))*(1+CQ64)*(1+CR64)*CS64*(1+$E$17+VLOOKUP($E64,武器奇术!$A:$R,10,FALSE))</f>
        <v>0</v>
      </c>
      <c r="CY64" s="104">
        <f t="shared" si="32"/>
        <v>0.0986</v>
      </c>
      <c r="CZ64" s="103">
        <f>CO64*IF(VLOOKUP($E64,武器奇术!$A:$R,17,FALSE)="破竹",VLOOKUP($E64,武器奇术!$A:$R,4,FALSE),VLOOKUP($E64,武器奇术!$A:$R,2,FALSE))*(1+CQ64)*(1+CR64)*CS64</f>
        <v>0</v>
      </c>
      <c r="DA64" s="104">
        <f t="shared" si="33"/>
        <v>0.0311</v>
      </c>
      <c r="DB64" s="112">
        <f t="shared" si="34"/>
        <v>0</v>
      </c>
      <c r="DC64" s="110">
        <f t="shared" si="35"/>
        <v>66</v>
      </c>
      <c r="DD64" s="102">
        <f t="shared" si="36"/>
        <v>125.8</v>
      </c>
      <c r="DE64" s="102">
        <f t="shared" si="37"/>
        <v>185.6</v>
      </c>
      <c r="DF64" s="104">
        <f>IF((IF(VLOOKUP($E64,武器奇术!$A:$R,17,FALSE)="鸣金",$D$7,0)+IF(VLOOKUP($E64,武器奇术!$A:$R,17,FALSE)="裂石",$D$9,0)+IF(VLOOKUP($E64,武器奇术!$A:$R,17,FALSE)="牵丝",$D$11,0)+IF(VLOOKUP($E64,武器奇术!$A:$R,17,FALSE)="破竹",$D$13,0)+$D$15-VLOOKUP($F$7,目标属性!$A:$R,6,FALSE))&gt;0,(IF(VLOOKUP($E64,武器奇术!$A:$R,17,FALSE)="鸣金",$D$7,0)+IF(VLOOKUP($E64,武器奇术!$A:$R,17,FALSE)="裂石",$D$9,0)+IF(VLOOKUP($E64,武器奇术!$A:$R,17,FALSE)="牵丝",$D$11,0)+IF(VLOOKUP($E64,武器奇术!$A:$R,17,FALSE)="破竹",$D$13,0)+$D$15-VLOOKUP($F$7,目标属性!$A:$R,6,FALSE))/200,(IF(VLOOKUP($E64,武器奇术!$A:$R,17,FALSE)="鸣金",$D$7,0)+IF(VLOOKUP($E64,武器奇术!$A:$R,17,FALSE)="裂石",$D$9,0)+IF(VLOOKUP($E64,武器奇术!$A:$R,17,FALSE)="牵丝",$D$11,0)+IF(VLOOKUP($E64,武器奇术!$A:$R,17,FALSE)="破竹",$D$13,0)+$D$15-VLOOKUP($F$7,目标属性!$A:$R,6,FALSE))/100)</f>
        <v>0.028</v>
      </c>
      <c r="DG64" s="111">
        <f>$E$11+IF($G$5="烟柳",IF(VLOOKUP($E64,武器奇术!$A:$T,20,FALSE)=1,0.1,0),0)</f>
        <v>0.248</v>
      </c>
      <c r="DH64" s="102">
        <v>1</v>
      </c>
      <c r="DI64" s="103">
        <f>DC64*IF(VLOOKUP($E64,武器奇术!$A:$R,17,FALSE)="牵丝",VLOOKUP($E64,武器奇术!$A:$R,4,FALSE),VLOOKUP($E64,武器奇术!$A:$R,2,FALSE))*(1+DF64)*(1+DG64)*DH64</f>
        <v>149.227876512</v>
      </c>
      <c r="DJ64" s="104">
        <f>(1-IF(VLOOKUP($E64,武器奇术!$A:$R,18,FALSE)="叶龙",1,$N64))*(1-$M64)</f>
        <v>0</v>
      </c>
      <c r="DK64" s="124">
        <f>DD64*IF(VLOOKUP($E64,武器奇术!$A:$R,17,FALSE)="牵丝",VLOOKUP($E64,武器奇术!$A:$R,4,FALSE),VLOOKUP($E64,武器奇术!$A:$R,2,FALSE))*(1+DF64)*(1+DG64)*DH64*(1+$E$16+VLOOKUP($E64,武器奇术!$A:$R,8,FALSE))</f>
        <v>641.121847184582</v>
      </c>
      <c r="DL64" s="104">
        <f t="shared" si="38"/>
        <v>0.8703</v>
      </c>
      <c r="DM64" s="103">
        <f>DE64*IF(VLOOKUP($E64,武器奇术!$A:$R,17,FALSE)="牵丝",VLOOKUP($E64,武器奇术!$A:$R,4,FALSE),VLOOKUP($E64,武器奇术!$A:$R,2,FALSE))*(1+DF64)*(1+DG64)*DH64*(1+$E$17+VLOOKUP($E64,武器奇术!$A:$R,10,FALSE))</f>
        <v>566.52328392192</v>
      </c>
      <c r="DN64" s="104">
        <f t="shared" si="39"/>
        <v>0.0986</v>
      </c>
      <c r="DO64" s="124">
        <f>DD64*IF(VLOOKUP($E64,武器奇术!$A:$R,17,FALSE)="牵丝",VLOOKUP($E64,武器奇术!$A:$R,4,FALSE),VLOOKUP($E64,武器奇术!$A:$R,2,FALSE))*(1+DF64)*(1+DG64)*DH64</f>
        <v>284.4373767456</v>
      </c>
      <c r="DP64" s="104">
        <f t="shared" si="40"/>
        <v>0.0311</v>
      </c>
      <c r="DQ64" s="112">
        <f t="shared" si="41"/>
        <v>622.673541816231</v>
      </c>
    </row>
    <row r="65" customFormat="1" customHeight="1" spans="1:121">
      <c r="A65" s="139"/>
      <c r="B65" s="139"/>
      <c r="C65" s="139"/>
      <c r="D65" s="139"/>
      <c r="E65" s="115" t="str">
        <f>期望!E65</f>
        <v>伞～(连中风墙大纵断石)</v>
      </c>
      <c r="F65" s="116">
        <f>期望!F65</f>
        <v>2</v>
      </c>
      <c r="G65" s="117">
        <f t="shared" si="43"/>
        <v>0.32</v>
      </c>
      <c r="H65" s="103">
        <f>IF(VLOOKUP($E65,武器奇术!$A:$R,18,FALSE)="天工",AE65,(AE65+AT65+BI65+BX65+CM65+DB65+DQ65))*(1+J65)*F65*K65*(1+G65)</f>
        <v>113633.946416552</v>
      </c>
      <c r="I65" s="104">
        <f t="shared" si="0"/>
        <v>0.0130963075371592</v>
      </c>
      <c r="J65" s="104">
        <f>$F$3+VLOOKUP($E65,武器奇术!$A:$R,12,FALSE)+VLOOKUP($E65,武器奇术!$A:$R,14,FALSE)*$G$3+$P65</f>
        <v>1.103</v>
      </c>
      <c r="K65" s="105">
        <f>VLOOKUP($E65,武器奇术!$A:$R,11,FALSE)</f>
        <v>1</v>
      </c>
      <c r="L65" s="119">
        <f>IF(VLOOKUP($E65,武器奇术!$A:$R,15,FALSE)="天工",0%,IF($C$17+VLOOKUP($E65,武器奇术!$A:$R,7,FALSE)&gt;80%,80%,$C$17+VLOOKUP($E65,武器奇术!$A:$R,7,FALSE))+IF($C$19&gt;20%,20%,$C$19))</f>
        <v>0.8703</v>
      </c>
      <c r="M65" s="120">
        <f>IF(VLOOKUP($E65,武器奇术!$A:$R,15,FALSE)="天工",0%,IF($C$18+VLOOKUP($E65,武器奇术!$A:$R,9,FALSE)&gt;40%,40%,$C$18+VLOOKUP($E65,武器奇术!$A:$R,9,FALSE))+IF($C$20&gt;10%,10%,$C$20))</f>
        <v>0.0986</v>
      </c>
      <c r="N65" s="121">
        <f>IF(VLOOKUP($E65,武器奇术!$A:$R,15,FALSE)="天工",100%,MIN($C$16,1))</f>
        <v>1</v>
      </c>
      <c r="O65" s="122" t="str">
        <f>VLOOKUP($E65,武器奇术!$A:$R,16,FALSE)</f>
        <v>伞</v>
      </c>
      <c r="P65" s="123">
        <f t="shared" si="1"/>
        <v>0.17</v>
      </c>
      <c r="Q65" s="110">
        <f>$B$5*(1+VLOOKUP($E65,武器奇术!$A:$R,5,FALSE))*(1+VLOOKUP($E65,武器奇术!$A:$S,19,FALSE)+IF($G$5="飞隼",0.1,0)+IF($G$5="撼天",0.05,0))-$F$9+IF($J$5="√",160,0)</f>
        <v>3324.7</v>
      </c>
      <c r="R65" s="102">
        <f>IF(VLOOKUP($E65,武器奇术!$A:$Z,18,FALSE)="叶龙",(S65-(Q65+S65)*0.5)*($G$15-0.5)*2+(Q65+S65)*0.5,(Q65+S65)*0.5)</f>
        <v>3404.7</v>
      </c>
      <c r="S65" s="102">
        <f>MAX($C$5,$B$5)*(1+VLOOKUP($E65,武器奇术!$A:$R,6,FALSE))*(1+VLOOKUP($E65,武器奇术!$A:$S,19,FALSE)+IF($G$5="飞隼",0.1,0)+IF($G$5="撼天",0.05,0))-$F$9+IF($J$5="√",320,0)</f>
        <v>3484.7</v>
      </c>
      <c r="T65" s="104">
        <f>IF(($D$5+VLOOKUP($E65,武器奇术!$A:$R,13,FALSE)+IF($I$3="√",10,0)-VLOOKUP($F$7,目标属性!$A:$R,5,FALSE))&gt;0,($D$5+VLOOKUP($E65,武器奇术!$A:$R,13,FALSE)+IF($I$3="√",10,0)-VLOOKUP($F$7,目标属性!$A:$R,5,FALSE))/200,($D$5+VLOOKUP($E65,武器奇术!$A:$R,13,FALSE)+IF($I$3="√",10,0)-VLOOKUP($F$7,目标属性!$A:$R,5,FALSE))/100)</f>
        <v>0.4175</v>
      </c>
      <c r="U65" s="111">
        <f>$E$5+IF($G$5="烟柳",IF(VLOOKUP($E65,武器奇术!$A:$T,20,FALSE)=1,0.1,0),0)</f>
        <v>0.1</v>
      </c>
      <c r="V65" s="102">
        <v>1</v>
      </c>
      <c r="W65" s="103">
        <f>Q65*VLOOKUP($E65,武器奇术!$A:$R,2,FALSE)*(1+T65)*(1+U65)*V65</f>
        <v>6091.01192639362</v>
      </c>
      <c r="X65" s="104">
        <f>(1-IF(VLOOKUP($E65,武器奇术!$A:$R,18,FALSE)="叶龙",1,$N65))*(1-$M65)</f>
        <v>0</v>
      </c>
      <c r="Y65" s="103">
        <f>R65*VLOOKUP($E65,武器奇术!$A:$R,2,FALSE)*(1+T65)*(1+U65)*V65*(1+$E$16+VLOOKUP($E65,武器奇术!$A:$R,8,FALSE))</f>
        <v>14059.495882713</v>
      </c>
      <c r="Z65" s="104">
        <f t="shared" si="2"/>
        <v>0.8703</v>
      </c>
      <c r="AA65" s="103">
        <f>S65*VLOOKUP($E65,武器奇术!$A:$R,2,FALSE)*(1+T65)*(1+U65)*V65*(1+$E$17+VLOOKUP($E65,武器奇术!$A:$R,10,FALSE))</f>
        <v>8618.58859472139</v>
      </c>
      <c r="AB65" s="104">
        <f t="shared" si="3"/>
        <v>0.0986</v>
      </c>
      <c r="AC65" s="103">
        <f>R65*VLOOKUP($E65,武器奇术!$A:$R,2,FALSE)*(1+T65)*(1+U65)*V65</f>
        <v>6237.57581309363</v>
      </c>
      <c r="AD65" s="104">
        <f t="shared" si="4"/>
        <v>0.0311</v>
      </c>
      <c r="AE65" s="112">
        <f t="shared" si="5"/>
        <v>13279.7607099519</v>
      </c>
      <c r="AF65" s="113">
        <f>VLOOKUP($E65,武器奇术!$A:$R,3,FALSE)*(1+IF(VLOOKUP($E65,武器奇术!$A:$R,15,FALSE)="武器",$E$15,0))</f>
        <v>421.59</v>
      </c>
      <c r="AG65" s="103">
        <f t="shared" si="6"/>
        <v>421.59</v>
      </c>
      <c r="AH65" s="103">
        <f>VLOOKUP($E65,武器奇术!$A:$R,3,FALSE)*(1+IF(VLOOKUP($E65,武器奇术!$A:$R,15,FALSE)="武器",$E$15,0))</f>
        <v>421.59</v>
      </c>
      <c r="AI65" s="104">
        <f>IF(($D$5+VLOOKUP($E65,武器奇术!$A:$R,13,FALSE)+IF($I$3="√",10,0)-VLOOKUP($F$7,目标属性!$A:$R,5,FALSE))&gt;0,($D$5+VLOOKUP($E65,武器奇术!$A:$R,13,FALSE)+IF($I$3="√",10,0)-VLOOKUP($F$7,目标属性!$A:$R,5,FALSE))/200,($D$5+VLOOKUP($E65,武器奇术!$A:$R,13,FALSE)+IF($I$3="√",10,0)-VLOOKUP($F$7,目标属性!$A:$R,5,FALSE))/100)</f>
        <v>0.4175</v>
      </c>
      <c r="AJ65" s="111">
        <f>$E$5+IF($G$5="烟柳",IF(VLOOKUP($E65,武器奇术!$A:$T,20,FALSE)=1,0.1,0),0)</f>
        <v>0.1</v>
      </c>
      <c r="AK65" s="102">
        <v>1</v>
      </c>
      <c r="AL65" s="103">
        <f t="shared" si="7"/>
        <v>657.3642075</v>
      </c>
      <c r="AM65" s="104">
        <f>(1-IF(VLOOKUP($E65,武器奇术!$A:$R,18,FALSE)="叶龙",1,$N65))*(1-$M65)</f>
        <v>0</v>
      </c>
      <c r="AN65" s="103">
        <f>AG65*(1+AI65)*(1+AJ65)*AK65*(1+$E$16+VLOOKUP($E65,武器奇术!$A:$R,8,FALSE))</f>
        <v>1481.698923705</v>
      </c>
      <c r="AO65" s="104">
        <f t="shared" si="8"/>
        <v>0.8703</v>
      </c>
      <c r="AP65" s="103">
        <f>AH65*(1+AI65)*(1+AJ65)*AK65*(1+$E$17+VLOOKUP($E65,武器奇术!$A:$R,10,FALSE))</f>
        <v>887.441680125</v>
      </c>
      <c r="AQ65" s="104">
        <f t="shared" si="9"/>
        <v>0.0986</v>
      </c>
      <c r="AR65" s="103">
        <f t="shared" si="10"/>
        <v>657.3642075</v>
      </c>
      <c r="AS65" s="104">
        <f t="shared" si="11"/>
        <v>0.0311</v>
      </c>
      <c r="AT65" s="112">
        <f t="shared" si="12"/>
        <v>1397.46834981404</v>
      </c>
      <c r="AU65" s="110">
        <f>$B$7*IF($G$5="撼天",1.05,1)+IF(AND(VLOOKUP($E65,武器奇术!$A:$R,15,FALSE)="武器",VLOOKUP($E65,武器奇术!$A:$R,17,FALSE)="鸣金"),$E$3*(1+$E$15),0)</f>
        <v>0</v>
      </c>
      <c r="AV65" s="102">
        <f t="shared" si="13"/>
        <v>0</v>
      </c>
      <c r="AW65" s="102">
        <f>MAX($C$7*IF($G$5="撼天",1.05,1)+IF(AND(VLOOKUP($E65,武器奇术!$A:$R,15,FALSE)="武器",VLOOKUP($E65,武器奇术!$A:$R,17,FALSE)="鸣金"),$E$3*(1+$E$15),0),AU65)</f>
        <v>0</v>
      </c>
      <c r="AX65" s="104">
        <f>IF(($D$7+IF(VLOOKUP($E65,武器奇术!$A:$R,17,FALSE)="鸣金",$D$15,0)-VLOOKUP($F$7,目标属性!$A:$R,6,FALSE))&gt;0,($D$7+IF(VLOOKUP($E65,武器奇术!$A:$R,17,FALSE)="鸣金",$D$15,0)-VLOOKUP($F$7,目标属性!$A:$R,6,FALSE))/200,($D$7+IF(VLOOKUP($E65,武器奇术!$A:$R,17,FALSE)="鸣金",$D$15,0)-VLOOKUP($F$7,目标属性!$A:$R,6,FALSE))/100)</f>
        <v>-0.24</v>
      </c>
      <c r="AY65" s="111">
        <f t="shared" si="14"/>
        <v>0</v>
      </c>
      <c r="AZ65" s="102">
        <v>1</v>
      </c>
      <c r="BA65" s="103">
        <f>AU65*IF(VLOOKUP($E65,武器奇术!$A:$R,17,FALSE)="鸣金",VLOOKUP($E65,武器奇术!$A:$R,4,FALSE),VLOOKUP($E65,武器奇术!$A:$R,2,FALSE))*(1+AX65)*(1+AY65)*AZ65</f>
        <v>0</v>
      </c>
      <c r="BB65" s="104">
        <f>(1-IF(VLOOKUP($E65,武器奇术!$A:$R,18,FALSE)="叶龙",1,$N65))*(1-$M65)</f>
        <v>0</v>
      </c>
      <c r="BC65" s="103">
        <f>AV65*IF(VLOOKUP($E65,武器奇术!$A:$R,17,FALSE)="鸣金",VLOOKUP($E65,武器奇术!$A:$R,4,FALSE),VLOOKUP($E65,武器奇术!$A:$R,2,FALSE))*(1+AX65)*(1+AY65)*AZ65*(1+$E$16+VLOOKUP($E65,武器奇术!$A:$R,8,FALSE))</f>
        <v>0</v>
      </c>
      <c r="BD65" s="104">
        <f t="shared" si="15"/>
        <v>0.8703</v>
      </c>
      <c r="BE65" s="103">
        <f>AW65*IF(VLOOKUP($E65,武器奇术!$A:$R,17,FALSE)="鸣金",VLOOKUP($E65,武器奇术!$A:$R,4,FALSE),VLOOKUP($E65,武器奇术!$A:$R,2,FALSE))*(1+AX65)*(1+AY65)*AZ65*(1+$E$17+VLOOKUP($E65,武器奇术!$A:$R,10,FALSE))</f>
        <v>0</v>
      </c>
      <c r="BF65" s="104">
        <f t="shared" si="16"/>
        <v>0.0986</v>
      </c>
      <c r="BG65" s="103">
        <f>AV65*IF(VLOOKUP($E65,武器奇术!$A:$R,17,FALSE)="鸣金",VLOOKUP($E65,武器奇术!$A:$R,4,FALSE),VLOOKUP($E65,武器奇术!$A:$R,2,FALSE))*(1+AX65)*(1+AY65)*AZ65</f>
        <v>0</v>
      </c>
      <c r="BH65" s="104">
        <f t="shared" si="17"/>
        <v>0.0311</v>
      </c>
      <c r="BI65" s="112">
        <f t="shared" si="18"/>
        <v>0</v>
      </c>
      <c r="BJ65" s="110">
        <f>$B$9*IF($G$5="撼天",1.05,1)+IF(AND(VLOOKUP($E65,武器奇术!$A:$R,15,FALSE)="武器",VLOOKUP($E65,武器奇术!$A:$R,17,FALSE)="裂石"),$E$3*(1+$E$15),0)</f>
        <v>0</v>
      </c>
      <c r="BK65" s="102">
        <f t="shared" si="19"/>
        <v>0</v>
      </c>
      <c r="BL65" s="102">
        <f>MAX($C$9*IF($G$5="撼天",1.05,1)+IF(AND(VLOOKUP($E65,武器奇术!$A:$R,15,FALSE)="武器",VLOOKUP($E65,武器奇术!$A:$R,17,FALSE)="裂石"),$E$3*(1+$E$15),0),BJ65)</f>
        <v>0</v>
      </c>
      <c r="BM65" s="104">
        <f>IF(($D$9+IF(VLOOKUP($E65,武器奇术!$A:$R,17,FALSE)="裂石",$D$15,0)-VLOOKUP($F$7,目标属性!$A:$R,6,FALSE))&gt;0,($D$9+IF(VLOOKUP($E65,武器奇术!$A:$R,17,FALSE)="裂石",$D$15,0)-VLOOKUP($F$7,目标属性!$A:$R,6,FALSE))/200,($D$9+IF(VLOOKUP($E65,武器奇术!$A:$R,17,FALSE)="裂石",$D$15,0)-VLOOKUP($F$7,目标属性!$A:$R,6,FALSE))/100)</f>
        <v>-0.24</v>
      </c>
      <c r="BN65" s="111">
        <f t="shared" si="20"/>
        <v>0</v>
      </c>
      <c r="BO65" s="102">
        <v>1</v>
      </c>
      <c r="BP65" s="103">
        <f>BJ65*IF(VLOOKUP($E65,武器奇术!$A:$R,17,FALSE)="裂石",VLOOKUP($E65,武器奇术!$A:$R,4,FALSE),VLOOKUP($E65,武器奇术!$A:$R,2,FALSE))*(1+BM65)*(1+BN65)*BO65</f>
        <v>0</v>
      </c>
      <c r="BQ65" s="104">
        <f>(1-IF(VLOOKUP($E65,武器奇术!$A:$R,18,FALSE)="叶龙",1,$N65))*(1-$M65)</f>
        <v>0</v>
      </c>
      <c r="BR65" s="103">
        <f>BK65*IF(VLOOKUP($E65,武器奇术!$A:$R,17,FALSE)="裂石",VLOOKUP($E65,武器奇术!$A:$R,4,FALSE),VLOOKUP($E65,武器奇术!$A:$R,2,FALSE))*(1+BM65)*(1+BN65)*BO65*(1+$E$16+VLOOKUP($E65,武器奇术!$A:$R,8,FALSE))</f>
        <v>0</v>
      </c>
      <c r="BS65" s="104">
        <f t="shared" si="21"/>
        <v>0.8703</v>
      </c>
      <c r="BT65" s="103">
        <f>BL65*IF(VLOOKUP($E65,武器奇术!$A:$R,17,FALSE)="裂石",VLOOKUP($E65,武器奇术!$A:$R,4,FALSE),VLOOKUP($E65,武器奇术!$A:$R,2,FALSE))*(1+BM65)*(1+BN65)*BO65*(1+$E$17+VLOOKUP($E65,武器奇术!$A:$R,10,FALSE))</f>
        <v>0</v>
      </c>
      <c r="BU65" s="104">
        <f t="shared" si="22"/>
        <v>0.0986</v>
      </c>
      <c r="BV65" s="103">
        <f>BK65*IF(VLOOKUP($E65,武器奇术!$A:$R,17,FALSE)="裂石",VLOOKUP($E65,武器奇术!$A:$R,4,FALSE),VLOOKUP($E65,武器奇术!$A:$R,2,FALSE))*(1+BM65)*(1+BN65)*BO65</f>
        <v>0</v>
      </c>
      <c r="BW65" s="104">
        <f t="shared" si="23"/>
        <v>0.0311</v>
      </c>
      <c r="BX65" s="112">
        <f t="shared" si="24"/>
        <v>0</v>
      </c>
      <c r="BY65" s="110">
        <f>$B$11*IF($G$5="撼天",1.05,1)+IF(AND(VLOOKUP($E65,武器奇术!$A:$R,15,FALSE)="武器",VLOOKUP($E65,武器奇术!$A:$R,17,FALSE)="牵丝"),$E$3*(1+$E$15),0)</f>
        <v>686.71</v>
      </c>
      <c r="BZ65" s="102">
        <f>IF(VLOOKUP($E65,武器奇术!$A:$Z,18,FALSE)="叶龙",(CA65-(BY65+CA65)*0.5)*($G$15-0.5)*2+(BY65+CA65)*0.5,(BY65+CA65)*0.5)</f>
        <v>1052.21</v>
      </c>
      <c r="CA65" s="102">
        <f>MAX($C$11*IF($G$5="撼天",1.05,1)+IF(AND(VLOOKUP($E65,武器奇术!$A:$R,15,FALSE)="武器",VLOOKUP($E65,武器奇术!$A:$R,17,FALSE)="牵丝"),$E$3*(1+$E$15),0),BY65)</f>
        <v>1417.71</v>
      </c>
      <c r="CB65" s="104">
        <f>IF(($D$11+IF(VLOOKUP($E65,武器奇术!$A:$R,17,FALSE)="牵丝",$D$15,0)-VLOOKUP($F$7,目标属性!$A:$R,6,FALSE))&gt;0,($D$11+IF(VLOOKUP($E65,武器奇术!$A:$R,17,FALSE)="牵丝",$D$15,0)-VLOOKUP($F$7,目标属性!$A:$R,6,FALSE))/200,($D$11+IF(VLOOKUP($E65,武器奇术!$A:$R,17,FALSE)="牵丝",$D$15,0)-VLOOKUP($F$7,目标属性!$A:$R,6,FALSE))/100)</f>
        <v>0.028</v>
      </c>
      <c r="CC65" s="111">
        <f>$E$11+IF($G$5="烟柳",IF(VLOOKUP($E65,武器奇术!$A:$T,20,FALSE)=1,0.1,0),0)</f>
        <v>0.248</v>
      </c>
      <c r="CD65" s="102">
        <v>1</v>
      </c>
      <c r="CE65" s="103">
        <f>BY65*IF(VLOOKUP($E65,武器奇术!$A:$R,17,FALSE)="牵丝",VLOOKUP($E65,武器奇术!$A:$R,4,FALSE),VLOOKUP($E65,武器奇术!$A:$R,2,FALSE))*(1+CB65)*(1+CC65)*CD65</f>
        <v>1552.67083453872</v>
      </c>
      <c r="CF65" s="104">
        <f>(1-IF(VLOOKUP($E65,武器奇术!$A:$R,18,FALSE)="叶龙",1,$N65))*(1-$M65)</f>
        <v>0</v>
      </c>
      <c r="CG65" s="124">
        <f>BZ65*IF(VLOOKUP($E65,武器奇术!$A:$R,17,FALSE)="牵丝",VLOOKUP($E65,武器奇术!$A:$R,4,FALSE),VLOOKUP($E65,武器奇术!$A:$R,2,FALSE))*(1+CB65)*(1+CC65)*CD65*(1+$E$16+VLOOKUP($E65,武器奇术!$A:$R,8,FALSE))</f>
        <v>5362.43894138386</v>
      </c>
      <c r="CH65" s="104">
        <f t="shared" si="25"/>
        <v>0.8703</v>
      </c>
      <c r="CI65" s="103">
        <f>CA65*IF(VLOOKUP($E65,武器奇术!$A:$R,17,FALSE)="牵丝",VLOOKUP($E65,武器奇术!$A:$R,4,FALSE),VLOOKUP($E65,武器奇术!$A:$R,2,FALSE))*(1+CB65)*(1+CC65)*CD65*(1+$E$17+VLOOKUP($E65,武器奇术!$A:$R,10,FALSE))</f>
        <v>4327.40153474647</v>
      </c>
      <c r="CJ65" s="104">
        <f t="shared" si="26"/>
        <v>0.0986</v>
      </c>
      <c r="CK65" s="124">
        <f>BZ65*IF(VLOOKUP($E65,武器奇术!$A:$R,17,FALSE)="牵丝",VLOOKUP($E65,武器奇术!$A:$R,4,FALSE),VLOOKUP($E65,武器奇术!$A:$R,2,FALSE))*(1+CB65)*(1+CC65)*CD65</f>
        <v>2379.07672643472</v>
      </c>
      <c r="CL65" s="104">
        <f t="shared" si="27"/>
        <v>0.0311</v>
      </c>
      <c r="CM65" s="112">
        <f t="shared" si="28"/>
        <v>5167.60168820449</v>
      </c>
      <c r="CN65" s="110">
        <f>$B$13*IF($G$5="撼天",1.05,1)+IF(AND(VLOOKUP($E65,武器奇术!$A:$R,15,FALSE)="武器",VLOOKUP($E65,武器奇术!$A:$R,17,FALSE)="破竹"),$E$3*(1+$E$15),0)</f>
        <v>0</v>
      </c>
      <c r="CO65" s="102">
        <f t="shared" si="29"/>
        <v>0</v>
      </c>
      <c r="CP65" s="102">
        <f>MAX($C$13*IF($G$5="撼天",1.05,1)+IF(AND(VLOOKUP($E65,武器奇术!$A:$R,15,FALSE)="武器",VLOOKUP($E65,武器奇术!$A:$R,17,FALSE)="破竹"),$E$3*(1+$E$15),0),CN65)</f>
        <v>0</v>
      </c>
      <c r="CQ65" s="104">
        <f>IF(($D$13+IF(VLOOKUP($E65,武器奇术!$A:$R,17,FALSE)="破竹",$D$15,0)-VLOOKUP($F$7,目标属性!$A:$R,6,FALSE))&gt;0,($D$13+IF(VLOOKUP($E65,武器奇术!$A:$R,17,FALSE)="破竹",$D$15,0)-VLOOKUP($F$7,目标属性!$A:$R,6,FALSE))/200,($D$13+IF(VLOOKUP($E65,武器奇术!$A:$R,17,FALSE)="破竹",$D$15,0)-VLOOKUP($F$7,目标属性!$A:$R,6,FALSE))/100)</f>
        <v>-0.24</v>
      </c>
      <c r="CR65" s="111">
        <f t="shared" si="30"/>
        <v>0</v>
      </c>
      <c r="CS65" s="102">
        <v>1</v>
      </c>
      <c r="CT65" s="103">
        <f>CN65*IF(VLOOKUP($E65,武器奇术!$A:$R,17,FALSE)="破竹",VLOOKUP($E65,武器奇术!$A:$R,4,FALSE),VLOOKUP($E65,武器奇术!$A:$R,2,FALSE))*(1+CQ65)*(1+CR65)*CS65</f>
        <v>0</v>
      </c>
      <c r="CU65" s="104">
        <f>(1-IF(VLOOKUP($E65,武器奇术!$A:$R,18,FALSE)="叶龙",1,$N65))*(1-$M65)</f>
        <v>0</v>
      </c>
      <c r="CV65" s="103">
        <f>CO65*IF(VLOOKUP($E65,武器奇术!$A:$R,17,FALSE)="破竹",VLOOKUP($E65,武器奇术!$A:$R,4,FALSE),VLOOKUP($E65,武器奇术!$A:$R,2,FALSE))*(1+CQ65)*(1+CR65)*CS65*(1+$E$16+VLOOKUP($E65,武器奇术!$A:$R,8,FALSE))</f>
        <v>0</v>
      </c>
      <c r="CW65" s="104">
        <f t="shared" si="31"/>
        <v>0.8703</v>
      </c>
      <c r="CX65" s="103">
        <f>CP65*IF(VLOOKUP($E65,武器奇术!$A:$R,17,FALSE)="破竹",VLOOKUP($E65,武器奇术!$A:$R,4,FALSE),VLOOKUP($E65,武器奇术!$A:$R,2,FALSE))*(1+CQ65)*(1+CR65)*CS65*(1+$E$17+VLOOKUP($E65,武器奇术!$A:$R,10,FALSE))</f>
        <v>0</v>
      </c>
      <c r="CY65" s="104">
        <f t="shared" si="32"/>
        <v>0.0986</v>
      </c>
      <c r="CZ65" s="103">
        <f>CO65*IF(VLOOKUP($E65,武器奇术!$A:$R,17,FALSE)="破竹",VLOOKUP($E65,武器奇术!$A:$R,4,FALSE),VLOOKUP($E65,武器奇术!$A:$R,2,FALSE))*(1+CQ65)*(1+CR65)*CS65</f>
        <v>0</v>
      </c>
      <c r="DA65" s="104">
        <f t="shared" si="33"/>
        <v>0.0311</v>
      </c>
      <c r="DB65" s="112">
        <f t="shared" si="34"/>
        <v>0</v>
      </c>
      <c r="DC65" s="110">
        <f t="shared" si="35"/>
        <v>66</v>
      </c>
      <c r="DD65" s="102">
        <f t="shared" si="36"/>
        <v>125.8</v>
      </c>
      <c r="DE65" s="102">
        <f t="shared" si="37"/>
        <v>185.6</v>
      </c>
      <c r="DF65" s="104">
        <f>IF((IF(VLOOKUP($E65,武器奇术!$A:$R,17,FALSE)="鸣金",$D$7,0)+IF(VLOOKUP($E65,武器奇术!$A:$R,17,FALSE)="裂石",$D$9,0)+IF(VLOOKUP($E65,武器奇术!$A:$R,17,FALSE)="牵丝",$D$11,0)+IF(VLOOKUP($E65,武器奇术!$A:$R,17,FALSE)="破竹",$D$13,0)+$D$15-VLOOKUP($F$7,目标属性!$A:$R,6,FALSE))&gt;0,(IF(VLOOKUP($E65,武器奇术!$A:$R,17,FALSE)="鸣金",$D$7,0)+IF(VLOOKUP($E65,武器奇术!$A:$R,17,FALSE)="裂石",$D$9,0)+IF(VLOOKUP($E65,武器奇术!$A:$R,17,FALSE)="牵丝",$D$11,0)+IF(VLOOKUP($E65,武器奇术!$A:$R,17,FALSE)="破竹",$D$13,0)+$D$15-VLOOKUP($F$7,目标属性!$A:$R,6,FALSE))/200,(IF(VLOOKUP($E65,武器奇术!$A:$R,17,FALSE)="鸣金",$D$7,0)+IF(VLOOKUP($E65,武器奇术!$A:$R,17,FALSE)="裂石",$D$9,0)+IF(VLOOKUP($E65,武器奇术!$A:$R,17,FALSE)="牵丝",$D$11,0)+IF(VLOOKUP($E65,武器奇术!$A:$R,17,FALSE)="破竹",$D$13,0)+$D$15-VLOOKUP($F$7,目标属性!$A:$R,6,FALSE))/100)</f>
        <v>0.028</v>
      </c>
      <c r="DG65" s="111">
        <f>$E$11+IF($G$5="烟柳",IF(VLOOKUP($E65,武器奇术!$A:$T,20,FALSE)=1,0.1,0),0)</f>
        <v>0.248</v>
      </c>
      <c r="DH65" s="102">
        <v>1</v>
      </c>
      <c r="DI65" s="103">
        <f>DC65*IF(VLOOKUP($E65,武器奇术!$A:$R,17,FALSE)="牵丝",VLOOKUP($E65,武器奇术!$A:$R,4,FALSE),VLOOKUP($E65,武器奇术!$A:$R,2,FALSE))*(1+DF65)*(1+DG65)*DH65</f>
        <v>149.227876512</v>
      </c>
      <c r="DJ65" s="104">
        <f>(1-IF(VLOOKUP($E65,武器奇术!$A:$R,18,FALSE)="叶龙",1,$N65))*(1-$M65)</f>
        <v>0</v>
      </c>
      <c r="DK65" s="124">
        <f>DD65*IF(VLOOKUP($E65,武器奇术!$A:$R,17,FALSE)="牵丝",VLOOKUP($E65,武器奇术!$A:$R,4,FALSE),VLOOKUP($E65,武器奇术!$A:$R,2,FALSE))*(1+DF65)*(1+DG65)*DH65*(1+$E$16+VLOOKUP($E65,武器奇术!$A:$R,8,FALSE))</f>
        <v>641.121847184582</v>
      </c>
      <c r="DL65" s="104">
        <f t="shared" si="38"/>
        <v>0.8703</v>
      </c>
      <c r="DM65" s="103">
        <f>DE65*IF(VLOOKUP($E65,武器奇术!$A:$R,17,FALSE)="牵丝",VLOOKUP($E65,武器奇术!$A:$R,4,FALSE),VLOOKUP($E65,武器奇术!$A:$R,2,FALSE))*(1+DF65)*(1+DG65)*DH65*(1+$E$17+VLOOKUP($E65,武器奇术!$A:$R,10,FALSE))</f>
        <v>566.52328392192</v>
      </c>
      <c r="DN65" s="104">
        <f t="shared" si="39"/>
        <v>0.0986</v>
      </c>
      <c r="DO65" s="124">
        <f>DD65*IF(VLOOKUP($E65,武器奇术!$A:$R,17,FALSE)="牵丝",VLOOKUP($E65,武器奇术!$A:$R,4,FALSE),VLOOKUP($E65,武器奇术!$A:$R,2,FALSE))*(1+DF65)*(1+DG65)*DH65</f>
        <v>284.4373767456</v>
      </c>
      <c r="DP65" s="104">
        <f t="shared" si="40"/>
        <v>0.0311</v>
      </c>
      <c r="DQ65" s="112">
        <f t="shared" si="41"/>
        <v>622.673541816231</v>
      </c>
    </row>
    <row r="66" customFormat="1" customHeight="1" spans="1:121">
      <c r="A66" s="139"/>
      <c r="B66" s="139"/>
      <c r="C66" s="139"/>
      <c r="D66" s="139"/>
      <c r="E66" s="115" t="str">
        <f>期望!E66</f>
        <v>伞～(连中风墙大纵)</v>
      </c>
      <c r="F66" s="116">
        <f>期望!F66</f>
        <v>5</v>
      </c>
      <c r="G66" s="117">
        <f t="shared" si="43"/>
        <v>0.32</v>
      </c>
      <c r="H66" s="103">
        <f>IF(VLOOKUP($E66,武器奇术!$A:$R,18,FALSE)="天工",AE66,(AE66+AT66+BI66+BX66+CM66+DB66+DQ66))*(1+J66)*F66*K66*(1+G66)</f>
        <v>239091.008310575</v>
      </c>
      <c r="I66" s="104">
        <f t="shared" si="0"/>
        <v>0.0275552286349941</v>
      </c>
      <c r="J66" s="104">
        <f>$F$3+VLOOKUP($E66,武器奇术!$A:$R,12,FALSE)+VLOOKUP($E66,武器奇术!$A:$R,14,FALSE)*$G$3+$P66</f>
        <v>1.103</v>
      </c>
      <c r="K66" s="105">
        <f>VLOOKUP($E66,武器奇术!$A:$R,11,FALSE)</f>
        <v>1</v>
      </c>
      <c r="L66" s="119">
        <f>IF(VLOOKUP($E66,武器奇术!$A:$R,15,FALSE)="天工",0%,IF($C$17+VLOOKUP($E66,武器奇术!$A:$R,7,FALSE)&gt;80%,80%,$C$17+VLOOKUP($E66,武器奇术!$A:$R,7,FALSE))+IF($C$19&gt;20%,20%,$C$19))</f>
        <v>0.8703</v>
      </c>
      <c r="M66" s="120">
        <f>IF(VLOOKUP($E66,武器奇术!$A:$R,15,FALSE)="天工",0%,IF($C$18+VLOOKUP($E66,武器奇术!$A:$R,9,FALSE)&gt;40%,40%,$C$18+VLOOKUP($E66,武器奇术!$A:$R,9,FALSE))+IF($C$20&gt;10%,10%,$C$20))</f>
        <v>0.0986</v>
      </c>
      <c r="N66" s="121">
        <f>IF(VLOOKUP($E66,武器奇术!$A:$R,15,FALSE)="天工",100%,MIN($C$16,1))</f>
        <v>1</v>
      </c>
      <c r="O66" s="122" t="str">
        <f>VLOOKUP($E66,武器奇术!$A:$R,16,FALSE)</f>
        <v>伞</v>
      </c>
      <c r="P66" s="123">
        <f t="shared" si="1"/>
        <v>0.17</v>
      </c>
      <c r="Q66" s="110">
        <f>$B$5*(1+VLOOKUP($E66,武器奇术!$A:$R,5,FALSE))*(1+VLOOKUP($E66,武器奇术!$A:$S,19,FALSE)+IF($G$5="飞隼",0.1,0)+IF($G$5="撼天",0.05,0))-$F$9+IF($J$5="√",160,0)</f>
        <v>3324.7</v>
      </c>
      <c r="R66" s="102">
        <f>IF(VLOOKUP($E66,武器奇术!$A:$Z,18,FALSE)="叶龙",(S66-(Q66+S66)*0.5)*($G$15-0.5)*2+(Q66+S66)*0.5,(Q66+S66)*0.5)</f>
        <v>3404.7</v>
      </c>
      <c r="S66" s="102">
        <f>MAX($C$5,$B$5)*(1+VLOOKUP($E66,武器奇术!$A:$R,6,FALSE))*(1+VLOOKUP($E66,武器奇术!$A:$S,19,FALSE)+IF($G$5="飞隼",0.1,0)+IF($G$5="撼天",0.05,0))-$F$9+IF($J$5="√",320,0)</f>
        <v>3484.7</v>
      </c>
      <c r="T66" s="104">
        <f>IF(($D$5+VLOOKUP($E66,武器奇术!$A:$R,13,FALSE)+IF($I$3="√",10,0)-VLOOKUP($F$7,目标属性!$A:$R,5,FALSE))&gt;0,($D$5+VLOOKUP($E66,武器奇术!$A:$R,13,FALSE)+IF($I$3="√",10,0)-VLOOKUP($F$7,目标属性!$A:$R,5,FALSE))/200,($D$5+VLOOKUP($E66,武器奇术!$A:$R,13,FALSE)+IF($I$3="√",10,0)-VLOOKUP($F$7,目标属性!$A:$R,5,FALSE))/100)</f>
        <v>0.2925</v>
      </c>
      <c r="U66" s="111">
        <f>$E$5+IF($G$5="烟柳",IF(VLOOKUP($E66,武器奇术!$A:$T,20,FALSE)=1,0.1,0),0)</f>
        <v>0.1</v>
      </c>
      <c r="V66" s="102">
        <v>1</v>
      </c>
      <c r="W66" s="103">
        <f>Q66*VLOOKUP($E66,武器奇术!$A:$R,2,FALSE)*(1+T66)*(1+U66)*V66</f>
        <v>5553.88565422487</v>
      </c>
      <c r="X66" s="104">
        <f>(1-IF(VLOOKUP($E66,武器奇术!$A:$R,18,FALSE)="叶龙",1,$N66))*(1-$M66)</f>
        <v>0</v>
      </c>
      <c r="Y66" s="103">
        <f>R66*VLOOKUP($E66,武器奇术!$A:$R,2,FALSE)*(1+T66)*(1+U66)*V66*(1+$E$16+VLOOKUP($E66,武器奇术!$A:$R,8,FALSE))</f>
        <v>11397.8001719934</v>
      </c>
      <c r="Z66" s="104">
        <f t="shared" si="2"/>
        <v>0.8703</v>
      </c>
      <c r="AA66" s="103">
        <f>S66*VLOOKUP($E66,武器奇术!$A:$R,2,FALSE)*(1+T66)*(1+U66)*V66*(1+$E$17+VLOOKUP($E66,武器奇术!$A:$R,10,FALSE))</f>
        <v>7858.57196379358</v>
      </c>
      <c r="AB66" s="104">
        <f t="shared" si="3"/>
        <v>0.0986</v>
      </c>
      <c r="AC66" s="103">
        <f>R66*VLOOKUP($E66,武器奇术!$A:$R,2,FALSE)*(1+T66)*(1+U66)*V66</f>
        <v>5687.52503592487</v>
      </c>
      <c r="AD66" s="104">
        <f t="shared" si="4"/>
        <v>0.0311</v>
      </c>
      <c r="AE66" s="112">
        <f t="shared" si="5"/>
        <v>10871.2427139332</v>
      </c>
      <c r="AF66" s="113">
        <f>VLOOKUP($E66,武器奇术!$A:$R,3,FALSE)*(1+IF(VLOOKUP($E66,武器奇术!$A:$R,15,FALSE)="武器",$E$15,0))</f>
        <v>421.59</v>
      </c>
      <c r="AG66" s="103">
        <f t="shared" si="6"/>
        <v>421.59</v>
      </c>
      <c r="AH66" s="103">
        <f>VLOOKUP($E66,武器奇术!$A:$R,3,FALSE)*(1+IF(VLOOKUP($E66,武器奇术!$A:$R,15,FALSE)="武器",$E$15,0))</f>
        <v>421.59</v>
      </c>
      <c r="AI66" s="104">
        <f>IF(($D$5+VLOOKUP($E66,武器奇术!$A:$R,13,FALSE)+IF($I$3="√",10,0)-VLOOKUP($F$7,目标属性!$A:$R,5,FALSE))&gt;0,($D$5+VLOOKUP($E66,武器奇术!$A:$R,13,FALSE)+IF($I$3="√",10,0)-VLOOKUP($F$7,目标属性!$A:$R,5,FALSE))/200,($D$5+VLOOKUP($E66,武器奇术!$A:$R,13,FALSE)+IF($I$3="√",10,0)-VLOOKUP($F$7,目标属性!$A:$R,5,FALSE))/100)</f>
        <v>0.2925</v>
      </c>
      <c r="AJ66" s="111">
        <f>$E$5+IF($G$5="烟柳",IF(VLOOKUP($E66,武器奇术!$A:$T,20,FALSE)=1,0.1,0),0)</f>
        <v>0.1</v>
      </c>
      <c r="AK66" s="102">
        <v>1</v>
      </c>
      <c r="AL66" s="103">
        <f t="shared" si="7"/>
        <v>599.3955825</v>
      </c>
      <c r="AM66" s="104">
        <f>(1-IF(VLOOKUP($E66,武器奇术!$A:$R,18,FALSE)="叶龙",1,$N66))*(1-$M66)</f>
        <v>0</v>
      </c>
      <c r="AN66" s="103">
        <f>AG66*(1+AI66)*(1+AJ66)*AK66*(1+$E$16+VLOOKUP($E66,武器奇术!$A:$R,8,FALSE))</f>
        <v>1201.18874733</v>
      </c>
      <c r="AO66" s="104">
        <f t="shared" si="8"/>
        <v>0.8703</v>
      </c>
      <c r="AP66" s="103">
        <f>AH66*(1+AI66)*(1+AJ66)*AK66*(1+$E$17+VLOOKUP($E66,武器奇术!$A:$R,10,FALSE))</f>
        <v>809.184036375</v>
      </c>
      <c r="AQ66" s="104">
        <f t="shared" si="9"/>
        <v>0.0986</v>
      </c>
      <c r="AR66" s="103">
        <f t="shared" si="10"/>
        <v>599.3955825</v>
      </c>
      <c r="AS66" s="104">
        <f t="shared" si="11"/>
        <v>0.0311</v>
      </c>
      <c r="AT66" s="112">
        <f t="shared" si="12"/>
        <v>1143.82131540362</v>
      </c>
      <c r="AU66" s="110">
        <f>$B$7*IF($G$5="撼天",1.05,1)+IF(AND(VLOOKUP($E66,武器奇术!$A:$R,15,FALSE)="武器",VLOOKUP($E66,武器奇术!$A:$R,17,FALSE)="鸣金"),$E$3*(1+$E$15),0)</f>
        <v>0</v>
      </c>
      <c r="AV66" s="102">
        <f t="shared" si="13"/>
        <v>0</v>
      </c>
      <c r="AW66" s="102">
        <f>MAX($C$7*IF($G$5="撼天",1.05,1)+IF(AND(VLOOKUP($E66,武器奇术!$A:$R,15,FALSE)="武器",VLOOKUP($E66,武器奇术!$A:$R,17,FALSE)="鸣金"),$E$3*(1+$E$15),0),AU66)</f>
        <v>0</v>
      </c>
      <c r="AX66" s="104">
        <f>IF(($D$7+IF(VLOOKUP($E66,武器奇术!$A:$R,17,FALSE)="鸣金",$D$15,0)-VLOOKUP($F$7,目标属性!$A:$R,6,FALSE))&gt;0,($D$7+IF(VLOOKUP($E66,武器奇术!$A:$R,17,FALSE)="鸣金",$D$15,0)-VLOOKUP($F$7,目标属性!$A:$R,6,FALSE))/200,($D$7+IF(VLOOKUP($E66,武器奇术!$A:$R,17,FALSE)="鸣金",$D$15,0)-VLOOKUP($F$7,目标属性!$A:$R,6,FALSE))/100)</f>
        <v>-0.24</v>
      </c>
      <c r="AY66" s="111">
        <f t="shared" si="14"/>
        <v>0</v>
      </c>
      <c r="AZ66" s="102">
        <v>1</v>
      </c>
      <c r="BA66" s="103">
        <f>AU66*IF(VLOOKUP($E66,武器奇术!$A:$R,17,FALSE)="鸣金",VLOOKUP($E66,武器奇术!$A:$R,4,FALSE),VLOOKUP($E66,武器奇术!$A:$R,2,FALSE))*(1+AX66)*(1+AY66)*AZ66</f>
        <v>0</v>
      </c>
      <c r="BB66" s="104">
        <f>(1-IF(VLOOKUP($E66,武器奇术!$A:$R,18,FALSE)="叶龙",1,$N66))*(1-$M66)</f>
        <v>0</v>
      </c>
      <c r="BC66" s="103">
        <f>AV66*IF(VLOOKUP($E66,武器奇术!$A:$R,17,FALSE)="鸣金",VLOOKUP($E66,武器奇术!$A:$R,4,FALSE),VLOOKUP($E66,武器奇术!$A:$R,2,FALSE))*(1+AX66)*(1+AY66)*AZ66*(1+$E$16+VLOOKUP($E66,武器奇术!$A:$R,8,FALSE))</f>
        <v>0</v>
      </c>
      <c r="BD66" s="104">
        <f t="shared" si="15"/>
        <v>0.8703</v>
      </c>
      <c r="BE66" s="103">
        <f>AW66*IF(VLOOKUP($E66,武器奇术!$A:$R,17,FALSE)="鸣金",VLOOKUP($E66,武器奇术!$A:$R,4,FALSE),VLOOKUP($E66,武器奇术!$A:$R,2,FALSE))*(1+AX66)*(1+AY66)*AZ66*(1+$E$17+VLOOKUP($E66,武器奇术!$A:$R,10,FALSE))</f>
        <v>0</v>
      </c>
      <c r="BF66" s="104">
        <f t="shared" si="16"/>
        <v>0.0986</v>
      </c>
      <c r="BG66" s="103">
        <f>AV66*IF(VLOOKUP($E66,武器奇术!$A:$R,17,FALSE)="鸣金",VLOOKUP($E66,武器奇术!$A:$R,4,FALSE),VLOOKUP($E66,武器奇术!$A:$R,2,FALSE))*(1+AX66)*(1+AY66)*AZ66</f>
        <v>0</v>
      </c>
      <c r="BH66" s="104">
        <f t="shared" si="17"/>
        <v>0.0311</v>
      </c>
      <c r="BI66" s="112">
        <f t="shared" si="18"/>
        <v>0</v>
      </c>
      <c r="BJ66" s="110">
        <f>$B$9*IF($G$5="撼天",1.05,1)+IF(AND(VLOOKUP($E66,武器奇术!$A:$R,15,FALSE)="武器",VLOOKUP($E66,武器奇术!$A:$R,17,FALSE)="裂石"),$E$3*(1+$E$15),0)</f>
        <v>0</v>
      </c>
      <c r="BK66" s="102">
        <f t="shared" si="19"/>
        <v>0</v>
      </c>
      <c r="BL66" s="102">
        <f>MAX($C$9*IF($G$5="撼天",1.05,1)+IF(AND(VLOOKUP($E66,武器奇术!$A:$R,15,FALSE)="武器",VLOOKUP($E66,武器奇术!$A:$R,17,FALSE)="裂石"),$E$3*(1+$E$15),0),BJ66)</f>
        <v>0</v>
      </c>
      <c r="BM66" s="104">
        <f>IF(($D$9+IF(VLOOKUP($E66,武器奇术!$A:$R,17,FALSE)="裂石",$D$15,0)-VLOOKUP($F$7,目标属性!$A:$R,6,FALSE))&gt;0,($D$9+IF(VLOOKUP($E66,武器奇术!$A:$R,17,FALSE)="裂石",$D$15,0)-VLOOKUP($F$7,目标属性!$A:$R,6,FALSE))/200,($D$9+IF(VLOOKUP($E66,武器奇术!$A:$R,17,FALSE)="裂石",$D$15,0)-VLOOKUP($F$7,目标属性!$A:$R,6,FALSE))/100)</f>
        <v>-0.24</v>
      </c>
      <c r="BN66" s="111">
        <f t="shared" si="20"/>
        <v>0</v>
      </c>
      <c r="BO66" s="102">
        <v>1</v>
      </c>
      <c r="BP66" s="103">
        <f>BJ66*IF(VLOOKUP($E66,武器奇术!$A:$R,17,FALSE)="裂石",VLOOKUP($E66,武器奇术!$A:$R,4,FALSE),VLOOKUP($E66,武器奇术!$A:$R,2,FALSE))*(1+BM66)*(1+BN66)*BO66</f>
        <v>0</v>
      </c>
      <c r="BQ66" s="104">
        <f>(1-IF(VLOOKUP($E66,武器奇术!$A:$R,18,FALSE)="叶龙",1,$N66))*(1-$M66)</f>
        <v>0</v>
      </c>
      <c r="BR66" s="103">
        <f>BK66*IF(VLOOKUP($E66,武器奇术!$A:$R,17,FALSE)="裂石",VLOOKUP($E66,武器奇术!$A:$R,4,FALSE),VLOOKUP($E66,武器奇术!$A:$R,2,FALSE))*(1+BM66)*(1+BN66)*BO66*(1+$E$16+VLOOKUP($E66,武器奇术!$A:$R,8,FALSE))</f>
        <v>0</v>
      </c>
      <c r="BS66" s="104">
        <f t="shared" si="21"/>
        <v>0.8703</v>
      </c>
      <c r="BT66" s="103">
        <f>BL66*IF(VLOOKUP($E66,武器奇术!$A:$R,17,FALSE)="裂石",VLOOKUP($E66,武器奇术!$A:$R,4,FALSE),VLOOKUP($E66,武器奇术!$A:$R,2,FALSE))*(1+BM66)*(1+BN66)*BO66*(1+$E$17+VLOOKUP($E66,武器奇术!$A:$R,10,FALSE))</f>
        <v>0</v>
      </c>
      <c r="BU66" s="104">
        <f t="shared" si="22"/>
        <v>0.0986</v>
      </c>
      <c r="BV66" s="103">
        <f>BK66*IF(VLOOKUP($E66,武器奇术!$A:$R,17,FALSE)="裂石",VLOOKUP($E66,武器奇术!$A:$R,4,FALSE),VLOOKUP($E66,武器奇术!$A:$R,2,FALSE))*(1+BM66)*(1+BN66)*BO66</f>
        <v>0</v>
      </c>
      <c r="BW66" s="104">
        <f t="shared" si="23"/>
        <v>0.0311</v>
      </c>
      <c r="BX66" s="112">
        <f t="shared" si="24"/>
        <v>0</v>
      </c>
      <c r="BY66" s="110">
        <f>$B$11*IF($G$5="撼天",1.05,1)+IF(AND(VLOOKUP($E66,武器奇术!$A:$R,15,FALSE)="武器",VLOOKUP($E66,武器奇术!$A:$R,17,FALSE)="牵丝"),$E$3*(1+$E$15),0)</f>
        <v>686.71</v>
      </c>
      <c r="BZ66" s="102">
        <f>IF(VLOOKUP($E66,武器奇术!$A:$Z,18,FALSE)="叶龙",(CA66-(BY66+CA66)*0.5)*($G$15-0.5)*2+(BY66+CA66)*0.5,(BY66+CA66)*0.5)</f>
        <v>1052.21</v>
      </c>
      <c r="CA66" s="102">
        <f>MAX($C$11*IF($G$5="撼天",1.05,1)+IF(AND(VLOOKUP($E66,武器奇术!$A:$R,15,FALSE)="武器",VLOOKUP($E66,武器奇术!$A:$R,17,FALSE)="牵丝"),$E$3*(1+$E$15),0),BY66)</f>
        <v>1417.71</v>
      </c>
      <c r="CB66" s="104">
        <f>IF(($D$11+IF(VLOOKUP($E66,武器奇术!$A:$R,17,FALSE)="牵丝",$D$15,0)-VLOOKUP($F$7,目标属性!$A:$R,6,FALSE))&gt;0,($D$11+IF(VLOOKUP($E66,武器奇术!$A:$R,17,FALSE)="牵丝",$D$15,0)-VLOOKUP($F$7,目标属性!$A:$R,6,FALSE))/200,($D$11+IF(VLOOKUP($E66,武器奇术!$A:$R,17,FALSE)="牵丝",$D$15,0)-VLOOKUP($F$7,目标属性!$A:$R,6,FALSE))/100)</f>
        <v>0.028</v>
      </c>
      <c r="CC66" s="111">
        <f>$E$11+IF($G$5="烟柳",IF(VLOOKUP($E66,武器奇术!$A:$T,20,FALSE)=1,0.1,0),0)</f>
        <v>0.248</v>
      </c>
      <c r="CD66" s="102">
        <v>1</v>
      </c>
      <c r="CE66" s="103">
        <f>BY66*IF(VLOOKUP($E66,武器奇术!$A:$R,17,FALSE)="牵丝",VLOOKUP($E66,武器奇术!$A:$R,4,FALSE),VLOOKUP($E66,武器奇术!$A:$R,2,FALSE))*(1+CB66)*(1+CC66)*CD66</f>
        <v>1552.67083453872</v>
      </c>
      <c r="CF66" s="104">
        <f>(1-IF(VLOOKUP($E66,武器奇术!$A:$R,18,FALSE)="叶龙",1,$N66))*(1-$M66)</f>
        <v>0</v>
      </c>
      <c r="CG66" s="124">
        <f>BZ66*IF(VLOOKUP($E66,武器奇术!$A:$R,17,FALSE)="牵丝",VLOOKUP($E66,武器奇术!$A:$R,4,FALSE),VLOOKUP($E66,武器奇术!$A:$R,2,FALSE))*(1+CB66)*(1+CC66)*CD66*(1+$E$16+VLOOKUP($E66,武器奇术!$A:$R,8,FALSE))</f>
        <v>4767.66975977518</v>
      </c>
      <c r="CH66" s="104">
        <f t="shared" si="25"/>
        <v>0.8703</v>
      </c>
      <c r="CI66" s="103">
        <f>CA66*IF(VLOOKUP($E66,武器奇术!$A:$R,17,FALSE)="牵丝",VLOOKUP($E66,武器奇术!$A:$R,4,FALSE),VLOOKUP($E66,武器奇术!$A:$R,2,FALSE))*(1+CB66)*(1+CC66)*CD66*(1+$E$17+VLOOKUP($E66,武器奇术!$A:$R,10,FALSE))</f>
        <v>4327.40153474647</v>
      </c>
      <c r="CJ66" s="104">
        <f t="shared" si="26"/>
        <v>0.0986</v>
      </c>
      <c r="CK66" s="124">
        <f>BZ66*IF(VLOOKUP($E66,武器奇术!$A:$R,17,FALSE)="牵丝",VLOOKUP($E66,武器奇术!$A:$R,4,FALSE),VLOOKUP($E66,武器奇术!$A:$R,2,FALSE))*(1+CB66)*(1+CC66)*CD66</f>
        <v>2379.07672643472</v>
      </c>
      <c r="CL66" s="104">
        <f t="shared" si="27"/>
        <v>0.0311</v>
      </c>
      <c r="CM66" s="112">
        <f t="shared" si="28"/>
        <v>4649.97406945046</v>
      </c>
      <c r="CN66" s="110">
        <f>$B$13*IF($G$5="撼天",1.05,1)+IF(AND(VLOOKUP($E66,武器奇术!$A:$R,15,FALSE)="武器",VLOOKUP($E66,武器奇术!$A:$R,17,FALSE)="破竹"),$E$3*(1+$E$15),0)</f>
        <v>0</v>
      </c>
      <c r="CO66" s="102">
        <f t="shared" si="29"/>
        <v>0</v>
      </c>
      <c r="CP66" s="102">
        <f>MAX($C$13*IF($G$5="撼天",1.05,1)+IF(AND(VLOOKUP($E66,武器奇术!$A:$R,15,FALSE)="武器",VLOOKUP($E66,武器奇术!$A:$R,17,FALSE)="破竹"),$E$3*(1+$E$15),0),CN66)</f>
        <v>0</v>
      </c>
      <c r="CQ66" s="104">
        <f>IF(($D$13+IF(VLOOKUP($E66,武器奇术!$A:$R,17,FALSE)="破竹",$D$15,0)-VLOOKUP($F$7,目标属性!$A:$R,6,FALSE))&gt;0,($D$13+IF(VLOOKUP($E66,武器奇术!$A:$R,17,FALSE)="破竹",$D$15,0)-VLOOKUP($F$7,目标属性!$A:$R,6,FALSE))/200,($D$13+IF(VLOOKUP($E66,武器奇术!$A:$R,17,FALSE)="破竹",$D$15,0)-VLOOKUP($F$7,目标属性!$A:$R,6,FALSE))/100)</f>
        <v>-0.24</v>
      </c>
      <c r="CR66" s="111">
        <f t="shared" si="30"/>
        <v>0</v>
      </c>
      <c r="CS66" s="102">
        <v>1</v>
      </c>
      <c r="CT66" s="103">
        <f>CN66*IF(VLOOKUP($E66,武器奇术!$A:$R,17,FALSE)="破竹",VLOOKUP($E66,武器奇术!$A:$R,4,FALSE),VLOOKUP($E66,武器奇术!$A:$R,2,FALSE))*(1+CQ66)*(1+CR66)*CS66</f>
        <v>0</v>
      </c>
      <c r="CU66" s="104">
        <f>(1-IF(VLOOKUP($E66,武器奇术!$A:$R,18,FALSE)="叶龙",1,$N66))*(1-$M66)</f>
        <v>0</v>
      </c>
      <c r="CV66" s="103">
        <f>CO66*IF(VLOOKUP($E66,武器奇术!$A:$R,17,FALSE)="破竹",VLOOKUP($E66,武器奇术!$A:$R,4,FALSE),VLOOKUP($E66,武器奇术!$A:$R,2,FALSE))*(1+CQ66)*(1+CR66)*CS66*(1+$E$16+VLOOKUP($E66,武器奇术!$A:$R,8,FALSE))</f>
        <v>0</v>
      </c>
      <c r="CW66" s="104">
        <f t="shared" si="31"/>
        <v>0.8703</v>
      </c>
      <c r="CX66" s="103">
        <f>CP66*IF(VLOOKUP($E66,武器奇术!$A:$R,17,FALSE)="破竹",VLOOKUP($E66,武器奇术!$A:$R,4,FALSE),VLOOKUP($E66,武器奇术!$A:$R,2,FALSE))*(1+CQ66)*(1+CR66)*CS66*(1+$E$17+VLOOKUP($E66,武器奇术!$A:$R,10,FALSE))</f>
        <v>0</v>
      </c>
      <c r="CY66" s="104">
        <f t="shared" si="32"/>
        <v>0.0986</v>
      </c>
      <c r="CZ66" s="103">
        <f>CO66*IF(VLOOKUP($E66,武器奇术!$A:$R,17,FALSE)="破竹",VLOOKUP($E66,武器奇术!$A:$R,4,FALSE),VLOOKUP($E66,武器奇术!$A:$R,2,FALSE))*(1+CQ66)*(1+CR66)*CS66</f>
        <v>0</v>
      </c>
      <c r="DA66" s="104">
        <f t="shared" si="33"/>
        <v>0.0311</v>
      </c>
      <c r="DB66" s="112">
        <f t="shared" si="34"/>
        <v>0</v>
      </c>
      <c r="DC66" s="110">
        <f t="shared" si="35"/>
        <v>66</v>
      </c>
      <c r="DD66" s="102">
        <f t="shared" si="36"/>
        <v>125.8</v>
      </c>
      <c r="DE66" s="102">
        <f t="shared" si="37"/>
        <v>185.6</v>
      </c>
      <c r="DF66" s="104">
        <f>IF((IF(VLOOKUP($E66,武器奇术!$A:$R,17,FALSE)="鸣金",$D$7,0)+IF(VLOOKUP($E66,武器奇术!$A:$R,17,FALSE)="裂石",$D$9,0)+IF(VLOOKUP($E66,武器奇术!$A:$R,17,FALSE)="牵丝",$D$11,0)+IF(VLOOKUP($E66,武器奇术!$A:$R,17,FALSE)="破竹",$D$13,0)+$D$15-VLOOKUP($F$7,目标属性!$A:$R,6,FALSE))&gt;0,(IF(VLOOKUP($E66,武器奇术!$A:$R,17,FALSE)="鸣金",$D$7,0)+IF(VLOOKUP($E66,武器奇术!$A:$R,17,FALSE)="裂石",$D$9,0)+IF(VLOOKUP($E66,武器奇术!$A:$R,17,FALSE)="牵丝",$D$11,0)+IF(VLOOKUP($E66,武器奇术!$A:$R,17,FALSE)="破竹",$D$13,0)+$D$15-VLOOKUP($F$7,目标属性!$A:$R,6,FALSE))/200,(IF(VLOOKUP($E66,武器奇术!$A:$R,17,FALSE)="鸣金",$D$7,0)+IF(VLOOKUP($E66,武器奇术!$A:$R,17,FALSE)="裂石",$D$9,0)+IF(VLOOKUP($E66,武器奇术!$A:$R,17,FALSE)="牵丝",$D$11,0)+IF(VLOOKUP($E66,武器奇术!$A:$R,17,FALSE)="破竹",$D$13,0)+$D$15-VLOOKUP($F$7,目标属性!$A:$R,6,FALSE))/100)</f>
        <v>0.028</v>
      </c>
      <c r="DG66" s="111">
        <f>$E$11+IF($G$5="烟柳",IF(VLOOKUP($E66,武器奇术!$A:$T,20,FALSE)=1,0.1,0),0)</f>
        <v>0.248</v>
      </c>
      <c r="DH66" s="102">
        <v>1</v>
      </c>
      <c r="DI66" s="103">
        <f>DC66*IF(VLOOKUP($E66,武器奇术!$A:$R,17,FALSE)="牵丝",VLOOKUP($E66,武器奇术!$A:$R,4,FALSE),VLOOKUP($E66,武器奇术!$A:$R,2,FALSE))*(1+DF66)*(1+DG66)*DH66</f>
        <v>149.227876512</v>
      </c>
      <c r="DJ66" s="104">
        <f>(1-IF(VLOOKUP($E66,武器奇术!$A:$R,18,FALSE)="叶龙",1,$N66))*(1-$M66)</f>
        <v>0</v>
      </c>
      <c r="DK66" s="124">
        <f>DD66*IF(VLOOKUP($E66,武器奇术!$A:$R,17,FALSE)="牵丝",VLOOKUP($E66,武器奇术!$A:$R,4,FALSE),VLOOKUP($E66,武器奇术!$A:$R,2,FALSE))*(1+DF66)*(1+DG66)*DH66*(1+$E$16+VLOOKUP($E66,武器奇术!$A:$R,8,FALSE))</f>
        <v>570.012502998182</v>
      </c>
      <c r="DL66" s="104">
        <f t="shared" si="38"/>
        <v>0.8703</v>
      </c>
      <c r="DM66" s="103">
        <f>DE66*IF(VLOOKUP($E66,武器奇术!$A:$R,17,FALSE)="牵丝",VLOOKUP($E66,武器奇术!$A:$R,4,FALSE),VLOOKUP($E66,武器奇术!$A:$R,2,FALSE))*(1+DF66)*(1+DG66)*DH66*(1+$E$17+VLOOKUP($E66,武器奇术!$A:$R,10,FALSE))</f>
        <v>566.52328392192</v>
      </c>
      <c r="DN66" s="104">
        <f t="shared" si="39"/>
        <v>0.0986</v>
      </c>
      <c r="DO66" s="124">
        <f>DD66*IF(VLOOKUP($E66,武器奇术!$A:$R,17,FALSE)="牵丝",VLOOKUP($E66,武器奇术!$A:$R,4,FALSE),VLOOKUP($E66,武器奇术!$A:$R,2,FALSE))*(1+DF66)*(1+DG66)*DH66</f>
        <v>284.4373767456</v>
      </c>
      <c r="DP66" s="104">
        <f t="shared" si="40"/>
        <v>0.0311</v>
      </c>
      <c r="DQ66" s="112">
        <f t="shared" si="41"/>
        <v>560.787079570808</v>
      </c>
    </row>
    <row r="67" customFormat="1" customHeight="1" spans="1:121">
      <c r="A67" s="139"/>
      <c r="B67" s="139"/>
      <c r="C67" s="139"/>
      <c r="D67" s="139"/>
      <c r="E67" s="115" t="str">
        <f>期望!E67</f>
        <v>扇左蓄(风墙大纵)</v>
      </c>
      <c r="F67" s="116">
        <f>期望!F67</f>
        <v>1</v>
      </c>
      <c r="G67" s="117"/>
      <c r="H67" s="103">
        <f>IF(VLOOKUP($E67,武器奇术!$A:$R,18,FALSE)="天工",AE67,(AE67+AT67+BI67+BX67+CM67+DB67+DQ67))*(1+J67)*F67*K67*(1+G67)</f>
        <v>72358.3611144218</v>
      </c>
      <c r="I67" s="104">
        <f t="shared" si="0"/>
        <v>0.00833929807001099</v>
      </c>
      <c r="J67" s="104">
        <f>$F$3+VLOOKUP($E67,武器奇术!$A:$R,12,FALSE)+VLOOKUP($E67,武器奇术!$A:$R,14,FALSE)*$G$3+$P67</f>
        <v>0.787</v>
      </c>
      <c r="K67" s="105">
        <f>VLOOKUP($E67,武器奇术!$A:$R,11,FALSE)</f>
        <v>1</v>
      </c>
      <c r="L67" s="119">
        <f>IF(VLOOKUP($E67,武器奇术!$A:$R,15,FALSE)="天工",0%,IF($C$17+VLOOKUP($E67,武器奇术!$A:$R,7,FALSE)&gt;80%,80%,$C$17+VLOOKUP($E67,武器奇术!$A:$R,7,FALSE))+IF($C$19&gt;20%,20%,$C$19))</f>
        <v>0.8703</v>
      </c>
      <c r="M67" s="120">
        <f>IF(VLOOKUP($E67,武器奇术!$A:$R,15,FALSE)="天工",0%,IF($C$18+VLOOKUP($E67,武器奇术!$A:$R,9,FALSE)&gt;40%,40%,$C$18+VLOOKUP($E67,武器奇术!$A:$R,9,FALSE))+IF($C$20&gt;10%,10%,$C$20))</f>
        <v>0.0986</v>
      </c>
      <c r="N67" s="121">
        <f>IF(VLOOKUP($E67,武器奇术!$A:$R,15,FALSE)="天工",100%,MIN($C$16,1))</f>
        <v>1</v>
      </c>
      <c r="O67" s="122" t="str">
        <f>VLOOKUP($E67,武器奇术!$A:$R,16,FALSE)</f>
        <v>扇</v>
      </c>
      <c r="P67" s="123">
        <f t="shared" si="1"/>
        <v>0.084</v>
      </c>
      <c r="Q67" s="110">
        <f>$B$5*(1+VLOOKUP($E67,武器奇术!$A:$R,5,FALSE))*(1+VLOOKUP($E67,武器奇术!$A:$S,19,FALSE)+IF($G$5="飞隼",0.1,0)+IF($G$5="撼天",0.05,0))-$F$9+IF($J$5="√",160,0)</f>
        <v>3324.7</v>
      </c>
      <c r="R67" s="102">
        <f>IF(VLOOKUP($E67,武器奇术!$A:$Z,18,FALSE)="叶龙",(S67-(Q67+S67)*0.5)*($G$15-0.5)*2+(Q67+S67)*0.5,(Q67+S67)*0.5)</f>
        <v>3404.7</v>
      </c>
      <c r="S67" s="102">
        <f>MAX($C$5,$B$5)*(1+VLOOKUP($E67,武器奇术!$A:$R,6,FALSE))*(1+VLOOKUP($E67,武器奇术!$A:$S,19,FALSE)+IF($G$5="飞隼",0.1,0)+IF($G$5="撼天",0.05,0))-$F$9+IF($J$5="√",320,0)</f>
        <v>3484.7</v>
      </c>
      <c r="T67" s="104">
        <f>IF(($D$5+VLOOKUP($E67,武器奇术!$A:$R,13,FALSE)+IF($I$3="√",10,0)-VLOOKUP($F$7,目标属性!$A:$R,5,FALSE))&gt;0,($D$5+VLOOKUP($E67,武器奇术!$A:$R,13,FALSE)+IF($I$3="√",10,0)-VLOOKUP($F$7,目标属性!$A:$R,5,FALSE))/200,($D$5+VLOOKUP($E67,武器奇术!$A:$R,13,FALSE)+IF($I$3="√",10,0)-VLOOKUP($F$7,目标属性!$A:$R,5,FALSE))/100)</f>
        <v>0.2925</v>
      </c>
      <c r="U67" s="111">
        <f>$E$5+IF($G$5="烟柳",IF(VLOOKUP($E67,武器奇术!$A:$T,20,FALSE)=1,0.1,0),0)</f>
        <v>0.1</v>
      </c>
      <c r="V67" s="102">
        <v>1</v>
      </c>
      <c r="W67" s="103">
        <f>Q67*VLOOKUP($E67,武器奇术!$A:$R,2,FALSE)*(1+T67)*(1+U67)*V67</f>
        <v>13052.7456522705</v>
      </c>
      <c r="X67" s="104">
        <f>(1-IF(VLOOKUP($E67,武器奇术!$A:$R,18,FALSE)="叶龙",1,$N67))*(1-$M67)</f>
        <v>0</v>
      </c>
      <c r="Y67" s="103">
        <f>R67*VLOOKUP($E67,武器奇术!$A:$R,2,FALSE)*(1+T67)*(1+U67)*V67*(1+$E$16+VLOOKUP($E67,武器奇术!$A:$R,8,FALSE))</f>
        <v>26787.1173269949</v>
      </c>
      <c r="Z67" s="104">
        <f t="shared" si="2"/>
        <v>0.8703</v>
      </c>
      <c r="AA67" s="103">
        <f>S67*VLOOKUP($E67,武器奇术!$A:$R,2,FALSE)*(1+T67)*(1+U67)*V67*(1+$E$17+VLOOKUP($E67,武器奇术!$A:$R,10,FALSE))</f>
        <v>18469.2209058052</v>
      </c>
      <c r="AB67" s="104">
        <f t="shared" si="3"/>
        <v>0.0986</v>
      </c>
      <c r="AC67" s="103">
        <f>R67*VLOOKUP($E67,武器奇术!$A:$R,2,FALSE)*(1+T67)*(1+U67)*V67</f>
        <v>13366.8250134705</v>
      </c>
      <c r="AD67" s="104">
        <f t="shared" si="4"/>
        <v>0.0311</v>
      </c>
      <c r="AE67" s="112">
        <f t="shared" si="5"/>
        <v>25549.601648915</v>
      </c>
      <c r="AF67" s="113">
        <f>VLOOKUP($E67,武器奇术!$A:$R,3,FALSE)*(1+IF(VLOOKUP($E67,武器奇术!$A:$R,15,FALSE)="武器",$E$15,0))</f>
        <v>993.395</v>
      </c>
      <c r="AG67" s="103">
        <f t="shared" si="6"/>
        <v>993.395</v>
      </c>
      <c r="AH67" s="103">
        <f>VLOOKUP($E67,武器奇术!$A:$R,3,FALSE)*(1+IF(VLOOKUP($E67,武器奇术!$A:$R,15,FALSE)="武器",$E$15,0))</f>
        <v>993.395</v>
      </c>
      <c r="AI67" s="104">
        <f>IF(($D$5+VLOOKUP($E67,武器奇术!$A:$R,13,FALSE)+IF($I$3="√",10,0)-VLOOKUP($F$7,目标属性!$A:$R,5,FALSE))&gt;0,($D$5+VLOOKUP($E67,武器奇术!$A:$R,13,FALSE)+IF($I$3="√",10,0)-VLOOKUP($F$7,目标属性!$A:$R,5,FALSE))/200,($D$5+VLOOKUP($E67,武器奇术!$A:$R,13,FALSE)+IF($I$3="√",10,0)-VLOOKUP($F$7,目标属性!$A:$R,5,FALSE))/100)</f>
        <v>0.2925</v>
      </c>
      <c r="AJ67" s="111">
        <f>$E$5+IF($G$5="烟柳",IF(VLOOKUP($E67,武器奇术!$A:$T,20,FALSE)=1,0.1,0),0)</f>
        <v>0.1</v>
      </c>
      <c r="AK67" s="102">
        <v>1</v>
      </c>
      <c r="AL67" s="103">
        <f t="shared" si="7"/>
        <v>1412.35934125</v>
      </c>
      <c r="AM67" s="104">
        <f>(1-IF(VLOOKUP($E67,武器奇术!$A:$R,18,FALSE)="叶龙",1,$N67))*(1-$M67)</f>
        <v>0</v>
      </c>
      <c r="AN67" s="103">
        <f>AG67*(1+AI67)*(1+AJ67)*AK67*(1+$E$16+VLOOKUP($E67,武器奇术!$A:$R,8,FALSE))</f>
        <v>2830.368119865</v>
      </c>
      <c r="AO67" s="104">
        <f t="shared" si="8"/>
        <v>0.8703</v>
      </c>
      <c r="AP67" s="103">
        <f>AH67*(1+AI67)*(1+AJ67)*AK67*(1+$E$17+VLOOKUP($E67,武器奇术!$A:$R,10,FALSE))</f>
        <v>1906.6851106875</v>
      </c>
      <c r="AQ67" s="104">
        <f t="shared" si="9"/>
        <v>0.0986</v>
      </c>
      <c r="AR67" s="103">
        <f t="shared" si="10"/>
        <v>1412.35934125</v>
      </c>
      <c r="AS67" s="104">
        <f t="shared" si="11"/>
        <v>0.0311</v>
      </c>
      <c r="AT67" s="112">
        <f t="shared" si="12"/>
        <v>2695.19290214517</v>
      </c>
      <c r="AU67" s="110">
        <f>$B$7*IF($G$5="撼天",1.05,1)+IF(AND(VLOOKUP($E67,武器奇术!$A:$R,15,FALSE)="武器",VLOOKUP($E67,武器奇术!$A:$R,17,FALSE)="鸣金"),$E$3*(1+$E$15),0)</f>
        <v>0</v>
      </c>
      <c r="AV67" s="102">
        <f t="shared" si="13"/>
        <v>0</v>
      </c>
      <c r="AW67" s="102">
        <f>MAX($C$7*IF($G$5="撼天",1.05,1)+IF(AND(VLOOKUP($E67,武器奇术!$A:$R,15,FALSE)="武器",VLOOKUP($E67,武器奇术!$A:$R,17,FALSE)="鸣金"),$E$3*(1+$E$15),0),AU67)</f>
        <v>0</v>
      </c>
      <c r="AX67" s="104">
        <f>IF(($D$7+IF(VLOOKUP($E67,武器奇术!$A:$R,17,FALSE)="鸣金",$D$15,0)-VLOOKUP($F$7,目标属性!$A:$R,6,FALSE))&gt;0,($D$7+IF(VLOOKUP($E67,武器奇术!$A:$R,17,FALSE)="鸣金",$D$15,0)-VLOOKUP($F$7,目标属性!$A:$R,6,FALSE))/200,($D$7+IF(VLOOKUP($E67,武器奇术!$A:$R,17,FALSE)="鸣金",$D$15,0)-VLOOKUP($F$7,目标属性!$A:$R,6,FALSE))/100)</f>
        <v>-0.24</v>
      </c>
      <c r="AY67" s="111">
        <f t="shared" si="14"/>
        <v>0</v>
      </c>
      <c r="AZ67" s="102">
        <v>1</v>
      </c>
      <c r="BA67" s="103">
        <f>AU67*IF(VLOOKUP($E67,武器奇术!$A:$R,17,FALSE)="鸣金",VLOOKUP($E67,武器奇术!$A:$R,4,FALSE),VLOOKUP($E67,武器奇术!$A:$R,2,FALSE))*(1+AX67)*(1+AY67)*AZ67</f>
        <v>0</v>
      </c>
      <c r="BB67" s="104">
        <f>(1-IF(VLOOKUP($E67,武器奇术!$A:$R,18,FALSE)="叶龙",1,$N67))*(1-$M67)</f>
        <v>0</v>
      </c>
      <c r="BC67" s="103">
        <f>AV67*IF(VLOOKUP($E67,武器奇术!$A:$R,17,FALSE)="鸣金",VLOOKUP($E67,武器奇术!$A:$R,4,FALSE),VLOOKUP($E67,武器奇术!$A:$R,2,FALSE))*(1+AX67)*(1+AY67)*AZ67*(1+$E$16+VLOOKUP($E67,武器奇术!$A:$R,8,FALSE))</f>
        <v>0</v>
      </c>
      <c r="BD67" s="104">
        <f t="shared" si="15"/>
        <v>0.8703</v>
      </c>
      <c r="BE67" s="103">
        <f>AW67*IF(VLOOKUP($E67,武器奇术!$A:$R,17,FALSE)="鸣金",VLOOKUP($E67,武器奇术!$A:$R,4,FALSE),VLOOKUP($E67,武器奇术!$A:$R,2,FALSE))*(1+AX67)*(1+AY67)*AZ67*(1+$E$17+VLOOKUP($E67,武器奇术!$A:$R,10,FALSE))</f>
        <v>0</v>
      </c>
      <c r="BF67" s="104">
        <f t="shared" si="16"/>
        <v>0.0986</v>
      </c>
      <c r="BG67" s="103">
        <f>AV67*IF(VLOOKUP($E67,武器奇术!$A:$R,17,FALSE)="鸣金",VLOOKUP($E67,武器奇术!$A:$R,4,FALSE),VLOOKUP($E67,武器奇术!$A:$R,2,FALSE))*(1+AX67)*(1+AY67)*AZ67</f>
        <v>0</v>
      </c>
      <c r="BH67" s="104">
        <f t="shared" si="17"/>
        <v>0.0311</v>
      </c>
      <c r="BI67" s="112">
        <f t="shared" si="18"/>
        <v>0</v>
      </c>
      <c r="BJ67" s="110">
        <f>$B$9*IF($G$5="撼天",1.05,1)+IF(AND(VLOOKUP($E67,武器奇术!$A:$R,15,FALSE)="武器",VLOOKUP($E67,武器奇术!$A:$R,17,FALSE)="裂石"),$E$3*(1+$E$15),0)</f>
        <v>0</v>
      </c>
      <c r="BK67" s="102">
        <f t="shared" si="19"/>
        <v>0</v>
      </c>
      <c r="BL67" s="102">
        <f>MAX($C$9*IF($G$5="撼天",1.05,1)+IF(AND(VLOOKUP($E67,武器奇术!$A:$R,15,FALSE)="武器",VLOOKUP($E67,武器奇术!$A:$R,17,FALSE)="裂石"),$E$3*(1+$E$15),0),BJ67)</f>
        <v>0</v>
      </c>
      <c r="BM67" s="104">
        <f>IF(($D$9+IF(VLOOKUP($E67,武器奇术!$A:$R,17,FALSE)="裂石",$D$15,0)-VLOOKUP($F$7,目标属性!$A:$R,6,FALSE))&gt;0,($D$9+IF(VLOOKUP($E67,武器奇术!$A:$R,17,FALSE)="裂石",$D$15,0)-VLOOKUP($F$7,目标属性!$A:$R,6,FALSE))/200,($D$9+IF(VLOOKUP($E67,武器奇术!$A:$R,17,FALSE)="裂石",$D$15,0)-VLOOKUP($F$7,目标属性!$A:$R,6,FALSE))/100)</f>
        <v>-0.24</v>
      </c>
      <c r="BN67" s="111">
        <f t="shared" si="20"/>
        <v>0</v>
      </c>
      <c r="BO67" s="102">
        <v>1</v>
      </c>
      <c r="BP67" s="103">
        <f>BJ67*IF(VLOOKUP($E67,武器奇术!$A:$R,17,FALSE)="裂石",VLOOKUP($E67,武器奇术!$A:$R,4,FALSE),VLOOKUP($E67,武器奇术!$A:$R,2,FALSE))*(1+BM67)*(1+BN67)*BO67</f>
        <v>0</v>
      </c>
      <c r="BQ67" s="104">
        <f>(1-IF(VLOOKUP($E67,武器奇术!$A:$R,18,FALSE)="叶龙",1,$N67))*(1-$M67)</f>
        <v>0</v>
      </c>
      <c r="BR67" s="103">
        <f>BK67*IF(VLOOKUP($E67,武器奇术!$A:$R,17,FALSE)="裂石",VLOOKUP($E67,武器奇术!$A:$R,4,FALSE),VLOOKUP($E67,武器奇术!$A:$R,2,FALSE))*(1+BM67)*(1+BN67)*BO67*(1+$E$16+VLOOKUP($E67,武器奇术!$A:$R,8,FALSE))</f>
        <v>0</v>
      </c>
      <c r="BS67" s="104">
        <f t="shared" si="21"/>
        <v>0.8703</v>
      </c>
      <c r="BT67" s="103">
        <f>BL67*IF(VLOOKUP($E67,武器奇术!$A:$R,17,FALSE)="裂石",VLOOKUP($E67,武器奇术!$A:$R,4,FALSE),VLOOKUP($E67,武器奇术!$A:$R,2,FALSE))*(1+BM67)*(1+BN67)*BO67*(1+$E$17+VLOOKUP($E67,武器奇术!$A:$R,10,FALSE))</f>
        <v>0</v>
      </c>
      <c r="BU67" s="104">
        <f t="shared" si="22"/>
        <v>0.0986</v>
      </c>
      <c r="BV67" s="103">
        <f>BK67*IF(VLOOKUP($E67,武器奇术!$A:$R,17,FALSE)="裂石",VLOOKUP($E67,武器奇术!$A:$R,4,FALSE),VLOOKUP($E67,武器奇术!$A:$R,2,FALSE))*(1+BM67)*(1+BN67)*BO67</f>
        <v>0</v>
      </c>
      <c r="BW67" s="104">
        <f t="shared" si="23"/>
        <v>0.0311</v>
      </c>
      <c r="BX67" s="112">
        <f t="shared" si="24"/>
        <v>0</v>
      </c>
      <c r="BY67" s="110">
        <f>$B$11*IF($G$5="撼天",1.05,1)+IF(AND(VLOOKUP($E67,武器奇术!$A:$R,15,FALSE)="武器",VLOOKUP($E67,武器奇术!$A:$R,17,FALSE)="牵丝"),$E$3*(1+$E$15),0)</f>
        <v>686.71</v>
      </c>
      <c r="BZ67" s="102">
        <f>IF(VLOOKUP($E67,武器奇术!$A:$Z,18,FALSE)="叶龙",(CA67-(BY67+CA67)*0.5)*($G$15-0.5)*2+(BY67+CA67)*0.5,(BY67+CA67)*0.5)</f>
        <v>1052.21</v>
      </c>
      <c r="CA67" s="102">
        <f>MAX($C$11*IF($G$5="撼天",1.05,1)+IF(AND(VLOOKUP($E67,武器奇术!$A:$R,15,FALSE)="武器",VLOOKUP($E67,武器奇术!$A:$R,17,FALSE)="牵丝"),$E$3*(1+$E$15),0),BY67)</f>
        <v>1417.71</v>
      </c>
      <c r="CB67" s="104">
        <f>IF(($D$11+IF(VLOOKUP($E67,武器奇术!$A:$R,17,FALSE)="牵丝",$D$15,0)-VLOOKUP($F$7,目标属性!$A:$R,6,FALSE))&gt;0,($D$11+IF(VLOOKUP($E67,武器奇术!$A:$R,17,FALSE)="牵丝",$D$15,0)-VLOOKUP($F$7,目标属性!$A:$R,6,FALSE))/200,($D$11+IF(VLOOKUP($E67,武器奇术!$A:$R,17,FALSE)="牵丝",$D$15,0)-VLOOKUP($F$7,目标属性!$A:$R,6,FALSE))/100)</f>
        <v>0.028</v>
      </c>
      <c r="CC67" s="111">
        <f>$E$11+IF($G$5="烟柳",IF(VLOOKUP($E67,武器奇术!$A:$T,20,FALSE)=1,0.1,0),0)</f>
        <v>0.248</v>
      </c>
      <c r="CD67" s="102">
        <v>1</v>
      </c>
      <c r="CE67" s="103">
        <f>BY67*IF(VLOOKUP($E67,武器奇术!$A:$R,17,FALSE)="牵丝",VLOOKUP($E67,武器奇术!$A:$R,4,FALSE),VLOOKUP($E67,武器奇术!$A:$R,2,FALSE))*(1+CB67)*(1+CC67)*CD67</f>
        <v>3649.20705503528</v>
      </c>
      <c r="CF67" s="104">
        <f>(1-IF(VLOOKUP($E67,武器奇术!$A:$R,18,FALSE)="叶龙",1,$N67))*(1-$M67)</f>
        <v>0</v>
      </c>
      <c r="CG67" s="124">
        <f>BZ67*IF(VLOOKUP($E67,武器奇术!$A:$R,17,FALSE)="牵丝",VLOOKUP($E67,武器奇术!$A:$R,4,FALSE),VLOOKUP($E67,武器奇术!$A:$R,2,FALSE))*(1+CB67)*(1+CC67)*CD67*(1+$E$16+VLOOKUP($E67,武器奇术!$A:$R,8,FALSE))</f>
        <v>11205.3461277378</v>
      </c>
      <c r="CH67" s="104">
        <f t="shared" si="25"/>
        <v>0.8703</v>
      </c>
      <c r="CI67" s="103">
        <f>CA67*IF(VLOOKUP($E67,武器奇术!$A:$R,17,FALSE)="牵丝",VLOOKUP($E67,武器奇术!$A:$R,4,FALSE),VLOOKUP($E67,武器奇术!$A:$R,2,FALSE))*(1+CB67)*(1+CC67)*CD67*(1+$E$17+VLOOKUP($E67,武器奇术!$A:$R,10,FALSE))</f>
        <v>10170.5937016965</v>
      </c>
      <c r="CJ67" s="104">
        <f t="shared" si="26"/>
        <v>0.0986</v>
      </c>
      <c r="CK67" s="124">
        <f>BZ67*IF(VLOOKUP($E67,武器奇术!$A:$R,17,FALSE)="牵丝",VLOOKUP($E67,武器奇术!$A:$R,4,FALSE),VLOOKUP($E67,武器奇术!$A:$R,2,FALSE))*(1+CB67)*(1+CC67)*CD67</f>
        <v>5591.49008370152</v>
      </c>
      <c r="CL67" s="104">
        <f t="shared" si="27"/>
        <v>0.0311</v>
      </c>
      <c r="CM67" s="112">
        <f t="shared" si="28"/>
        <v>10928.7286155606</v>
      </c>
      <c r="CN67" s="110">
        <f>$B$13*IF($G$5="撼天",1.05,1)+IF(AND(VLOOKUP($E67,武器奇术!$A:$R,15,FALSE)="武器",VLOOKUP($E67,武器奇术!$A:$R,17,FALSE)="破竹"),$E$3*(1+$E$15),0)</f>
        <v>0</v>
      </c>
      <c r="CO67" s="102">
        <f t="shared" si="29"/>
        <v>0</v>
      </c>
      <c r="CP67" s="102">
        <f>MAX($C$13*IF($G$5="撼天",1.05,1)+IF(AND(VLOOKUP($E67,武器奇术!$A:$R,15,FALSE)="武器",VLOOKUP($E67,武器奇术!$A:$R,17,FALSE)="破竹"),$E$3*(1+$E$15),0),CN67)</f>
        <v>0</v>
      </c>
      <c r="CQ67" s="104">
        <f>IF(($D$13+IF(VLOOKUP($E67,武器奇术!$A:$R,17,FALSE)="破竹",$D$15,0)-VLOOKUP($F$7,目标属性!$A:$R,6,FALSE))&gt;0,($D$13+IF(VLOOKUP($E67,武器奇术!$A:$R,17,FALSE)="破竹",$D$15,0)-VLOOKUP($F$7,目标属性!$A:$R,6,FALSE))/200,($D$13+IF(VLOOKUP($E67,武器奇术!$A:$R,17,FALSE)="破竹",$D$15,0)-VLOOKUP($F$7,目标属性!$A:$R,6,FALSE))/100)</f>
        <v>-0.24</v>
      </c>
      <c r="CR67" s="111">
        <f t="shared" si="30"/>
        <v>0</v>
      </c>
      <c r="CS67" s="102">
        <v>1</v>
      </c>
      <c r="CT67" s="103">
        <f>CN67*IF(VLOOKUP($E67,武器奇术!$A:$R,17,FALSE)="破竹",VLOOKUP($E67,武器奇术!$A:$R,4,FALSE),VLOOKUP($E67,武器奇术!$A:$R,2,FALSE))*(1+CQ67)*(1+CR67)*CS67</f>
        <v>0</v>
      </c>
      <c r="CU67" s="104">
        <f>(1-IF(VLOOKUP($E67,武器奇术!$A:$R,18,FALSE)="叶龙",1,$N67))*(1-$M67)</f>
        <v>0</v>
      </c>
      <c r="CV67" s="103">
        <f>CO67*IF(VLOOKUP($E67,武器奇术!$A:$R,17,FALSE)="破竹",VLOOKUP($E67,武器奇术!$A:$R,4,FALSE),VLOOKUP($E67,武器奇术!$A:$R,2,FALSE))*(1+CQ67)*(1+CR67)*CS67*(1+$E$16+VLOOKUP($E67,武器奇术!$A:$R,8,FALSE))</f>
        <v>0</v>
      </c>
      <c r="CW67" s="104">
        <f t="shared" si="31"/>
        <v>0.8703</v>
      </c>
      <c r="CX67" s="103">
        <f>CP67*IF(VLOOKUP($E67,武器奇术!$A:$R,17,FALSE)="破竹",VLOOKUP($E67,武器奇术!$A:$R,4,FALSE),VLOOKUP($E67,武器奇术!$A:$R,2,FALSE))*(1+CQ67)*(1+CR67)*CS67*(1+$E$17+VLOOKUP($E67,武器奇术!$A:$R,10,FALSE))</f>
        <v>0</v>
      </c>
      <c r="CY67" s="104">
        <f t="shared" si="32"/>
        <v>0.0986</v>
      </c>
      <c r="CZ67" s="103">
        <f>CO67*IF(VLOOKUP($E67,武器奇术!$A:$R,17,FALSE)="破竹",VLOOKUP($E67,武器奇术!$A:$R,4,FALSE),VLOOKUP($E67,武器奇术!$A:$R,2,FALSE))*(1+CQ67)*(1+CR67)*CS67</f>
        <v>0</v>
      </c>
      <c r="DA67" s="104">
        <f t="shared" si="33"/>
        <v>0.0311</v>
      </c>
      <c r="DB67" s="112">
        <f t="shared" si="34"/>
        <v>0</v>
      </c>
      <c r="DC67" s="110">
        <f t="shared" si="35"/>
        <v>66</v>
      </c>
      <c r="DD67" s="102">
        <f t="shared" si="36"/>
        <v>125.8</v>
      </c>
      <c r="DE67" s="102">
        <f t="shared" si="37"/>
        <v>185.6</v>
      </c>
      <c r="DF67" s="104">
        <f>IF((IF(VLOOKUP($E67,武器奇术!$A:$R,17,FALSE)="鸣金",$D$7,0)+IF(VLOOKUP($E67,武器奇术!$A:$R,17,FALSE)="裂石",$D$9,0)+IF(VLOOKUP($E67,武器奇术!$A:$R,17,FALSE)="牵丝",$D$11,0)+IF(VLOOKUP($E67,武器奇术!$A:$R,17,FALSE)="破竹",$D$13,0)+$D$15-VLOOKUP($F$7,目标属性!$A:$R,6,FALSE))&gt;0,(IF(VLOOKUP($E67,武器奇术!$A:$R,17,FALSE)="鸣金",$D$7,0)+IF(VLOOKUP($E67,武器奇术!$A:$R,17,FALSE)="裂石",$D$9,0)+IF(VLOOKUP($E67,武器奇术!$A:$R,17,FALSE)="牵丝",$D$11,0)+IF(VLOOKUP($E67,武器奇术!$A:$R,17,FALSE)="破竹",$D$13,0)+$D$15-VLOOKUP($F$7,目标属性!$A:$R,6,FALSE))/200,(IF(VLOOKUP($E67,武器奇术!$A:$R,17,FALSE)="鸣金",$D$7,0)+IF(VLOOKUP($E67,武器奇术!$A:$R,17,FALSE)="裂石",$D$9,0)+IF(VLOOKUP($E67,武器奇术!$A:$R,17,FALSE)="牵丝",$D$11,0)+IF(VLOOKUP($E67,武器奇术!$A:$R,17,FALSE)="破竹",$D$13,0)+$D$15-VLOOKUP($F$7,目标属性!$A:$R,6,FALSE))/100)</f>
        <v>0.028</v>
      </c>
      <c r="DG67" s="111">
        <f>$E$11+IF($G$5="烟柳",IF(VLOOKUP($E67,武器奇术!$A:$T,20,FALSE)=1,0.1,0),0)</f>
        <v>0.248</v>
      </c>
      <c r="DH67" s="102">
        <v>1</v>
      </c>
      <c r="DI67" s="103">
        <f>DC67*IF(VLOOKUP($E67,武器奇术!$A:$R,17,FALSE)="牵丝",VLOOKUP($E67,武器奇术!$A:$R,4,FALSE),VLOOKUP($E67,武器奇术!$A:$R,2,FALSE))*(1+DF67)*(1+DG67)*DH67</f>
        <v>350.72689436928</v>
      </c>
      <c r="DJ67" s="104">
        <f>(1-IF(VLOOKUP($E67,武器奇术!$A:$R,18,FALSE)="叶龙",1,$N67))*(1-$M67)</f>
        <v>0</v>
      </c>
      <c r="DK67" s="124">
        <f>DD67*IF(VLOOKUP($E67,武器奇术!$A:$R,17,FALSE)="牵丝",VLOOKUP($E67,武器奇术!$A:$R,4,FALSE),VLOOKUP($E67,武器奇术!$A:$R,2,FALSE))*(1+DF67)*(1+DG67)*DH67*(1+$E$16+VLOOKUP($E67,武器奇术!$A:$R,8,FALSE))</f>
        <v>1339.6874605539</v>
      </c>
      <c r="DL67" s="104">
        <f t="shared" si="38"/>
        <v>0.8703</v>
      </c>
      <c r="DM67" s="103">
        <f>DE67*IF(VLOOKUP($E67,武器奇术!$A:$R,17,FALSE)="牵丝",VLOOKUP($E67,武器奇术!$A:$R,4,FALSE),VLOOKUP($E67,武器奇术!$A:$R,2,FALSE))*(1+DF67)*(1+DG67)*DH67*(1+$E$17+VLOOKUP($E67,武器奇术!$A:$R,10,FALSE))</f>
        <v>1331.48682807829</v>
      </c>
      <c r="DN67" s="104">
        <f t="shared" si="39"/>
        <v>0.0986</v>
      </c>
      <c r="DO67" s="124">
        <f>DD67*IF(VLOOKUP($E67,武器奇术!$A:$R,17,FALSE)="牵丝",VLOOKUP($E67,武器奇术!$A:$R,4,FALSE),VLOOKUP($E67,武器奇术!$A:$R,2,FALSE))*(1+DF67)*(1+DG67)*DH67</f>
        <v>668.506716843264</v>
      </c>
      <c r="DP67" s="104">
        <f t="shared" si="40"/>
        <v>0.0311</v>
      </c>
      <c r="DQ67" s="112">
        <f t="shared" si="41"/>
        <v>1318.0051570624</v>
      </c>
    </row>
    <row r="68" customFormat="1" customHeight="1" spans="1:121">
      <c r="A68" s="139"/>
      <c r="B68" s="139"/>
      <c r="C68" s="139"/>
      <c r="D68" s="139"/>
      <c r="E68" s="115" t="str">
        <f>期望!E68</f>
        <v>扇强化重击派生(风墙大纵)</v>
      </c>
      <c r="F68" s="116">
        <f>期望!F68</f>
        <v>1</v>
      </c>
      <c r="G68" s="117"/>
      <c r="H68" s="103">
        <f>IF(VLOOKUP($E68,武器奇术!$A:$R,18,FALSE)="天工",AE68,(AE68+AT68+BI68+BX68+CM68+DB68+DQ68))*(1+J68)*F68*K68*(1+G68)</f>
        <v>100074.759931838</v>
      </c>
      <c r="I68" s="104">
        <f t="shared" si="0"/>
        <v>0.0115336118660385</v>
      </c>
      <c r="J68" s="104">
        <f>$F$3+VLOOKUP($E68,武器奇术!$A:$R,12,FALSE)+VLOOKUP($E68,武器奇术!$A:$R,14,FALSE)*$G$3+$P68</f>
        <v>0.567</v>
      </c>
      <c r="K68" s="105">
        <f>VLOOKUP($E68,武器奇术!$A:$R,11,FALSE)</f>
        <v>1</v>
      </c>
      <c r="L68" s="119">
        <f>IF(VLOOKUP($E68,武器奇术!$A:$R,15,FALSE)="天工",0%,IF($C$17+VLOOKUP($E68,武器奇术!$A:$R,7,FALSE)&gt;80%,80%,$C$17+VLOOKUP($E68,武器奇术!$A:$R,7,FALSE))+IF($C$19&gt;20%,20%,$C$19))</f>
        <v>0.887</v>
      </c>
      <c r="M68" s="120">
        <f>IF(VLOOKUP($E68,武器奇术!$A:$R,15,FALSE)="天工",0%,IF($C$18+VLOOKUP($E68,武器奇术!$A:$R,9,FALSE)&gt;40%,40%,$C$18+VLOOKUP($E68,武器奇术!$A:$R,9,FALSE))+IF($C$20&gt;10%,10%,$C$20))</f>
        <v>0.0986</v>
      </c>
      <c r="N68" s="121">
        <f>IF(VLOOKUP($E68,武器奇术!$A:$R,15,FALSE)="天工",100%,MIN($C$16,1))</f>
        <v>1</v>
      </c>
      <c r="O68" s="122" t="str">
        <f>VLOOKUP($E68,武器奇术!$A:$R,16,FALSE)</f>
        <v>扇</v>
      </c>
      <c r="P68" s="123">
        <f t="shared" si="1"/>
        <v>0.084</v>
      </c>
      <c r="Q68" s="110">
        <f>$B$5*(1+VLOOKUP($E68,武器奇术!$A:$R,5,FALSE))*(1+VLOOKUP($E68,武器奇术!$A:$S,19,FALSE)+IF($G$5="飞隼",0.1,0)+IF($G$5="撼天",0.05,0))-$F$9+IF($J$5="√",160,0)</f>
        <v>3324.7</v>
      </c>
      <c r="R68" s="102">
        <f>IF(VLOOKUP($E68,武器奇术!$A:$Z,18,FALSE)="叶龙",(S68-(Q68+S68)*0.5)*($G$15-0.5)*2+(Q68+S68)*0.5,(Q68+S68)*0.5)</f>
        <v>3404.7</v>
      </c>
      <c r="S68" s="102">
        <f>MAX($C$5,$B$5)*(1+VLOOKUP($E68,武器奇术!$A:$R,6,FALSE))*(1+VLOOKUP($E68,武器奇术!$A:$S,19,FALSE)+IF($G$5="飞隼",0.1,0)+IF($G$5="撼天",0.05,0))-$F$9+IF($J$5="√",320,0)</f>
        <v>3484.7</v>
      </c>
      <c r="T68" s="104">
        <f>IF(($D$5+VLOOKUP($E68,武器奇术!$A:$R,13,FALSE)+IF($I$3="√",10,0)-VLOOKUP($F$7,目标属性!$A:$R,5,FALSE))&gt;0,($D$5+VLOOKUP($E68,武器奇术!$A:$R,13,FALSE)+IF($I$3="√",10,0)-VLOOKUP($F$7,目标属性!$A:$R,5,FALSE))/200,($D$5+VLOOKUP($E68,武器奇术!$A:$R,13,FALSE)+IF($I$3="√",10,0)-VLOOKUP($F$7,目标属性!$A:$R,5,FALSE))/100)</f>
        <v>0.2675</v>
      </c>
      <c r="U68" s="111">
        <f>$E$5+IF($G$5="烟柳",IF(VLOOKUP($E68,武器奇术!$A:$T,20,FALSE)=1,0.1,0),0)</f>
        <v>0.1</v>
      </c>
      <c r="V68" s="102">
        <v>1</v>
      </c>
      <c r="W68" s="103">
        <f>Q68*VLOOKUP($E68,武器奇术!$A:$R,2,FALSE)*(1+T68)*(1+U68)*V68</f>
        <v>20288.6102355544</v>
      </c>
      <c r="X68" s="104">
        <f>(1-IF(VLOOKUP($E68,武器奇术!$A:$R,18,FALSE)="叶龙",1,$N68))*(1-$M68)</f>
        <v>0</v>
      </c>
      <c r="Y68" s="103">
        <f>R68*VLOOKUP($E68,武器奇术!$A:$R,2,FALSE)*(1+T68)*(1+U68)*V68*(1+$E$16+VLOOKUP($E68,武器奇术!$A:$R,8,FALSE))</f>
        <v>41636.709797293</v>
      </c>
      <c r="Z68" s="104">
        <f t="shared" si="2"/>
        <v>0.887</v>
      </c>
      <c r="AA68" s="103">
        <f>S68*VLOOKUP($E68,武器奇术!$A:$R,2,FALSE)*(1+T68)*(1+U68)*V68*(1+$E$17+VLOOKUP($E68,武器奇术!$A:$R,10,FALSE))</f>
        <v>28707.7396813484</v>
      </c>
      <c r="AB68" s="104">
        <f t="shared" si="3"/>
        <v>0.0986</v>
      </c>
      <c r="AC68" s="103">
        <f>R68*VLOOKUP($E68,武器奇术!$A:$R,2,FALSE)*(1+T68)*(1+U68)*V68</f>
        <v>20776.8012960544</v>
      </c>
      <c r="AD68" s="104">
        <f t="shared" si="4"/>
        <v>0.0144</v>
      </c>
      <c r="AE68" s="112">
        <f t="shared" si="5"/>
        <v>40061.530661443</v>
      </c>
      <c r="AF68" s="113">
        <f>VLOOKUP($E68,武器奇术!$A:$R,3,FALSE)*(1+IF(VLOOKUP($E68,武器奇术!$A:$R,15,FALSE)="武器",$E$15,0))</f>
        <v>1573.975</v>
      </c>
      <c r="AG68" s="103">
        <f t="shared" si="6"/>
        <v>1573.975</v>
      </c>
      <c r="AH68" s="103">
        <f>VLOOKUP($E68,武器奇术!$A:$R,3,FALSE)*(1+IF(VLOOKUP($E68,武器奇术!$A:$R,15,FALSE)="武器",$E$15,0))</f>
        <v>1573.975</v>
      </c>
      <c r="AI68" s="104">
        <f>IF(($D$5+VLOOKUP($E68,武器奇术!$A:$R,13,FALSE)+IF($I$3="√",10,0)-VLOOKUP($F$7,目标属性!$A:$R,5,FALSE))&gt;0,($D$5+VLOOKUP($E68,武器奇术!$A:$R,13,FALSE)+IF($I$3="√",10,0)-VLOOKUP($F$7,目标属性!$A:$R,5,FALSE))/200,($D$5+VLOOKUP($E68,武器奇术!$A:$R,13,FALSE)+IF($I$3="√",10,0)-VLOOKUP($F$7,目标属性!$A:$R,5,FALSE))/100)</f>
        <v>0.2675</v>
      </c>
      <c r="AJ68" s="111">
        <f>$E$5+IF($G$5="烟柳",IF(VLOOKUP($E68,武器奇术!$A:$T,20,FALSE)=1,0.1,0),0)</f>
        <v>0.1</v>
      </c>
      <c r="AK68" s="102">
        <v>1</v>
      </c>
      <c r="AL68" s="103">
        <f t="shared" si="7"/>
        <v>2194.51464375</v>
      </c>
      <c r="AM68" s="104">
        <f>(1-IF(VLOOKUP($E68,武器奇术!$A:$R,18,FALSE)="叶龙",1,$N68))*(1-$M68)</f>
        <v>0</v>
      </c>
      <c r="AN68" s="103">
        <f>AG68*(1+AI68)*(1+AJ68)*AK68*(1+$E$16+VLOOKUP($E68,武器奇术!$A:$R,8,FALSE))</f>
        <v>4397.807346075</v>
      </c>
      <c r="AO68" s="104">
        <f t="shared" si="8"/>
        <v>0.887</v>
      </c>
      <c r="AP68" s="103">
        <f>AH68*(1+AI68)*(1+AJ68)*AK68*(1+$E$17+VLOOKUP($E68,武器奇术!$A:$R,10,FALSE))</f>
        <v>2962.5947690625</v>
      </c>
      <c r="AQ68" s="104">
        <f t="shared" si="9"/>
        <v>0.0986</v>
      </c>
      <c r="AR68" s="103">
        <f t="shared" si="10"/>
        <v>2194.51464375</v>
      </c>
      <c r="AS68" s="104">
        <f t="shared" si="11"/>
        <v>0.0144</v>
      </c>
      <c r="AT68" s="112">
        <f t="shared" si="12"/>
        <v>4224.56797106809</v>
      </c>
      <c r="AU68" s="110">
        <f>$B$7*IF($G$5="撼天",1.05,1)+IF(AND(VLOOKUP($E68,武器奇术!$A:$R,15,FALSE)="武器",VLOOKUP($E68,武器奇术!$A:$R,17,FALSE)="鸣金"),$E$3*(1+$E$15),0)</f>
        <v>0</v>
      </c>
      <c r="AV68" s="102">
        <f t="shared" si="13"/>
        <v>0</v>
      </c>
      <c r="AW68" s="102">
        <f>MAX($C$7*IF($G$5="撼天",1.05,1)+IF(AND(VLOOKUP($E68,武器奇术!$A:$R,15,FALSE)="武器",VLOOKUP($E68,武器奇术!$A:$R,17,FALSE)="鸣金"),$E$3*(1+$E$15),0),AU68)</f>
        <v>0</v>
      </c>
      <c r="AX68" s="104">
        <f>IF(($D$7+IF(VLOOKUP($E68,武器奇术!$A:$R,17,FALSE)="鸣金",$D$15,0)-VLOOKUP($F$7,目标属性!$A:$R,6,FALSE))&gt;0,($D$7+IF(VLOOKUP($E68,武器奇术!$A:$R,17,FALSE)="鸣金",$D$15,0)-VLOOKUP($F$7,目标属性!$A:$R,6,FALSE))/200,($D$7+IF(VLOOKUP($E68,武器奇术!$A:$R,17,FALSE)="鸣金",$D$15,0)-VLOOKUP($F$7,目标属性!$A:$R,6,FALSE))/100)</f>
        <v>-0.24</v>
      </c>
      <c r="AY68" s="111">
        <f t="shared" si="14"/>
        <v>0</v>
      </c>
      <c r="AZ68" s="102">
        <v>1</v>
      </c>
      <c r="BA68" s="103">
        <f>AU68*IF(VLOOKUP($E68,武器奇术!$A:$R,17,FALSE)="鸣金",VLOOKUP($E68,武器奇术!$A:$R,4,FALSE),VLOOKUP($E68,武器奇术!$A:$R,2,FALSE))*(1+AX68)*(1+AY68)*AZ68</f>
        <v>0</v>
      </c>
      <c r="BB68" s="104">
        <f>(1-IF(VLOOKUP($E68,武器奇术!$A:$R,18,FALSE)="叶龙",1,$N68))*(1-$M68)</f>
        <v>0</v>
      </c>
      <c r="BC68" s="103">
        <f>AV68*IF(VLOOKUP($E68,武器奇术!$A:$R,17,FALSE)="鸣金",VLOOKUP($E68,武器奇术!$A:$R,4,FALSE),VLOOKUP($E68,武器奇术!$A:$R,2,FALSE))*(1+AX68)*(1+AY68)*AZ68*(1+$E$16+VLOOKUP($E68,武器奇术!$A:$R,8,FALSE))</f>
        <v>0</v>
      </c>
      <c r="BD68" s="104">
        <f t="shared" si="15"/>
        <v>0.887</v>
      </c>
      <c r="BE68" s="103">
        <f>AW68*IF(VLOOKUP($E68,武器奇术!$A:$R,17,FALSE)="鸣金",VLOOKUP($E68,武器奇术!$A:$R,4,FALSE),VLOOKUP($E68,武器奇术!$A:$R,2,FALSE))*(1+AX68)*(1+AY68)*AZ68*(1+$E$17+VLOOKUP($E68,武器奇术!$A:$R,10,FALSE))</f>
        <v>0</v>
      </c>
      <c r="BF68" s="104">
        <f t="shared" si="16"/>
        <v>0.0986</v>
      </c>
      <c r="BG68" s="103">
        <f>AV68*IF(VLOOKUP($E68,武器奇术!$A:$R,17,FALSE)="鸣金",VLOOKUP($E68,武器奇术!$A:$R,4,FALSE),VLOOKUP($E68,武器奇术!$A:$R,2,FALSE))*(1+AX68)*(1+AY68)*AZ68</f>
        <v>0</v>
      </c>
      <c r="BH68" s="104">
        <f t="shared" si="17"/>
        <v>0.0144</v>
      </c>
      <c r="BI68" s="112">
        <f t="shared" si="18"/>
        <v>0</v>
      </c>
      <c r="BJ68" s="110">
        <f>$B$9*IF($G$5="撼天",1.05,1)+IF(AND(VLOOKUP($E68,武器奇术!$A:$R,15,FALSE)="武器",VLOOKUP($E68,武器奇术!$A:$R,17,FALSE)="裂石"),$E$3*(1+$E$15),0)</f>
        <v>0</v>
      </c>
      <c r="BK68" s="102">
        <f t="shared" si="19"/>
        <v>0</v>
      </c>
      <c r="BL68" s="102">
        <f>MAX($C$9*IF($G$5="撼天",1.05,1)+IF(AND(VLOOKUP($E68,武器奇术!$A:$R,15,FALSE)="武器",VLOOKUP($E68,武器奇术!$A:$R,17,FALSE)="裂石"),$E$3*(1+$E$15),0),BJ68)</f>
        <v>0</v>
      </c>
      <c r="BM68" s="104">
        <f>IF(($D$9+IF(VLOOKUP($E68,武器奇术!$A:$R,17,FALSE)="裂石",$D$15,0)-VLOOKUP($F$7,目标属性!$A:$R,6,FALSE))&gt;0,($D$9+IF(VLOOKUP($E68,武器奇术!$A:$R,17,FALSE)="裂石",$D$15,0)-VLOOKUP($F$7,目标属性!$A:$R,6,FALSE))/200,($D$9+IF(VLOOKUP($E68,武器奇术!$A:$R,17,FALSE)="裂石",$D$15,0)-VLOOKUP($F$7,目标属性!$A:$R,6,FALSE))/100)</f>
        <v>-0.24</v>
      </c>
      <c r="BN68" s="111">
        <f t="shared" si="20"/>
        <v>0</v>
      </c>
      <c r="BO68" s="102">
        <v>1</v>
      </c>
      <c r="BP68" s="103">
        <f>BJ68*IF(VLOOKUP($E68,武器奇术!$A:$R,17,FALSE)="裂石",VLOOKUP($E68,武器奇术!$A:$R,4,FALSE),VLOOKUP($E68,武器奇术!$A:$R,2,FALSE))*(1+BM68)*(1+BN68)*BO68</f>
        <v>0</v>
      </c>
      <c r="BQ68" s="104">
        <f>(1-IF(VLOOKUP($E68,武器奇术!$A:$R,18,FALSE)="叶龙",1,$N68))*(1-$M68)</f>
        <v>0</v>
      </c>
      <c r="BR68" s="103">
        <f>BK68*IF(VLOOKUP($E68,武器奇术!$A:$R,17,FALSE)="裂石",VLOOKUP($E68,武器奇术!$A:$R,4,FALSE),VLOOKUP($E68,武器奇术!$A:$R,2,FALSE))*(1+BM68)*(1+BN68)*BO68*(1+$E$16+VLOOKUP($E68,武器奇术!$A:$R,8,FALSE))</f>
        <v>0</v>
      </c>
      <c r="BS68" s="104">
        <f t="shared" si="21"/>
        <v>0.887</v>
      </c>
      <c r="BT68" s="103">
        <f>BL68*IF(VLOOKUP($E68,武器奇术!$A:$R,17,FALSE)="裂石",VLOOKUP($E68,武器奇术!$A:$R,4,FALSE),VLOOKUP($E68,武器奇术!$A:$R,2,FALSE))*(1+BM68)*(1+BN68)*BO68*(1+$E$17+VLOOKUP($E68,武器奇术!$A:$R,10,FALSE))</f>
        <v>0</v>
      </c>
      <c r="BU68" s="104">
        <f t="shared" si="22"/>
        <v>0.0986</v>
      </c>
      <c r="BV68" s="103">
        <f>BK68*IF(VLOOKUP($E68,武器奇术!$A:$R,17,FALSE)="裂石",VLOOKUP($E68,武器奇术!$A:$R,4,FALSE),VLOOKUP($E68,武器奇术!$A:$R,2,FALSE))*(1+BM68)*(1+BN68)*BO68</f>
        <v>0</v>
      </c>
      <c r="BW68" s="104">
        <f t="shared" si="23"/>
        <v>0.0144</v>
      </c>
      <c r="BX68" s="112">
        <f t="shared" si="24"/>
        <v>0</v>
      </c>
      <c r="BY68" s="110">
        <f>$B$11*IF($G$5="撼天",1.05,1)+IF(AND(VLOOKUP($E68,武器奇术!$A:$R,15,FALSE)="武器",VLOOKUP($E68,武器奇术!$A:$R,17,FALSE)="牵丝"),$E$3*(1+$E$15),0)</f>
        <v>686.71</v>
      </c>
      <c r="BZ68" s="102">
        <f>IF(VLOOKUP($E68,武器奇术!$A:$Z,18,FALSE)="叶龙",(CA68-(BY68+CA68)*0.5)*($G$15-0.5)*2+(BY68+CA68)*0.5,(BY68+CA68)*0.5)</f>
        <v>1052.21</v>
      </c>
      <c r="CA68" s="102">
        <f>MAX($C$11*IF($G$5="撼天",1.05,1)+IF(AND(VLOOKUP($E68,武器奇术!$A:$R,15,FALSE)="武器",VLOOKUP($E68,武器奇术!$A:$R,17,FALSE)="牵丝"),$E$3*(1+$E$15),0),BY68)</f>
        <v>1417.71</v>
      </c>
      <c r="CB68" s="104">
        <f>IF(($D$11+IF(VLOOKUP($E68,武器奇术!$A:$R,17,FALSE)="牵丝",$D$15,0)-VLOOKUP($F$7,目标属性!$A:$R,6,FALSE))&gt;0,($D$11+IF(VLOOKUP($E68,武器奇术!$A:$R,17,FALSE)="牵丝",$D$15,0)-VLOOKUP($F$7,目标属性!$A:$R,6,FALSE))/200,($D$11+IF(VLOOKUP($E68,武器奇术!$A:$R,17,FALSE)="牵丝",$D$15,0)-VLOOKUP($F$7,目标属性!$A:$R,6,FALSE))/100)</f>
        <v>0.028</v>
      </c>
      <c r="CC68" s="111">
        <f>$E$11+IF($G$5="烟柳",IF(VLOOKUP($E68,武器奇术!$A:$T,20,FALSE)=1,0.1,0),0)</f>
        <v>0.248</v>
      </c>
      <c r="CD68" s="102">
        <v>1</v>
      </c>
      <c r="CE68" s="103">
        <f>BY68*IF(VLOOKUP($E68,武器奇术!$A:$R,17,FALSE)="牵丝",VLOOKUP($E68,武器奇术!$A:$R,4,FALSE),VLOOKUP($E68,武器奇术!$A:$R,2,FALSE))*(1+CB68)*(1+CC68)*CD68</f>
        <v>5784.10687663261</v>
      </c>
      <c r="CF68" s="104">
        <f>(1-IF(VLOOKUP($E68,武器奇术!$A:$R,18,FALSE)="叶龙",1,$N68))*(1-$M68)</f>
        <v>0</v>
      </c>
      <c r="CG68" s="124">
        <f>BZ68*IF(VLOOKUP($E68,武器奇术!$A:$R,17,FALSE)="牵丝",VLOOKUP($E68,武器奇术!$A:$R,4,FALSE),VLOOKUP($E68,武器奇术!$A:$R,2,FALSE))*(1+CB68)*(1+CC68)*CD68*(1+$E$16+VLOOKUP($E68,武器奇术!$A:$R,8,FALSE))</f>
        <v>17760.8227253278</v>
      </c>
      <c r="CH68" s="104">
        <f t="shared" si="25"/>
        <v>0.887</v>
      </c>
      <c r="CI68" s="103">
        <f>CA68*IF(VLOOKUP($E68,武器奇术!$A:$R,17,FALSE)="牵丝",VLOOKUP($E68,武器奇术!$A:$R,4,FALSE),VLOOKUP($E68,武器奇术!$A:$R,2,FALSE))*(1+CB68)*(1+CC68)*CD68*(1+$E$17+VLOOKUP($E68,武器奇术!$A:$R,10,FALSE))</f>
        <v>16120.7078913888</v>
      </c>
      <c r="CJ68" s="104">
        <f t="shared" si="26"/>
        <v>0.0986</v>
      </c>
      <c r="CK68" s="124">
        <f>BZ68*IF(VLOOKUP($E68,武器奇术!$A:$R,17,FALSE)="牵丝",VLOOKUP($E68,武器奇术!$A:$R,4,FALSE),VLOOKUP($E68,武器奇术!$A:$R,2,FALSE))*(1+CB68)*(1+CC68)*CD68</f>
        <v>8862.68599068254</v>
      </c>
      <c r="CL68" s="104">
        <f t="shared" si="27"/>
        <v>0.0144</v>
      </c>
      <c r="CM68" s="112">
        <f t="shared" si="28"/>
        <v>17470.9742337225</v>
      </c>
      <c r="CN68" s="110">
        <f>$B$13*IF($G$5="撼天",1.05,1)+IF(AND(VLOOKUP($E68,武器奇术!$A:$R,15,FALSE)="武器",VLOOKUP($E68,武器奇术!$A:$R,17,FALSE)="破竹"),$E$3*(1+$E$15),0)</f>
        <v>0</v>
      </c>
      <c r="CO68" s="102">
        <f t="shared" si="29"/>
        <v>0</v>
      </c>
      <c r="CP68" s="102">
        <f>MAX($C$13*IF($G$5="撼天",1.05,1)+IF(AND(VLOOKUP($E68,武器奇术!$A:$R,15,FALSE)="武器",VLOOKUP($E68,武器奇术!$A:$R,17,FALSE)="破竹"),$E$3*(1+$E$15),0),CN68)</f>
        <v>0</v>
      </c>
      <c r="CQ68" s="104">
        <f>IF(($D$13+IF(VLOOKUP($E68,武器奇术!$A:$R,17,FALSE)="破竹",$D$15,0)-VLOOKUP($F$7,目标属性!$A:$R,6,FALSE))&gt;0,($D$13+IF(VLOOKUP($E68,武器奇术!$A:$R,17,FALSE)="破竹",$D$15,0)-VLOOKUP($F$7,目标属性!$A:$R,6,FALSE))/200,($D$13+IF(VLOOKUP($E68,武器奇术!$A:$R,17,FALSE)="破竹",$D$15,0)-VLOOKUP($F$7,目标属性!$A:$R,6,FALSE))/100)</f>
        <v>-0.24</v>
      </c>
      <c r="CR68" s="111">
        <f t="shared" si="30"/>
        <v>0</v>
      </c>
      <c r="CS68" s="102">
        <v>1</v>
      </c>
      <c r="CT68" s="103">
        <f>CN68*IF(VLOOKUP($E68,武器奇术!$A:$R,17,FALSE)="破竹",VLOOKUP($E68,武器奇术!$A:$R,4,FALSE),VLOOKUP($E68,武器奇术!$A:$R,2,FALSE))*(1+CQ68)*(1+CR68)*CS68</f>
        <v>0</v>
      </c>
      <c r="CU68" s="104">
        <f>(1-IF(VLOOKUP($E68,武器奇术!$A:$R,18,FALSE)="叶龙",1,$N68))*(1-$M68)</f>
        <v>0</v>
      </c>
      <c r="CV68" s="103">
        <f>CO68*IF(VLOOKUP($E68,武器奇术!$A:$R,17,FALSE)="破竹",VLOOKUP($E68,武器奇术!$A:$R,4,FALSE),VLOOKUP($E68,武器奇术!$A:$R,2,FALSE))*(1+CQ68)*(1+CR68)*CS68*(1+$E$16+VLOOKUP($E68,武器奇术!$A:$R,8,FALSE))</f>
        <v>0</v>
      </c>
      <c r="CW68" s="104">
        <f t="shared" si="31"/>
        <v>0.887</v>
      </c>
      <c r="CX68" s="103">
        <f>CP68*IF(VLOOKUP($E68,武器奇术!$A:$R,17,FALSE)="破竹",VLOOKUP($E68,武器奇术!$A:$R,4,FALSE),VLOOKUP($E68,武器奇术!$A:$R,2,FALSE))*(1+CQ68)*(1+CR68)*CS68*(1+$E$17+VLOOKUP($E68,武器奇术!$A:$R,10,FALSE))</f>
        <v>0</v>
      </c>
      <c r="CY68" s="104">
        <f t="shared" si="32"/>
        <v>0.0986</v>
      </c>
      <c r="CZ68" s="103">
        <f>CO68*IF(VLOOKUP($E68,武器奇术!$A:$R,17,FALSE)="破竹",VLOOKUP($E68,武器奇术!$A:$R,4,FALSE),VLOOKUP($E68,武器奇术!$A:$R,2,FALSE))*(1+CQ68)*(1+CR68)*CS68</f>
        <v>0</v>
      </c>
      <c r="DA68" s="104">
        <f t="shared" si="33"/>
        <v>0.0144</v>
      </c>
      <c r="DB68" s="112">
        <f t="shared" si="34"/>
        <v>0</v>
      </c>
      <c r="DC68" s="110">
        <f t="shared" si="35"/>
        <v>66</v>
      </c>
      <c r="DD68" s="102">
        <f t="shared" si="36"/>
        <v>125.8</v>
      </c>
      <c r="DE68" s="102">
        <f t="shared" si="37"/>
        <v>185.6</v>
      </c>
      <c r="DF68" s="104">
        <f>IF((IF(VLOOKUP($E68,武器奇术!$A:$R,17,FALSE)="鸣金",$D$7,0)+IF(VLOOKUP($E68,武器奇术!$A:$R,17,FALSE)="裂石",$D$9,0)+IF(VLOOKUP($E68,武器奇术!$A:$R,17,FALSE)="牵丝",$D$11,0)+IF(VLOOKUP($E68,武器奇术!$A:$R,17,FALSE)="破竹",$D$13,0)+$D$15-VLOOKUP($F$7,目标属性!$A:$R,6,FALSE))&gt;0,(IF(VLOOKUP($E68,武器奇术!$A:$R,17,FALSE)="鸣金",$D$7,0)+IF(VLOOKUP($E68,武器奇术!$A:$R,17,FALSE)="裂石",$D$9,0)+IF(VLOOKUP($E68,武器奇术!$A:$R,17,FALSE)="牵丝",$D$11,0)+IF(VLOOKUP($E68,武器奇术!$A:$R,17,FALSE)="破竹",$D$13,0)+$D$15-VLOOKUP($F$7,目标属性!$A:$R,6,FALSE))/200,(IF(VLOOKUP($E68,武器奇术!$A:$R,17,FALSE)="鸣金",$D$7,0)+IF(VLOOKUP($E68,武器奇术!$A:$R,17,FALSE)="裂石",$D$9,0)+IF(VLOOKUP($E68,武器奇术!$A:$R,17,FALSE)="牵丝",$D$11,0)+IF(VLOOKUP($E68,武器奇术!$A:$R,17,FALSE)="破竹",$D$13,0)+$D$15-VLOOKUP($F$7,目标属性!$A:$R,6,FALSE))/100)</f>
        <v>0.028</v>
      </c>
      <c r="DG68" s="111">
        <f>$E$11+IF($G$5="烟柳",IF(VLOOKUP($E68,武器奇术!$A:$T,20,FALSE)=1,0.1,0),0)</f>
        <v>0.248</v>
      </c>
      <c r="DH68" s="102">
        <v>1</v>
      </c>
      <c r="DI68" s="103">
        <f>DC68*IF(VLOOKUP($E68,武器奇术!$A:$R,17,FALSE)="牵丝",VLOOKUP($E68,武器奇术!$A:$R,4,FALSE),VLOOKUP($E68,武器奇术!$A:$R,2,FALSE))*(1+DF68)*(1+DG68)*DH68</f>
        <v>555.91305479424</v>
      </c>
      <c r="DJ68" s="104">
        <f>(1-IF(VLOOKUP($E68,武器奇术!$A:$R,18,FALSE)="叶龙",1,$N68))*(1-$M68)</f>
        <v>0</v>
      </c>
      <c r="DK68" s="124">
        <f>DD68*IF(VLOOKUP($E68,武器奇术!$A:$R,17,FALSE)="牵丝",VLOOKUP($E68,武器奇术!$A:$R,4,FALSE),VLOOKUP($E68,武器奇术!$A:$R,2,FALSE))*(1+DF68)*(1+DG68)*DH68*(1+$E$16+VLOOKUP($E68,武器奇术!$A:$R,8,FALSE))</f>
        <v>2123.44636417278</v>
      </c>
      <c r="DL68" s="104">
        <f t="shared" si="38"/>
        <v>0.887</v>
      </c>
      <c r="DM68" s="103">
        <f>DE68*IF(VLOOKUP($E68,武器奇术!$A:$R,17,FALSE)="牵丝",VLOOKUP($E68,武器奇术!$A:$R,4,FALSE),VLOOKUP($E68,武器奇术!$A:$R,2,FALSE))*(1+DF68)*(1+DG68)*DH68*(1+$E$17+VLOOKUP($E68,武器奇术!$A:$R,10,FALSE))</f>
        <v>2110.44810620068</v>
      </c>
      <c r="DN68" s="104">
        <f t="shared" si="39"/>
        <v>0.0986</v>
      </c>
      <c r="DO68" s="124">
        <f>DD68*IF(VLOOKUP($E68,武器奇术!$A:$R,17,FALSE)="牵丝",VLOOKUP($E68,武器奇术!$A:$R,4,FALSE),VLOOKUP($E68,武器奇术!$A:$R,2,FALSE))*(1+DF68)*(1+DG68)*DH68</f>
        <v>1059.60397413811</v>
      </c>
      <c r="DP68" s="104">
        <f t="shared" si="40"/>
        <v>0.0144</v>
      </c>
      <c r="DQ68" s="112">
        <f t="shared" si="41"/>
        <v>2106.84540552023</v>
      </c>
    </row>
    <row r="69" customFormat="1" customHeight="1" spans="1:121">
      <c r="A69" s="139"/>
      <c r="B69" s="139"/>
      <c r="C69" s="139"/>
      <c r="D69" s="139"/>
      <c r="E69" s="115" t="str">
        <f>期望!E69</f>
        <v>伞Q(连中风墙大纵)</v>
      </c>
      <c r="F69" s="116">
        <f>期望!F69</f>
        <v>1</v>
      </c>
      <c r="G69" s="117"/>
      <c r="H69" s="103">
        <f>IF(VLOOKUP($E69,武器奇术!$A:$R,18,FALSE)="天工",AE69,(AE69+AT69+BI69+BX69+CM69+DB69+DQ69))*(1+J69)*F69*K69*(1+G69)</f>
        <v>72153.8819134086</v>
      </c>
      <c r="I69" s="104">
        <f t="shared" si="0"/>
        <v>0.00831573185070883</v>
      </c>
      <c r="J69" s="104">
        <f>$F$3+VLOOKUP($E69,武器奇术!$A:$R,12,FALSE)+VLOOKUP($E69,武器奇术!$A:$R,14,FALSE)*$G$3+$P69</f>
        <v>1.103</v>
      </c>
      <c r="K69" s="105">
        <f>VLOOKUP($E69,武器奇术!$A:$R,11,FALSE)</f>
        <v>1</v>
      </c>
      <c r="L69" s="119">
        <f>IF(VLOOKUP($E69,武器奇术!$A:$R,15,FALSE)="天工",0%,IF($C$17+VLOOKUP($E69,武器奇术!$A:$R,7,FALSE)&gt;80%,80%,$C$17+VLOOKUP($E69,武器奇术!$A:$R,7,FALSE))+IF($C$19&gt;20%,20%,$C$19))</f>
        <v>0.8703</v>
      </c>
      <c r="M69" s="120">
        <f>IF(VLOOKUP($E69,武器奇术!$A:$R,15,FALSE)="天工",0%,IF($C$18+VLOOKUP($E69,武器奇术!$A:$R,9,FALSE)&gt;40%,40%,$C$18+VLOOKUP($E69,武器奇术!$A:$R,9,FALSE))+IF($C$20&gt;10%,10%,$C$20))</f>
        <v>0.0986</v>
      </c>
      <c r="N69" s="121">
        <f>IF(VLOOKUP($E69,武器奇术!$A:$R,15,FALSE)="天工",100%,MIN($C$16,1))</f>
        <v>1</v>
      </c>
      <c r="O69" s="122" t="str">
        <f>VLOOKUP($E69,武器奇术!$A:$R,16,FALSE)</f>
        <v>伞</v>
      </c>
      <c r="P69" s="123">
        <f t="shared" si="1"/>
        <v>0.17</v>
      </c>
      <c r="Q69" s="110">
        <f>$B$5*(1+VLOOKUP($E69,武器奇术!$A:$R,5,FALSE))*(1+VLOOKUP($E69,武器奇术!$A:$S,19,FALSE)+IF($G$5="飞隼",0.1,0)+IF($G$5="撼天",0.05,0))-$F$9+IF($J$5="√",160,0)</f>
        <v>3324.7</v>
      </c>
      <c r="R69" s="102">
        <f>IF(VLOOKUP($E69,武器奇术!$A:$Z,18,FALSE)="叶龙",(S69-(Q69+S69)*0.5)*($G$15-0.5)*2+(Q69+S69)*0.5,(Q69+S69)*0.5)</f>
        <v>3404.7</v>
      </c>
      <c r="S69" s="102">
        <f>MAX($C$5,$B$5)*(1+VLOOKUP($E69,武器奇术!$A:$R,6,FALSE))*(1+VLOOKUP($E69,武器奇术!$A:$S,19,FALSE)+IF($G$5="飞隼",0.1,0)+IF($G$5="撼天",0.05,0))-$F$9+IF($J$5="√",320,0)</f>
        <v>3484.7</v>
      </c>
      <c r="T69" s="104">
        <f>IF(($D$5+VLOOKUP($E69,武器奇术!$A:$R,13,FALSE)+IF($I$3="√",10,0)-VLOOKUP($F$7,目标属性!$A:$R,5,FALSE))&gt;0,($D$5+VLOOKUP($E69,武器奇术!$A:$R,13,FALSE)+IF($I$3="√",10,0)-VLOOKUP($F$7,目标属性!$A:$R,5,FALSE))/200,($D$5+VLOOKUP($E69,武器奇术!$A:$R,13,FALSE)+IF($I$3="√",10,0)-VLOOKUP($F$7,目标属性!$A:$R,5,FALSE))/100)</f>
        <v>0.2925</v>
      </c>
      <c r="U69" s="111">
        <f>$E$5+IF($G$5="烟柳",IF(VLOOKUP($E69,武器奇术!$A:$T,20,FALSE)=1,0.1,0),0)</f>
        <v>0.1</v>
      </c>
      <c r="V69" s="102">
        <v>1</v>
      </c>
      <c r="W69" s="103">
        <f>Q69*VLOOKUP($E69,武器奇术!$A:$R,2,FALSE)*(1+T69)*(1+U69)*V69</f>
        <v>11059.5097388325</v>
      </c>
      <c r="X69" s="104">
        <f>(1-IF(VLOOKUP($E69,武器奇术!$A:$R,18,FALSE)="叶龙",1,$N69))*(1-$M69)</f>
        <v>0</v>
      </c>
      <c r="Y69" s="103">
        <f>R69*VLOOKUP($E69,武器奇术!$A:$R,2,FALSE)*(1+T69)*(1+U69)*V69*(1+$E$16+VLOOKUP($E69,武器奇术!$A:$R,8,FALSE))</f>
        <v>22696.5569425323</v>
      </c>
      <c r="Z69" s="104">
        <f t="shared" si="2"/>
        <v>0.8703</v>
      </c>
      <c r="AA69" s="103">
        <f>S69*VLOOKUP($E69,武器奇术!$A:$R,2,FALSE)*(1+T69)*(1+U69)*V69*(1+$E$17+VLOOKUP($E69,武器奇术!$A:$R,10,FALSE))</f>
        <v>15648.8553380239</v>
      </c>
      <c r="AB69" s="104">
        <f t="shared" si="3"/>
        <v>0.0986</v>
      </c>
      <c r="AC69" s="103">
        <f>R69*VLOOKUP($E69,武器奇术!$A:$R,2,FALSE)*(1+T69)*(1+U69)*V69</f>
        <v>11325.6272168325</v>
      </c>
      <c r="AD69" s="104">
        <f t="shared" si="4"/>
        <v>0.0311</v>
      </c>
      <c r="AE69" s="112">
        <f t="shared" si="5"/>
        <v>21648.0176498585</v>
      </c>
      <c r="AF69" s="113">
        <f>VLOOKUP($E69,武器奇术!$A:$R,3,FALSE)*(1+IF(VLOOKUP($E69,武器奇术!$A:$R,15,FALSE)="武器",$E$15,0))</f>
        <v>842.4</v>
      </c>
      <c r="AG69" s="103">
        <f t="shared" si="6"/>
        <v>842.4</v>
      </c>
      <c r="AH69" s="103">
        <f>VLOOKUP($E69,武器奇术!$A:$R,3,FALSE)*(1+IF(VLOOKUP($E69,武器奇术!$A:$R,15,FALSE)="武器",$E$15,0))</f>
        <v>842.4</v>
      </c>
      <c r="AI69" s="104">
        <f>IF(($D$5+VLOOKUP($E69,武器奇术!$A:$R,13,FALSE)+IF($I$3="√",10,0)-VLOOKUP($F$7,目标属性!$A:$R,5,FALSE))&gt;0,($D$5+VLOOKUP($E69,武器奇术!$A:$R,13,FALSE)+IF($I$3="√",10,0)-VLOOKUP($F$7,目标属性!$A:$R,5,FALSE))/200,($D$5+VLOOKUP($E69,武器奇术!$A:$R,13,FALSE)+IF($I$3="√",10,0)-VLOOKUP($F$7,目标属性!$A:$R,5,FALSE))/100)</f>
        <v>0.2925</v>
      </c>
      <c r="AJ69" s="111">
        <f>$E$5+IF($G$5="烟柳",IF(VLOOKUP($E69,武器奇术!$A:$T,20,FALSE)=1,0.1,0),0)</f>
        <v>0.1</v>
      </c>
      <c r="AK69" s="102">
        <v>1</v>
      </c>
      <c r="AL69" s="103">
        <f t="shared" si="7"/>
        <v>1197.6822</v>
      </c>
      <c r="AM69" s="104">
        <f>(1-IF(VLOOKUP($E69,武器奇术!$A:$R,18,FALSE)="叶龙",1,$N69))*(1-$M69)</f>
        <v>0</v>
      </c>
      <c r="AN69" s="103">
        <f>AG69*(1+AI69)*(1+AJ69)*AK69*(1+$E$16+VLOOKUP($E69,武器奇术!$A:$R,8,FALSE))</f>
        <v>2400.1551288</v>
      </c>
      <c r="AO69" s="104">
        <f t="shared" si="8"/>
        <v>0.8703</v>
      </c>
      <c r="AP69" s="103">
        <f>AH69*(1+AI69)*(1+AJ69)*AK69*(1+$E$17+VLOOKUP($E69,武器奇术!$A:$R,10,FALSE))</f>
        <v>1616.87097</v>
      </c>
      <c r="AQ69" s="104">
        <f t="shared" si="9"/>
        <v>0.0986</v>
      </c>
      <c r="AR69" s="103">
        <f t="shared" si="10"/>
        <v>1197.6822</v>
      </c>
      <c r="AS69" s="104">
        <f t="shared" si="11"/>
        <v>0.0311</v>
      </c>
      <c r="AT69" s="112">
        <f t="shared" si="12"/>
        <v>2285.52640265664</v>
      </c>
      <c r="AU69" s="110">
        <f>$B$7*IF($G$5="撼天",1.05,1)+IF(AND(VLOOKUP($E69,武器奇术!$A:$R,15,FALSE)="武器",VLOOKUP($E69,武器奇术!$A:$R,17,FALSE)="鸣金"),$E$3*(1+$E$15),0)</f>
        <v>0</v>
      </c>
      <c r="AV69" s="102">
        <f t="shared" si="13"/>
        <v>0</v>
      </c>
      <c r="AW69" s="102">
        <f>MAX($C$7*IF($G$5="撼天",1.05,1)+IF(AND(VLOOKUP($E69,武器奇术!$A:$R,15,FALSE)="武器",VLOOKUP($E69,武器奇术!$A:$R,17,FALSE)="鸣金"),$E$3*(1+$E$15),0),AU69)</f>
        <v>0</v>
      </c>
      <c r="AX69" s="104">
        <f>IF(($D$7+IF(VLOOKUP($E69,武器奇术!$A:$R,17,FALSE)="鸣金",$D$15,0)-VLOOKUP($F$7,目标属性!$A:$R,6,FALSE))&gt;0,($D$7+IF(VLOOKUP($E69,武器奇术!$A:$R,17,FALSE)="鸣金",$D$15,0)-VLOOKUP($F$7,目标属性!$A:$R,6,FALSE))/200,($D$7+IF(VLOOKUP($E69,武器奇术!$A:$R,17,FALSE)="鸣金",$D$15,0)-VLOOKUP($F$7,目标属性!$A:$R,6,FALSE))/100)</f>
        <v>-0.24</v>
      </c>
      <c r="AY69" s="111">
        <f t="shared" si="14"/>
        <v>0</v>
      </c>
      <c r="AZ69" s="102">
        <v>1</v>
      </c>
      <c r="BA69" s="103">
        <f>AU69*IF(VLOOKUP($E69,武器奇术!$A:$R,17,FALSE)="鸣金",VLOOKUP($E69,武器奇术!$A:$R,4,FALSE),VLOOKUP($E69,武器奇术!$A:$R,2,FALSE))*(1+AX69)*(1+AY69)*AZ69</f>
        <v>0</v>
      </c>
      <c r="BB69" s="104">
        <f>(1-IF(VLOOKUP($E69,武器奇术!$A:$R,18,FALSE)="叶龙",1,$N69))*(1-$M69)</f>
        <v>0</v>
      </c>
      <c r="BC69" s="103">
        <f>AV69*IF(VLOOKUP($E69,武器奇术!$A:$R,17,FALSE)="鸣金",VLOOKUP($E69,武器奇术!$A:$R,4,FALSE),VLOOKUP($E69,武器奇术!$A:$R,2,FALSE))*(1+AX69)*(1+AY69)*AZ69*(1+$E$16+VLOOKUP($E69,武器奇术!$A:$R,8,FALSE))</f>
        <v>0</v>
      </c>
      <c r="BD69" s="104">
        <f t="shared" si="15"/>
        <v>0.8703</v>
      </c>
      <c r="BE69" s="103">
        <f>AW69*IF(VLOOKUP($E69,武器奇术!$A:$R,17,FALSE)="鸣金",VLOOKUP($E69,武器奇术!$A:$R,4,FALSE),VLOOKUP($E69,武器奇术!$A:$R,2,FALSE))*(1+AX69)*(1+AY69)*AZ69*(1+$E$17+VLOOKUP($E69,武器奇术!$A:$R,10,FALSE))</f>
        <v>0</v>
      </c>
      <c r="BF69" s="104">
        <f t="shared" si="16"/>
        <v>0.0986</v>
      </c>
      <c r="BG69" s="103">
        <f>AV69*IF(VLOOKUP($E69,武器奇术!$A:$R,17,FALSE)="鸣金",VLOOKUP($E69,武器奇术!$A:$R,4,FALSE),VLOOKUP($E69,武器奇术!$A:$R,2,FALSE))*(1+AX69)*(1+AY69)*AZ69</f>
        <v>0</v>
      </c>
      <c r="BH69" s="104">
        <f t="shared" si="17"/>
        <v>0.0311</v>
      </c>
      <c r="BI69" s="112">
        <f t="shared" si="18"/>
        <v>0</v>
      </c>
      <c r="BJ69" s="110">
        <f>$B$9*IF($G$5="撼天",1.05,1)+IF(AND(VLOOKUP($E69,武器奇术!$A:$R,15,FALSE)="武器",VLOOKUP($E69,武器奇术!$A:$R,17,FALSE)="裂石"),$E$3*(1+$E$15),0)</f>
        <v>0</v>
      </c>
      <c r="BK69" s="102">
        <f t="shared" si="19"/>
        <v>0</v>
      </c>
      <c r="BL69" s="102">
        <f>MAX($C$9*IF($G$5="撼天",1.05,1)+IF(AND(VLOOKUP($E69,武器奇术!$A:$R,15,FALSE)="武器",VLOOKUP($E69,武器奇术!$A:$R,17,FALSE)="裂石"),$E$3*(1+$E$15),0),BJ69)</f>
        <v>0</v>
      </c>
      <c r="BM69" s="104">
        <f>IF(($D$9+IF(VLOOKUP($E69,武器奇术!$A:$R,17,FALSE)="裂石",$D$15,0)-VLOOKUP($F$7,目标属性!$A:$R,6,FALSE))&gt;0,($D$9+IF(VLOOKUP($E69,武器奇术!$A:$R,17,FALSE)="裂石",$D$15,0)-VLOOKUP($F$7,目标属性!$A:$R,6,FALSE))/200,($D$9+IF(VLOOKUP($E69,武器奇术!$A:$R,17,FALSE)="裂石",$D$15,0)-VLOOKUP($F$7,目标属性!$A:$R,6,FALSE))/100)</f>
        <v>-0.24</v>
      </c>
      <c r="BN69" s="111">
        <f t="shared" si="20"/>
        <v>0</v>
      </c>
      <c r="BO69" s="102">
        <v>1</v>
      </c>
      <c r="BP69" s="103">
        <f>BJ69*IF(VLOOKUP($E69,武器奇术!$A:$R,17,FALSE)="裂石",VLOOKUP($E69,武器奇术!$A:$R,4,FALSE),VLOOKUP($E69,武器奇术!$A:$R,2,FALSE))*(1+BM69)*(1+BN69)*BO69</f>
        <v>0</v>
      </c>
      <c r="BQ69" s="104">
        <f>(1-IF(VLOOKUP($E69,武器奇术!$A:$R,18,FALSE)="叶龙",1,$N69))*(1-$M69)</f>
        <v>0</v>
      </c>
      <c r="BR69" s="103">
        <f>BK69*IF(VLOOKUP($E69,武器奇术!$A:$R,17,FALSE)="裂石",VLOOKUP($E69,武器奇术!$A:$R,4,FALSE),VLOOKUP($E69,武器奇术!$A:$R,2,FALSE))*(1+BM69)*(1+BN69)*BO69*(1+$E$16+VLOOKUP($E69,武器奇术!$A:$R,8,FALSE))</f>
        <v>0</v>
      </c>
      <c r="BS69" s="104">
        <f t="shared" si="21"/>
        <v>0.8703</v>
      </c>
      <c r="BT69" s="103">
        <f>BL69*IF(VLOOKUP($E69,武器奇术!$A:$R,17,FALSE)="裂石",VLOOKUP($E69,武器奇术!$A:$R,4,FALSE),VLOOKUP($E69,武器奇术!$A:$R,2,FALSE))*(1+BM69)*(1+BN69)*BO69*(1+$E$17+VLOOKUP($E69,武器奇术!$A:$R,10,FALSE))</f>
        <v>0</v>
      </c>
      <c r="BU69" s="104">
        <f t="shared" si="22"/>
        <v>0.0986</v>
      </c>
      <c r="BV69" s="103">
        <f>BK69*IF(VLOOKUP($E69,武器奇术!$A:$R,17,FALSE)="裂石",VLOOKUP($E69,武器奇术!$A:$R,4,FALSE),VLOOKUP($E69,武器奇术!$A:$R,2,FALSE))*(1+BM69)*(1+BN69)*BO69</f>
        <v>0</v>
      </c>
      <c r="BW69" s="104">
        <f t="shared" si="23"/>
        <v>0.0311</v>
      </c>
      <c r="BX69" s="112">
        <f t="shared" si="24"/>
        <v>0</v>
      </c>
      <c r="BY69" s="110">
        <f>$B$11*IF($G$5="撼天",1.05,1)+IF(AND(VLOOKUP($E69,武器奇术!$A:$R,15,FALSE)="武器",VLOOKUP($E69,武器奇术!$A:$R,17,FALSE)="牵丝"),$E$3*(1+$E$15),0)</f>
        <v>686.71</v>
      </c>
      <c r="BZ69" s="102">
        <f>IF(VLOOKUP($E69,武器奇术!$A:$Z,18,FALSE)="叶龙",(CA69-(BY69+CA69)*0.5)*($G$15-0.5)*2+(BY69+CA69)*0.5,(BY69+CA69)*0.5)</f>
        <v>1052.21</v>
      </c>
      <c r="CA69" s="102">
        <f>MAX($C$11*IF($G$5="撼天",1.05,1)+IF(AND(VLOOKUP($E69,武器奇术!$A:$R,15,FALSE)="武器",VLOOKUP($E69,武器奇术!$A:$R,17,FALSE)="牵丝"),$E$3*(1+$E$15),0),BY69)</f>
        <v>1417.71</v>
      </c>
      <c r="CB69" s="104">
        <f>IF(($D$11+IF(VLOOKUP($E69,武器奇术!$A:$R,17,FALSE)="牵丝",$D$15,0)-VLOOKUP($F$7,目标属性!$A:$R,6,FALSE))&gt;0,($D$11+IF(VLOOKUP($E69,武器奇术!$A:$R,17,FALSE)="牵丝",$D$15,0)-VLOOKUP($F$7,目标属性!$A:$R,6,FALSE))/200,($D$11+IF(VLOOKUP($E69,武器奇术!$A:$R,17,FALSE)="牵丝",$D$15,0)-VLOOKUP($F$7,目标属性!$A:$R,6,FALSE))/100)</f>
        <v>0.028</v>
      </c>
      <c r="CC69" s="111">
        <f>$E$11+IF($G$5="烟柳",IF(VLOOKUP($E69,武器奇术!$A:$T,20,FALSE)=1,0.1,0),0)</f>
        <v>0.248</v>
      </c>
      <c r="CD69" s="102">
        <v>1</v>
      </c>
      <c r="CE69" s="103">
        <f>BY69*IF(VLOOKUP($E69,武器奇术!$A:$R,17,FALSE)="牵丝",VLOOKUP($E69,武器奇术!$A:$R,4,FALSE),VLOOKUP($E69,武器奇术!$A:$R,2,FALSE))*(1+CB69)*(1+CC69)*CD69</f>
        <v>3091.90625934528</v>
      </c>
      <c r="CF69" s="104">
        <f>(1-IF(VLOOKUP($E69,武器奇术!$A:$R,18,FALSE)="叶龙",1,$N69))*(1-$M69)</f>
        <v>0</v>
      </c>
      <c r="CG69" s="124">
        <f>BZ69*IF(VLOOKUP($E69,武器奇术!$A:$R,17,FALSE)="牵丝",VLOOKUP($E69,武器奇术!$A:$R,4,FALSE),VLOOKUP($E69,武器奇术!$A:$R,2,FALSE))*(1+CB69)*(1+CC69)*CD69*(1+$E$16+VLOOKUP($E69,武器奇术!$A:$R,8,FALSE))</f>
        <v>9494.08441559316</v>
      </c>
      <c r="CH69" s="104">
        <f t="shared" si="25"/>
        <v>0.8703</v>
      </c>
      <c r="CI69" s="103">
        <f>CA69*IF(VLOOKUP($E69,武器奇术!$A:$R,17,FALSE)="牵丝",VLOOKUP($E69,武器奇术!$A:$R,4,FALSE),VLOOKUP($E69,武器奇术!$A:$R,2,FALSE))*(1+CB69)*(1+CC69)*CD69*(1+$E$17+VLOOKUP($E69,武器奇术!$A:$R,10,FALSE))</f>
        <v>8617.35764873693</v>
      </c>
      <c r="CJ69" s="104">
        <f t="shared" si="26"/>
        <v>0.0986</v>
      </c>
      <c r="CK69" s="124">
        <f>BZ69*IF(VLOOKUP($E69,武器奇术!$A:$R,17,FALSE)="牵丝",VLOOKUP($E69,武器奇术!$A:$R,4,FALSE),VLOOKUP($E69,武器奇术!$A:$R,2,FALSE))*(1+CB69)*(1+CC69)*CD69</f>
        <v>4737.56707364928</v>
      </c>
      <c r="CL69" s="104">
        <f t="shared" si="27"/>
        <v>0.0311</v>
      </c>
      <c r="CM69" s="112">
        <f t="shared" si="28"/>
        <v>9259.71146704668</v>
      </c>
      <c r="CN69" s="110">
        <f>$B$13*IF($G$5="撼天",1.05,1)+IF(AND(VLOOKUP($E69,武器奇术!$A:$R,15,FALSE)="武器",VLOOKUP($E69,武器奇术!$A:$R,17,FALSE)="破竹"),$E$3*(1+$E$15),0)</f>
        <v>0</v>
      </c>
      <c r="CO69" s="102">
        <f t="shared" si="29"/>
        <v>0</v>
      </c>
      <c r="CP69" s="102">
        <f>MAX($C$13*IF($G$5="撼天",1.05,1)+IF(AND(VLOOKUP($E69,武器奇术!$A:$R,15,FALSE)="武器",VLOOKUP($E69,武器奇术!$A:$R,17,FALSE)="破竹"),$E$3*(1+$E$15),0),CN69)</f>
        <v>0</v>
      </c>
      <c r="CQ69" s="104">
        <f>IF(($D$13+IF(VLOOKUP($E69,武器奇术!$A:$R,17,FALSE)="破竹",$D$15,0)-VLOOKUP($F$7,目标属性!$A:$R,6,FALSE))&gt;0,($D$13+IF(VLOOKUP($E69,武器奇术!$A:$R,17,FALSE)="破竹",$D$15,0)-VLOOKUP($F$7,目标属性!$A:$R,6,FALSE))/200,($D$13+IF(VLOOKUP($E69,武器奇术!$A:$R,17,FALSE)="破竹",$D$15,0)-VLOOKUP($F$7,目标属性!$A:$R,6,FALSE))/100)</f>
        <v>-0.24</v>
      </c>
      <c r="CR69" s="111">
        <f t="shared" si="30"/>
        <v>0</v>
      </c>
      <c r="CS69" s="102">
        <v>1</v>
      </c>
      <c r="CT69" s="103">
        <f>CN69*IF(VLOOKUP($E69,武器奇术!$A:$R,17,FALSE)="破竹",VLOOKUP($E69,武器奇术!$A:$R,4,FALSE),VLOOKUP($E69,武器奇术!$A:$R,2,FALSE))*(1+CQ69)*(1+CR69)*CS69</f>
        <v>0</v>
      </c>
      <c r="CU69" s="104">
        <f>(1-IF(VLOOKUP($E69,武器奇术!$A:$R,18,FALSE)="叶龙",1,$N69))*(1-$M69)</f>
        <v>0</v>
      </c>
      <c r="CV69" s="103">
        <f>CO69*IF(VLOOKUP($E69,武器奇术!$A:$R,17,FALSE)="破竹",VLOOKUP($E69,武器奇术!$A:$R,4,FALSE),VLOOKUP($E69,武器奇术!$A:$R,2,FALSE))*(1+CQ69)*(1+CR69)*CS69*(1+$E$16+VLOOKUP($E69,武器奇术!$A:$R,8,FALSE))</f>
        <v>0</v>
      </c>
      <c r="CW69" s="104">
        <f t="shared" si="31"/>
        <v>0.8703</v>
      </c>
      <c r="CX69" s="103">
        <f>CP69*IF(VLOOKUP($E69,武器奇术!$A:$R,17,FALSE)="破竹",VLOOKUP($E69,武器奇术!$A:$R,4,FALSE),VLOOKUP($E69,武器奇术!$A:$R,2,FALSE))*(1+CQ69)*(1+CR69)*CS69*(1+$E$17+VLOOKUP($E69,武器奇术!$A:$R,10,FALSE))</f>
        <v>0</v>
      </c>
      <c r="CY69" s="104">
        <f t="shared" si="32"/>
        <v>0.0986</v>
      </c>
      <c r="CZ69" s="103">
        <f>CO69*IF(VLOOKUP($E69,武器奇术!$A:$R,17,FALSE)="破竹",VLOOKUP($E69,武器奇术!$A:$R,4,FALSE),VLOOKUP($E69,武器奇术!$A:$R,2,FALSE))*(1+CQ69)*(1+CR69)*CS69</f>
        <v>0</v>
      </c>
      <c r="DA69" s="104">
        <f t="shared" si="33"/>
        <v>0.0311</v>
      </c>
      <c r="DB69" s="112">
        <f t="shared" si="34"/>
        <v>0</v>
      </c>
      <c r="DC69" s="110">
        <f t="shared" si="35"/>
        <v>66</v>
      </c>
      <c r="DD69" s="102">
        <f t="shared" si="36"/>
        <v>125.8</v>
      </c>
      <c r="DE69" s="102">
        <f t="shared" si="37"/>
        <v>185.6</v>
      </c>
      <c r="DF69" s="104">
        <f>IF((IF(VLOOKUP($E69,武器奇术!$A:$R,17,FALSE)="鸣金",$D$7,0)+IF(VLOOKUP($E69,武器奇术!$A:$R,17,FALSE)="裂石",$D$9,0)+IF(VLOOKUP($E69,武器奇术!$A:$R,17,FALSE)="牵丝",$D$11,0)+IF(VLOOKUP($E69,武器奇术!$A:$R,17,FALSE)="破竹",$D$13,0)+$D$15-VLOOKUP($F$7,目标属性!$A:$R,6,FALSE))&gt;0,(IF(VLOOKUP($E69,武器奇术!$A:$R,17,FALSE)="鸣金",$D$7,0)+IF(VLOOKUP($E69,武器奇术!$A:$R,17,FALSE)="裂石",$D$9,0)+IF(VLOOKUP($E69,武器奇术!$A:$R,17,FALSE)="牵丝",$D$11,0)+IF(VLOOKUP($E69,武器奇术!$A:$R,17,FALSE)="破竹",$D$13,0)+$D$15-VLOOKUP($F$7,目标属性!$A:$R,6,FALSE))/200,(IF(VLOOKUP($E69,武器奇术!$A:$R,17,FALSE)="鸣金",$D$7,0)+IF(VLOOKUP($E69,武器奇术!$A:$R,17,FALSE)="裂石",$D$9,0)+IF(VLOOKUP($E69,武器奇术!$A:$R,17,FALSE)="牵丝",$D$11,0)+IF(VLOOKUP($E69,武器奇术!$A:$R,17,FALSE)="破竹",$D$13,0)+$D$15-VLOOKUP($F$7,目标属性!$A:$R,6,FALSE))/100)</f>
        <v>0.028</v>
      </c>
      <c r="DG69" s="111">
        <f>$E$11+IF($G$5="烟柳",IF(VLOOKUP($E69,武器奇术!$A:$T,20,FALSE)=1,0.1,0),0)</f>
        <v>0.248</v>
      </c>
      <c r="DH69" s="102">
        <v>1</v>
      </c>
      <c r="DI69" s="103">
        <f>DC69*IF(VLOOKUP($E69,武器奇术!$A:$R,17,FALSE)="牵丝",VLOOKUP($E69,武器奇术!$A:$R,4,FALSE),VLOOKUP($E69,武器奇术!$A:$R,2,FALSE))*(1+DF69)*(1+DG69)*DH69</f>
        <v>297.164469888</v>
      </c>
      <c r="DJ69" s="104">
        <f>(1-IF(VLOOKUP($E69,武器奇术!$A:$R,18,FALSE)="叶龙",1,$N69))*(1-$M69)</f>
        <v>0</v>
      </c>
      <c r="DK69" s="124">
        <f>DD69*IF(VLOOKUP($E69,武器奇术!$A:$R,17,FALSE)="牵丝",VLOOKUP($E69,武器奇术!$A:$R,4,FALSE),VLOOKUP($E69,武器奇术!$A:$R,2,FALSE))*(1+DF69)*(1+DG69)*DH69*(1+$E$16+VLOOKUP($E69,武器奇术!$A:$R,8,FALSE))</f>
        <v>1135.0926331071</v>
      </c>
      <c r="DL69" s="104">
        <f t="shared" si="38"/>
        <v>0.8703</v>
      </c>
      <c r="DM69" s="103">
        <f>DE69*IF(VLOOKUP($E69,武器奇术!$A:$R,17,FALSE)="牵丝",VLOOKUP($E69,武器奇术!$A:$R,4,FALSE),VLOOKUP($E69,武器奇术!$A:$R,2,FALSE))*(1+DF69)*(1+DG69)*DH69*(1+$E$17+VLOOKUP($E69,武器奇术!$A:$R,10,FALSE))</f>
        <v>1128.14438750208</v>
      </c>
      <c r="DN69" s="104">
        <f t="shared" si="39"/>
        <v>0.0986</v>
      </c>
      <c r="DO69" s="124">
        <f>DD69*IF(VLOOKUP($E69,武器奇术!$A:$R,17,FALSE)="牵丝",VLOOKUP($E69,武器奇术!$A:$R,4,FALSE),VLOOKUP($E69,武器奇术!$A:$R,2,FALSE))*(1+DF69)*(1+DG69)*DH69</f>
        <v>566.4134895744</v>
      </c>
      <c r="DP69" s="104">
        <f t="shared" si="40"/>
        <v>0.0311</v>
      </c>
      <c r="DQ69" s="112">
        <f t="shared" si="41"/>
        <v>1116.72161472658</v>
      </c>
    </row>
    <row r="70" customFormat="1" customHeight="1" spans="1:121">
      <c r="A70" s="139"/>
      <c r="B70" s="139"/>
      <c r="C70" s="139"/>
      <c r="D70" s="139"/>
      <c r="E70" s="115" t="str">
        <f>期望!E70</f>
        <v>伞重击派生(大纵)</v>
      </c>
      <c r="F70" s="116">
        <f>期望!F70</f>
        <v>1</v>
      </c>
      <c r="G70" s="117"/>
      <c r="H70" s="103">
        <f>IF(VLOOKUP($E70,武器奇术!$A:$R,18,FALSE)="天工",AE70,(AE70+AT70+BI70+BX70+CM70+DB70+DQ70))*(1+J70)*F70*K70*(1+G70)</f>
        <v>33042.6993530736</v>
      </c>
      <c r="I70" s="104">
        <f t="shared" si="0"/>
        <v>0.00380816970836725</v>
      </c>
      <c r="J70" s="104">
        <f>$F$3+VLOOKUP($E70,武器奇术!$A:$R,12,FALSE)+VLOOKUP($E70,武器奇术!$A:$R,14,FALSE)*$G$3+$P70</f>
        <v>0.623</v>
      </c>
      <c r="K70" s="105">
        <f>VLOOKUP($E70,武器奇术!$A:$R,11,FALSE)</f>
        <v>1</v>
      </c>
      <c r="L70" s="119">
        <f>IF(VLOOKUP($E70,武器奇术!$A:$R,15,FALSE)="天工",0%,IF($C$17+VLOOKUP($E70,武器奇术!$A:$R,7,FALSE)&gt;80%,80%,$C$17+VLOOKUP($E70,武器奇术!$A:$R,7,FALSE))+IF($C$19&gt;20%,20%,$C$19))</f>
        <v>0.8703</v>
      </c>
      <c r="M70" s="120">
        <f>IF(VLOOKUP($E70,武器奇术!$A:$R,15,FALSE)="天工",0%,IF($C$18+VLOOKUP($E70,武器奇术!$A:$R,9,FALSE)&gt;40%,40%,$C$18+VLOOKUP($E70,武器奇术!$A:$R,9,FALSE))+IF($C$20&gt;10%,10%,$C$20))</f>
        <v>0.0986</v>
      </c>
      <c r="N70" s="121">
        <f>IF(VLOOKUP($E70,武器奇术!$A:$R,15,FALSE)="天工",100%,MIN($C$16,1))</f>
        <v>1</v>
      </c>
      <c r="O70" s="122" t="str">
        <f>VLOOKUP($E70,武器奇术!$A:$R,16,FALSE)</f>
        <v>伞</v>
      </c>
      <c r="P70" s="123">
        <f t="shared" si="1"/>
        <v>0.17</v>
      </c>
      <c r="Q70" s="110">
        <f>$B$5*(1+VLOOKUP($E70,武器奇术!$A:$R,5,FALSE))*(1+VLOOKUP($E70,武器奇术!$A:$S,19,FALSE)+IF($G$5="飞隼",0.1,0)+IF($G$5="撼天",0.05,0))-$F$9+IF($J$5="√",160,0)</f>
        <v>3324.7</v>
      </c>
      <c r="R70" s="102">
        <f>IF(VLOOKUP($E70,武器奇术!$A:$Z,18,FALSE)="叶龙",(S70-(Q70+S70)*0.5)*($G$15-0.5)*2+(Q70+S70)*0.5,(Q70+S70)*0.5)</f>
        <v>3404.7</v>
      </c>
      <c r="S70" s="102">
        <f>MAX($C$5,$B$5)*(1+VLOOKUP($E70,武器奇术!$A:$R,6,FALSE))*(1+VLOOKUP($E70,武器奇术!$A:$S,19,FALSE)+IF($G$5="飞隼",0.1,0)+IF($G$5="撼天",0.05,0))-$F$9+IF($J$5="√",320,0)</f>
        <v>3484.7</v>
      </c>
      <c r="T70" s="104">
        <f>IF(($D$5+VLOOKUP($E70,武器奇术!$A:$R,13,FALSE)+IF($I$3="√",10,0)-VLOOKUP($F$7,目标属性!$A:$R,5,FALSE))&gt;0,($D$5+VLOOKUP($E70,武器奇术!$A:$R,13,FALSE)+IF($I$3="√",10,0)-VLOOKUP($F$7,目标属性!$A:$R,5,FALSE))/200,($D$5+VLOOKUP($E70,武器奇术!$A:$R,13,FALSE)+IF($I$3="√",10,0)-VLOOKUP($F$7,目标属性!$A:$R,5,FALSE))/100)</f>
        <v>0.2675</v>
      </c>
      <c r="U70" s="111">
        <f>$E$5+IF($G$5="烟柳",IF(VLOOKUP($E70,武器奇术!$A:$T,20,FALSE)=1,0.1,0),0)</f>
        <v>0.1</v>
      </c>
      <c r="V70" s="102">
        <v>1</v>
      </c>
      <c r="W70" s="103">
        <f>Q70*VLOOKUP($E70,武器奇术!$A:$R,2,FALSE)*(1+T70)*(1+U70)*V70</f>
        <v>7877.9693260125</v>
      </c>
      <c r="X70" s="104">
        <f>(1-IF(VLOOKUP($E70,武器奇术!$A:$R,18,FALSE)="叶龙",1,$N70))*(1-$M70)</f>
        <v>0</v>
      </c>
      <c r="Y70" s="103">
        <f>R70*VLOOKUP($E70,武器奇术!$A:$R,2,FALSE)*(1+T70)*(1+U70)*V70*(1+$E$16+VLOOKUP($E70,武器奇术!$A:$R,8,FALSE))</f>
        <v>13263.0218780846</v>
      </c>
      <c r="Z70" s="104">
        <f t="shared" si="2"/>
        <v>0.8703</v>
      </c>
      <c r="AA70" s="103">
        <f>S70*VLOOKUP($E70,武器奇术!$A:$R,2,FALSE)*(1+T70)*(1+U70)*V70*(1+$E$17+VLOOKUP($E70,武器奇术!$A:$R,10,FALSE))</f>
        <v>11147.0766111169</v>
      </c>
      <c r="AB70" s="104">
        <f t="shared" si="3"/>
        <v>0.0986</v>
      </c>
      <c r="AC70" s="103">
        <f>R70*VLOOKUP($E70,武器奇术!$A:$R,2,FALSE)*(1+T70)*(1+U70)*V70</f>
        <v>8067.5315560125</v>
      </c>
      <c r="AD70" s="104">
        <f t="shared" si="4"/>
        <v>0.0311</v>
      </c>
      <c r="AE70" s="112">
        <f t="shared" si="5"/>
        <v>12892.8099257451</v>
      </c>
      <c r="AF70" s="113">
        <f>VLOOKUP($E70,武器奇术!$A:$R,3,FALSE)*(1+IF(VLOOKUP($E70,武器奇术!$A:$R,15,FALSE)="武器",$E$15,0))</f>
        <v>510.9</v>
      </c>
      <c r="AG70" s="103">
        <f t="shared" si="6"/>
        <v>510.9</v>
      </c>
      <c r="AH70" s="103">
        <f>VLOOKUP($E70,武器奇术!$A:$R,3,FALSE)*(1+IF(VLOOKUP($E70,武器奇术!$A:$R,15,FALSE)="武器",$E$15,0))</f>
        <v>510.9</v>
      </c>
      <c r="AI70" s="104">
        <f>IF(($D$5+VLOOKUP($E70,武器奇术!$A:$R,13,FALSE)+IF($I$3="√",10,0)-VLOOKUP($F$7,目标属性!$A:$R,5,FALSE))&gt;0,($D$5+VLOOKUP($E70,武器奇术!$A:$R,13,FALSE)+IF($I$3="√",10,0)-VLOOKUP($F$7,目标属性!$A:$R,5,FALSE))/200,($D$5+VLOOKUP($E70,武器奇术!$A:$R,13,FALSE)+IF($I$3="√",10,0)-VLOOKUP($F$7,目标属性!$A:$R,5,FALSE))/100)</f>
        <v>0.2675</v>
      </c>
      <c r="AJ70" s="111">
        <f>$E$5+IF($G$5="烟柳",IF(VLOOKUP($E70,武器奇术!$A:$T,20,FALSE)=1,0.1,0),0)</f>
        <v>0.1</v>
      </c>
      <c r="AK70" s="102">
        <v>1</v>
      </c>
      <c r="AL70" s="103">
        <f t="shared" si="7"/>
        <v>712.322325</v>
      </c>
      <c r="AM70" s="104">
        <f>(1-IF(VLOOKUP($E70,武器奇术!$A:$R,18,FALSE)="叶龙",1,$N70))*(1-$M70)</f>
        <v>0</v>
      </c>
      <c r="AN70" s="103">
        <f>AG70*(1+AI70)*(1+AJ70)*AK70*(1+$E$16+VLOOKUP($E70,武器奇术!$A:$R,8,FALSE))</f>
        <v>1171.0579023</v>
      </c>
      <c r="AO70" s="104">
        <f t="shared" si="8"/>
        <v>0.8703</v>
      </c>
      <c r="AP70" s="103">
        <f>AH70*(1+AI70)*(1+AJ70)*AK70*(1+$E$17+VLOOKUP($E70,武器奇术!$A:$R,10,FALSE))</f>
        <v>961.63513875</v>
      </c>
      <c r="AQ70" s="104">
        <f t="shared" si="9"/>
        <v>0.0986</v>
      </c>
      <c r="AR70" s="103">
        <f t="shared" si="10"/>
        <v>712.322325</v>
      </c>
      <c r="AS70" s="104">
        <f t="shared" si="11"/>
        <v>0.0311</v>
      </c>
      <c r="AT70" s="112">
        <f t="shared" si="12"/>
        <v>1136.14214135994</v>
      </c>
      <c r="AU70" s="110">
        <f>$B$7*IF($G$5="撼天",1.05,1)+IF(AND(VLOOKUP($E70,武器奇术!$A:$R,15,FALSE)="武器",VLOOKUP($E70,武器奇术!$A:$R,17,FALSE)="鸣金"),$E$3*(1+$E$15),0)</f>
        <v>0</v>
      </c>
      <c r="AV70" s="102">
        <f t="shared" si="13"/>
        <v>0</v>
      </c>
      <c r="AW70" s="102">
        <f>MAX($C$7*IF($G$5="撼天",1.05,1)+IF(AND(VLOOKUP($E70,武器奇术!$A:$R,15,FALSE)="武器",VLOOKUP($E70,武器奇术!$A:$R,17,FALSE)="鸣金"),$E$3*(1+$E$15),0),AU70)</f>
        <v>0</v>
      </c>
      <c r="AX70" s="104">
        <f>IF(($D$7+IF(VLOOKUP($E70,武器奇术!$A:$R,17,FALSE)="鸣金",$D$15,0)-VLOOKUP($F$7,目标属性!$A:$R,6,FALSE))&gt;0,($D$7+IF(VLOOKUP($E70,武器奇术!$A:$R,17,FALSE)="鸣金",$D$15,0)-VLOOKUP($F$7,目标属性!$A:$R,6,FALSE))/200,($D$7+IF(VLOOKUP($E70,武器奇术!$A:$R,17,FALSE)="鸣金",$D$15,0)-VLOOKUP($F$7,目标属性!$A:$R,6,FALSE))/100)</f>
        <v>-0.24</v>
      </c>
      <c r="AY70" s="111">
        <f t="shared" si="14"/>
        <v>0</v>
      </c>
      <c r="AZ70" s="102">
        <v>1</v>
      </c>
      <c r="BA70" s="103">
        <f>AU70*IF(VLOOKUP($E70,武器奇术!$A:$R,17,FALSE)="鸣金",VLOOKUP($E70,武器奇术!$A:$R,4,FALSE),VLOOKUP($E70,武器奇术!$A:$R,2,FALSE))*(1+AX70)*(1+AY70)*AZ70</f>
        <v>0</v>
      </c>
      <c r="BB70" s="104">
        <f>(1-IF(VLOOKUP($E70,武器奇术!$A:$R,18,FALSE)="叶龙",1,$N70))*(1-$M70)</f>
        <v>0</v>
      </c>
      <c r="BC70" s="103">
        <f>AV70*IF(VLOOKUP($E70,武器奇术!$A:$R,17,FALSE)="鸣金",VLOOKUP($E70,武器奇术!$A:$R,4,FALSE),VLOOKUP($E70,武器奇术!$A:$R,2,FALSE))*(1+AX70)*(1+AY70)*AZ70*(1+$E$16+VLOOKUP($E70,武器奇术!$A:$R,8,FALSE))</f>
        <v>0</v>
      </c>
      <c r="BD70" s="104">
        <f t="shared" si="15"/>
        <v>0.8703</v>
      </c>
      <c r="BE70" s="103">
        <f>AW70*IF(VLOOKUP($E70,武器奇术!$A:$R,17,FALSE)="鸣金",VLOOKUP($E70,武器奇术!$A:$R,4,FALSE),VLOOKUP($E70,武器奇术!$A:$R,2,FALSE))*(1+AX70)*(1+AY70)*AZ70*(1+$E$17+VLOOKUP($E70,武器奇术!$A:$R,10,FALSE))</f>
        <v>0</v>
      </c>
      <c r="BF70" s="104">
        <f t="shared" si="16"/>
        <v>0.0986</v>
      </c>
      <c r="BG70" s="103">
        <f>AV70*IF(VLOOKUP($E70,武器奇术!$A:$R,17,FALSE)="鸣金",VLOOKUP($E70,武器奇术!$A:$R,4,FALSE),VLOOKUP($E70,武器奇术!$A:$R,2,FALSE))*(1+AX70)*(1+AY70)*AZ70</f>
        <v>0</v>
      </c>
      <c r="BH70" s="104">
        <f t="shared" si="17"/>
        <v>0.0311</v>
      </c>
      <c r="BI70" s="112">
        <f t="shared" si="18"/>
        <v>0</v>
      </c>
      <c r="BJ70" s="110">
        <f>$B$9*IF($G$5="撼天",1.05,1)+IF(AND(VLOOKUP($E70,武器奇术!$A:$R,15,FALSE)="武器",VLOOKUP($E70,武器奇术!$A:$R,17,FALSE)="裂石"),$E$3*(1+$E$15),0)</f>
        <v>0</v>
      </c>
      <c r="BK70" s="102">
        <f t="shared" si="19"/>
        <v>0</v>
      </c>
      <c r="BL70" s="102">
        <f>MAX($C$9*IF($G$5="撼天",1.05,1)+IF(AND(VLOOKUP($E70,武器奇术!$A:$R,15,FALSE)="武器",VLOOKUP($E70,武器奇术!$A:$R,17,FALSE)="裂石"),$E$3*(1+$E$15),0),BJ70)</f>
        <v>0</v>
      </c>
      <c r="BM70" s="104">
        <f>IF(($D$9+IF(VLOOKUP($E70,武器奇术!$A:$R,17,FALSE)="裂石",$D$15,0)-VLOOKUP($F$7,目标属性!$A:$R,6,FALSE))&gt;0,($D$9+IF(VLOOKUP($E70,武器奇术!$A:$R,17,FALSE)="裂石",$D$15,0)-VLOOKUP($F$7,目标属性!$A:$R,6,FALSE))/200,($D$9+IF(VLOOKUP($E70,武器奇术!$A:$R,17,FALSE)="裂石",$D$15,0)-VLOOKUP($F$7,目标属性!$A:$R,6,FALSE))/100)</f>
        <v>-0.24</v>
      </c>
      <c r="BN70" s="111">
        <f t="shared" si="20"/>
        <v>0</v>
      </c>
      <c r="BO70" s="102">
        <v>1</v>
      </c>
      <c r="BP70" s="103">
        <f>BJ70*IF(VLOOKUP($E70,武器奇术!$A:$R,17,FALSE)="裂石",VLOOKUP($E70,武器奇术!$A:$R,4,FALSE),VLOOKUP($E70,武器奇术!$A:$R,2,FALSE))*(1+BM70)*(1+BN70)*BO70</f>
        <v>0</v>
      </c>
      <c r="BQ70" s="104">
        <f>(1-IF(VLOOKUP($E70,武器奇术!$A:$R,18,FALSE)="叶龙",1,$N70))*(1-$M70)</f>
        <v>0</v>
      </c>
      <c r="BR70" s="103">
        <f>BK70*IF(VLOOKUP($E70,武器奇术!$A:$R,17,FALSE)="裂石",VLOOKUP($E70,武器奇术!$A:$R,4,FALSE),VLOOKUP($E70,武器奇术!$A:$R,2,FALSE))*(1+BM70)*(1+BN70)*BO70*(1+$E$16+VLOOKUP($E70,武器奇术!$A:$R,8,FALSE))</f>
        <v>0</v>
      </c>
      <c r="BS70" s="104">
        <f t="shared" si="21"/>
        <v>0.8703</v>
      </c>
      <c r="BT70" s="103">
        <f>BL70*IF(VLOOKUP($E70,武器奇术!$A:$R,17,FALSE)="裂石",VLOOKUP($E70,武器奇术!$A:$R,4,FALSE),VLOOKUP($E70,武器奇术!$A:$R,2,FALSE))*(1+BM70)*(1+BN70)*BO70*(1+$E$17+VLOOKUP($E70,武器奇术!$A:$R,10,FALSE))</f>
        <v>0</v>
      </c>
      <c r="BU70" s="104">
        <f t="shared" si="22"/>
        <v>0.0986</v>
      </c>
      <c r="BV70" s="103">
        <f>BK70*IF(VLOOKUP($E70,武器奇术!$A:$R,17,FALSE)="裂石",VLOOKUP($E70,武器奇术!$A:$R,4,FALSE),VLOOKUP($E70,武器奇术!$A:$R,2,FALSE))*(1+BM70)*(1+BN70)*BO70</f>
        <v>0</v>
      </c>
      <c r="BW70" s="104">
        <f t="shared" si="23"/>
        <v>0.0311</v>
      </c>
      <c r="BX70" s="112">
        <f t="shared" si="24"/>
        <v>0</v>
      </c>
      <c r="BY70" s="110">
        <f>$B$11*IF($G$5="撼天",1.05,1)+IF(AND(VLOOKUP($E70,武器奇术!$A:$R,15,FALSE)="武器",VLOOKUP($E70,武器奇术!$A:$R,17,FALSE)="牵丝"),$E$3*(1+$E$15),0)</f>
        <v>686.71</v>
      </c>
      <c r="BZ70" s="102">
        <f>IF(VLOOKUP($E70,武器奇术!$A:$Z,18,FALSE)="叶龙",(CA70-(BY70+CA70)*0.5)*($G$15-0.5)*2+(BY70+CA70)*0.5,(BY70+CA70)*0.5)</f>
        <v>1052.21</v>
      </c>
      <c r="CA70" s="102">
        <f>MAX($C$11*IF($G$5="撼天",1.05,1)+IF(AND(VLOOKUP($E70,武器奇术!$A:$R,15,FALSE)="武器",VLOOKUP($E70,武器奇术!$A:$R,17,FALSE)="牵丝"),$E$3*(1+$E$15),0),BY70)</f>
        <v>1417.71</v>
      </c>
      <c r="CB70" s="104">
        <f>IF(($D$11+IF(VLOOKUP($E70,武器奇术!$A:$R,17,FALSE)="牵丝",$D$15,0)-VLOOKUP($F$7,目标属性!$A:$R,6,FALSE))&gt;0,($D$11+IF(VLOOKUP($E70,武器奇术!$A:$R,17,FALSE)="牵丝",$D$15,0)-VLOOKUP($F$7,目标属性!$A:$R,6,FALSE))/200,($D$11+IF(VLOOKUP($E70,武器奇术!$A:$R,17,FALSE)="牵丝",$D$15,0)-VLOOKUP($F$7,目标属性!$A:$R,6,FALSE))/100)</f>
        <v>0.028</v>
      </c>
      <c r="CC70" s="111">
        <f>$E$11+IF($G$5="烟柳",IF(VLOOKUP($E70,武器奇术!$A:$T,20,FALSE)=1,0.1,0),0)</f>
        <v>0.248</v>
      </c>
      <c r="CD70" s="102">
        <v>1</v>
      </c>
      <c r="CE70" s="103">
        <f>BY70*IF(VLOOKUP($E70,武器奇术!$A:$R,17,FALSE)="牵丝",VLOOKUP($E70,武器奇术!$A:$R,4,FALSE),VLOOKUP($E70,武器奇术!$A:$R,2,FALSE))*(1+CB70)*(1+CC70)*CD70</f>
        <v>2245.87190093261</v>
      </c>
      <c r="CF70" s="104">
        <f>(1-IF(VLOOKUP($E70,武器奇术!$A:$R,18,FALSE)="叶龙",1,$N70))*(1-$M70)</f>
        <v>0</v>
      </c>
      <c r="CG70" s="124">
        <f>BZ70*IF(VLOOKUP($E70,武器奇术!$A:$R,17,FALSE)="牵丝",VLOOKUP($E70,武器奇术!$A:$R,4,FALSE),VLOOKUP($E70,武器奇术!$A:$R,2,FALSE))*(1+CB70)*(1+CC70)*CD70*(1+$E$16+VLOOKUP($E70,武器奇术!$A:$R,8,FALSE))</f>
        <v>5657.38647611832</v>
      </c>
      <c r="CH70" s="104">
        <f t="shared" si="25"/>
        <v>0.8703</v>
      </c>
      <c r="CI70" s="103">
        <f>CA70*IF(VLOOKUP($E70,武器奇术!$A:$R,17,FALSE)="牵丝",VLOOKUP($E70,武器奇术!$A:$R,4,FALSE),VLOOKUP($E70,武器奇术!$A:$R,2,FALSE))*(1+CB70)*(1+CC70)*CD70*(1+$E$17+VLOOKUP($E70,武器奇术!$A:$R,10,FALSE))</f>
        <v>6259.4010879499</v>
      </c>
      <c r="CJ70" s="104">
        <f t="shared" si="26"/>
        <v>0.0986</v>
      </c>
      <c r="CK70" s="124">
        <f>BZ70*IF(VLOOKUP($E70,武器奇术!$A:$R,17,FALSE)="牵丝",VLOOKUP($E70,武器奇术!$A:$R,4,FALSE),VLOOKUP($E70,武器奇术!$A:$R,2,FALSE))*(1+CB70)*(1+CC70)*CD70</f>
        <v>3441.23264970701</v>
      </c>
      <c r="CL70" s="104">
        <f t="shared" si="27"/>
        <v>0.0311</v>
      </c>
      <c r="CM70" s="112">
        <f t="shared" si="28"/>
        <v>5647.82273284352</v>
      </c>
      <c r="CN70" s="110">
        <f>$B$13*IF($G$5="撼天",1.05,1)+IF(AND(VLOOKUP($E70,武器奇术!$A:$R,15,FALSE)="武器",VLOOKUP($E70,武器奇术!$A:$R,17,FALSE)="破竹"),$E$3*(1+$E$15),0)</f>
        <v>0</v>
      </c>
      <c r="CO70" s="102">
        <f t="shared" si="29"/>
        <v>0</v>
      </c>
      <c r="CP70" s="102">
        <f>MAX($C$13*IF($G$5="撼天",1.05,1)+IF(AND(VLOOKUP($E70,武器奇术!$A:$R,15,FALSE)="武器",VLOOKUP($E70,武器奇术!$A:$R,17,FALSE)="破竹"),$E$3*(1+$E$15),0),CN70)</f>
        <v>0</v>
      </c>
      <c r="CQ70" s="104">
        <f>IF(($D$13+IF(VLOOKUP($E70,武器奇术!$A:$R,17,FALSE)="破竹",$D$15,0)-VLOOKUP($F$7,目标属性!$A:$R,6,FALSE))&gt;0,($D$13+IF(VLOOKUP($E70,武器奇术!$A:$R,17,FALSE)="破竹",$D$15,0)-VLOOKUP($F$7,目标属性!$A:$R,6,FALSE))/200,($D$13+IF(VLOOKUP($E70,武器奇术!$A:$R,17,FALSE)="破竹",$D$15,0)-VLOOKUP($F$7,目标属性!$A:$R,6,FALSE))/100)</f>
        <v>-0.24</v>
      </c>
      <c r="CR70" s="111">
        <f t="shared" si="30"/>
        <v>0</v>
      </c>
      <c r="CS70" s="102">
        <v>1</v>
      </c>
      <c r="CT70" s="103">
        <f>CN70*IF(VLOOKUP($E70,武器奇术!$A:$R,17,FALSE)="破竹",VLOOKUP($E70,武器奇术!$A:$R,4,FALSE),VLOOKUP($E70,武器奇术!$A:$R,2,FALSE))*(1+CQ70)*(1+CR70)*CS70</f>
        <v>0</v>
      </c>
      <c r="CU70" s="104">
        <f>(1-IF(VLOOKUP($E70,武器奇术!$A:$R,18,FALSE)="叶龙",1,$N70))*(1-$M70)</f>
        <v>0</v>
      </c>
      <c r="CV70" s="103">
        <f>CO70*IF(VLOOKUP($E70,武器奇术!$A:$R,17,FALSE)="破竹",VLOOKUP($E70,武器奇术!$A:$R,4,FALSE),VLOOKUP($E70,武器奇术!$A:$R,2,FALSE))*(1+CQ70)*(1+CR70)*CS70*(1+$E$16+VLOOKUP($E70,武器奇术!$A:$R,8,FALSE))</f>
        <v>0</v>
      </c>
      <c r="CW70" s="104">
        <f t="shared" si="31"/>
        <v>0.8703</v>
      </c>
      <c r="CX70" s="103">
        <f>CP70*IF(VLOOKUP($E70,武器奇术!$A:$R,17,FALSE)="破竹",VLOOKUP($E70,武器奇术!$A:$R,4,FALSE),VLOOKUP($E70,武器奇术!$A:$R,2,FALSE))*(1+CQ70)*(1+CR70)*CS70*(1+$E$17+VLOOKUP($E70,武器奇术!$A:$R,10,FALSE))</f>
        <v>0</v>
      </c>
      <c r="CY70" s="104">
        <f t="shared" si="32"/>
        <v>0.0986</v>
      </c>
      <c r="CZ70" s="103">
        <f>CO70*IF(VLOOKUP($E70,武器奇术!$A:$R,17,FALSE)="破竹",VLOOKUP($E70,武器奇术!$A:$R,4,FALSE),VLOOKUP($E70,武器奇术!$A:$R,2,FALSE))*(1+CQ70)*(1+CR70)*CS70</f>
        <v>0</v>
      </c>
      <c r="DA70" s="104">
        <f t="shared" si="33"/>
        <v>0.0311</v>
      </c>
      <c r="DB70" s="112">
        <f t="shared" si="34"/>
        <v>0</v>
      </c>
      <c r="DC70" s="110">
        <f t="shared" si="35"/>
        <v>66</v>
      </c>
      <c r="DD70" s="102">
        <f t="shared" si="36"/>
        <v>125.8</v>
      </c>
      <c r="DE70" s="102">
        <f t="shared" si="37"/>
        <v>185.6</v>
      </c>
      <c r="DF70" s="104">
        <f>IF((IF(VLOOKUP($E70,武器奇术!$A:$R,17,FALSE)="鸣金",$D$7,0)+IF(VLOOKUP($E70,武器奇术!$A:$R,17,FALSE)="裂石",$D$9,0)+IF(VLOOKUP($E70,武器奇术!$A:$R,17,FALSE)="牵丝",$D$11,0)+IF(VLOOKUP($E70,武器奇术!$A:$R,17,FALSE)="破竹",$D$13,0)+$D$15-VLOOKUP($F$7,目标属性!$A:$R,6,FALSE))&gt;0,(IF(VLOOKUP($E70,武器奇术!$A:$R,17,FALSE)="鸣金",$D$7,0)+IF(VLOOKUP($E70,武器奇术!$A:$R,17,FALSE)="裂石",$D$9,0)+IF(VLOOKUP($E70,武器奇术!$A:$R,17,FALSE)="牵丝",$D$11,0)+IF(VLOOKUP($E70,武器奇术!$A:$R,17,FALSE)="破竹",$D$13,0)+$D$15-VLOOKUP($F$7,目标属性!$A:$R,6,FALSE))/200,(IF(VLOOKUP($E70,武器奇术!$A:$R,17,FALSE)="鸣金",$D$7,0)+IF(VLOOKUP($E70,武器奇术!$A:$R,17,FALSE)="裂石",$D$9,0)+IF(VLOOKUP($E70,武器奇术!$A:$R,17,FALSE)="牵丝",$D$11,0)+IF(VLOOKUP($E70,武器奇术!$A:$R,17,FALSE)="破竹",$D$13,0)+$D$15-VLOOKUP($F$7,目标属性!$A:$R,6,FALSE))/100)</f>
        <v>0.028</v>
      </c>
      <c r="DG70" s="111">
        <f>$E$11+IF($G$5="烟柳",IF(VLOOKUP($E70,武器奇术!$A:$T,20,FALSE)=1,0.1,0),0)</f>
        <v>0.248</v>
      </c>
      <c r="DH70" s="102">
        <v>1</v>
      </c>
      <c r="DI70" s="103">
        <f>DC70*IF(VLOOKUP($E70,武器奇术!$A:$R,17,FALSE)="牵丝",VLOOKUP($E70,武器奇术!$A:$R,4,FALSE),VLOOKUP($E70,武器奇术!$A:$R,2,FALSE))*(1+DF70)*(1+DG70)*DH70</f>
        <v>215.8517357568</v>
      </c>
      <c r="DJ70" s="104">
        <f>(1-IF(VLOOKUP($E70,武器奇术!$A:$R,18,FALSE)="叶龙",1,$N70))*(1-$M70)</f>
        <v>0</v>
      </c>
      <c r="DK70" s="124">
        <f>DD70*IF(VLOOKUP($E70,武器奇术!$A:$R,17,FALSE)="牵丝",VLOOKUP($E70,武器奇术!$A:$R,4,FALSE),VLOOKUP($E70,武器奇术!$A:$R,2,FALSE))*(1+DF70)*(1+DG70)*DH70*(1+$E$16+VLOOKUP($E70,武器奇术!$A:$R,8,FALSE))</f>
        <v>676.385150013481</v>
      </c>
      <c r="DL70" s="104">
        <f t="shared" si="38"/>
        <v>0.8703</v>
      </c>
      <c r="DM70" s="103">
        <f>DE70*IF(VLOOKUP($E70,武器奇术!$A:$R,17,FALSE)="牵丝",VLOOKUP($E70,武器奇术!$A:$R,4,FALSE),VLOOKUP($E70,武器奇术!$A:$R,2,FALSE))*(1+DF70)*(1+DG70)*DH70*(1+$E$17+VLOOKUP($E70,武器奇术!$A:$R,10,FALSE))</f>
        <v>819.451680473088</v>
      </c>
      <c r="DN70" s="104">
        <f t="shared" si="39"/>
        <v>0.0986</v>
      </c>
      <c r="DO70" s="124">
        <f>DD70*IF(VLOOKUP($E70,武器奇术!$A:$R,17,FALSE)="牵丝",VLOOKUP($E70,武器奇术!$A:$R,4,FALSE),VLOOKUP($E70,武器奇术!$A:$R,2,FALSE))*(1+DF70)*(1+DG70)*DH70</f>
        <v>411.42649027584</v>
      </c>
      <c r="DP70" s="104">
        <f t="shared" si="40"/>
        <v>0.0311</v>
      </c>
      <c r="DQ70" s="112">
        <f t="shared" si="41"/>
        <v>682.251295598958</v>
      </c>
    </row>
    <row r="71" customFormat="1" customHeight="1" spans="1:121">
      <c r="A71" s="139"/>
      <c r="B71" s="139"/>
      <c r="C71" s="139"/>
      <c r="D71" s="139"/>
      <c r="E71" s="115" t="str">
        <f>期望!E71</f>
        <v>丢伞(大纵)</v>
      </c>
      <c r="F71" s="116">
        <f>期望!F71</f>
        <v>1</v>
      </c>
      <c r="G71" s="117"/>
      <c r="H71" s="103">
        <f>IF(VLOOKUP($E71,武器奇术!$A:$R,18,FALSE)="天工",AE71,(AE71+AT71+BI71+BX71+CM71+DB71+DQ71))*(1+J71)*F71*K71*(1+G71)</f>
        <v>8854.54857253577</v>
      </c>
      <c r="I71" s="104">
        <f t="shared" si="0"/>
        <v>0.00102048634994649</v>
      </c>
      <c r="J71" s="104">
        <f>$F$3+VLOOKUP($E71,武器奇术!$A:$R,12,FALSE)+VLOOKUP($E71,武器奇术!$A:$R,14,FALSE)*$G$3+$P71</f>
        <v>0.503</v>
      </c>
      <c r="K71" s="105">
        <f>VLOOKUP($E71,武器奇术!$A:$R,11,FALSE)</f>
        <v>1</v>
      </c>
      <c r="L71" s="119">
        <f>IF(VLOOKUP($E71,武器奇术!$A:$R,15,FALSE)="天工",0%,IF($C$17+VLOOKUP($E71,武器奇术!$A:$R,7,FALSE)&gt;80%,80%,$C$17+VLOOKUP($E71,武器奇术!$A:$R,7,FALSE))+IF($C$19&gt;20%,20%,$C$19))</f>
        <v>0.8703</v>
      </c>
      <c r="M71" s="120">
        <f>IF(VLOOKUP($E71,武器奇术!$A:$R,15,FALSE)="天工",0%,IF($C$18+VLOOKUP($E71,武器奇术!$A:$R,9,FALSE)&gt;40%,40%,$C$18+VLOOKUP($E71,武器奇术!$A:$R,9,FALSE))+IF($C$20&gt;10%,10%,$C$20))</f>
        <v>0.0986</v>
      </c>
      <c r="N71" s="121">
        <f>IF(VLOOKUP($E71,武器奇术!$A:$R,15,FALSE)="天工",100%,MIN($C$16,1))</f>
        <v>1</v>
      </c>
      <c r="O71" s="122" t="str">
        <f>VLOOKUP($E71,武器奇术!$A:$R,16,FALSE)</f>
        <v>伞</v>
      </c>
      <c r="P71" s="123">
        <f t="shared" si="1"/>
        <v>0.17</v>
      </c>
      <c r="Q71" s="110">
        <f>$B$5*(1+VLOOKUP($E71,武器奇术!$A:$R,5,FALSE))*(1+VLOOKUP($E71,武器奇术!$A:$S,19,FALSE)+IF($G$5="飞隼",0.1,0)+IF($G$5="撼天",0.05,0))-$F$9+IF($J$5="√",160,0)</f>
        <v>3324.7</v>
      </c>
      <c r="R71" s="102">
        <f>IF(VLOOKUP($E71,武器奇术!$A:$Z,18,FALSE)="叶龙",(S71-(Q71+S71)*0.5)*($G$15-0.5)*2+(Q71+S71)*0.5,(Q71+S71)*0.5)</f>
        <v>3404.7</v>
      </c>
      <c r="S71" s="102">
        <f>MAX($C$5,$B$5)*(1+VLOOKUP($E71,武器奇术!$A:$R,6,FALSE))*(1+VLOOKUP($E71,武器奇术!$A:$S,19,FALSE)+IF($G$5="飞隼",0.1,0)+IF($G$5="撼天",0.05,0))-$F$9+IF($J$5="√",320,0)</f>
        <v>3484.7</v>
      </c>
      <c r="T71" s="104">
        <f>IF(($D$5+VLOOKUP($E71,武器奇术!$A:$R,13,FALSE)+IF($I$3="√",10,0)-VLOOKUP($F$7,目标属性!$A:$R,5,FALSE))&gt;0,($D$5+VLOOKUP($E71,武器奇术!$A:$R,13,FALSE)+IF($I$3="√",10,0)-VLOOKUP($F$7,目标属性!$A:$R,5,FALSE))/200,($D$5+VLOOKUP($E71,武器奇术!$A:$R,13,FALSE)+IF($I$3="√",10,0)-VLOOKUP($F$7,目标属性!$A:$R,5,FALSE))/100)</f>
        <v>0.2675</v>
      </c>
      <c r="U71" s="111">
        <f>$E$5+IF($G$5="烟柳",IF(VLOOKUP($E71,武器奇术!$A:$T,20,FALSE)=1,0.1,0),0)</f>
        <v>0</v>
      </c>
      <c r="V71" s="102">
        <v>1</v>
      </c>
      <c r="W71" s="103">
        <f>Q71*VLOOKUP($E71,武器奇术!$A:$R,2,FALSE)*(1+T71)*(1+U71)*V71</f>
        <v>2271.37685775</v>
      </c>
      <c r="X71" s="104">
        <f>(1-IF(VLOOKUP($E71,武器奇术!$A:$R,18,FALSE)="叶龙",1,$N71))*(1-$M71)</f>
        <v>0</v>
      </c>
      <c r="Y71" s="103">
        <f>R71*VLOOKUP($E71,武器奇术!$A:$R,2,FALSE)*(1+T71)*(1+U71)*V71*(1+$E$16+VLOOKUP($E71,武器奇术!$A:$R,8,FALSE))</f>
        <v>3823.995716541</v>
      </c>
      <c r="Z71" s="104">
        <f t="shared" si="2"/>
        <v>0.8703</v>
      </c>
      <c r="AA71" s="103">
        <f>S71*VLOOKUP($E71,武器奇术!$A:$R,2,FALSE)*(1+T71)*(1+U71)*V71*(1+$E$17+VLOOKUP($E71,武器奇术!$A:$R,10,FALSE))</f>
        <v>3213.9261779625</v>
      </c>
      <c r="AB71" s="104">
        <f t="shared" si="3"/>
        <v>0.0986</v>
      </c>
      <c r="AC71" s="103">
        <f>R71*VLOOKUP($E71,武器奇术!$A:$R,2,FALSE)*(1+T71)*(1+U71)*V71</f>
        <v>2326.03145775</v>
      </c>
      <c r="AD71" s="104">
        <f t="shared" si="4"/>
        <v>0.0311</v>
      </c>
      <c r="AE71" s="112">
        <f t="shared" si="5"/>
        <v>3717.25617158876</v>
      </c>
      <c r="AF71" s="113">
        <f>VLOOKUP($E71,武器奇术!$A:$R,3,FALSE)*(1+IF(VLOOKUP($E71,武器奇术!$A:$R,15,FALSE)="武器",$E$15,0))</f>
        <v>161.8617</v>
      </c>
      <c r="AG71" s="103">
        <f t="shared" si="6"/>
        <v>161.8617</v>
      </c>
      <c r="AH71" s="103">
        <f>VLOOKUP($E71,武器奇术!$A:$R,3,FALSE)*(1+IF(VLOOKUP($E71,武器奇术!$A:$R,15,FALSE)="武器",$E$15,0))</f>
        <v>161.8617</v>
      </c>
      <c r="AI71" s="104">
        <f>IF(($D$5+VLOOKUP($E71,武器奇术!$A:$R,13,FALSE)+IF($I$3="√",10,0)-VLOOKUP($F$7,目标属性!$A:$R,5,FALSE))&gt;0,($D$5+VLOOKUP($E71,武器奇术!$A:$R,13,FALSE)+IF($I$3="√",10,0)-VLOOKUP($F$7,目标属性!$A:$R,5,FALSE))/200,($D$5+VLOOKUP($E71,武器奇术!$A:$R,13,FALSE)+IF($I$3="√",10,0)-VLOOKUP($F$7,目标属性!$A:$R,5,FALSE))/100)</f>
        <v>0.2675</v>
      </c>
      <c r="AJ71" s="111">
        <f>$E$5+IF($G$5="烟柳",IF(VLOOKUP($E71,武器奇术!$A:$T,20,FALSE)=1,0.1,0),0)</f>
        <v>0</v>
      </c>
      <c r="AK71" s="102">
        <v>1</v>
      </c>
      <c r="AL71" s="103">
        <f t="shared" si="7"/>
        <v>205.15970475</v>
      </c>
      <c r="AM71" s="104">
        <f>(1-IF(VLOOKUP($E71,武器奇术!$A:$R,18,FALSE)="叶龙",1,$N71))*(1-$M71)</f>
        <v>0</v>
      </c>
      <c r="AN71" s="103">
        <f>AG71*(1+AI71)*(1+AJ71)*AK71*(1+$E$16+VLOOKUP($E71,武器奇术!$A:$R,8,FALSE))</f>
        <v>337.282554609</v>
      </c>
      <c r="AO71" s="104">
        <f t="shared" si="8"/>
        <v>0.8703</v>
      </c>
      <c r="AP71" s="103">
        <f>AH71*(1+AI71)*(1+AJ71)*AK71*(1+$E$17+VLOOKUP($E71,武器奇术!$A:$R,10,FALSE))</f>
        <v>276.9656014125</v>
      </c>
      <c r="AQ71" s="104">
        <f t="shared" si="9"/>
        <v>0.0986</v>
      </c>
      <c r="AR71" s="103">
        <f t="shared" si="10"/>
        <v>205.15970475</v>
      </c>
      <c r="AS71" s="104">
        <f t="shared" si="11"/>
        <v>0.0311</v>
      </c>
      <c r="AT71" s="112">
        <f t="shared" si="12"/>
        <v>327.22628239321</v>
      </c>
      <c r="AU71" s="110">
        <f>$B$7*IF($G$5="撼天",1.05,1)+IF(AND(VLOOKUP($E71,武器奇术!$A:$R,15,FALSE)="武器",VLOOKUP($E71,武器奇术!$A:$R,17,FALSE)="鸣金"),$E$3*(1+$E$15),0)</f>
        <v>0</v>
      </c>
      <c r="AV71" s="102">
        <f t="shared" si="13"/>
        <v>0</v>
      </c>
      <c r="AW71" s="102">
        <f>MAX($C$7*IF($G$5="撼天",1.05,1)+IF(AND(VLOOKUP($E71,武器奇术!$A:$R,15,FALSE)="武器",VLOOKUP($E71,武器奇术!$A:$R,17,FALSE)="鸣金"),$E$3*(1+$E$15),0),AU71)</f>
        <v>0</v>
      </c>
      <c r="AX71" s="104">
        <f>IF(($D$7+IF(VLOOKUP($E71,武器奇术!$A:$R,17,FALSE)="鸣金",$D$15,0)-VLOOKUP($F$7,目标属性!$A:$R,6,FALSE))&gt;0,($D$7+IF(VLOOKUP($E71,武器奇术!$A:$R,17,FALSE)="鸣金",$D$15,0)-VLOOKUP($F$7,目标属性!$A:$R,6,FALSE))/200,($D$7+IF(VLOOKUP($E71,武器奇术!$A:$R,17,FALSE)="鸣金",$D$15,0)-VLOOKUP($F$7,目标属性!$A:$R,6,FALSE))/100)</f>
        <v>-0.24</v>
      </c>
      <c r="AY71" s="111">
        <f t="shared" si="14"/>
        <v>0</v>
      </c>
      <c r="AZ71" s="102">
        <v>1</v>
      </c>
      <c r="BA71" s="103">
        <f>AU71*IF(VLOOKUP($E71,武器奇术!$A:$R,17,FALSE)="鸣金",VLOOKUP($E71,武器奇术!$A:$R,4,FALSE),VLOOKUP($E71,武器奇术!$A:$R,2,FALSE))*(1+AX71)*(1+AY71)*AZ71</f>
        <v>0</v>
      </c>
      <c r="BB71" s="104">
        <f>(1-IF(VLOOKUP($E71,武器奇术!$A:$R,18,FALSE)="叶龙",1,$N71))*(1-$M71)</f>
        <v>0</v>
      </c>
      <c r="BC71" s="103">
        <f>AV71*IF(VLOOKUP($E71,武器奇术!$A:$R,17,FALSE)="鸣金",VLOOKUP($E71,武器奇术!$A:$R,4,FALSE),VLOOKUP($E71,武器奇术!$A:$R,2,FALSE))*(1+AX71)*(1+AY71)*AZ71*(1+$E$16+VLOOKUP($E71,武器奇术!$A:$R,8,FALSE))</f>
        <v>0</v>
      </c>
      <c r="BD71" s="104">
        <f t="shared" si="15"/>
        <v>0.8703</v>
      </c>
      <c r="BE71" s="103">
        <f>AW71*IF(VLOOKUP($E71,武器奇术!$A:$R,17,FALSE)="鸣金",VLOOKUP($E71,武器奇术!$A:$R,4,FALSE),VLOOKUP($E71,武器奇术!$A:$R,2,FALSE))*(1+AX71)*(1+AY71)*AZ71*(1+$E$17+VLOOKUP($E71,武器奇术!$A:$R,10,FALSE))</f>
        <v>0</v>
      </c>
      <c r="BF71" s="104">
        <f t="shared" si="16"/>
        <v>0.0986</v>
      </c>
      <c r="BG71" s="103">
        <f>AV71*IF(VLOOKUP($E71,武器奇术!$A:$R,17,FALSE)="鸣金",VLOOKUP($E71,武器奇术!$A:$R,4,FALSE),VLOOKUP($E71,武器奇术!$A:$R,2,FALSE))*(1+AX71)*(1+AY71)*AZ71</f>
        <v>0</v>
      </c>
      <c r="BH71" s="104">
        <f t="shared" si="17"/>
        <v>0.0311</v>
      </c>
      <c r="BI71" s="112">
        <f t="shared" si="18"/>
        <v>0</v>
      </c>
      <c r="BJ71" s="110">
        <f>$B$9*IF($G$5="撼天",1.05,1)+IF(AND(VLOOKUP($E71,武器奇术!$A:$R,15,FALSE)="武器",VLOOKUP($E71,武器奇术!$A:$R,17,FALSE)="裂石"),$E$3*(1+$E$15),0)</f>
        <v>0</v>
      </c>
      <c r="BK71" s="102">
        <f t="shared" si="19"/>
        <v>0</v>
      </c>
      <c r="BL71" s="102">
        <f>MAX($C$9*IF($G$5="撼天",1.05,1)+IF(AND(VLOOKUP($E71,武器奇术!$A:$R,15,FALSE)="武器",VLOOKUP($E71,武器奇术!$A:$R,17,FALSE)="裂石"),$E$3*(1+$E$15),0),BJ71)</f>
        <v>0</v>
      </c>
      <c r="BM71" s="104">
        <f>IF(($D$9+IF(VLOOKUP($E71,武器奇术!$A:$R,17,FALSE)="裂石",$D$15,0)-VLOOKUP($F$7,目标属性!$A:$R,6,FALSE))&gt;0,($D$9+IF(VLOOKUP($E71,武器奇术!$A:$R,17,FALSE)="裂石",$D$15,0)-VLOOKUP($F$7,目标属性!$A:$R,6,FALSE))/200,($D$9+IF(VLOOKUP($E71,武器奇术!$A:$R,17,FALSE)="裂石",$D$15,0)-VLOOKUP($F$7,目标属性!$A:$R,6,FALSE))/100)</f>
        <v>-0.24</v>
      </c>
      <c r="BN71" s="111">
        <f t="shared" si="20"/>
        <v>0</v>
      </c>
      <c r="BO71" s="102">
        <v>1</v>
      </c>
      <c r="BP71" s="103">
        <f>BJ71*IF(VLOOKUP($E71,武器奇术!$A:$R,17,FALSE)="裂石",VLOOKUP($E71,武器奇术!$A:$R,4,FALSE),VLOOKUP($E71,武器奇术!$A:$R,2,FALSE))*(1+BM71)*(1+BN71)*BO71</f>
        <v>0</v>
      </c>
      <c r="BQ71" s="104">
        <f>(1-IF(VLOOKUP($E71,武器奇术!$A:$R,18,FALSE)="叶龙",1,$N71))*(1-$M71)</f>
        <v>0</v>
      </c>
      <c r="BR71" s="103">
        <f>BK71*IF(VLOOKUP($E71,武器奇术!$A:$R,17,FALSE)="裂石",VLOOKUP($E71,武器奇术!$A:$R,4,FALSE),VLOOKUP($E71,武器奇术!$A:$R,2,FALSE))*(1+BM71)*(1+BN71)*BO71*(1+$E$16+VLOOKUP($E71,武器奇术!$A:$R,8,FALSE))</f>
        <v>0</v>
      </c>
      <c r="BS71" s="104">
        <f t="shared" si="21"/>
        <v>0.8703</v>
      </c>
      <c r="BT71" s="103">
        <f>BL71*IF(VLOOKUP($E71,武器奇术!$A:$R,17,FALSE)="裂石",VLOOKUP($E71,武器奇术!$A:$R,4,FALSE),VLOOKUP($E71,武器奇术!$A:$R,2,FALSE))*(1+BM71)*(1+BN71)*BO71*(1+$E$17+VLOOKUP($E71,武器奇术!$A:$R,10,FALSE))</f>
        <v>0</v>
      </c>
      <c r="BU71" s="104">
        <f t="shared" si="22"/>
        <v>0.0986</v>
      </c>
      <c r="BV71" s="103">
        <f>BK71*IF(VLOOKUP($E71,武器奇术!$A:$R,17,FALSE)="裂石",VLOOKUP($E71,武器奇术!$A:$R,4,FALSE),VLOOKUP($E71,武器奇术!$A:$R,2,FALSE))*(1+BM71)*(1+BN71)*BO71</f>
        <v>0</v>
      </c>
      <c r="BW71" s="104">
        <f t="shared" si="23"/>
        <v>0.0311</v>
      </c>
      <c r="BX71" s="112">
        <f t="shared" si="24"/>
        <v>0</v>
      </c>
      <c r="BY71" s="110">
        <f>$B$11*IF($G$5="撼天",1.05,1)+IF(AND(VLOOKUP($E71,武器奇术!$A:$R,15,FALSE)="武器",VLOOKUP($E71,武器奇术!$A:$R,17,FALSE)="牵丝"),$E$3*(1+$E$15),0)</f>
        <v>686.71</v>
      </c>
      <c r="BZ71" s="102">
        <f>IF(VLOOKUP($E71,武器奇术!$A:$Z,18,FALSE)="叶龙",(CA71-(BY71+CA71)*0.5)*($G$15-0.5)*2+(BY71+CA71)*0.5,(BY71+CA71)*0.5)</f>
        <v>1052.21</v>
      </c>
      <c r="CA71" s="102">
        <f>MAX($C$11*IF($G$5="撼天",1.05,1)+IF(AND(VLOOKUP($E71,武器奇术!$A:$R,15,FALSE)="武器",VLOOKUP($E71,武器奇术!$A:$R,17,FALSE)="牵丝"),$E$3*(1+$E$15),0),BY71)</f>
        <v>1417.71</v>
      </c>
      <c r="CB71" s="104">
        <f>IF(($D$11+IF(VLOOKUP($E71,武器奇术!$A:$R,17,FALSE)="牵丝",$D$15,0)-VLOOKUP($F$7,目标属性!$A:$R,6,FALSE))&gt;0,($D$11+IF(VLOOKUP($E71,武器奇术!$A:$R,17,FALSE)="牵丝",$D$15,0)-VLOOKUP($F$7,目标属性!$A:$R,6,FALSE))/200,($D$11+IF(VLOOKUP($E71,武器奇术!$A:$R,17,FALSE)="牵丝",$D$15,0)-VLOOKUP($F$7,目标属性!$A:$R,6,FALSE))/100)</f>
        <v>0.028</v>
      </c>
      <c r="CC71" s="111">
        <f>$E$11+IF($G$5="烟柳",IF(VLOOKUP($E71,武器奇术!$A:$T,20,FALSE)=1,0.1,0),0)</f>
        <v>0.148</v>
      </c>
      <c r="CD71" s="102">
        <v>1</v>
      </c>
      <c r="CE71" s="103">
        <f>BY71*IF(VLOOKUP($E71,武器奇术!$A:$R,17,FALSE)="牵丝",VLOOKUP($E71,武器奇术!$A:$R,4,FALSE),VLOOKUP($E71,武器奇术!$A:$R,2,FALSE))*(1+CB71)*(1+CC71)*CD71</f>
        <v>655.22189082504</v>
      </c>
      <c r="CF71" s="104">
        <f>(1-IF(VLOOKUP($E71,武器奇术!$A:$R,18,FALSE)="叶龙",1,$N71))*(1-$M71)</f>
        <v>0</v>
      </c>
      <c r="CG71" s="124">
        <f>BZ71*IF(VLOOKUP($E71,武器奇术!$A:$R,17,FALSE)="牵丝",VLOOKUP($E71,武器奇术!$A:$R,4,FALSE),VLOOKUP($E71,武器奇术!$A:$R,2,FALSE))*(1+CB71)*(1+CC71)*CD71*(1+$E$16+VLOOKUP($E71,武器奇术!$A:$R,8,FALSE))</f>
        <v>1650.51420006233</v>
      </c>
      <c r="CH71" s="104">
        <f t="shared" si="25"/>
        <v>0.8703</v>
      </c>
      <c r="CI71" s="103">
        <f>CA71*IF(VLOOKUP($E71,武器奇术!$A:$R,17,FALSE)="牵丝",VLOOKUP($E71,武器奇术!$A:$R,4,FALSE),VLOOKUP($E71,武器奇术!$A:$R,2,FALSE))*(1+CB71)*(1+CC71)*CD71*(1+$E$17+VLOOKUP($E71,武器奇术!$A:$R,10,FALSE))</f>
        <v>1826.1489511382</v>
      </c>
      <c r="CJ71" s="104">
        <f t="shared" si="26"/>
        <v>0.0986</v>
      </c>
      <c r="CK71" s="124">
        <f>BZ71*IF(VLOOKUP($E71,武器奇术!$A:$R,17,FALSE)="牵丝",VLOOKUP($E71,武器奇术!$A:$R,4,FALSE),VLOOKUP($E71,武器奇术!$A:$R,2,FALSE))*(1+CB71)*(1+CC71)*CD71</f>
        <v>1003.96240879704</v>
      </c>
      <c r="CL71" s="104">
        <f t="shared" si="27"/>
        <v>0.0311</v>
      </c>
      <c r="CM71" s="112">
        <f t="shared" si="28"/>
        <v>1647.72402581006</v>
      </c>
      <c r="CN71" s="110">
        <f>$B$13*IF($G$5="撼天",1.05,1)+IF(AND(VLOOKUP($E71,武器奇术!$A:$R,15,FALSE)="武器",VLOOKUP($E71,武器奇术!$A:$R,17,FALSE)="破竹"),$E$3*(1+$E$15),0)</f>
        <v>0</v>
      </c>
      <c r="CO71" s="102">
        <f t="shared" si="29"/>
        <v>0</v>
      </c>
      <c r="CP71" s="102">
        <f>MAX($C$13*IF($G$5="撼天",1.05,1)+IF(AND(VLOOKUP($E71,武器奇术!$A:$R,15,FALSE)="武器",VLOOKUP($E71,武器奇术!$A:$R,17,FALSE)="破竹"),$E$3*(1+$E$15),0),CN71)</f>
        <v>0</v>
      </c>
      <c r="CQ71" s="104">
        <f>IF(($D$13+IF(VLOOKUP($E71,武器奇术!$A:$R,17,FALSE)="破竹",$D$15,0)-VLOOKUP($F$7,目标属性!$A:$R,6,FALSE))&gt;0,($D$13+IF(VLOOKUP($E71,武器奇术!$A:$R,17,FALSE)="破竹",$D$15,0)-VLOOKUP($F$7,目标属性!$A:$R,6,FALSE))/200,($D$13+IF(VLOOKUP($E71,武器奇术!$A:$R,17,FALSE)="破竹",$D$15,0)-VLOOKUP($F$7,目标属性!$A:$R,6,FALSE))/100)</f>
        <v>-0.24</v>
      </c>
      <c r="CR71" s="111">
        <f t="shared" si="30"/>
        <v>0</v>
      </c>
      <c r="CS71" s="102">
        <v>1</v>
      </c>
      <c r="CT71" s="103">
        <f>CN71*IF(VLOOKUP($E71,武器奇术!$A:$R,17,FALSE)="破竹",VLOOKUP($E71,武器奇术!$A:$R,4,FALSE),VLOOKUP($E71,武器奇术!$A:$R,2,FALSE))*(1+CQ71)*(1+CR71)*CS71</f>
        <v>0</v>
      </c>
      <c r="CU71" s="104">
        <f>(1-IF(VLOOKUP($E71,武器奇术!$A:$R,18,FALSE)="叶龙",1,$N71))*(1-$M71)</f>
        <v>0</v>
      </c>
      <c r="CV71" s="103">
        <f>CO71*IF(VLOOKUP($E71,武器奇术!$A:$R,17,FALSE)="破竹",VLOOKUP($E71,武器奇术!$A:$R,4,FALSE),VLOOKUP($E71,武器奇术!$A:$R,2,FALSE))*(1+CQ71)*(1+CR71)*CS71*(1+$E$16+VLOOKUP($E71,武器奇术!$A:$R,8,FALSE))</f>
        <v>0</v>
      </c>
      <c r="CW71" s="104">
        <f t="shared" si="31"/>
        <v>0.8703</v>
      </c>
      <c r="CX71" s="103">
        <f>CP71*IF(VLOOKUP($E71,武器奇术!$A:$R,17,FALSE)="破竹",VLOOKUP($E71,武器奇术!$A:$R,4,FALSE),VLOOKUP($E71,武器奇术!$A:$R,2,FALSE))*(1+CQ71)*(1+CR71)*CS71*(1+$E$17+VLOOKUP($E71,武器奇术!$A:$R,10,FALSE))</f>
        <v>0</v>
      </c>
      <c r="CY71" s="104">
        <f t="shared" si="32"/>
        <v>0.0986</v>
      </c>
      <c r="CZ71" s="103">
        <f>CO71*IF(VLOOKUP($E71,武器奇术!$A:$R,17,FALSE)="破竹",VLOOKUP($E71,武器奇术!$A:$R,4,FALSE),VLOOKUP($E71,武器奇术!$A:$R,2,FALSE))*(1+CQ71)*(1+CR71)*CS71</f>
        <v>0</v>
      </c>
      <c r="DA71" s="104">
        <f t="shared" si="33"/>
        <v>0.0311</v>
      </c>
      <c r="DB71" s="112">
        <f t="shared" si="34"/>
        <v>0</v>
      </c>
      <c r="DC71" s="110">
        <f t="shared" si="35"/>
        <v>66</v>
      </c>
      <c r="DD71" s="102">
        <f t="shared" si="36"/>
        <v>125.8</v>
      </c>
      <c r="DE71" s="102">
        <f t="shared" si="37"/>
        <v>185.6</v>
      </c>
      <c r="DF71" s="104">
        <f>IF((IF(VLOOKUP($E71,武器奇术!$A:$R,17,FALSE)="鸣金",$D$7,0)+IF(VLOOKUP($E71,武器奇术!$A:$R,17,FALSE)="裂石",$D$9,0)+IF(VLOOKUP($E71,武器奇术!$A:$R,17,FALSE)="牵丝",$D$11,0)+IF(VLOOKUP($E71,武器奇术!$A:$R,17,FALSE)="破竹",$D$13,0)+$D$15-VLOOKUP($F$7,目标属性!$A:$R,6,FALSE))&gt;0,(IF(VLOOKUP($E71,武器奇术!$A:$R,17,FALSE)="鸣金",$D$7,0)+IF(VLOOKUP($E71,武器奇术!$A:$R,17,FALSE)="裂石",$D$9,0)+IF(VLOOKUP($E71,武器奇术!$A:$R,17,FALSE)="牵丝",$D$11,0)+IF(VLOOKUP($E71,武器奇术!$A:$R,17,FALSE)="破竹",$D$13,0)+$D$15-VLOOKUP($F$7,目标属性!$A:$R,6,FALSE))/200,(IF(VLOOKUP($E71,武器奇术!$A:$R,17,FALSE)="鸣金",$D$7,0)+IF(VLOOKUP($E71,武器奇术!$A:$R,17,FALSE)="裂石",$D$9,0)+IF(VLOOKUP($E71,武器奇术!$A:$R,17,FALSE)="牵丝",$D$11,0)+IF(VLOOKUP($E71,武器奇术!$A:$R,17,FALSE)="破竹",$D$13,0)+$D$15-VLOOKUP($F$7,目标属性!$A:$R,6,FALSE))/100)</f>
        <v>0.028</v>
      </c>
      <c r="DG71" s="111">
        <f>$E$11+IF($G$5="烟柳",IF(VLOOKUP($E71,武器奇术!$A:$T,20,FALSE)=1,0.1,0),0)</f>
        <v>0.148</v>
      </c>
      <c r="DH71" s="102">
        <v>1</v>
      </c>
      <c r="DI71" s="103">
        <f>DC71*IF(VLOOKUP($E71,武器奇术!$A:$R,17,FALSE)="牵丝",VLOOKUP($E71,武器奇术!$A:$R,4,FALSE),VLOOKUP($E71,武器奇术!$A:$R,2,FALSE))*(1+DF71)*(1+DG71)*DH71</f>
        <v>62.973663984</v>
      </c>
      <c r="DJ71" s="104">
        <f>(1-IF(VLOOKUP($E71,武器奇术!$A:$R,18,FALSE)="叶龙",1,$N71))*(1-$M71)</f>
        <v>0</v>
      </c>
      <c r="DK71" s="124">
        <f>DD71*IF(VLOOKUP($E71,武器奇术!$A:$R,17,FALSE)="牵丝",VLOOKUP($E71,武器奇术!$A:$R,4,FALSE),VLOOKUP($E71,武器奇术!$A:$R,2,FALSE))*(1+DF71)*(1+DG71)*DH71*(1+$E$16+VLOOKUP($E71,武器奇术!$A:$R,8,FALSE))</f>
        <v>197.331983508845</v>
      </c>
      <c r="DL71" s="104">
        <f t="shared" si="38"/>
        <v>0.8703</v>
      </c>
      <c r="DM71" s="103">
        <f>DE71*IF(VLOOKUP($E71,武器奇术!$A:$R,17,FALSE)="牵丝",VLOOKUP($E71,武器奇术!$A:$R,4,FALSE),VLOOKUP($E71,武器奇术!$A:$R,2,FALSE))*(1+DF71)*(1+DG71)*DH71*(1+$E$17+VLOOKUP($E71,武器奇术!$A:$R,10,FALSE))</f>
        <v>239.07092799744</v>
      </c>
      <c r="DN71" s="104">
        <f t="shared" si="39"/>
        <v>0.0986</v>
      </c>
      <c r="DO71" s="124">
        <f>DD71*IF(VLOOKUP($E71,武器奇术!$A:$R,17,FALSE)="牵丝",VLOOKUP($E71,武器奇术!$A:$R,4,FALSE),VLOOKUP($E71,武器奇术!$A:$R,2,FALSE))*(1+DF71)*(1+DG71)*DH71</f>
        <v>120.0316201392</v>
      </c>
      <c r="DP71" s="104">
        <f t="shared" si="40"/>
        <v>0.0311</v>
      </c>
      <c r="DQ71" s="112">
        <f t="shared" si="41"/>
        <v>199.043402134624</v>
      </c>
    </row>
    <row r="72" customFormat="1" customHeight="1" spans="1:121">
      <c r="A72" s="139"/>
      <c r="B72" s="139"/>
      <c r="C72" s="139"/>
      <c r="D72" s="139"/>
      <c r="E72" s="115" t="str">
        <f>期望!E72</f>
        <v>扇左蓄(风墙5惊春小纵)</v>
      </c>
      <c r="F72" s="116">
        <f>期望!F72</f>
        <v>1</v>
      </c>
      <c r="G72" s="117"/>
      <c r="H72" s="103">
        <f>IF(VLOOKUP($E72,武器奇术!$A:$R,18,FALSE)="天工",AE72,(AE72+AT72+BI72+BX72+CM72+DB72+DQ72))*(1+J72)*F72*K72*(1+G72)</f>
        <v>76841.4858739955</v>
      </c>
      <c r="I72" s="104">
        <f t="shared" si="0"/>
        <v>0.00885597800967976</v>
      </c>
      <c r="J72" s="104">
        <f>$F$3+VLOOKUP($E72,武器奇术!$A:$R,12,FALSE)+VLOOKUP($E72,武器奇术!$A:$R,14,FALSE)*$G$3+$P72</f>
        <v>0.987</v>
      </c>
      <c r="K72" s="105">
        <f>VLOOKUP($E72,武器奇术!$A:$R,11,FALSE)</f>
        <v>1</v>
      </c>
      <c r="L72" s="119">
        <f>IF(VLOOKUP($E72,武器奇术!$A:$R,15,FALSE)="天工",0%,IF($C$17+VLOOKUP($E72,武器奇术!$A:$R,7,FALSE)&gt;80%,80%,$C$17+VLOOKUP($E72,武器奇术!$A:$R,7,FALSE))+IF($C$19&gt;20%,20%,$C$19))</f>
        <v>0.8703</v>
      </c>
      <c r="M72" s="120">
        <f>IF(VLOOKUP($E72,武器奇术!$A:$R,15,FALSE)="天工",0%,IF($C$18+VLOOKUP($E72,武器奇术!$A:$R,9,FALSE)&gt;40%,40%,$C$18+VLOOKUP($E72,武器奇术!$A:$R,9,FALSE))+IF($C$20&gt;10%,10%,$C$20))</f>
        <v>0.0986</v>
      </c>
      <c r="N72" s="121">
        <f>IF(VLOOKUP($E72,武器奇术!$A:$R,15,FALSE)="天工",100%,MIN($C$16,1))</f>
        <v>1</v>
      </c>
      <c r="O72" s="122" t="str">
        <f>VLOOKUP($E72,武器奇术!$A:$R,16,FALSE)</f>
        <v>扇</v>
      </c>
      <c r="P72" s="123">
        <f t="shared" si="1"/>
        <v>0.084</v>
      </c>
      <c r="Q72" s="110">
        <f>$B$5*(1+VLOOKUP($E72,武器奇术!$A:$R,5,FALSE))*(1+VLOOKUP($E72,武器奇术!$A:$S,19,FALSE)+IF($G$5="飞隼",0.1,0)+IF($G$5="撼天",0.05,0))-$F$9+IF($J$5="√",160,0)</f>
        <v>3081.85</v>
      </c>
      <c r="R72" s="102">
        <f>IF(VLOOKUP($E72,武器奇术!$A:$Z,18,FALSE)="叶龙",(S72-(Q72+S72)*0.5)*($G$15-0.5)*2+(Q72+S72)*0.5,(Q72+S72)*0.5)</f>
        <v>3161.85</v>
      </c>
      <c r="S72" s="102">
        <f>MAX($C$5,$B$5)*(1+VLOOKUP($E72,武器奇术!$A:$R,6,FALSE))*(1+VLOOKUP($E72,武器奇术!$A:$S,19,FALSE)+IF($G$5="飞隼",0.1,0)+IF($G$5="撼天",0.05,0))-$F$9+IF($J$5="√",320,0)</f>
        <v>3241.85</v>
      </c>
      <c r="T72" s="104">
        <f>IF(($D$5+VLOOKUP($E72,武器奇术!$A:$R,13,FALSE)+IF($I$3="√",10,0)-VLOOKUP($F$7,目标属性!$A:$R,5,FALSE))&gt;0,($D$5+VLOOKUP($E72,武器奇术!$A:$R,13,FALSE)+IF($I$3="√",10,0)-VLOOKUP($F$7,目标属性!$A:$R,5,FALSE))/200,($D$5+VLOOKUP($E72,武器奇术!$A:$R,13,FALSE)+IF($I$3="√",10,0)-VLOOKUP($F$7,目标属性!$A:$R,5,FALSE))/100)</f>
        <v>0.2925</v>
      </c>
      <c r="U72" s="111">
        <f>$E$5+IF($G$5="烟柳",IF(VLOOKUP($E72,武器奇术!$A:$T,20,FALSE)=1,0.1,0),0)</f>
        <v>0.1</v>
      </c>
      <c r="V72" s="102">
        <v>1</v>
      </c>
      <c r="W72" s="103">
        <f>Q72*VLOOKUP($E72,武器奇术!$A:$R,2,FALSE)*(1+T72)*(1+U72)*V72</f>
        <v>12099.3184914278</v>
      </c>
      <c r="X72" s="104">
        <f>(1-IF(VLOOKUP($E72,武器奇术!$A:$R,18,FALSE)="叶龙",1,$N72))*(1-$M72)</f>
        <v>0</v>
      </c>
      <c r="Y72" s="103">
        <f>R72*VLOOKUP($E72,武器奇术!$A:$R,2,FALSE)*(1+T72)*(1+U72)*V72*(1+$E$16+VLOOKUP($E72,武器奇术!$A:$R,8,FALSE))</f>
        <v>24876.449296666</v>
      </c>
      <c r="Z72" s="104">
        <f t="shared" si="2"/>
        <v>0.8703</v>
      </c>
      <c r="AA72" s="103">
        <f>S72*VLOOKUP($E72,武器奇术!$A:$R,2,FALSE)*(1+T72)*(1+U72)*V72*(1+$E$17+VLOOKUP($E72,武器奇术!$A:$R,10,FALSE))</f>
        <v>17182.0942386675</v>
      </c>
      <c r="AB72" s="104">
        <f t="shared" si="3"/>
        <v>0.0986</v>
      </c>
      <c r="AC72" s="103">
        <f>R72*VLOOKUP($E72,武器奇术!$A:$R,2,FALSE)*(1+T72)*(1+U72)*V72</f>
        <v>12413.3978526277</v>
      </c>
      <c r="AD72" s="104">
        <f t="shared" si="4"/>
        <v>0.0311</v>
      </c>
      <c r="AE72" s="112">
        <f t="shared" si="5"/>
        <v>23730.1849880378</v>
      </c>
      <c r="AF72" s="113">
        <f>VLOOKUP($E72,武器奇术!$A:$R,3,FALSE)*(1+IF(VLOOKUP($E72,武器奇术!$A:$R,15,FALSE)="武器",$E$15,0))</f>
        <v>993.395</v>
      </c>
      <c r="AG72" s="103">
        <f t="shared" si="6"/>
        <v>993.395</v>
      </c>
      <c r="AH72" s="103">
        <f>VLOOKUP($E72,武器奇术!$A:$R,3,FALSE)*(1+IF(VLOOKUP($E72,武器奇术!$A:$R,15,FALSE)="武器",$E$15,0))</f>
        <v>993.395</v>
      </c>
      <c r="AI72" s="104">
        <f>IF(($D$5+VLOOKUP($E72,武器奇术!$A:$R,13,FALSE)+IF($I$3="√",10,0)-VLOOKUP($F$7,目标属性!$A:$R,5,FALSE))&gt;0,($D$5+VLOOKUP($E72,武器奇术!$A:$R,13,FALSE)+IF($I$3="√",10,0)-VLOOKUP($F$7,目标属性!$A:$R,5,FALSE))/200,($D$5+VLOOKUP($E72,武器奇术!$A:$R,13,FALSE)+IF($I$3="√",10,0)-VLOOKUP($F$7,目标属性!$A:$R,5,FALSE))/100)</f>
        <v>0.2925</v>
      </c>
      <c r="AJ72" s="111">
        <f>$E$5+IF($G$5="烟柳",IF(VLOOKUP($E72,武器奇术!$A:$T,20,FALSE)=1,0.1,0),0)</f>
        <v>0.1</v>
      </c>
      <c r="AK72" s="102">
        <v>1</v>
      </c>
      <c r="AL72" s="103">
        <f t="shared" si="7"/>
        <v>1412.35934125</v>
      </c>
      <c r="AM72" s="104">
        <f>(1-IF(VLOOKUP($E72,武器奇术!$A:$R,18,FALSE)="叶龙",1,$N72))*(1-$M72)</f>
        <v>0</v>
      </c>
      <c r="AN72" s="103">
        <f>AG72*(1+AI72)*(1+AJ72)*AK72*(1+$E$16+VLOOKUP($E72,武器奇术!$A:$R,8,FALSE))</f>
        <v>2830.368119865</v>
      </c>
      <c r="AO72" s="104">
        <f t="shared" si="8"/>
        <v>0.8703</v>
      </c>
      <c r="AP72" s="103">
        <f>AH72*(1+AI72)*(1+AJ72)*AK72*(1+$E$17+VLOOKUP($E72,武器奇术!$A:$R,10,FALSE))</f>
        <v>1906.6851106875</v>
      </c>
      <c r="AQ72" s="104">
        <f t="shared" si="9"/>
        <v>0.0986</v>
      </c>
      <c r="AR72" s="103">
        <f t="shared" si="10"/>
        <v>1412.35934125</v>
      </c>
      <c r="AS72" s="104">
        <f t="shared" si="11"/>
        <v>0.0311</v>
      </c>
      <c r="AT72" s="112">
        <f t="shared" si="12"/>
        <v>2695.19290214517</v>
      </c>
      <c r="AU72" s="110">
        <f>$B$7*IF($G$5="撼天",1.05,1)+IF(AND(VLOOKUP($E72,武器奇术!$A:$R,15,FALSE)="武器",VLOOKUP($E72,武器奇术!$A:$R,17,FALSE)="鸣金"),$E$3*(1+$E$15),0)</f>
        <v>0</v>
      </c>
      <c r="AV72" s="102">
        <f t="shared" si="13"/>
        <v>0</v>
      </c>
      <c r="AW72" s="102">
        <f>MAX($C$7*IF($G$5="撼天",1.05,1)+IF(AND(VLOOKUP($E72,武器奇术!$A:$R,15,FALSE)="武器",VLOOKUP($E72,武器奇术!$A:$R,17,FALSE)="鸣金"),$E$3*(1+$E$15),0),AU72)</f>
        <v>0</v>
      </c>
      <c r="AX72" s="104">
        <f>IF(($D$7+IF(VLOOKUP($E72,武器奇术!$A:$R,17,FALSE)="鸣金",$D$15,0)-VLOOKUP($F$7,目标属性!$A:$R,6,FALSE))&gt;0,($D$7+IF(VLOOKUP($E72,武器奇术!$A:$R,17,FALSE)="鸣金",$D$15,0)-VLOOKUP($F$7,目标属性!$A:$R,6,FALSE))/200,($D$7+IF(VLOOKUP($E72,武器奇术!$A:$R,17,FALSE)="鸣金",$D$15,0)-VLOOKUP($F$7,目标属性!$A:$R,6,FALSE))/100)</f>
        <v>-0.24</v>
      </c>
      <c r="AY72" s="111">
        <f t="shared" si="14"/>
        <v>0</v>
      </c>
      <c r="AZ72" s="102">
        <v>1</v>
      </c>
      <c r="BA72" s="103">
        <f>AU72*IF(VLOOKUP($E72,武器奇术!$A:$R,17,FALSE)="鸣金",VLOOKUP($E72,武器奇术!$A:$R,4,FALSE),VLOOKUP($E72,武器奇术!$A:$R,2,FALSE))*(1+AX72)*(1+AY72)*AZ72</f>
        <v>0</v>
      </c>
      <c r="BB72" s="104">
        <f>(1-IF(VLOOKUP($E72,武器奇术!$A:$R,18,FALSE)="叶龙",1,$N72))*(1-$M72)</f>
        <v>0</v>
      </c>
      <c r="BC72" s="103">
        <f>AV72*IF(VLOOKUP($E72,武器奇术!$A:$R,17,FALSE)="鸣金",VLOOKUP($E72,武器奇术!$A:$R,4,FALSE),VLOOKUP($E72,武器奇术!$A:$R,2,FALSE))*(1+AX72)*(1+AY72)*AZ72*(1+$E$16+VLOOKUP($E72,武器奇术!$A:$R,8,FALSE))</f>
        <v>0</v>
      </c>
      <c r="BD72" s="104">
        <f t="shared" si="15"/>
        <v>0.8703</v>
      </c>
      <c r="BE72" s="103">
        <f>AW72*IF(VLOOKUP($E72,武器奇术!$A:$R,17,FALSE)="鸣金",VLOOKUP($E72,武器奇术!$A:$R,4,FALSE),VLOOKUP($E72,武器奇术!$A:$R,2,FALSE))*(1+AX72)*(1+AY72)*AZ72*(1+$E$17+VLOOKUP($E72,武器奇术!$A:$R,10,FALSE))</f>
        <v>0</v>
      </c>
      <c r="BF72" s="104">
        <f t="shared" si="16"/>
        <v>0.0986</v>
      </c>
      <c r="BG72" s="103">
        <f>AV72*IF(VLOOKUP($E72,武器奇术!$A:$R,17,FALSE)="鸣金",VLOOKUP($E72,武器奇术!$A:$R,4,FALSE),VLOOKUP($E72,武器奇术!$A:$R,2,FALSE))*(1+AX72)*(1+AY72)*AZ72</f>
        <v>0</v>
      </c>
      <c r="BH72" s="104">
        <f t="shared" si="17"/>
        <v>0.0311</v>
      </c>
      <c r="BI72" s="112">
        <f t="shared" si="18"/>
        <v>0</v>
      </c>
      <c r="BJ72" s="110">
        <f>$B$9*IF($G$5="撼天",1.05,1)+IF(AND(VLOOKUP($E72,武器奇术!$A:$R,15,FALSE)="武器",VLOOKUP($E72,武器奇术!$A:$R,17,FALSE)="裂石"),$E$3*(1+$E$15),0)</f>
        <v>0</v>
      </c>
      <c r="BK72" s="102">
        <f t="shared" si="19"/>
        <v>0</v>
      </c>
      <c r="BL72" s="102">
        <f>MAX($C$9*IF($G$5="撼天",1.05,1)+IF(AND(VLOOKUP($E72,武器奇术!$A:$R,15,FALSE)="武器",VLOOKUP($E72,武器奇术!$A:$R,17,FALSE)="裂石"),$E$3*(1+$E$15),0),BJ72)</f>
        <v>0</v>
      </c>
      <c r="BM72" s="104">
        <f>IF(($D$9+IF(VLOOKUP($E72,武器奇术!$A:$R,17,FALSE)="裂石",$D$15,0)-VLOOKUP($F$7,目标属性!$A:$R,6,FALSE))&gt;0,($D$9+IF(VLOOKUP($E72,武器奇术!$A:$R,17,FALSE)="裂石",$D$15,0)-VLOOKUP($F$7,目标属性!$A:$R,6,FALSE))/200,($D$9+IF(VLOOKUP($E72,武器奇术!$A:$R,17,FALSE)="裂石",$D$15,0)-VLOOKUP($F$7,目标属性!$A:$R,6,FALSE))/100)</f>
        <v>-0.24</v>
      </c>
      <c r="BN72" s="111">
        <f t="shared" si="20"/>
        <v>0</v>
      </c>
      <c r="BO72" s="102">
        <v>1</v>
      </c>
      <c r="BP72" s="103">
        <f>BJ72*IF(VLOOKUP($E72,武器奇术!$A:$R,17,FALSE)="裂石",VLOOKUP($E72,武器奇术!$A:$R,4,FALSE),VLOOKUP($E72,武器奇术!$A:$R,2,FALSE))*(1+BM72)*(1+BN72)*BO72</f>
        <v>0</v>
      </c>
      <c r="BQ72" s="104">
        <f>(1-IF(VLOOKUP($E72,武器奇术!$A:$R,18,FALSE)="叶龙",1,$N72))*(1-$M72)</f>
        <v>0</v>
      </c>
      <c r="BR72" s="103">
        <f>BK72*IF(VLOOKUP($E72,武器奇术!$A:$R,17,FALSE)="裂石",VLOOKUP($E72,武器奇术!$A:$R,4,FALSE),VLOOKUP($E72,武器奇术!$A:$R,2,FALSE))*(1+BM72)*(1+BN72)*BO72*(1+$E$16+VLOOKUP($E72,武器奇术!$A:$R,8,FALSE))</f>
        <v>0</v>
      </c>
      <c r="BS72" s="104">
        <f t="shared" si="21"/>
        <v>0.8703</v>
      </c>
      <c r="BT72" s="103">
        <f>BL72*IF(VLOOKUP($E72,武器奇术!$A:$R,17,FALSE)="裂石",VLOOKUP($E72,武器奇术!$A:$R,4,FALSE),VLOOKUP($E72,武器奇术!$A:$R,2,FALSE))*(1+BM72)*(1+BN72)*BO72*(1+$E$17+VLOOKUP($E72,武器奇术!$A:$R,10,FALSE))</f>
        <v>0</v>
      </c>
      <c r="BU72" s="104">
        <f t="shared" si="22"/>
        <v>0.0986</v>
      </c>
      <c r="BV72" s="103">
        <f>BK72*IF(VLOOKUP($E72,武器奇术!$A:$R,17,FALSE)="裂石",VLOOKUP($E72,武器奇术!$A:$R,4,FALSE),VLOOKUP($E72,武器奇术!$A:$R,2,FALSE))*(1+BM72)*(1+BN72)*BO72</f>
        <v>0</v>
      </c>
      <c r="BW72" s="104">
        <f t="shared" si="23"/>
        <v>0.0311</v>
      </c>
      <c r="BX72" s="112">
        <f t="shared" si="24"/>
        <v>0</v>
      </c>
      <c r="BY72" s="110">
        <f>$B$11*IF($G$5="撼天",1.05,1)+IF(AND(VLOOKUP($E72,武器奇术!$A:$R,15,FALSE)="武器",VLOOKUP($E72,武器奇术!$A:$R,17,FALSE)="牵丝"),$E$3*(1+$E$15),0)</f>
        <v>686.71</v>
      </c>
      <c r="BZ72" s="102">
        <f>IF(VLOOKUP($E72,武器奇术!$A:$Z,18,FALSE)="叶龙",(CA72-(BY72+CA72)*0.5)*($G$15-0.5)*2+(BY72+CA72)*0.5,(BY72+CA72)*0.5)</f>
        <v>1052.21</v>
      </c>
      <c r="CA72" s="102">
        <f>MAX($C$11*IF($G$5="撼天",1.05,1)+IF(AND(VLOOKUP($E72,武器奇术!$A:$R,15,FALSE)="武器",VLOOKUP($E72,武器奇术!$A:$R,17,FALSE)="牵丝"),$E$3*(1+$E$15),0),BY72)</f>
        <v>1417.71</v>
      </c>
      <c r="CB72" s="104">
        <f>IF(($D$11+IF(VLOOKUP($E72,武器奇术!$A:$R,17,FALSE)="牵丝",$D$15,0)-VLOOKUP($F$7,目标属性!$A:$R,6,FALSE))&gt;0,($D$11+IF(VLOOKUP($E72,武器奇术!$A:$R,17,FALSE)="牵丝",$D$15,0)-VLOOKUP($F$7,目标属性!$A:$R,6,FALSE))/200,($D$11+IF(VLOOKUP($E72,武器奇术!$A:$R,17,FALSE)="牵丝",$D$15,0)-VLOOKUP($F$7,目标属性!$A:$R,6,FALSE))/100)</f>
        <v>0.028</v>
      </c>
      <c r="CC72" s="111">
        <f>$E$11+IF($G$5="烟柳",IF(VLOOKUP($E72,武器奇术!$A:$T,20,FALSE)=1,0.1,0),0)</f>
        <v>0.248</v>
      </c>
      <c r="CD72" s="102">
        <v>1</v>
      </c>
      <c r="CE72" s="103">
        <f>BY72*IF(VLOOKUP($E72,武器奇术!$A:$R,17,FALSE)="牵丝",VLOOKUP($E72,武器奇术!$A:$R,4,FALSE),VLOOKUP($E72,武器奇术!$A:$R,2,FALSE))*(1+CB72)*(1+CC72)*CD72</f>
        <v>3649.20705503528</v>
      </c>
      <c r="CF72" s="104">
        <f>(1-IF(VLOOKUP($E72,武器奇术!$A:$R,18,FALSE)="叶龙",1,$N72))*(1-$M72)</f>
        <v>0</v>
      </c>
      <c r="CG72" s="124">
        <f>BZ72*IF(VLOOKUP($E72,武器奇术!$A:$R,17,FALSE)="牵丝",VLOOKUP($E72,武器奇术!$A:$R,4,FALSE),VLOOKUP($E72,武器奇术!$A:$R,2,FALSE))*(1+CB72)*(1+CC72)*CD72*(1+$E$16+VLOOKUP($E72,武器奇术!$A:$R,8,FALSE))</f>
        <v>11205.3461277378</v>
      </c>
      <c r="CH72" s="104">
        <f t="shared" si="25"/>
        <v>0.8703</v>
      </c>
      <c r="CI72" s="103">
        <f>CA72*IF(VLOOKUP($E72,武器奇术!$A:$R,17,FALSE)="牵丝",VLOOKUP($E72,武器奇术!$A:$R,4,FALSE),VLOOKUP($E72,武器奇术!$A:$R,2,FALSE))*(1+CB72)*(1+CC72)*CD72*(1+$E$17+VLOOKUP($E72,武器奇术!$A:$R,10,FALSE))</f>
        <v>10170.5937016965</v>
      </c>
      <c r="CJ72" s="104">
        <f t="shared" si="26"/>
        <v>0.0986</v>
      </c>
      <c r="CK72" s="124">
        <f>BZ72*IF(VLOOKUP($E72,武器奇术!$A:$R,17,FALSE)="牵丝",VLOOKUP($E72,武器奇术!$A:$R,4,FALSE),VLOOKUP($E72,武器奇术!$A:$R,2,FALSE))*(1+CB72)*(1+CC72)*CD72</f>
        <v>5591.49008370152</v>
      </c>
      <c r="CL72" s="104">
        <f t="shared" si="27"/>
        <v>0.0311</v>
      </c>
      <c r="CM72" s="112">
        <f t="shared" si="28"/>
        <v>10928.7286155606</v>
      </c>
      <c r="CN72" s="110">
        <f>$B$13*IF($G$5="撼天",1.05,1)+IF(AND(VLOOKUP($E72,武器奇术!$A:$R,15,FALSE)="武器",VLOOKUP($E72,武器奇术!$A:$R,17,FALSE)="破竹"),$E$3*(1+$E$15),0)</f>
        <v>0</v>
      </c>
      <c r="CO72" s="102">
        <f t="shared" si="29"/>
        <v>0</v>
      </c>
      <c r="CP72" s="102">
        <f>MAX($C$13*IF($G$5="撼天",1.05,1)+IF(AND(VLOOKUP($E72,武器奇术!$A:$R,15,FALSE)="武器",VLOOKUP($E72,武器奇术!$A:$R,17,FALSE)="破竹"),$E$3*(1+$E$15),0),CN72)</f>
        <v>0</v>
      </c>
      <c r="CQ72" s="104">
        <f>IF(($D$13+IF(VLOOKUP($E72,武器奇术!$A:$R,17,FALSE)="破竹",$D$15,0)-VLOOKUP($F$7,目标属性!$A:$R,6,FALSE))&gt;0,($D$13+IF(VLOOKUP($E72,武器奇术!$A:$R,17,FALSE)="破竹",$D$15,0)-VLOOKUP($F$7,目标属性!$A:$R,6,FALSE))/200,($D$13+IF(VLOOKUP($E72,武器奇术!$A:$R,17,FALSE)="破竹",$D$15,0)-VLOOKUP($F$7,目标属性!$A:$R,6,FALSE))/100)</f>
        <v>-0.24</v>
      </c>
      <c r="CR72" s="111">
        <f t="shared" si="30"/>
        <v>0</v>
      </c>
      <c r="CS72" s="102">
        <v>1</v>
      </c>
      <c r="CT72" s="103">
        <f>CN72*IF(VLOOKUP($E72,武器奇术!$A:$R,17,FALSE)="破竹",VLOOKUP($E72,武器奇术!$A:$R,4,FALSE),VLOOKUP($E72,武器奇术!$A:$R,2,FALSE))*(1+CQ72)*(1+CR72)*CS72</f>
        <v>0</v>
      </c>
      <c r="CU72" s="104">
        <f>(1-IF(VLOOKUP($E72,武器奇术!$A:$R,18,FALSE)="叶龙",1,$N72))*(1-$M72)</f>
        <v>0</v>
      </c>
      <c r="CV72" s="103">
        <f>CO72*IF(VLOOKUP($E72,武器奇术!$A:$R,17,FALSE)="破竹",VLOOKUP($E72,武器奇术!$A:$R,4,FALSE),VLOOKUP($E72,武器奇术!$A:$R,2,FALSE))*(1+CQ72)*(1+CR72)*CS72*(1+$E$16+VLOOKUP($E72,武器奇术!$A:$R,8,FALSE))</f>
        <v>0</v>
      </c>
      <c r="CW72" s="104">
        <f t="shared" si="31"/>
        <v>0.8703</v>
      </c>
      <c r="CX72" s="103">
        <f>CP72*IF(VLOOKUP($E72,武器奇术!$A:$R,17,FALSE)="破竹",VLOOKUP($E72,武器奇术!$A:$R,4,FALSE),VLOOKUP($E72,武器奇术!$A:$R,2,FALSE))*(1+CQ72)*(1+CR72)*CS72*(1+$E$17+VLOOKUP($E72,武器奇术!$A:$R,10,FALSE))</f>
        <v>0</v>
      </c>
      <c r="CY72" s="104">
        <f t="shared" si="32"/>
        <v>0.0986</v>
      </c>
      <c r="CZ72" s="103">
        <f>CO72*IF(VLOOKUP($E72,武器奇术!$A:$R,17,FALSE)="破竹",VLOOKUP($E72,武器奇术!$A:$R,4,FALSE),VLOOKUP($E72,武器奇术!$A:$R,2,FALSE))*(1+CQ72)*(1+CR72)*CS72</f>
        <v>0</v>
      </c>
      <c r="DA72" s="104">
        <f t="shared" si="33"/>
        <v>0.0311</v>
      </c>
      <c r="DB72" s="112">
        <f t="shared" si="34"/>
        <v>0</v>
      </c>
      <c r="DC72" s="110">
        <f t="shared" si="35"/>
        <v>66</v>
      </c>
      <c r="DD72" s="102">
        <f t="shared" si="36"/>
        <v>125.8</v>
      </c>
      <c r="DE72" s="102">
        <f t="shared" si="37"/>
        <v>185.6</v>
      </c>
      <c r="DF72" s="104">
        <f>IF((IF(VLOOKUP($E72,武器奇术!$A:$R,17,FALSE)="鸣金",$D$7,0)+IF(VLOOKUP($E72,武器奇术!$A:$R,17,FALSE)="裂石",$D$9,0)+IF(VLOOKUP($E72,武器奇术!$A:$R,17,FALSE)="牵丝",$D$11,0)+IF(VLOOKUP($E72,武器奇术!$A:$R,17,FALSE)="破竹",$D$13,0)+$D$15-VLOOKUP($F$7,目标属性!$A:$R,6,FALSE))&gt;0,(IF(VLOOKUP($E72,武器奇术!$A:$R,17,FALSE)="鸣金",$D$7,0)+IF(VLOOKUP($E72,武器奇术!$A:$R,17,FALSE)="裂石",$D$9,0)+IF(VLOOKUP($E72,武器奇术!$A:$R,17,FALSE)="牵丝",$D$11,0)+IF(VLOOKUP($E72,武器奇术!$A:$R,17,FALSE)="破竹",$D$13,0)+$D$15-VLOOKUP($F$7,目标属性!$A:$R,6,FALSE))/200,(IF(VLOOKUP($E72,武器奇术!$A:$R,17,FALSE)="鸣金",$D$7,0)+IF(VLOOKUP($E72,武器奇术!$A:$R,17,FALSE)="裂石",$D$9,0)+IF(VLOOKUP($E72,武器奇术!$A:$R,17,FALSE)="牵丝",$D$11,0)+IF(VLOOKUP($E72,武器奇术!$A:$R,17,FALSE)="破竹",$D$13,0)+$D$15-VLOOKUP($F$7,目标属性!$A:$R,6,FALSE))/100)</f>
        <v>0.028</v>
      </c>
      <c r="DG72" s="111">
        <f>$E$11+IF($G$5="烟柳",IF(VLOOKUP($E72,武器奇术!$A:$T,20,FALSE)=1,0.1,0),0)</f>
        <v>0.248</v>
      </c>
      <c r="DH72" s="102">
        <v>1</v>
      </c>
      <c r="DI72" s="103">
        <f>DC72*IF(VLOOKUP($E72,武器奇术!$A:$R,17,FALSE)="牵丝",VLOOKUP($E72,武器奇术!$A:$R,4,FALSE),VLOOKUP($E72,武器奇术!$A:$R,2,FALSE))*(1+DF72)*(1+DG72)*DH72</f>
        <v>350.72689436928</v>
      </c>
      <c r="DJ72" s="104">
        <f>(1-IF(VLOOKUP($E72,武器奇术!$A:$R,18,FALSE)="叶龙",1,$N72))*(1-$M72)</f>
        <v>0</v>
      </c>
      <c r="DK72" s="124">
        <f>DD72*IF(VLOOKUP($E72,武器奇术!$A:$R,17,FALSE)="牵丝",VLOOKUP($E72,武器奇术!$A:$R,4,FALSE),VLOOKUP($E72,武器奇术!$A:$R,2,FALSE))*(1+DF72)*(1+DG72)*DH72*(1+$E$16+VLOOKUP($E72,武器奇术!$A:$R,8,FALSE))</f>
        <v>1339.6874605539</v>
      </c>
      <c r="DL72" s="104">
        <f t="shared" si="38"/>
        <v>0.8703</v>
      </c>
      <c r="DM72" s="103">
        <f>DE72*IF(VLOOKUP($E72,武器奇术!$A:$R,17,FALSE)="牵丝",VLOOKUP($E72,武器奇术!$A:$R,4,FALSE),VLOOKUP($E72,武器奇术!$A:$R,2,FALSE))*(1+DF72)*(1+DG72)*DH72*(1+$E$17+VLOOKUP($E72,武器奇术!$A:$R,10,FALSE))</f>
        <v>1331.48682807829</v>
      </c>
      <c r="DN72" s="104">
        <f t="shared" si="39"/>
        <v>0.0986</v>
      </c>
      <c r="DO72" s="124">
        <f>DD72*IF(VLOOKUP($E72,武器奇术!$A:$R,17,FALSE)="牵丝",VLOOKUP($E72,武器奇术!$A:$R,4,FALSE),VLOOKUP($E72,武器奇术!$A:$R,2,FALSE))*(1+DF72)*(1+DG72)*DH72</f>
        <v>668.506716843264</v>
      </c>
      <c r="DP72" s="104">
        <f t="shared" si="40"/>
        <v>0.0311</v>
      </c>
      <c r="DQ72" s="112">
        <f t="shared" si="41"/>
        <v>1318.0051570624</v>
      </c>
    </row>
    <row r="73" customFormat="1" customHeight="1" spans="1:121">
      <c r="A73" s="139"/>
      <c r="B73" s="139"/>
      <c r="C73" s="139"/>
      <c r="D73" s="139"/>
      <c r="E73" s="115" t="str">
        <f>期望!E73</f>
        <v>扇Q(小纵)</v>
      </c>
      <c r="F73" s="116">
        <f>期望!F73</f>
        <v>1</v>
      </c>
      <c r="G73" s="117"/>
      <c r="H73" s="103">
        <f>IF(VLOOKUP($E73,武器奇术!$A:$R,18,FALSE)="天工",AE73,(AE73+AT73+BI73+BX73+CM73+DB73+DQ73))*(1+J73)*F73*K73*(1+G73)</f>
        <v>13709.8928809123</v>
      </c>
      <c r="I73" s="104">
        <f t="shared" si="0"/>
        <v>0.00158006457693335</v>
      </c>
      <c r="J73" s="104">
        <f>$F$3+VLOOKUP($E73,武器奇术!$A:$R,12,FALSE)+VLOOKUP($E73,武器奇术!$A:$R,14,FALSE)*$G$3+$P73</f>
        <v>0.417</v>
      </c>
      <c r="K73" s="105">
        <f>VLOOKUP($E73,武器奇术!$A:$R,11,FALSE)</f>
        <v>1</v>
      </c>
      <c r="L73" s="119">
        <f>IF(VLOOKUP($E73,武器奇术!$A:$R,15,FALSE)="天工",0%,IF($C$17+VLOOKUP($E73,武器奇术!$A:$R,7,FALSE)&gt;80%,80%,$C$17+VLOOKUP($E73,武器奇术!$A:$R,7,FALSE))+IF($C$19&gt;20%,20%,$C$19))</f>
        <v>0.8703</v>
      </c>
      <c r="M73" s="120">
        <f>IF(VLOOKUP($E73,武器奇术!$A:$R,15,FALSE)="天工",0%,IF($C$18+VLOOKUP($E73,武器奇术!$A:$R,9,FALSE)&gt;40%,40%,$C$18+VLOOKUP($E73,武器奇术!$A:$R,9,FALSE))+IF($C$20&gt;10%,10%,$C$20))</f>
        <v>0.0986</v>
      </c>
      <c r="N73" s="121">
        <f>IF(VLOOKUP($E73,武器奇术!$A:$R,15,FALSE)="天工",100%,MIN($C$16,1))</f>
        <v>1</v>
      </c>
      <c r="O73" s="122" t="str">
        <f>VLOOKUP($E73,武器奇术!$A:$R,16,FALSE)</f>
        <v>扇</v>
      </c>
      <c r="P73" s="123">
        <f t="shared" si="1"/>
        <v>0.084</v>
      </c>
      <c r="Q73" s="110">
        <f>$B$5*(1+VLOOKUP($E73,武器奇术!$A:$R,5,FALSE))*(1+VLOOKUP($E73,武器奇术!$A:$S,19,FALSE)+IF($G$5="飞隼",0.1,0)+IF($G$5="撼天",0.05,0))-$F$9+IF($J$5="√",160,0)</f>
        <v>3081.85</v>
      </c>
      <c r="R73" s="102">
        <f>IF(VLOOKUP($E73,武器奇术!$A:$Z,18,FALSE)="叶龙",(S73-(Q73+S73)*0.5)*($G$15-0.5)*2+(Q73+S73)*0.5,(Q73+S73)*0.5)</f>
        <v>3161.85</v>
      </c>
      <c r="S73" s="102">
        <f>MAX($C$5,$B$5)*(1+VLOOKUP($E73,武器奇术!$A:$R,6,FALSE))*(1+VLOOKUP($E73,武器奇术!$A:$S,19,FALSE)+IF($G$5="飞隼",0.1,0)+IF($G$5="撼天",0.05,0))-$F$9+IF($J$5="√",320,0)</f>
        <v>3241.85</v>
      </c>
      <c r="T73" s="104">
        <f>IF(($D$5+VLOOKUP($E73,武器奇术!$A:$R,13,FALSE)+IF($I$3="√",10,0)-VLOOKUP($F$7,目标属性!$A:$R,5,FALSE))&gt;0,($D$5+VLOOKUP($E73,武器奇术!$A:$R,13,FALSE)+IF($I$3="√",10,0)-VLOOKUP($F$7,目标属性!$A:$R,5,FALSE))/200,($D$5+VLOOKUP($E73,武器奇术!$A:$R,13,FALSE)+IF($I$3="√",10,0)-VLOOKUP($F$7,目标属性!$A:$R,5,FALSE))/100)</f>
        <v>0.2675</v>
      </c>
      <c r="U73" s="111">
        <f>$E$5+IF($G$5="烟柳",IF(VLOOKUP($E73,武器奇术!$A:$T,20,FALSE)=1,0.1,0),0)</f>
        <v>0</v>
      </c>
      <c r="V73" s="102">
        <v>1</v>
      </c>
      <c r="W73" s="103">
        <f>Q73*VLOOKUP($E73,武器奇术!$A:$R,2,FALSE)*(1+T73)*(1+U73)*V73</f>
        <v>3619.526501175</v>
      </c>
      <c r="X73" s="104">
        <f>(1-IF(VLOOKUP($E73,武器奇术!$A:$R,18,FALSE)="叶龙",1,$N73))*(1-$M73)</f>
        <v>0</v>
      </c>
      <c r="Y73" s="103">
        <f>R73*VLOOKUP($E73,武器奇术!$A:$R,2,FALSE)*(1+T73)*(1+U73)*V73*(1+$E$16+VLOOKUP($E73,武器奇术!$A:$R,8,FALSE))</f>
        <v>6104.9672704917</v>
      </c>
      <c r="Z73" s="104">
        <f t="shared" si="2"/>
        <v>0.8703</v>
      </c>
      <c r="AA73" s="103">
        <f>S73*VLOOKUP($E73,武器奇术!$A:$R,2,FALSE)*(1+T73)*(1+U73)*V73*(1+$E$17+VLOOKUP($E73,武器奇术!$A:$R,10,FALSE))</f>
        <v>5140.04532458625</v>
      </c>
      <c r="AB73" s="104">
        <f t="shared" si="3"/>
        <v>0.0986</v>
      </c>
      <c r="AC73" s="103">
        <f>R73*VLOOKUP($E73,武器奇术!$A:$R,2,FALSE)*(1+T73)*(1+U73)*V73</f>
        <v>3713.483741175</v>
      </c>
      <c r="AD73" s="104">
        <f t="shared" si="4"/>
        <v>0.0311</v>
      </c>
      <c r="AE73" s="112">
        <f t="shared" si="5"/>
        <v>5935.45082886367</v>
      </c>
      <c r="AF73" s="113">
        <f>VLOOKUP($E73,武器奇术!$A:$R,3,FALSE)*(1+IF(VLOOKUP($E73,武器奇术!$A:$R,15,FALSE)="武器",$E$15,0))</f>
        <v>279.5</v>
      </c>
      <c r="AG73" s="103">
        <f t="shared" si="6"/>
        <v>279.5</v>
      </c>
      <c r="AH73" s="103">
        <f>VLOOKUP($E73,武器奇术!$A:$R,3,FALSE)*(1+IF(VLOOKUP($E73,武器奇术!$A:$R,15,FALSE)="武器",$E$15,0))</f>
        <v>279.5</v>
      </c>
      <c r="AI73" s="104">
        <f>IF(($D$5+VLOOKUP($E73,武器奇术!$A:$R,13,FALSE)+IF($I$3="√",10,0)-VLOOKUP($F$7,目标属性!$A:$R,5,FALSE))&gt;0,($D$5+VLOOKUP($E73,武器奇术!$A:$R,13,FALSE)+IF($I$3="√",10,0)-VLOOKUP($F$7,目标属性!$A:$R,5,FALSE))/200,($D$5+VLOOKUP($E73,武器奇术!$A:$R,13,FALSE)+IF($I$3="√",10,0)-VLOOKUP($F$7,目标属性!$A:$R,5,FALSE))/100)</f>
        <v>0.2675</v>
      </c>
      <c r="AJ73" s="111">
        <f>$E$5+IF($G$5="烟柳",IF(VLOOKUP($E73,武器奇术!$A:$T,20,FALSE)=1,0.1,0),0)</f>
        <v>0</v>
      </c>
      <c r="AK73" s="102">
        <v>1</v>
      </c>
      <c r="AL73" s="103">
        <f t="shared" si="7"/>
        <v>354.26625</v>
      </c>
      <c r="AM73" s="104">
        <f>(1-IF(VLOOKUP($E73,武器奇术!$A:$R,18,FALSE)="叶龙",1,$N73))*(1-$M73)</f>
        <v>0</v>
      </c>
      <c r="AN73" s="103">
        <f>AG73*(1+AI73)*(1+AJ73)*AK73*(1+$E$16+VLOOKUP($E73,武器奇术!$A:$R,8,FALSE))</f>
        <v>582.413715</v>
      </c>
      <c r="AO73" s="104">
        <f t="shared" si="8"/>
        <v>0.8703</v>
      </c>
      <c r="AP73" s="103">
        <f>AH73*(1+AI73)*(1+AJ73)*AK73*(1+$E$17+VLOOKUP($E73,武器奇术!$A:$R,10,FALSE))</f>
        <v>478.2594375</v>
      </c>
      <c r="AQ73" s="104">
        <f t="shared" si="9"/>
        <v>0.0986</v>
      </c>
      <c r="AR73" s="103">
        <f t="shared" si="10"/>
        <v>354.26625</v>
      </c>
      <c r="AS73" s="104">
        <f t="shared" si="11"/>
        <v>0.0311</v>
      </c>
      <c r="AT73" s="112">
        <f t="shared" si="12"/>
        <v>565.048717077</v>
      </c>
      <c r="AU73" s="110">
        <f>$B$7*IF($G$5="撼天",1.05,1)+IF(AND(VLOOKUP($E73,武器奇术!$A:$R,15,FALSE)="武器",VLOOKUP($E73,武器奇术!$A:$R,17,FALSE)="鸣金"),$E$3*(1+$E$15),0)</f>
        <v>0</v>
      </c>
      <c r="AV73" s="102">
        <f t="shared" si="13"/>
        <v>0</v>
      </c>
      <c r="AW73" s="102">
        <f>MAX($C$7*IF($G$5="撼天",1.05,1)+IF(AND(VLOOKUP($E73,武器奇术!$A:$R,15,FALSE)="武器",VLOOKUP($E73,武器奇术!$A:$R,17,FALSE)="鸣金"),$E$3*(1+$E$15),0),AU73)</f>
        <v>0</v>
      </c>
      <c r="AX73" s="104">
        <f>IF(($D$7+IF(VLOOKUP($E73,武器奇术!$A:$R,17,FALSE)="鸣金",$D$15,0)-VLOOKUP($F$7,目标属性!$A:$R,6,FALSE))&gt;0,($D$7+IF(VLOOKUP($E73,武器奇术!$A:$R,17,FALSE)="鸣金",$D$15,0)-VLOOKUP($F$7,目标属性!$A:$R,6,FALSE))/200,($D$7+IF(VLOOKUP($E73,武器奇术!$A:$R,17,FALSE)="鸣金",$D$15,0)-VLOOKUP($F$7,目标属性!$A:$R,6,FALSE))/100)</f>
        <v>-0.24</v>
      </c>
      <c r="AY73" s="111">
        <f t="shared" si="14"/>
        <v>0</v>
      </c>
      <c r="AZ73" s="102">
        <v>1</v>
      </c>
      <c r="BA73" s="103">
        <f>AU73*IF(VLOOKUP($E73,武器奇术!$A:$R,17,FALSE)="鸣金",VLOOKUP($E73,武器奇术!$A:$R,4,FALSE),VLOOKUP($E73,武器奇术!$A:$R,2,FALSE))*(1+AX73)*(1+AY73)*AZ73</f>
        <v>0</v>
      </c>
      <c r="BB73" s="104">
        <f>(1-IF(VLOOKUP($E73,武器奇术!$A:$R,18,FALSE)="叶龙",1,$N73))*(1-$M73)</f>
        <v>0</v>
      </c>
      <c r="BC73" s="103">
        <f>AV73*IF(VLOOKUP($E73,武器奇术!$A:$R,17,FALSE)="鸣金",VLOOKUP($E73,武器奇术!$A:$R,4,FALSE),VLOOKUP($E73,武器奇术!$A:$R,2,FALSE))*(1+AX73)*(1+AY73)*AZ73*(1+$E$16+VLOOKUP($E73,武器奇术!$A:$R,8,FALSE))</f>
        <v>0</v>
      </c>
      <c r="BD73" s="104">
        <f t="shared" si="15"/>
        <v>0.8703</v>
      </c>
      <c r="BE73" s="103">
        <f>AW73*IF(VLOOKUP($E73,武器奇术!$A:$R,17,FALSE)="鸣金",VLOOKUP($E73,武器奇术!$A:$R,4,FALSE),VLOOKUP($E73,武器奇术!$A:$R,2,FALSE))*(1+AX73)*(1+AY73)*AZ73*(1+$E$17+VLOOKUP($E73,武器奇术!$A:$R,10,FALSE))</f>
        <v>0</v>
      </c>
      <c r="BF73" s="104">
        <f t="shared" si="16"/>
        <v>0.0986</v>
      </c>
      <c r="BG73" s="103">
        <f>AV73*IF(VLOOKUP($E73,武器奇术!$A:$R,17,FALSE)="鸣金",VLOOKUP($E73,武器奇术!$A:$R,4,FALSE),VLOOKUP($E73,武器奇术!$A:$R,2,FALSE))*(1+AX73)*(1+AY73)*AZ73</f>
        <v>0</v>
      </c>
      <c r="BH73" s="104">
        <f t="shared" si="17"/>
        <v>0.0311</v>
      </c>
      <c r="BI73" s="112">
        <f t="shared" si="18"/>
        <v>0</v>
      </c>
      <c r="BJ73" s="110">
        <f>$B$9*IF($G$5="撼天",1.05,1)+IF(AND(VLOOKUP($E73,武器奇术!$A:$R,15,FALSE)="武器",VLOOKUP($E73,武器奇术!$A:$R,17,FALSE)="裂石"),$E$3*(1+$E$15),0)</f>
        <v>0</v>
      </c>
      <c r="BK73" s="102">
        <f t="shared" si="19"/>
        <v>0</v>
      </c>
      <c r="BL73" s="102">
        <f>MAX($C$9*IF($G$5="撼天",1.05,1)+IF(AND(VLOOKUP($E73,武器奇术!$A:$R,15,FALSE)="武器",VLOOKUP($E73,武器奇术!$A:$R,17,FALSE)="裂石"),$E$3*(1+$E$15),0),BJ73)</f>
        <v>0</v>
      </c>
      <c r="BM73" s="104">
        <f>IF(($D$9+IF(VLOOKUP($E73,武器奇术!$A:$R,17,FALSE)="裂石",$D$15,0)-VLOOKUP($F$7,目标属性!$A:$R,6,FALSE))&gt;0,($D$9+IF(VLOOKUP($E73,武器奇术!$A:$R,17,FALSE)="裂石",$D$15,0)-VLOOKUP($F$7,目标属性!$A:$R,6,FALSE))/200,($D$9+IF(VLOOKUP($E73,武器奇术!$A:$R,17,FALSE)="裂石",$D$15,0)-VLOOKUP($F$7,目标属性!$A:$R,6,FALSE))/100)</f>
        <v>-0.24</v>
      </c>
      <c r="BN73" s="111">
        <f t="shared" si="20"/>
        <v>0</v>
      </c>
      <c r="BO73" s="102">
        <v>1</v>
      </c>
      <c r="BP73" s="103">
        <f>BJ73*IF(VLOOKUP($E73,武器奇术!$A:$R,17,FALSE)="裂石",VLOOKUP($E73,武器奇术!$A:$R,4,FALSE),VLOOKUP($E73,武器奇术!$A:$R,2,FALSE))*(1+BM73)*(1+BN73)*BO73</f>
        <v>0</v>
      </c>
      <c r="BQ73" s="104">
        <f>(1-IF(VLOOKUP($E73,武器奇术!$A:$R,18,FALSE)="叶龙",1,$N73))*(1-$M73)</f>
        <v>0</v>
      </c>
      <c r="BR73" s="103">
        <f>BK73*IF(VLOOKUP($E73,武器奇术!$A:$R,17,FALSE)="裂石",VLOOKUP($E73,武器奇术!$A:$R,4,FALSE),VLOOKUP($E73,武器奇术!$A:$R,2,FALSE))*(1+BM73)*(1+BN73)*BO73*(1+$E$16+VLOOKUP($E73,武器奇术!$A:$R,8,FALSE))</f>
        <v>0</v>
      </c>
      <c r="BS73" s="104">
        <f t="shared" si="21"/>
        <v>0.8703</v>
      </c>
      <c r="BT73" s="103">
        <f>BL73*IF(VLOOKUP($E73,武器奇术!$A:$R,17,FALSE)="裂石",VLOOKUP($E73,武器奇术!$A:$R,4,FALSE),VLOOKUP($E73,武器奇术!$A:$R,2,FALSE))*(1+BM73)*(1+BN73)*BO73*(1+$E$17+VLOOKUP($E73,武器奇术!$A:$R,10,FALSE))</f>
        <v>0</v>
      </c>
      <c r="BU73" s="104">
        <f t="shared" si="22"/>
        <v>0.0986</v>
      </c>
      <c r="BV73" s="103">
        <f>BK73*IF(VLOOKUP($E73,武器奇术!$A:$R,17,FALSE)="裂石",VLOOKUP($E73,武器奇术!$A:$R,4,FALSE),VLOOKUP($E73,武器奇术!$A:$R,2,FALSE))*(1+BM73)*(1+BN73)*BO73</f>
        <v>0</v>
      </c>
      <c r="BW73" s="104">
        <f t="shared" si="23"/>
        <v>0.0311</v>
      </c>
      <c r="BX73" s="112">
        <f t="shared" si="24"/>
        <v>0</v>
      </c>
      <c r="BY73" s="110">
        <f>$B$11*IF($G$5="撼天",1.05,1)+IF(AND(VLOOKUP($E73,武器奇术!$A:$R,15,FALSE)="武器",VLOOKUP($E73,武器奇术!$A:$R,17,FALSE)="牵丝"),$E$3*(1+$E$15),0)</f>
        <v>686.71</v>
      </c>
      <c r="BZ73" s="102">
        <f>IF(VLOOKUP($E73,武器奇术!$A:$Z,18,FALSE)="叶龙",(CA73-(BY73+CA73)*0.5)*($G$15-0.5)*2+(BY73+CA73)*0.5,(BY73+CA73)*0.5)</f>
        <v>1052.21</v>
      </c>
      <c r="CA73" s="102">
        <f>MAX($C$11*IF($G$5="撼天",1.05,1)+IF(AND(VLOOKUP($E73,武器奇术!$A:$R,15,FALSE)="武器",VLOOKUP($E73,武器奇术!$A:$R,17,FALSE)="牵丝"),$E$3*(1+$E$15),0),BY73)</f>
        <v>1417.71</v>
      </c>
      <c r="CB73" s="104">
        <f>IF(($D$11+IF(VLOOKUP($E73,武器奇术!$A:$R,17,FALSE)="牵丝",$D$15,0)-VLOOKUP($F$7,目标属性!$A:$R,6,FALSE))&gt;0,($D$11+IF(VLOOKUP($E73,武器奇术!$A:$R,17,FALSE)="牵丝",$D$15,0)-VLOOKUP($F$7,目标属性!$A:$R,6,FALSE))/200,($D$11+IF(VLOOKUP($E73,武器奇术!$A:$R,17,FALSE)="牵丝",$D$15,0)-VLOOKUP($F$7,目标属性!$A:$R,6,FALSE))/100)</f>
        <v>0.028</v>
      </c>
      <c r="CC73" s="111">
        <f>$E$11+IF($G$5="烟柳",IF(VLOOKUP($E73,武器奇术!$A:$T,20,FALSE)=1,0.1,0),0)</f>
        <v>0.148</v>
      </c>
      <c r="CD73" s="102">
        <v>1</v>
      </c>
      <c r="CE73" s="103">
        <f>BY73*IF(VLOOKUP($E73,武器奇术!$A:$R,17,FALSE)="牵丝",VLOOKUP($E73,武器奇术!$A:$R,4,FALSE),VLOOKUP($E73,武器奇术!$A:$R,2,FALSE))*(1+CB73)*(1+CC73)*CD73</f>
        <v>1126.39815220498</v>
      </c>
      <c r="CF73" s="104">
        <f>(1-IF(VLOOKUP($E73,武器奇术!$A:$R,18,FALSE)="叶龙",1,$N73))*(1-$M73)</f>
        <v>0</v>
      </c>
      <c r="CG73" s="124">
        <f>BZ73*IF(VLOOKUP($E73,武器奇术!$A:$R,17,FALSE)="牵丝",VLOOKUP($E73,武器奇术!$A:$R,4,FALSE),VLOOKUP($E73,武器奇术!$A:$R,2,FALSE))*(1+CB73)*(1+CC73)*CD73*(1+$E$16+VLOOKUP($E73,武器奇术!$A:$R,8,FALSE))</f>
        <v>2837.4145784374</v>
      </c>
      <c r="CH73" s="104">
        <f t="shared" si="25"/>
        <v>0.8703</v>
      </c>
      <c r="CI73" s="103">
        <f>CA73*IF(VLOOKUP($E73,武器奇术!$A:$R,17,FALSE)="牵丝",VLOOKUP($E73,武器奇术!$A:$R,4,FALSE),VLOOKUP($E73,武器奇术!$A:$R,2,FALSE))*(1+CB73)*(1+CC73)*CD73*(1+$E$17+VLOOKUP($E73,武器奇术!$A:$R,10,FALSE))</f>
        <v>3139.34994086208</v>
      </c>
      <c r="CJ73" s="104">
        <f t="shared" si="26"/>
        <v>0.0986</v>
      </c>
      <c r="CK73" s="124">
        <f>BZ73*IF(VLOOKUP($E73,武器奇术!$A:$R,17,FALSE)="牵丝",VLOOKUP($E73,武器奇术!$A:$R,4,FALSE),VLOOKUP($E73,武器奇术!$A:$R,2,FALSE))*(1+CB73)*(1+CC73)*CD73</f>
        <v>1725.92127642178</v>
      </c>
      <c r="CL73" s="104">
        <f t="shared" si="27"/>
        <v>0.0311</v>
      </c>
      <c r="CM73" s="112">
        <f t="shared" si="28"/>
        <v>2832.61796347979</v>
      </c>
      <c r="CN73" s="110">
        <f>$B$13*IF($G$5="撼天",1.05,1)+IF(AND(VLOOKUP($E73,武器奇术!$A:$R,15,FALSE)="武器",VLOOKUP($E73,武器奇术!$A:$R,17,FALSE)="破竹"),$E$3*(1+$E$15),0)</f>
        <v>0</v>
      </c>
      <c r="CO73" s="102">
        <f t="shared" si="29"/>
        <v>0</v>
      </c>
      <c r="CP73" s="102">
        <f>MAX($C$13*IF($G$5="撼天",1.05,1)+IF(AND(VLOOKUP($E73,武器奇术!$A:$R,15,FALSE)="武器",VLOOKUP($E73,武器奇术!$A:$R,17,FALSE)="破竹"),$E$3*(1+$E$15),0),CN73)</f>
        <v>0</v>
      </c>
      <c r="CQ73" s="104">
        <f>IF(($D$13+IF(VLOOKUP($E73,武器奇术!$A:$R,17,FALSE)="破竹",$D$15,0)-VLOOKUP($F$7,目标属性!$A:$R,6,FALSE))&gt;0,($D$13+IF(VLOOKUP($E73,武器奇术!$A:$R,17,FALSE)="破竹",$D$15,0)-VLOOKUP($F$7,目标属性!$A:$R,6,FALSE))/200,($D$13+IF(VLOOKUP($E73,武器奇术!$A:$R,17,FALSE)="破竹",$D$15,0)-VLOOKUP($F$7,目标属性!$A:$R,6,FALSE))/100)</f>
        <v>-0.24</v>
      </c>
      <c r="CR73" s="111">
        <f t="shared" si="30"/>
        <v>0</v>
      </c>
      <c r="CS73" s="102">
        <v>1</v>
      </c>
      <c r="CT73" s="103">
        <f>CN73*IF(VLOOKUP($E73,武器奇术!$A:$R,17,FALSE)="破竹",VLOOKUP($E73,武器奇术!$A:$R,4,FALSE),VLOOKUP($E73,武器奇术!$A:$R,2,FALSE))*(1+CQ73)*(1+CR73)*CS73</f>
        <v>0</v>
      </c>
      <c r="CU73" s="104">
        <f>(1-IF(VLOOKUP($E73,武器奇术!$A:$R,18,FALSE)="叶龙",1,$N73))*(1-$M73)</f>
        <v>0</v>
      </c>
      <c r="CV73" s="103">
        <f>CO73*IF(VLOOKUP($E73,武器奇术!$A:$R,17,FALSE)="破竹",VLOOKUP($E73,武器奇术!$A:$R,4,FALSE),VLOOKUP($E73,武器奇术!$A:$R,2,FALSE))*(1+CQ73)*(1+CR73)*CS73*(1+$E$16+VLOOKUP($E73,武器奇术!$A:$R,8,FALSE))</f>
        <v>0</v>
      </c>
      <c r="CW73" s="104">
        <f t="shared" si="31"/>
        <v>0.8703</v>
      </c>
      <c r="CX73" s="103">
        <f>CP73*IF(VLOOKUP($E73,武器奇术!$A:$R,17,FALSE)="破竹",VLOOKUP($E73,武器奇术!$A:$R,4,FALSE),VLOOKUP($E73,武器奇术!$A:$R,2,FALSE))*(1+CQ73)*(1+CR73)*CS73*(1+$E$17+VLOOKUP($E73,武器奇术!$A:$R,10,FALSE))</f>
        <v>0</v>
      </c>
      <c r="CY73" s="104">
        <f t="shared" si="32"/>
        <v>0.0986</v>
      </c>
      <c r="CZ73" s="103">
        <f>CO73*IF(VLOOKUP($E73,武器奇术!$A:$R,17,FALSE)="破竹",VLOOKUP($E73,武器奇术!$A:$R,4,FALSE),VLOOKUP($E73,武器奇术!$A:$R,2,FALSE))*(1+CQ73)*(1+CR73)*CS73</f>
        <v>0</v>
      </c>
      <c r="DA73" s="104">
        <f t="shared" si="33"/>
        <v>0.0311</v>
      </c>
      <c r="DB73" s="112">
        <f t="shared" si="34"/>
        <v>0</v>
      </c>
      <c r="DC73" s="110">
        <f t="shared" si="35"/>
        <v>66</v>
      </c>
      <c r="DD73" s="102">
        <f t="shared" si="36"/>
        <v>125.8</v>
      </c>
      <c r="DE73" s="102">
        <f t="shared" si="37"/>
        <v>185.6</v>
      </c>
      <c r="DF73" s="104">
        <f>IF((IF(VLOOKUP($E73,武器奇术!$A:$R,17,FALSE)="鸣金",$D$7,0)+IF(VLOOKUP($E73,武器奇术!$A:$R,17,FALSE)="裂石",$D$9,0)+IF(VLOOKUP($E73,武器奇术!$A:$R,17,FALSE)="牵丝",$D$11,0)+IF(VLOOKUP($E73,武器奇术!$A:$R,17,FALSE)="破竹",$D$13,0)+$D$15-VLOOKUP($F$7,目标属性!$A:$R,6,FALSE))&gt;0,(IF(VLOOKUP($E73,武器奇术!$A:$R,17,FALSE)="鸣金",$D$7,0)+IF(VLOOKUP($E73,武器奇术!$A:$R,17,FALSE)="裂石",$D$9,0)+IF(VLOOKUP($E73,武器奇术!$A:$R,17,FALSE)="牵丝",$D$11,0)+IF(VLOOKUP($E73,武器奇术!$A:$R,17,FALSE)="破竹",$D$13,0)+$D$15-VLOOKUP($F$7,目标属性!$A:$R,6,FALSE))/200,(IF(VLOOKUP($E73,武器奇术!$A:$R,17,FALSE)="鸣金",$D$7,0)+IF(VLOOKUP($E73,武器奇术!$A:$R,17,FALSE)="裂石",$D$9,0)+IF(VLOOKUP($E73,武器奇术!$A:$R,17,FALSE)="牵丝",$D$11,0)+IF(VLOOKUP($E73,武器奇术!$A:$R,17,FALSE)="破竹",$D$13,0)+$D$15-VLOOKUP($F$7,目标属性!$A:$R,6,FALSE))/100)</f>
        <v>0.028</v>
      </c>
      <c r="DG73" s="111">
        <f>$E$11+IF($G$5="烟柳",IF(VLOOKUP($E73,武器奇术!$A:$T,20,FALSE)=1,0.1,0),0)</f>
        <v>0.148</v>
      </c>
      <c r="DH73" s="102">
        <v>1</v>
      </c>
      <c r="DI73" s="103">
        <f>DC73*IF(VLOOKUP($E73,武器奇术!$A:$R,17,FALSE)="牵丝",VLOOKUP($E73,武器奇术!$A:$R,4,FALSE),VLOOKUP($E73,武器奇术!$A:$R,2,FALSE))*(1+DF73)*(1+DG73)*DH73</f>
        <v>108.2586216096</v>
      </c>
      <c r="DJ73" s="104">
        <f>(1-IF(VLOOKUP($E73,武器奇术!$A:$R,18,FALSE)="叶龙",1,$N73))*(1-$M73)</f>
        <v>0</v>
      </c>
      <c r="DK73" s="124">
        <f>DD73*IF(VLOOKUP($E73,武器奇术!$A:$R,17,FALSE)="牵丝",VLOOKUP($E73,武器奇术!$A:$R,4,FALSE),VLOOKUP($E73,武器奇术!$A:$R,2,FALSE))*(1+DF73)*(1+DG73)*DH73*(1+$E$16+VLOOKUP($E73,武器奇术!$A:$R,8,FALSE))</f>
        <v>339.235279998693</v>
      </c>
      <c r="DL73" s="104">
        <f t="shared" si="38"/>
        <v>0.8703</v>
      </c>
      <c r="DM73" s="103">
        <f>DE73*IF(VLOOKUP($E73,武器奇术!$A:$R,17,FALSE)="牵丝",VLOOKUP($E73,武器奇术!$A:$R,4,FALSE),VLOOKUP($E73,武器奇术!$A:$R,2,FALSE))*(1+DF73)*(1+DG73)*DH73*(1+$E$17+VLOOKUP($E73,武器奇术!$A:$R,10,FALSE))</f>
        <v>410.989094401536</v>
      </c>
      <c r="DN73" s="104">
        <f t="shared" si="39"/>
        <v>0.0986</v>
      </c>
      <c r="DO73" s="124">
        <f>DD73*IF(VLOOKUP($E73,武器奇术!$A:$R,17,FALSE)="牵丝",VLOOKUP($E73,武器奇术!$A:$R,4,FALSE),VLOOKUP($E73,武器奇术!$A:$R,2,FALSE))*(1+DF73)*(1+DG73)*DH73</f>
        <v>206.34749391648</v>
      </c>
      <c r="DP73" s="104">
        <f t="shared" si="40"/>
        <v>0.0311</v>
      </c>
      <c r="DQ73" s="112">
        <f t="shared" si="41"/>
        <v>342.177395951657</v>
      </c>
    </row>
    <row r="74" customFormat="1" customHeight="1" spans="1:121">
      <c r="A74" s="139"/>
      <c r="B74" s="139"/>
      <c r="C74" s="139"/>
      <c r="D74" s="139"/>
      <c r="E74" s="115" t="str">
        <f>期望!E74</f>
        <v>扇强化重击派生(风墙小纵)</v>
      </c>
      <c r="F74" s="116">
        <f>期望!F74</f>
        <v>1</v>
      </c>
      <c r="G74" s="117"/>
      <c r="H74" s="103">
        <f>IF(VLOOKUP($E74,武器奇术!$A:$R,18,FALSE)="天工",AE74,(AE74+AT74+BI74+BX74+CM74+DB74+DQ74))*(1+J74)*F74*K74*(1+G74)</f>
        <v>95604.3149046996</v>
      </c>
      <c r="I74" s="104">
        <f t="shared" si="0"/>
        <v>0.0110183932649986</v>
      </c>
      <c r="J74" s="104">
        <f>$F$3+VLOOKUP($E74,武器奇术!$A:$R,12,FALSE)+VLOOKUP($E74,武器奇术!$A:$R,14,FALSE)*$G$3+$P74</f>
        <v>0.567</v>
      </c>
      <c r="K74" s="105">
        <f>VLOOKUP($E74,武器奇术!$A:$R,11,FALSE)</f>
        <v>1</v>
      </c>
      <c r="L74" s="119">
        <f>IF(VLOOKUP($E74,武器奇术!$A:$R,15,FALSE)="天工",0%,IF($C$17+VLOOKUP($E74,武器奇术!$A:$R,7,FALSE)&gt;80%,80%,$C$17+VLOOKUP($E74,武器奇术!$A:$R,7,FALSE))+IF($C$19&gt;20%,20%,$C$19))</f>
        <v>0.887</v>
      </c>
      <c r="M74" s="120">
        <f>IF(VLOOKUP($E74,武器奇术!$A:$R,15,FALSE)="天工",0%,IF($C$18+VLOOKUP($E74,武器奇术!$A:$R,9,FALSE)&gt;40%,40%,$C$18+VLOOKUP($E74,武器奇术!$A:$R,9,FALSE))+IF($C$20&gt;10%,10%,$C$20))</f>
        <v>0.0986</v>
      </c>
      <c r="N74" s="121">
        <f>IF(VLOOKUP($E74,武器奇术!$A:$R,15,FALSE)="天工",100%,MIN($C$16,1))</f>
        <v>1</v>
      </c>
      <c r="O74" s="122" t="str">
        <f>VLOOKUP($E74,武器奇术!$A:$R,16,FALSE)</f>
        <v>扇</v>
      </c>
      <c r="P74" s="123">
        <f t="shared" si="1"/>
        <v>0.084</v>
      </c>
      <c r="Q74" s="110">
        <f>$B$5*(1+VLOOKUP($E74,武器奇术!$A:$R,5,FALSE))*(1+VLOOKUP($E74,武器奇术!$A:$S,19,FALSE)+IF($G$5="飞隼",0.1,0)+IF($G$5="撼天",0.05,0))-$F$9+IF($J$5="√",160,0)</f>
        <v>3081.85</v>
      </c>
      <c r="R74" s="102">
        <f>IF(VLOOKUP($E74,武器奇术!$A:$Z,18,FALSE)="叶龙",(S74-(Q74+S74)*0.5)*($G$15-0.5)*2+(Q74+S74)*0.5,(Q74+S74)*0.5)</f>
        <v>3161.85</v>
      </c>
      <c r="S74" s="102">
        <f>MAX($C$5,$B$5)*(1+VLOOKUP($E74,武器奇术!$A:$R,6,FALSE))*(1+VLOOKUP($E74,武器奇术!$A:$S,19,FALSE)+IF($G$5="飞隼",0.1,0)+IF($G$5="撼天",0.05,0))-$F$9+IF($J$5="√",320,0)</f>
        <v>3241.85</v>
      </c>
      <c r="T74" s="104">
        <f>IF(($D$5+VLOOKUP($E74,武器奇术!$A:$R,13,FALSE)+IF($I$3="√",10,0)-VLOOKUP($F$7,目标属性!$A:$R,5,FALSE))&gt;0,($D$5+VLOOKUP($E74,武器奇术!$A:$R,13,FALSE)+IF($I$3="√",10,0)-VLOOKUP($F$7,目标属性!$A:$R,5,FALSE))/200,($D$5+VLOOKUP($E74,武器奇术!$A:$R,13,FALSE)+IF($I$3="√",10,0)-VLOOKUP($F$7,目标属性!$A:$R,5,FALSE))/100)</f>
        <v>0.2675</v>
      </c>
      <c r="U74" s="111">
        <f>$E$5+IF($G$5="烟柳",IF(VLOOKUP($E74,武器奇术!$A:$T,20,FALSE)=1,0.1,0),0)</f>
        <v>0.1</v>
      </c>
      <c r="V74" s="102">
        <v>1</v>
      </c>
      <c r="W74" s="103">
        <f>Q74*VLOOKUP($E74,武器奇术!$A:$R,2,FALSE)*(1+T74)*(1+U74)*V74</f>
        <v>18806.6452475241</v>
      </c>
      <c r="X74" s="104">
        <f>(1-IF(VLOOKUP($E74,武器奇术!$A:$R,18,FALSE)="叶龙",1,$N74))*(1-$M74)</f>
        <v>0</v>
      </c>
      <c r="Y74" s="103">
        <f>R74*VLOOKUP($E74,武器奇术!$A:$R,2,FALSE)*(1+T74)*(1+U74)*V74*(1+$E$16+VLOOKUP($E74,武器奇术!$A:$R,8,FALSE))</f>
        <v>38666.8519612802</v>
      </c>
      <c r="Z74" s="104">
        <f t="shared" si="2"/>
        <v>0.887</v>
      </c>
      <c r="AA74" s="103">
        <f>S74*VLOOKUP($E74,武器奇术!$A:$R,2,FALSE)*(1+T74)*(1+U74)*V74*(1+$E$17+VLOOKUP($E74,武器奇术!$A:$R,10,FALSE))</f>
        <v>26707.0869475075</v>
      </c>
      <c r="AB74" s="104">
        <f t="shared" si="3"/>
        <v>0.0986</v>
      </c>
      <c r="AC74" s="103">
        <f>R74*VLOOKUP($E74,武器奇术!$A:$R,2,FALSE)*(1+T74)*(1+U74)*V74</f>
        <v>19294.8363080241</v>
      </c>
      <c r="AD74" s="104">
        <f t="shared" si="4"/>
        <v>0.0144</v>
      </c>
      <c r="AE74" s="112">
        <f t="shared" si="5"/>
        <v>37208.6621055154</v>
      </c>
      <c r="AF74" s="113">
        <f>VLOOKUP($E74,武器奇术!$A:$R,3,FALSE)*(1+IF(VLOOKUP($E74,武器奇术!$A:$R,15,FALSE)="武器",$E$15,0))</f>
        <v>1573.975</v>
      </c>
      <c r="AG74" s="103">
        <f t="shared" si="6"/>
        <v>1573.975</v>
      </c>
      <c r="AH74" s="103">
        <f>VLOOKUP($E74,武器奇术!$A:$R,3,FALSE)*(1+IF(VLOOKUP($E74,武器奇术!$A:$R,15,FALSE)="武器",$E$15,0))</f>
        <v>1573.975</v>
      </c>
      <c r="AI74" s="104">
        <f>IF(($D$5+VLOOKUP($E74,武器奇术!$A:$R,13,FALSE)+IF($I$3="√",10,0)-VLOOKUP($F$7,目标属性!$A:$R,5,FALSE))&gt;0,($D$5+VLOOKUP($E74,武器奇术!$A:$R,13,FALSE)+IF($I$3="√",10,0)-VLOOKUP($F$7,目标属性!$A:$R,5,FALSE))/200,($D$5+VLOOKUP($E74,武器奇术!$A:$R,13,FALSE)+IF($I$3="√",10,0)-VLOOKUP($F$7,目标属性!$A:$R,5,FALSE))/100)</f>
        <v>0.2675</v>
      </c>
      <c r="AJ74" s="111">
        <f>$E$5+IF($G$5="烟柳",IF(VLOOKUP($E74,武器奇术!$A:$T,20,FALSE)=1,0.1,0),0)</f>
        <v>0.1</v>
      </c>
      <c r="AK74" s="102">
        <v>1</v>
      </c>
      <c r="AL74" s="103">
        <f t="shared" si="7"/>
        <v>2194.51464375</v>
      </c>
      <c r="AM74" s="104">
        <f>(1-IF(VLOOKUP($E74,武器奇术!$A:$R,18,FALSE)="叶龙",1,$N74))*(1-$M74)</f>
        <v>0</v>
      </c>
      <c r="AN74" s="103">
        <f>AG74*(1+AI74)*(1+AJ74)*AK74*(1+$E$16+VLOOKUP($E74,武器奇术!$A:$R,8,FALSE))</f>
        <v>4397.807346075</v>
      </c>
      <c r="AO74" s="104">
        <f t="shared" si="8"/>
        <v>0.887</v>
      </c>
      <c r="AP74" s="103">
        <f>AH74*(1+AI74)*(1+AJ74)*AK74*(1+$E$17+VLOOKUP($E74,武器奇术!$A:$R,10,FALSE))</f>
        <v>2962.5947690625</v>
      </c>
      <c r="AQ74" s="104">
        <f t="shared" si="9"/>
        <v>0.0986</v>
      </c>
      <c r="AR74" s="103">
        <f t="shared" si="10"/>
        <v>2194.51464375</v>
      </c>
      <c r="AS74" s="104">
        <f t="shared" si="11"/>
        <v>0.0144</v>
      </c>
      <c r="AT74" s="112">
        <f t="shared" si="12"/>
        <v>4224.56797106809</v>
      </c>
      <c r="AU74" s="110">
        <f>$B$7*IF($G$5="撼天",1.05,1)+IF(AND(VLOOKUP($E74,武器奇术!$A:$R,15,FALSE)="武器",VLOOKUP($E74,武器奇术!$A:$R,17,FALSE)="鸣金"),$E$3*(1+$E$15),0)</f>
        <v>0</v>
      </c>
      <c r="AV74" s="102">
        <f t="shared" si="13"/>
        <v>0</v>
      </c>
      <c r="AW74" s="102">
        <f>MAX($C$7*IF($G$5="撼天",1.05,1)+IF(AND(VLOOKUP($E74,武器奇术!$A:$R,15,FALSE)="武器",VLOOKUP($E74,武器奇术!$A:$R,17,FALSE)="鸣金"),$E$3*(1+$E$15),0),AU74)</f>
        <v>0</v>
      </c>
      <c r="AX74" s="104">
        <f>IF(($D$7+IF(VLOOKUP($E74,武器奇术!$A:$R,17,FALSE)="鸣金",$D$15,0)-VLOOKUP($F$7,目标属性!$A:$R,6,FALSE))&gt;0,($D$7+IF(VLOOKUP($E74,武器奇术!$A:$R,17,FALSE)="鸣金",$D$15,0)-VLOOKUP($F$7,目标属性!$A:$R,6,FALSE))/200,($D$7+IF(VLOOKUP($E74,武器奇术!$A:$R,17,FALSE)="鸣金",$D$15,0)-VLOOKUP($F$7,目标属性!$A:$R,6,FALSE))/100)</f>
        <v>-0.24</v>
      </c>
      <c r="AY74" s="111">
        <f t="shared" si="14"/>
        <v>0</v>
      </c>
      <c r="AZ74" s="102">
        <v>1</v>
      </c>
      <c r="BA74" s="103">
        <f>AU74*IF(VLOOKUP($E74,武器奇术!$A:$R,17,FALSE)="鸣金",VLOOKUP($E74,武器奇术!$A:$R,4,FALSE),VLOOKUP($E74,武器奇术!$A:$R,2,FALSE))*(1+AX74)*(1+AY74)*AZ74</f>
        <v>0</v>
      </c>
      <c r="BB74" s="104">
        <f>(1-IF(VLOOKUP($E74,武器奇术!$A:$R,18,FALSE)="叶龙",1,$N74))*(1-$M74)</f>
        <v>0</v>
      </c>
      <c r="BC74" s="103">
        <f>AV74*IF(VLOOKUP($E74,武器奇术!$A:$R,17,FALSE)="鸣金",VLOOKUP($E74,武器奇术!$A:$R,4,FALSE),VLOOKUP($E74,武器奇术!$A:$R,2,FALSE))*(1+AX74)*(1+AY74)*AZ74*(1+$E$16+VLOOKUP($E74,武器奇术!$A:$R,8,FALSE))</f>
        <v>0</v>
      </c>
      <c r="BD74" s="104">
        <f t="shared" si="15"/>
        <v>0.887</v>
      </c>
      <c r="BE74" s="103">
        <f>AW74*IF(VLOOKUP($E74,武器奇术!$A:$R,17,FALSE)="鸣金",VLOOKUP($E74,武器奇术!$A:$R,4,FALSE),VLOOKUP($E74,武器奇术!$A:$R,2,FALSE))*(1+AX74)*(1+AY74)*AZ74*(1+$E$17+VLOOKUP($E74,武器奇术!$A:$R,10,FALSE))</f>
        <v>0</v>
      </c>
      <c r="BF74" s="104">
        <f t="shared" si="16"/>
        <v>0.0986</v>
      </c>
      <c r="BG74" s="103">
        <f>AV74*IF(VLOOKUP($E74,武器奇术!$A:$R,17,FALSE)="鸣金",VLOOKUP($E74,武器奇术!$A:$R,4,FALSE),VLOOKUP($E74,武器奇术!$A:$R,2,FALSE))*(1+AX74)*(1+AY74)*AZ74</f>
        <v>0</v>
      </c>
      <c r="BH74" s="104">
        <f t="shared" si="17"/>
        <v>0.0144</v>
      </c>
      <c r="BI74" s="112">
        <f t="shared" si="18"/>
        <v>0</v>
      </c>
      <c r="BJ74" s="110">
        <f>$B$9*IF($G$5="撼天",1.05,1)+IF(AND(VLOOKUP($E74,武器奇术!$A:$R,15,FALSE)="武器",VLOOKUP($E74,武器奇术!$A:$R,17,FALSE)="裂石"),$E$3*(1+$E$15),0)</f>
        <v>0</v>
      </c>
      <c r="BK74" s="102">
        <f t="shared" si="19"/>
        <v>0</v>
      </c>
      <c r="BL74" s="102">
        <f>MAX($C$9*IF($G$5="撼天",1.05,1)+IF(AND(VLOOKUP($E74,武器奇术!$A:$R,15,FALSE)="武器",VLOOKUP($E74,武器奇术!$A:$R,17,FALSE)="裂石"),$E$3*(1+$E$15),0),BJ74)</f>
        <v>0</v>
      </c>
      <c r="BM74" s="104">
        <f>IF(($D$9+IF(VLOOKUP($E74,武器奇术!$A:$R,17,FALSE)="裂石",$D$15,0)-VLOOKUP($F$7,目标属性!$A:$R,6,FALSE))&gt;0,($D$9+IF(VLOOKUP($E74,武器奇术!$A:$R,17,FALSE)="裂石",$D$15,0)-VLOOKUP($F$7,目标属性!$A:$R,6,FALSE))/200,($D$9+IF(VLOOKUP($E74,武器奇术!$A:$R,17,FALSE)="裂石",$D$15,0)-VLOOKUP($F$7,目标属性!$A:$R,6,FALSE))/100)</f>
        <v>-0.24</v>
      </c>
      <c r="BN74" s="111">
        <f t="shared" si="20"/>
        <v>0</v>
      </c>
      <c r="BO74" s="102">
        <v>1</v>
      </c>
      <c r="BP74" s="103">
        <f>BJ74*IF(VLOOKUP($E74,武器奇术!$A:$R,17,FALSE)="裂石",VLOOKUP($E74,武器奇术!$A:$R,4,FALSE),VLOOKUP($E74,武器奇术!$A:$R,2,FALSE))*(1+BM74)*(1+BN74)*BO74</f>
        <v>0</v>
      </c>
      <c r="BQ74" s="104">
        <f>(1-IF(VLOOKUP($E74,武器奇术!$A:$R,18,FALSE)="叶龙",1,$N74))*(1-$M74)</f>
        <v>0</v>
      </c>
      <c r="BR74" s="103">
        <f>BK74*IF(VLOOKUP($E74,武器奇术!$A:$R,17,FALSE)="裂石",VLOOKUP($E74,武器奇术!$A:$R,4,FALSE),VLOOKUP($E74,武器奇术!$A:$R,2,FALSE))*(1+BM74)*(1+BN74)*BO74*(1+$E$16+VLOOKUP($E74,武器奇术!$A:$R,8,FALSE))</f>
        <v>0</v>
      </c>
      <c r="BS74" s="104">
        <f t="shared" si="21"/>
        <v>0.887</v>
      </c>
      <c r="BT74" s="103">
        <f>BL74*IF(VLOOKUP($E74,武器奇术!$A:$R,17,FALSE)="裂石",VLOOKUP($E74,武器奇术!$A:$R,4,FALSE),VLOOKUP($E74,武器奇术!$A:$R,2,FALSE))*(1+BM74)*(1+BN74)*BO74*(1+$E$17+VLOOKUP($E74,武器奇术!$A:$R,10,FALSE))</f>
        <v>0</v>
      </c>
      <c r="BU74" s="104">
        <f t="shared" si="22"/>
        <v>0.0986</v>
      </c>
      <c r="BV74" s="103">
        <f>BK74*IF(VLOOKUP($E74,武器奇术!$A:$R,17,FALSE)="裂石",VLOOKUP($E74,武器奇术!$A:$R,4,FALSE),VLOOKUP($E74,武器奇术!$A:$R,2,FALSE))*(1+BM74)*(1+BN74)*BO74</f>
        <v>0</v>
      </c>
      <c r="BW74" s="104">
        <f t="shared" si="23"/>
        <v>0.0144</v>
      </c>
      <c r="BX74" s="112">
        <f t="shared" si="24"/>
        <v>0</v>
      </c>
      <c r="BY74" s="110">
        <f>$B$11*IF($G$5="撼天",1.05,1)+IF(AND(VLOOKUP($E74,武器奇术!$A:$R,15,FALSE)="武器",VLOOKUP($E74,武器奇术!$A:$R,17,FALSE)="牵丝"),$E$3*(1+$E$15),0)</f>
        <v>686.71</v>
      </c>
      <c r="BZ74" s="102">
        <f>IF(VLOOKUP($E74,武器奇术!$A:$Z,18,FALSE)="叶龙",(CA74-(BY74+CA74)*0.5)*($G$15-0.5)*2+(BY74+CA74)*0.5,(BY74+CA74)*0.5)</f>
        <v>1052.21</v>
      </c>
      <c r="CA74" s="102">
        <f>MAX($C$11*IF($G$5="撼天",1.05,1)+IF(AND(VLOOKUP($E74,武器奇术!$A:$R,15,FALSE)="武器",VLOOKUP($E74,武器奇术!$A:$R,17,FALSE)="牵丝"),$E$3*(1+$E$15),0),BY74)</f>
        <v>1417.71</v>
      </c>
      <c r="CB74" s="104">
        <f>IF(($D$11+IF(VLOOKUP($E74,武器奇术!$A:$R,17,FALSE)="牵丝",$D$15,0)-VLOOKUP($F$7,目标属性!$A:$R,6,FALSE))&gt;0,($D$11+IF(VLOOKUP($E74,武器奇术!$A:$R,17,FALSE)="牵丝",$D$15,0)-VLOOKUP($F$7,目标属性!$A:$R,6,FALSE))/200,($D$11+IF(VLOOKUP($E74,武器奇术!$A:$R,17,FALSE)="牵丝",$D$15,0)-VLOOKUP($F$7,目标属性!$A:$R,6,FALSE))/100)</f>
        <v>0.028</v>
      </c>
      <c r="CC74" s="111">
        <f>$E$11+IF($G$5="烟柳",IF(VLOOKUP($E74,武器奇术!$A:$T,20,FALSE)=1,0.1,0),0)</f>
        <v>0.248</v>
      </c>
      <c r="CD74" s="102">
        <v>1</v>
      </c>
      <c r="CE74" s="103">
        <f>BY74*IF(VLOOKUP($E74,武器奇术!$A:$R,17,FALSE)="牵丝",VLOOKUP($E74,武器奇术!$A:$R,4,FALSE),VLOOKUP($E74,武器奇术!$A:$R,2,FALSE))*(1+CB74)*(1+CC74)*CD74</f>
        <v>5784.10687663261</v>
      </c>
      <c r="CF74" s="104">
        <f>(1-IF(VLOOKUP($E74,武器奇术!$A:$R,18,FALSE)="叶龙",1,$N74))*(1-$M74)</f>
        <v>0</v>
      </c>
      <c r="CG74" s="124">
        <f>BZ74*IF(VLOOKUP($E74,武器奇术!$A:$R,17,FALSE)="牵丝",VLOOKUP($E74,武器奇术!$A:$R,4,FALSE),VLOOKUP($E74,武器奇术!$A:$R,2,FALSE))*(1+CB74)*(1+CC74)*CD74*(1+$E$16+VLOOKUP($E74,武器奇术!$A:$R,8,FALSE))</f>
        <v>17760.8227253278</v>
      </c>
      <c r="CH74" s="104">
        <f t="shared" si="25"/>
        <v>0.887</v>
      </c>
      <c r="CI74" s="103">
        <f>CA74*IF(VLOOKUP($E74,武器奇术!$A:$R,17,FALSE)="牵丝",VLOOKUP($E74,武器奇术!$A:$R,4,FALSE),VLOOKUP($E74,武器奇术!$A:$R,2,FALSE))*(1+CB74)*(1+CC74)*CD74*(1+$E$17+VLOOKUP($E74,武器奇术!$A:$R,10,FALSE))</f>
        <v>16120.7078913888</v>
      </c>
      <c r="CJ74" s="104">
        <f t="shared" si="26"/>
        <v>0.0986</v>
      </c>
      <c r="CK74" s="124">
        <f>BZ74*IF(VLOOKUP($E74,武器奇术!$A:$R,17,FALSE)="牵丝",VLOOKUP($E74,武器奇术!$A:$R,4,FALSE),VLOOKUP($E74,武器奇术!$A:$R,2,FALSE))*(1+CB74)*(1+CC74)*CD74</f>
        <v>8862.68599068254</v>
      </c>
      <c r="CL74" s="104">
        <f t="shared" si="27"/>
        <v>0.0144</v>
      </c>
      <c r="CM74" s="112">
        <f t="shared" si="28"/>
        <v>17470.9742337225</v>
      </c>
      <c r="CN74" s="110">
        <f>$B$13*IF($G$5="撼天",1.05,1)+IF(AND(VLOOKUP($E74,武器奇术!$A:$R,15,FALSE)="武器",VLOOKUP($E74,武器奇术!$A:$R,17,FALSE)="破竹"),$E$3*(1+$E$15),0)</f>
        <v>0</v>
      </c>
      <c r="CO74" s="102">
        <f t="shared" si="29"/>
        <v>0</v>
      </c>
      <c r="CP74" s="102">
        <f>MAX($C$13*IF($G$5="撼天",1.05,1)+IF(AND(VLOOKUP($E74,武器奇术!$A:$R,15,FALSE)="武器",VLOOKUP($E74,武器奇术!$A:$R,17,FALSE)="破竹"),$E$3*(1+$E$15),0),CN74)</f>
        <v>0</v>
      </c>
      <c r="CQ74" s="104">
        <f>IF(($D$13+IF(VLOOKUP($E74,武器奇术!$A:$R,17,FALSE)="破竹",$D$15,0)-VLOOKUP($F$7,目标属性!$A:$R,6,FALSE))&gt;0,($D$13+IF(VLOOKUP($E74,武器奇术!$A:$R,17,FALSE)="破竹",$D$15,0)-VLOOKUP($F$7,目标属性!$A:$R,6,FALSE))/200,($D$13+IF(VLOOKUP($E74,武器奇术!$A:$R,17,FALSE)="破竹",$D$15,0)-VLOOKUP($F$7,目标属性!$A:$R,6,FALSE))/100)</f>
        <v>-0.24</v>
      </c>
      <c r="CR74" s="111">
        <f t="shared" si="30"/>
        <v>0</v>
      </c>
      <c r="CS74" s="102">
        <v>1</v>
      </c>
      <c r="CT74" s="103">
        <f>CN74*IF(VLOOKUP($E74,武器奇术!$A:$R,17,FALSE)="破竹",VLOOKUP($E74,武器奇术!$A:$R,4,FALSE),VLOOKUP($E74,武器奇术!$A:$R,2,FALSE))*(1+CQ74)*(1+CR74)*CS74</f>
        <v>0</v>
      </c>
      <c r="CU74" s="104">
        <f>(1-IF(VLOOKUP($E74,武器奇术!$A:$R,18,FALSE)="叶龙",1,$N74))*(1-$M74)</f>
        <v>0</v>
      </c>
      <c r="CV74" s="103">
        <f>CO74*IF(VLOOKUP($E74,武器奇术!$A:$R,17,FALSE)="破竹",VLOOKUP($E74,武器奇术!$A:$R,4,FALSE),VLOOKUP($E74,武器奇术!$A:$R,2,FALSE))*(1+CQ74)*(1+CR74)*CS74*(1+$E$16+VLOOKUP($E74,武器奇术!$A:$R,8,FALSE))</f>
        <v>0</v>
      </c>
      <c r="CW74" s="104">
        <f t="shared" si="31"/>
        <v>0.887</v>
      </c>
      <c r="CX74" s="103">
        <f>CP74*IF(VLOOKUP($E74,武器奇术!$A:$R,17,FALSE)="破竹",VLOOKUP($E74,武器奇术!$A:$R,4,FALSE),VLOOKUP($E74,武器奇术!$A:$R,2,FALSE))*(1+CQ74)*(1+CR74)*CS74*(1+$E$17+VLOOKUP($E74,武器奇术!$A:$R,10,FALSE))</f>
        <v>0</v>
      </c>
      <c r="CY74" s="104">
        <f t="shared" si="32"/>
        <v>0.0986</v>
      </c>
      <c r="CZ74" s="103">
        <f>CO74*IF(VLOOKUP($E74,武器奇术!$A:$R,17,FALSE)="破竹",VLOOKUP($E74,武器奇术!$A:$R,4,FALSE),VLOOKUP($E74,武器奇术!$A:$R,2,FALSE))*(1+CQ74)*(1+CR74)*CS74</f>
        <v>0</v>
      </c>
      <c r="DA74" s="104">
        <f t="shared" si="33"/>
        <v>0.0144</v>
      </c>
      <c r="DB74" s="112">
        <f t="shared" si="34"/>
        <v>0</v>
      </c>
      <c r="DC74" s="110">
        <f t="shared" si="35"/>
        <v>66</v>
      </c>
      <c r="DD74" s="102">
        <f t="shared" si="36"/>
        <v>125.8</v>
      </c>
      <c r="DE74" s="102">
        <f t="shared" si="37"/>
        <v>185.6</v>
      </c>
      <c r="DF74" s="104">
        <f>IF((IF(VLOOKUP($E74,武器奇术!$A:$R,17,FALSE)="鸣金",$D$7,0)+IF(VLOOKUP($E74,武器奇术!$A:$R,17,FALSE)="裂石",$D$9,0)+IF(VLOOKUP($E74,武器奇术!$A:$R,17,FALSE)="牵丝",$D$11,0)+IF(VLOOKUP($E74,武器奇术!$A:$R,17,FALSE)="破竹",$D$13,0)+$D$15-VLOOKUP($F$7,目标属性!$A:$R,6,FALSE))&gt;0,(IF(VLOOKUP($E74,武器奇术!$A:$R,17,FALSE)="鸣金",$D$7,0)+IF(VLOOKUP($E74,武器奇术!$A:$R,17,FALSE)="裂石",$D$9,0)+IF(VLOOKUP($E74,武器奇术!$A:$R,17,FALSE)="牵丝",$D$11,0)+IF(VLOOKUP($E74,武器奇术!$A:$R,17,FALSE)="破竹",$D$13,0)+$D$15-VLOOKUP($F$7,目标属性!$A:$R,6,FALSE))/200,(IF(VLOOKUP($E74,武器奇术!$A:$R,17,FALSE)="鸣金",$D$7,0)+IF(VLOOKUP($E74,武器奇术!$A:$R,17,FALSE)="裂石",$D$9,0)+IF(VLOOKUP($E74,武器奇术!$A:$R,17,FALSE)="牵丝",$D$11,0)+IF(VLOOKUP($E74,武器奇术!$A:$R,17,FALSE)="破竹",$D$13,0)+$D$15-VLOOKUP($F$7,目标属性!$A:$R,6,FALSE))/100)</f>
        <v>0.028</v>
      </c>
      <c r="DG74" s="111">
        <f>$E$11+IF($G$5="烟柳",IF(VLOOKUP($E74,武器奇术!$A:$T,20,FALSE)=1,0.1,0),0)</f>
        <v>0.248</v>
      </c>
      <c r="DH74" s="102">
        <v>1</v>
      </c>
      <c r="DI74" s="103">
        <f>DC74*IF(VLOOKUP($E74,武器奇术!$A:$R,17,FALSE)="牵丝",VLOOKUP($E74,武器奇术!$A:$R,4,FALSE),VLOOKUP($E74,武器奇术!$A:$R,2,FALSE))*(1+DF74)*(1+DG74)*DH74</f>
        <v>555.91305479424</v>
      </c>
      <c r="DJ74" s="104">
        <f>(1-IF(VLOOKUP($E74,武器奇术!$A:$R,18,FALSE)="叶龙",1,$N74))*(1-$M74)</f>
        <v>0</v>
      </c>
      <c r="DK74" s="124">
        <f>DD74*IF(VLOOKUP($E74,武器奇术!$A:$R,17,FALSE)="牵丝",VLOOKUP($E74,武器奇术!$A:$R,4,FALSE),VLOOKUP($E74,武器奇术!$A:$R,2,FALSE))*(1+DF74)*(1+DG74)*DH74*(1+$E$16+VLOOKUP($E74,武器奇术!$A:$R,8,FALSE))</f>
        <v>2123.44636417278</v>
      </c>
      <c r="DL74" s="104">
        <f t="shared" si="38"/>
        <v>0.887</v>
      </c>
      <c r="DM74" s="103">
        <f>DE74*IF(VLOOKUP($E74,武器奇术!$A:$R,17,FALSE)="牵丝",VLOOKUP($E74,武器奇术!$A:$R,4,FALSE),VLOOKUP($E74,武器奇术!$A:$R,2,FALSE))*(1+DF74)*(1+DG74)*DH74*(1+$E$17+VLOOKUP($E74,武器奇术!$A:$R,10,FALSE))</f>
        <v>2110.44810620068</v>
      </c>
      <c r="DN74" s="104">
        <f t="shared" si="39"/>
        <v>0.0986</v>
      </c>
      <c r="DO74" s="124">
        <f>DD74*IF(VLOOKUP($E74,武器奇术!$A:$R,17,FALSE)="牵丝",VLOOKUP($E74,武器奇术!$A:$R,4,FALSE),VLOOKUP($E74,武器奇术!$A:$R,2,FALSE))*(1+DF74)*(1+DG74)*DH74</f>
        <v>1059.60397413811</v>
      </c>
      <c r="DP74" s="104">
        <f t="shared" si="40"/>
        <v>0.0144</v>
      </c>
      <c r="DQ74" s="112">
        <f t="shared" si="41"/>
        <v>2106.84540552023</v>
      </c>
    </row>
    <row r="75" customFormat="1" customHeight="1" spans="1:121">
      <c r="A75" s="139"/>
      <c r="B75" s="139"/>
      <c r="C75" s="139"/>
      <c r="D75" s="139"/>
      <c r="E75" s="115" t="str">
        <f>期望!E75</f>
        <v>伞～(连中风墙小纵)</v>
      </c>
      <c r="F75" s="116">
        <f>期望!F75</f>
        <v>10</v>
      </c>
      <c r="G75" s="117">
        <f t="shared" ref="G75:G80" si="44">$E$23</f>
        <v>0.32</v>
      </c>
      <c r="H75" s="103">
        <f>IF(VLOOKUP($E75,武器奇术!$A:$R,18,FALSE)="天工",AE75,(AE75+AT75+BI75+BX75+CM75+DB75+DQ75))*(1+J75)*F75*K75*(1+G75)</f>
        <v>456691.817975502</v>
      </c>
      <c r="I75" s="104">
        <f t="shared" si="0"/>
        <v>0.0526337127814499</v>
      </c>
      <c r="J75" s="104">
        <f>$F$3+VLOOKUP($E75,武器奇术!$A:$R,12,FALSE)+VLOOKUP($E75,武器奇术!$A:$R,14,FALSE)*$G$3+$P75</f>
        <v>1.103</v>
      </c>
      <c r="K75" s="105">
        <f>VLOOKUP($E75,武器奇术!$A:$R,11,FALSE)</f>
        <v>1</v>
      </c>
      <c r="L75" s="119">
        <f>IF(VLOOKUP($E75,武器奇术!$A:$R,15,FALSE)="天工",0%,IF($C$17+VLOOKUP($E75,武器奇术!$A:$R,7,FALSE)&gt;80%,80%,$C$17+VLOOKUP($E75,武器奇术!$A:$R,7,FALSE))+IF($C$19&gt;20%,20%,$C$19))</f>
        <v>0.8703</v>
      </c>
      <c r="M75" s="120">
        <f>IF(VLOOKUP($E75,武器奇术!$A:$R,15,FALSE)="天工",0%,IF($C$18+VLOOKUP($E75,武器奇术!$A:$R,9,FALSE)&gt;40%,40%,$C$18+VLOOKUP($E75,武器奇术!$A:$R,9,FALSE))+IF($C$20&gt;10%,10%,$C$20))</f>
        <v>0.0986</v>
      </c>
      <c r="N75" s="121">
        <f>IF(VLOOKUP($E75,武器奇术!$A:$R,15,FALSE)="天工",100%,MIN($C$16,1))</f>
        <v>1</v>
      </c>
      <c r="O75" s="122" t="str">
        <f>VLOOKUP($E75,武器奇术!$A:$R,16,FALSE)</f>
        <v>伞</v>
      </c>
      <c r="P75" s="123">
        <f t="shared" si="1"/>
        <v>0.17</v>
      </c>
      <c r="Q75" s="110">
        <f>$B$5*(1+VLOOKUP($E75,武器奇术!$A:$R,5,FALSE))*(1+VLOOKUP($E75,武器奇术!$A:$S,19,FALSE)+IF($G$5="飞隼",0.1,0)+IF($G$5="撼天",0.05,0))-$F$9+IF($J$5="√",160,0)</f>
        <v>3081.85</v>
      </c>
      <c r="R75" s="102">
        <f>IF(VLOOKUP($E75,武器奇术!$A:$Z,18,FALSE)="叶龙",(S75-(Q75+S75)*0.5)*($G$15-0.5)*2+(Q75+S75)*0.5,(Q75+S75)*0.5)</f>
        <v>3161.85</v>
      </c>
      <c r="S75" s="102">
        <f>MAX($C$5,$B$5)*(1+VLOOKUP($E75,武器奇术!$A:$R,6,FALSE))*(1+VLOOKUP($E75,武器奇术!$A:$S,19,FALSE)+IF($G$5="飞隼",0.1,0)+IF($G$5="撼天",0.05,0))-$F$9+IF($J$5="√",320,0)</f>
        <v>3241.85</v>
      </c>
      <c r="T75" s="104">
        <f>IF(($D$5+VLOOKUP($E75,武器奇术!$A:$R,13,FALSE)+IF($I$3="√",10,0)-VLOOKUP($F$7,目标属性!$A:$R,5,FALSE))&gt;0,($D$5+VLOOKUP($E75,武器奇术!$A:$R,13,FALSE)+IF($I$3="√",10,0)-VLOOKUP($F$7,目标属性!$A:$R,5,FALSE))/200,($D$5+VLOOKUP($E75,武器奇术!$A:$R,13,FALSE)+IF($I$3="√",10,0)-VLOOKUP($F$7,目标属性!$A:$R,5,FALSE))/100)</f>
        <v>0.2925</v>
      </c>
      <c r="U75" s="111">
        <f>$E$5+IF($G$5="烟柳",IF(VLOOKUP($E75,武器奇术!$A:$T,20,FALSE)=1,0.1,0),0)</f>
        <v>0.1</v>
      </c>
      <c r="V75" s="102">
        <v>1</v>
      </c>
      <c r="W75" s="103">
        <f>Q75*VLOOKUP($E75,武器奇术!$A:$R,2,FALSE)*(1+T75)*(1+U75)*V75</f>
        <v>5148.20660615181</v>
      </c>
      <c r="X75" s="104">
        <f>(1-IF(VLOOKUP($E75,武器奇术!$A:$R,18,FALSE)="叶龙",1,$N75))*(1-$M75)</f>
        <v>0</v>
      </c>
      <c r="Y75" s="103">
        <f>R75*VLOOKUP($E75,武器奇术!$A:$R,2,FALSE)*(1+T75)*(1+U75)*V75*(1+$E$16+VLOOKUP($E75,武器奇术!$A:$R,8,FALSE))</f>
        <v>10584.819359655</v>
      </c>
      <c r="Z75" s="104">
        <f t="shared" si="2"/>
        <v>0.8703</v>
      </c>
      <c r="AA75" s="103">
        <f>S75*VLOOKUP($E75,武器奇术!$A:$R,2,FALSE)*(1+T75)*(1+U75)*V75*(1+$E$17+VLOOKUP($E75,武器奇术!$A:$R,10,FALSE))</f>
        <v>7310.90524889495</v>
      </c>
      <c r="AB75" s="104">
        <f t="shared" si="3"/>
        <v>0.0986</v>
      </c>
      <c r="AC75" s="103">
        <f>R75*VLOOKUP($E75,武器奇术!$A:$R,2,FALSE)*(1+T75)*(1+U75)*V75</f>
        <v>5281.84598785181</v>
      </c>
      <c r="AD75" s="104">
        <f t="shared" si="4"/>
        <v>0.0311</v>
      </c>
      <c r="AE75" s="112">
        <f t="shared" si="5"/>
        <v>10097.088956471</v>
      </c>
      <c r="AF75" s="113">
        <f>VLOOKUP($E75,武器奇术!$A:$R,3,FALSE)*(1+IF(VLOOKUP($E75,武器奇术!$A:$R,15,FALSE)="武器",$E$15,0))</f>
        <v>421.59</v>
      </c>
      <c r="AG75" s="103">
        <f t="shared" si="6"/>
        <v>421.59</v>
      </c>
      <c r="AH75" s="103">
        <f>VLOOKUP($E75,武器奇术!$A:$R,3,FALSE)*(1+IF(VLOOKUP($E75,武器奇术!$A:$R,15,FALSE)="武器",$E$15,0))</f>
        <v>421.59</v>
      </c>
      <c r="AI75" s="104">
        <f>IF(($D$5+VLOOKUP($E75,武器奇术!$A:$R,13,FALSE)+IF($I$3="√",10,0)-VLOOKUP($F$7,目标属性!$A:$R,5,FALSE))&gt;0,($D$5+VLOOKUP($E75,武器奇术!$A:$R,13,FALSE)+IF($I$3="√",10,0)-VLOOKUP($F$7,目标属性!$A:$R,5,FALSE))/200,($D$5+VLOOKUP($E75,武器奇术!$A:$R,13,FALSE)+IF($I$3="√",10,0)-VLOOKUP($F$7,目标属性!$A:$R,5,FALSE))/100)</f>
        <v>0.2925</v>
      </c>
      <c r="AJ75" s="111">
        <f>$E$5+IF($G$5="烟柳",IF(VLOOKUP($E75,武器奇术!$A:$T,20,FALSE)=1,0.1,0),0)</f>
        <v>0.1</v>
      </c>
      <c r="AK75" s="102">
        <v>1</v>
      </c>
      <c r="AL75" s="103">
        <f t="shared" si="7"/>
        <v>599.3955825</v>
      </c>
      <c r="AM75" s="104">
        <f>(1-IF(VLOOKUP($E75,武器奇术!$A:$R,18,FALSE)="叶龙",1,$N75))*(1-$M75)</f>
        <v>0</v>
      </c>
      <c r="AN75" s="103">
        <f>AG75*(1+AI75)*(1+AJ75)*AK75*(1+$E$16+VLOOKUP($E75,武器奇术!$A:$R,8,FALSE))</f>
        <v>1201.18874733</v>
      </c>
      <c r="AO75" s="104">
        <f t="shared" si="8"/>
        <v>0.8703</v>
      </c>
      <c r="AP75" s="103">
        <f>AH75*(1+AI75)*(1+AJ75)*AK75*(1+$E$17+VLOOKUP($E75,武器奇术!$A:$R,10,FALSE))</f>
        <v>809.184036375</v>
      </c>
      <c r="AQ75" s="104">
        <f t="shared" si="9"/>
        <v>0.0986</v>
      </c>
      <c r="AR75" s="103">
        <f t="shared" si="10"/>
        <v>599.3955825</v>
      </c>
      <c r="AS75" s="104">
        <f t="shared" si="11"/>
        <v>0.0311</v>
      </c>
      <c r="AT75" s="112">
        <f t="shared" si="12"/>
        <v>1143.82131540362</v>
      </c>
      <c r="AU75" s="110">
        <f>$B$7*IF($G$5="撼天",1.05,1)+IF(AND(VLOOKUP($E75,武器奇术!$A:$R,15,FALSE)="武器",VLOOKUP($E75,武器奇术!$A:$R,17,FALSE)="鸣金"),$E$3*(1+$E$15),0)</f>
        <v>0</v>
      </c>
      <c r="AV75" s="102">
        <f t="shared" si="13"/>
        <v>0</v>
      </c>
      <c r="AW75" s="102">
        <f>MAX($C$7*IF($G$5="撼天",1.05,1)+IF(AND(VLOOKUP($E75,武器奇术!$A:$R,15,FALSE)="武器",VLOOKUP($E75,武器奇术!$A:$R,17,FALSE)="鸣金"),$E$3*(1+$E$15),0),AU75)</f>
        <v>0</v>
      </c>
      <c r="AX75" s="104">
        <f>IF(($D$7+IF(VLOOKUP($E75,武器奇术!$A:$R,17,FALSE)="鸣金",$D$15,0)-VLOOKUP($F$7,目标属性!$A:$R,6,FALSE))&gt;0,($D$7+IF(VLOOKUP($E75,武器奇术!$A:$R,17,FALSE)="鸣金",$D$15,0)-VLOOKUP($F$7,目标属性!$A:$R,6,FALSE))/200,($D$7+IF(VLOOKUP($E75,武器奇术!$A:$R,17,FALSE)="鸣金",$D$15,0)-VLOOKUP($F$7,目标属性!$A:$R,6,FALSE))/100)</f>
        <v>-0.24</v>
      </c>
      <c r="AY75" s="111">
        <f t="shared" si="14"/>
        <v>0</v>
      </c>
      <c r="AZ75" s="102">
        <v>1</v>
      </c>
      <c r="BA75" s="103">
        <f>AU75*IF(VLOOKUP($E75,武器奇术!$A:$R,17,FALSE)="鸣金",VLOOKUP($E75,武器奇术!$A:$R,4,FALSE),VLOOKUP($E75,武器奇术!$A:$R,2,FALSE))*(1+AX75)*(1+AY75)*AZ75</f>
        <v>0</v>
      </c>
      <c r="BB75" s="104">
        <f>(1-IF(VLOOKUP($E75,武器奇术!$A:$R,18,FALSE)="叶龙",1,$N75))*(1-$M75)</f>
        <v>0</v>
      </c>
      <c r="BC75" s="103">
        <f>AV75*IF(VLOOKUP($E75,武器奇术!$A:$R,17,FALSE)="鸣金",VLOOKUP($E75,武器奇术!$A:$R,4,FALSE),VLOOKUP($E75,武器奇术!$A:$R,2,FALSE))*(1+AX75)*(1+AY75)*AZ75*(1+$E$16+VLOOKUP($E75,武器奇术!$A:$R,8,FALSE))</f>
        <v>0</v>
      </c>
      <c r="BD75" s="104">
        <f t="shared" si="15"/>
        <v>0.8703</v>
      </c>
      <c r="BE75" s="103">
        <f>AW75*IF(VLOOKUP($E75,武器奇术!$A:$R,17,FALSE)="鸣金",VLOOKUP($E75,武器奇术!$A:$R,4,FALSE),VLOOKUP($E75,武器奇术!$A:$R,2,FALSE))*(1+AX75)*(1+AY75)*AZ75*(1+$E$17+VLOOKUP($E75,武器奇术!$A:$R,10,FALSE))</f>
        <v>0</v>
      </c>
      <c r="BF75" s="104">
        <f t="shared" si="16"/>
        <v>0.0986</v>
      </c>
      <c r="BG75" s="103">
        <f>AV75*IF(VLOOKUP($E75,武器奇术!$A:$R,17,FALSE)="鸣金",VLOOKUP($E75,武器奇术!$A:$R,4,FALSE),VLOOKUP($E75,武器奇术!$A:$R,2,FALSE))*(1+AX75)*(1+AY75)*AZ75</f>
        <v>0</v>
      </c>
      <c r="BH75" s="104">
        <f t="shared" si="17"/>
        <v>0.0311</v>
      </c>
      <c r="BI75" s="112">
        <f t="shared" si="18"/>
        <v>0</v>
      </c>
      <c r="BJ75" s="110">
        <f>$B$9*IF($G$5="撼天",1.05,1)+IF(AND(VLOOKUP($E75,武器奇术!$A:$R,15,FALSE)="武器",VLOOKUP($E75,武器奇术!$A:$R,17,FALSE)="裂石"),$E$3*(1+$E$15),0)</f>
        <v>0</v>
      </c>
      <c r="BK75" s="102">
        <f t="shared" si="19"/>
        <v>0</v>
      </c>
      <c r="BL75" s="102">
        <f>MAX($C$9*IF($G$5="撼天",1.05,1)+IF(AND(VLOOKUP($E75,武器奇术!$A:$R,15,FALSE)="武器",VLOOKUP($E75,武器奇术!$A:$R,17,FALSE)="裂石"),$E$3*(1+$E$15),0),BJ75)</f>
        <v>0</v>
      </c>
      <c r="BM75" s="104">
        <f>IF(($D$9+IF(VLOOKUP($E75,武器奇术!$A:$R,17,FALSE)="裂石",$D$15,0)-VLOOKUP($F$7,目标属性!$A:$R,6,FALSE))&gt;0,($D$9+IF(VLOOKUP($E75,武器奇术!$A:$R,17,FALSE)="裂石",$D$15,0)-VLOOKUP($F$7,目标属性!$A:$R,6,FALSE))/200,($D$9+IF(VLOOKUP($E75,武器奇术!$A:$R,17,FALSE)="裂石",$D$15,0)-VLOOKUP($F$7,目标属性!$A:$R,6,FALSE))/100)</f>
        <v>-0.24</v>
      </c>
      <c r="BN75" s="111">
        <f t="shared" si="20"/>
        <v>0</v>
      </c>
      <c r="BO75" s="102">
        <v>1</v>
      </c>
      <c r="BP75" s="103">
        <f>BJ75*IF(VLOOKUP($E75,武器奇术!$A:$R,17,FALSE)="裂石",VLOOKUP($E75,武器奇术!$A:$R,4,FALSE),VLOOKUP($E75,武器奇术!$A:$R,2,FALSE))*(1+BM75)*(1+BN75)*BO75</f>
        <v>0</v>
      </c>
      <c r="BQ75" s="104">
        <f>(1-IF(VLOOKUP($E75,武器奇术!$A:$R,18,FALSE)="叶龙",1,$N75))*(1-$M75)</f>
        <v>0</v>
      </c>
      <c r="BR75" s="103">
        <f>BK75*IF(VLOOKUP($E75,武器奇术!$A:$R,17,FALSE)="裂石",VLOOKUP($E75,武器奇术!$A:$R,4,FALSE),VLOOKUP($E75,武器奇术!$A:$R,2,FALSE))*(1+BM75)*(1+BN75)*BO75*(1+$E$16+VLOOKUP($E75,武器奇术!$A:$R,8,FALSE))</f>
        <v>0</v>
      </c>
      <c r="BS75" s="104">
        <f t="shared" si="21"/>
        <v>0.8703</v>
      </c>
      <c r="BT75" s="103">
        <f>BL75*IF(VLOOKUP($E75,武器奇术!$A:$R,17,FALSE)="裂石",VLOOKUP($E75,武器奇术!$A:$R,4,FALSE),VLOOKUP($E75,武器奇术!$A:$R,2,FALSE))*(1+BM75)*(1+BN75)*BO75*(1+$E$17+VLOOKUP($E75,武器奇术!$A:$R,10,FALSE))</f>
        <v>0</v>
      </c>
      <c r="BU75" s="104">
        <f t="shared" si="22"/>
        <v>0.0986</v>
      </c>
      <c r="BV75" s="103">
        <f>BK75*IF(VLOOKUP($E75,武器奇术!$A:$R,17,FALSE)="裂石",VLOOKUP($E75,武器奇术!$A:$R,4,FALSE),VLOOKUP($E75,武器奇术!$A:$R,2,FALSE))*(1+BM75)*(1+BN75)*BO75</f>
        <v>0</v>
      </c>
      <c r="BW75" s="104">
        <f t="shared" si="23"/>
        <v>0.0311</v>
      </c>
      <c r="BX75" s="112">
        <f t="shared" si="24"/>
        <v>0</v>
      </c>
      <c r="BY75" s="110">
        <f>$B$11*IF($G$5="撼天",1.05,1)+IF(AND(VLOOKUP($E75,武器奇术!$A:$R,15,FALSE)="武器",VLOOKUP($E75,武器奇术!$A:$R,17,FALSE)="牵丝"),$E$3*(1+$E$15),0)</f>
        <v>686.71</v>
      </c>
      <c r="BZ75" s="102">
        <f>IF(VLOOKUP($E75,武器奇术!$A:$Z,18,FALSE)="叶龙",(CA75-(BY75+CA75)*0.5)*($G$15-0.5)*2+(BY75+CA75)*0.5,(BY75+CA75)*0.5)</f>
        <v>1052.21</v>
      </c>
      <c r="CA75" s="102">
        <f>MAX($C$11*IF($G$5="撼天",1.05,1)+IF(AND(VLOOKUP($E75,武器奇术!$A:$R,15,FALSE)="武器",VLOOKUP($E75,武器奇术!$A:$R,17,FALSE)="牵丝"),$E$3*(1+$E$15),0),BY75)</f>
        <v>1417.71</v>
      </c>
      <c r="CB75" s="104">
        <f>IF(($D$11+IF(VLOOKUP($E75,武器奇术!$A:$R,17,FALSE)="牵丝",$D$15,0)-VLOOKUP($F$7,目标属性!$A:$R,6,FALSE))&gt;0,($D$11+IF(VLOOKUP($E75,武器奇术!$A:$R,17,FALSE)="牵丝",$D$15,0)-VLOOKUP($F$7,目标属性!$A:$R,6,FALSE))/200,($D$11+IF(VLOOKUP($E75,武器奇术!$A:$R,17,FALSE)="牵丝",$D$15,0)-VLOOKUP($F$7,目标属性!$A:$R,6,FALSE))/100)</f>
        <v>0.028</v>
      </c>
      <c r="CC75" s="111">
        <f>$E$11+IF($G$5="烟柳",IF(VLOOKUP($E75,武器奇术!$A:$T,20,FALSE)=1,0.1,0),0)</f>
        <v>0.248</v>
      </c>
      <c r="CD75" s="102">
        <v>1</v>
      </c>
      <c r="CE75" s="103">
        <f>BY75*IF(VLOOKUP($E75,武器奇术!$A:$R,17,FALSE)="牵丝",VLOOKUP($E75,武器奇术!$A:$R,4,FALSE),VLOOKUP($E75,武器奇术!$A:$R,2,FALSE))*(1+CB75)*(1+CC75)*CD75</f>
        <v>1552.67083453872</v>
      </c>
      <c r="CF75" s="104">
        <f>(1-IF(VLOOKUP($E75,武器奇术!$A:$R,18,FALSE)="叶龙",1,$N75))*(1-$M75)</f>
        <v>0</v>
      </c>
      <c r="CG75" s="124">
        <f>BZ75*IF(VLOOKUP($E75,武器奇术!$A:$R,17,FALSE)="牵丝",VLOOKUP($E75,武器奇术!$A:$R,4,FALSE),VLOOKUP($E75,武器奇术!$A:$R,2,FALSE))*(1+CB75)*(1+CC75)*CD75*(1+$E$16+VLOOKUP($E75,武器奇术!$A:$R,8,FALSE))</f>
        <v>4767.66975977518</v>
      </c>
      <c r="CH75" s="104">
        <f t="shared" si="25"/>
        <v>0.8703</v>
      </c>
      <c r="CI75" s="103">
        <f>CA75*IF(VLOOKUP($E75,武器奇术!$A:$R,17,FALSE)="牵丝",VLOOKUP($E75,武器奇术!$A:$R,4,FALSE),VLOOKUP($E75,武器奇术!$A:$R,2,FALSE))*(1+CB75)*(1+CC75)*CD75*(1+$E$17+VLOOKUP($E75,武器奇术!$A:$R,10,FALSE))</f>
        <v>4327.40153474647</v>
      </c>
      <c r="CJ75" s="104">
        <f t="shared" si="26"/>
        <v>0.0986</v>
      </c>
      <c r="CK75" s="124">
        <f>BZ75*IF(VLOOKUP($E75,武器奇术!$A:$R,17,FALSE)="牵丝",VLOOKUP($E75,武器奇术!$A:$R,4,FALSE),VLOOKUP($E75,武器奇术!$A:$R,2,FALSE))*(1+CB75)*(1+CC75)*CD75</f>
        <v>2379.07672643472</v>
      </c>
      <c r="CL75" s="104">
        <f t="shared" si="27"/>
        <v>0.0311</v>
      </c>
      <c r="CM75" s="112">
        <f t="shared" si="28"/>
        <v>4649.97406945046</v>
      </c>
      <c r="CN75" s="110">
        <f>$B$13*IF($G$5="撼天",1.05,1)+IF(AND(VLOOKUP($E75,武器奇术!$A:$R,15,FALSE)="武器",VLOOKUP($E75,武器奇术!$A:$R,17,FALSE)="破竹"),$E$3*(1+$E$15),0)</f>
        <v>0</v>
      </c>
      <c r="CO75" s="102">
        <f t="shared" si="29"/>
        <v>0</v>
      </c>
      <c r="CP75" s="102">
        <f>MAX($C$13*IF($G$5="撼天",1.05,1)+IF(AND(VLOOKUP($E75,武器奇术!$A:$R,15,FALSE)="武器",VLOOKUP($E75,武器奇术!$A:$R,17,FALSE)="破竹"),$E$3*(1+$E$15),0),CN75)</f>
        <v>0</v>
      </c>
      <c r="CQ75" s="104">
        <f>IF(($D$13+IF(VLOOKUP($E75,武器奇术!$A:$R,17,FALSE)="破竹",$D$15,0)-VLOOKUP($F$7,目标属性!$A:$R,6,FALSE))&gt;0,($D$13+IF(VLOOKUP($E75,武器奇术!$A:$R,17,FALSE)="破竹",$D$15,0)-VLOOKUP($F$7,目标属性!$A:$R,6,FALSE))/200,($D$13+IF(VLOOKUP($E75,武器奇术!$A:$R,17,FALSE)="破竹",$D$15,0)-VLOOKUP($F$7,目标属性!$A:$R,6,FALSE))/100)</f>
        <v>-0.24</v>
      </c>
      <c r="CR75" s="111">
        <f t="shared" si="30"/>
        <v>0</v>
      </c>
      <c r="CS75" s="102">
        <v>1</v>
      </c>
      <c r="CT75" s="103">
        <f>CN75*IF(VLOOKUP($E75,武器奇术!$A:$R,17,FALSE)="破竹",VLOOKUP($E75,武器奇术!$A:$R,4,FALSE),VLOOKUP($E75,武器奇术!$A:$R,2,FALSE))*(1+CQ75)*(1+CR75)*CS75</f>
        <v>0</v>
      </c>
      <c r="CU75" s="104">
        <f>(1-IF(VLOOKUP($E75,武器奇术!$A:$R,18,FALSE)="叶龙",1,$N75))*(1-$M75)</f>
        <v>0</v>
      </c>
      <c r="CV75" s="103">
        <f>CO75*IF(VLOOKUP($E75,武器奇术!$A:$R,17,FALSE)="破竹",VLOOKUP($E75,武器奇术!$A:$R,4,FALSE),VLOOKUP($E75,武器奇术!$A:$R,2,FALSE))*(1+CQ75)*(1+CR75)*CS75*(1+$E$16+VLOOKUP($E75,武器奇术!$A:$R,8,FALSE))</f>
        <v>0</v>
      </c>
      <c r="CW75" s="104">
        <f t="shared" si="31"/>
        <v>0.8703</v>
      </c>
      <c r="CX75" s="103">
        <f>CP75*IF(VLOOKUP($E75,武器奇术!$A:$R,17,FALSE)="破竹",VLOOKUP($E75,武器奇术!$A:$R,4,FALSE),VLOOKUP($E75,武器奇术!$A:$R,2,FALSE))*(1+CQ75)*(1+CR75)*CS75*(1+$E$17+VLOOKUP($E75,武器奇术!$A:$R,10,FALSE))</f>
        <v>0</v>
      </c>
      <c r="CY75" s="104">
        <f t="shared" si="32"/>
        <v>0.0986</v>
      </c>
      <c r="CZ75" s="103">
        <f>CO75*IF(VLOOKUP($E75,武器奇术!$A:$R,17,FALSE)="破竹",VLOOKUP($E75,武器奇术!$A:$R,4,FALSE),VLOOKUP($E75,武器奇术!$A:$R,2,FALSE))*(1+CQ75)*(1+CR75)*CS75</f>
        <v>0</v>
      </c>
      <c r="DA75" s="104">
        <f t="shared" si="33"/>
        <v>0.0311</v>
      </c>
      <c r="DB75" s="112">
        <f t="shared" si="34"/>
        <v>0</v>
      </c>
      <c r="DC75" s="110">
        <f t="shared" si="35"/>
        <v>66</v>
      </c>
      <c r="DD75" s="102">
        <f t="shared" si="36"/>
        <v>125.8</v>
      </c>
      <c r="DE75" s="102">
        <f t="shared" si="37"/>
        <v>185.6</v>
      </c>
      <c r="DF75" s="104">
        <f>IF((IF(VLOOKUP($E75,武器奇术!$A:$R,17,FALSE)="鸣金",$D$7,0)+IF(VLOOKUP($E75,武器奇术!$A:$R,17,FALSE)="裂石",$D$9,0)+IF(VLOOKUP($E75,武器奇术!$A:$R,17,FALSE)="牵丝",$D$11,0)+IF(VLOOKUP($E75,武器奇术!$A:$R,17,FALSE)="破竹",$D$13,0)+$D$15-VLOOKUP($F$7,目标属性!$A:$R,6,FALSE))&gt;0,(IF(VLOOKUP($E75,武器奇术!$A:$R,17,FALSE)="鸣金",$D$7,0)+IF(VLOOKUP($E75,武器奇术!$A:$R,17,FALSE)="裂石",$D$9,0)+IF(VLOOKUP($E75,武器奇术!$A:$R,17,FALSE)="牵丝",$D$11,0)+IF(VLOOKUP($E75,武器奇术!$A:$R,17,FALSE)="破竹",$D$13,0)+$D$15-VLOOKUP($F$7,目标属性!$A:$R,6,FALSE))/200,(IF(VLOOKUP($E75,武器奇术!$A:$R,17,FALSE)="鸣金",$D$7,0)+IF(VLOOKUP($E75,武器奇术!$A:$R,17,FALSE)="裂石",$D$9,0)+IF(VLOOKUP($E75,武器奇术!$A:$R,17,FALSE)="牵丝",$D$11,0)+IF(VLOOKUP($E75,武器奇术!$A:$R,17,FALSE)="破竹",$D$13,0)+$D$15-VLOOKUP($F$7,目标属性!$A:$R,6,FALSE))/100)</f>
        <v>0.028</v>
      </c>
      <c r="DG75" s="111">
        <f>$E$11+IF($G$5="烟柳",IF(VLOOKUP($E75,武器奇术!$A:$T,20,FALSE)=1,0.1,0),0)</f>
        <v>0.248</v>
      </c>
      <c r="DH75" s="102">
        <v>1</v>
      </c>
      <c r="DI75" s="103">
        <f>DC75*IF(VLOOKUP($E75,武器奇术!$A:$R,17,FALSE)="牵丝",VLOOKUP($E75,武器奇术!$A:$R,4,FALSE),VLOOKUP($E75,武器奇术!$A:$R,2,FALSE))*(1+DF75)*(1+DG75)*DH75</f>
        <v>149.227876512</v>
      </c>
      <c r="DJ75" s="104">
        <f>(1-IF(VLOOKUP($E75,武器奇术!$A:$R,18,FALSE)="叶龙",1,$N75))*(1-$M75)</f>
        <v>0</v>
      </c>
      <c r="DK75" s="124">
        <f>DD75*IF(VLOOKUP($E75,武器奇术!$A:$R,17,FALSE)="牵丝",VLOOKUP($E75,武器奇术!$A:$R,4,FALSE),VLOOKUP($E75,武器奇术!$A:$R,2,FALSE))*(1+DF75)*(1+DG75)*DH75*(1+$E$16+VLOOKUP($E75,武器奇术!$A:$R,8,FALSE))</f>
        <v>570.012502998182</v>
      </c>
      <c r="DL75" s="104">
        <f t="shared" si="38"/>
        <v>0.8703</v>
      </c>
      <c r="DM75" s="103">
        <f>DE75*IF(VLOOKUP($E75,武器奇术!$A:$R,17,FALSE)="牵丝",VLOOKUP($E75,武器奇术!$A:$R,4,FALSE),VLOOKUP($E75,武器奇术!$A:$R,2,FALSE))*(1+DF75)*(1+DG75)*DH75*(1+$E$17+VLOOKUP($E75,武器奇术!$A:$R,10,FALSE))</f>
        <v>566.52328392192</v>
      </c>
      <c r="DN75" s="104">
        <f t="shared" si="39"/>
        <v>0.0986</v>
      </c>
      <c r="DO75" s="124">
        <f>DD75*IF(VLOOKUP($E75,武器奇术!$A:$R,17,FALSE)="牵丝",VLOOKUP($E75,武器奇术!$A:$R,4,FALSE),VLOOKUP($E75,武器奇术!$A:$R,2,FALSE))*(1+DF75)*(1+DG75)*DH75</f>
        <v>284.4373767456</v>
      </c>
      <c r="DP75" s="104">
        <f t="shared" si="40"/>
        <v>0.0311</v>
      </c>
      <c r="DQ75" s="112">
        <f t="shared" si="41"/>
        <v>560.787079570808</v>
      </c>
    </row>
    <row r="76" spans="1:121">
      <c r="A76" s="139"/>
      <c r="B76" s="139"/>
      <c r="C76" s="139"/>
      <c r="D76" s="139"/>
      <c r="E76" s="115" t="str">
        <f>期望!E76</f>
        <v>伞Q(连中风墙小纵)</v>
      </c>
      <c r="F76" s="116">
        <f>期望!F76</f>
        <v>1</v>
      </c>
      <c r="G76" s="117"/>
      <c r="H76" s="103">
        <f>IF(VLOOKUP($E76,武器奇术!$A:$R,18,FALSE)="天工",AE76,(AE76+AT76+BI76+BX76+CM76+DB76+DQ76))*(1+J76)*F76*K76*(1+G76)</f>
        <v>68911.9384262613</v>
      </c>
      <c r="I76" s="104">
        <f t="shared" si="0"/>
        <v>0.00794209800039677</v>
      </c>
      <c r="J76" s="104">
        <f>$F$3+VLOOKUP($E76,武器奇术!$A:$R,12,FALSE)+VLOOKUP($E76,武器奇术!$A:$R,14,FALSE)*$G$3+$P76</f>
        <v>1.103</v>
      </c>
      <c r="K76" s="105">
        <f>VLOOKUP($E76,武器奇术!$A:$R,11,FALSE)</f>
        <v>1</v>
      </c>
      <c r="L76" s="119">
        <f>IF(VLOOKUP($E76,武器奇术!$A:$R,15,FALSE)="天工",0%,IF($C$17+VLOOKUP($E76,武器奇术!$A:$R,7,FALSE)&gt;80%,80%,$C$17+VLOOKUP($E76,武器奇术!$A:$R,7,FALSE))+IF($C$19&gt;20%,20%,$C$19))</f>
        <v>0.8703</v>
      </c>
      <c r="M76" s="120">
        <f>IF(VLOOKUP($E76,武器奇术!$A:$R,15,FALSE)="天工",0%,IF($C$18+VLOOKUP($E76,武器奇术!$A:$R,9,FALSE)&gt;40%,40%,$C$18+VLOOKUP($E76,武器奇术!$A:$R,9,FALSE))+IF($C$20&gt;10%,10%,$C$20))</f>
        <v>0.0986</v>
      </c>
      <c r="N76" s="121">
        <f>IF(VLOOKUP($E76,武器奇术!$A:$R,15,FALSE)="天工",100%,MIN($C$16,1))</f>
        <v>1</v>
      </c>
      <c r="O76" s="122" t="str">
        <f>VLOOKUP($E76,武器奇术!$A:$R,16,FALSE)</f>
        <v>伞</v>
      </c>
      <c r="P76" s="123">
        <f t="shared" si="1"/>
        <v>0.17</v>
      </c>
      <c r="Q76" s="110">
        <f>$B$5*(1+VLOOKUP($E76,武器奇术!$A:$R,5,FALSE))*(1+VLOOKUP($E76,武器奇术!$A:$S,19,FALSE)+IF($G$5="飞隼",0.1,0)+IF($G$5="撼天",0.05,0))-$F$9+IF($J$5="√",160,0)</f>
        <v>3081.85</v>
      </c>
      <c r="R76" s="102">
        <f>IF(VLOOKUP($E76,武器奇术!$A:$Z,18,FALSE)="叶龙",(S76-(Q76+S76)*0.5)*($G$15-0.5)*2+(Q76+S76)*0.5,(Q76+S76)*0.5)</f>
        <v>3161.85</v>
      </c>
      <c r="S76" s="102">
        <f>MAX($C$5,$B$5)*(1+VLOOKUP($E76,武器奇术!$A:$R,6,FALSE))*(1+VLOOKUP($E76,武器奇术!$A:$S,19,FALSE)+IF($G$5="飞隼",0.1,0)+IF($G$5="撼天",0.05,0))-$F$9+IF($J$5="√",320,0)</f>
        <v>3241.85</v>
      </c>
      <c r="T76" s="104">
        <f>IF(($D$5+VLOOKUP($E76,武器奇术!$A:$R,13,FALSE)+IF($I$3="√",10,0)-VLOOKUP($F$7,目标属性!$A:$R,5,FALSE))&gt;0,($D$5+VLOOKUP($E76,武器奇术!$A:$R,13,FALSE)+IF($I$3="√",10,0)-VLOOKUP($F$7,目标属性!$A:$R,5,FALSE))/200,($D$5+VLOOKUP($E76,武器奇术!$A:$R,13,FALSE)+IF($I$3="√",10,0)-VLOOKUP($F$7,目标属性!$A:$R,5,FALSE))/100)</f>
        <v>0.2925</v>
      </c>
      <c r="U76" s="111">
        <f>$E$5+IF($G$5="烟柳",IF(VLOOKUP($E76,武器奇术!$A:$T,20,FALSE)=1,0.1,0),0)</f>
        <v>0.1</v>
      </c>
      <c r="V76" s="102">
        <v>1</v>
      </c>
      <c r="W76" s="103">
        <f>Q76*VLOOKUP($E76,武器奇术!$A:$R,2,FALSE)*(1+T76)*(1+U76)*V76</f>
        <v>10251.6768696788</v>
      </c>
      <c r="X76" s="104">
        <f>(1-IF(VLOOKUP($E76,武器奇术!$A:$R,18,FALSE)="叶龙",1,$N76))*(1-$M76)</f>
        <v>0</v>
      </c>
      <c r="Y76" s="103">
        <f>R76*VLOOKUP($E76,武器奇术!$A:$R,2,FALSE)*(1+T76)*(1+U76)*V76*(1+$E$16+VLOOKUP($E76,武器奇术!$A:$R,8,FALSE))</f>
        <v>21077.6598727482</v>
      </c>
      <c r="Z76" s="104">
        <f t="shared" si="2"/>
        <v>0.8703</v>
      </c>
      <c r="AA76" s="103">
        <f>S76*VLOOKUP($E76,武器奇术!$A:$R,2,FALSE)*(1+T76)*(1+U76)*V76*(1+$E$17+VLOOKUP($E76,武器奇术!$A:$R,10,FALSE))</f>
        <v>14558.2809646663</v>
      </c>
      <c r="AB76" s="104">
        <f t="shared" si="3"/>
        <v>0.0986</v>
      </c>
      <c r="AC76" s="103">
        <f>R76*VLOOKUP($E76,武器奇术!$A:$R,2,FALSE)*(1+T76)*(1+U76)*V76</f>
        <v>10517.7943476788</v>
      </c>
      <c r="AD76" s="104">
        <f t="shared" si="4"/>
        <v>0.0311</v>
      </c>
      <c r="AE76" s="112">
        <f t="shared" si="5"/>
        <v>20106.4372945817</v>
      </c>
      <c r="AF76" s="113">
        <f>VLOOKUP($E76,武器奇术!$A:$R,3,FALSE)*(1+IF(VLOOKUP($E76,武器奇术!$A:$R,15,FALSE)="武器",$E$15,0))</f>
        <v>842.4</v>
      </c>
      <c r="AG76" s="103">
        <f t="shared" si="6"/>
        <v>842.4</v>
      </c>
      <c r="AH76" s="103">
        <f>VLOOKUP($E76,武器奇术!$A:$R,3,FALSE)*(1+IF(VLOOKUP($E76,武器奇术!$A:$R,15,FALSE)="武器",$E$15,0))</f>
        <v>842.4</v>
      </c>
      <c r="AI76" s="104">
        <f>IF(($D$5+VLOOKUP($E76,武器奇术!$A:$R,13,FALSE)+IF($I$3="√",10,0)-VLOOKUP($F$7,目标属性!$A:$R,5,FALSE))&gt;0,($D$5+VLOOKUP($E76,武器奇术!$A:$R,13,FALSE)+IF($I$3="√",10,0)-VLOOKUP($F$7,目标属性!$A:$R,5,FALSE))/200,($D$5+VLOOKUP($E76,武器奇术!$A:$R,13,FALSE)+IF($I$3="√",10,0)-VLOOKUP($F$7,目标属性!$A:$R,5,FALSE))/100)</f>
        <v>0.2925</v>
      </c>
      <c r="AJ76" s="111">
        <f>$E$5+IF($G$5="烟柳",IF(VLOOKUP($E76,武器奇术!$A:$T,20,FALSE)=1,0.1,0),0)</f>
        <v>0.1</v>
      </c>
      <c r="AK76" s="102">
        <v>1</v>
      </c>
      <c r="AL76" s="103">
        <f t="shared" si="7"/>
        <v>1197.6822</v>
      </c>
      <c r="AM76" s="104">
        <f>(1-IF(VLOOKUP($E76,武器奇术!$A:$R,18,FALSE)="叶龙",1,$N76))*(1-$M76)</f>
        <v>0</v>
      </c>
      <c r="AN76" s="103">
        <f>AG76*(1+AI76)*(1+AJ76)*AK76*(1+$E$16+VLOOKUP($E76,武器奇术!$A:$R,8,FALSE))</f>
        <v>2400.1551288</v>
      </c>
      <c r="AO76" s="104">
        <f t="shared" si="8"/>
        <v>0.8703</v>
      </c>
      <c r="AP76" s="103">
        <f>AH76*(1+AI76)*(1+AJ76)*AK76*(1+$E$17+VLOOKUP($E76,武器奇术!$A:$R,10,FALSE))</f>
        <v>1616.87097</v>
      </c>
      <c r="AQ76" s="104">
        <f t="shared" si="9"/>
        <v>0.0986</v>
      </c>
      <c r="AR76" s="103">
        <f t="shared" si="10"/>
        <v>1197.6822</v>
      </c>
      <c r="AS76" s="104">
        <f t="shared" si="11"/>
        <v>0.0311</v>
      </c>
      <c r="AT76" s="112">
        <f t="shared" si="12"/>
        <v>2285.52640265664</v>
      </c>
      <c r="AU76" s="110">
        <f>$B$7*IF($G$5="撼天",1.05,1)+IF(AND(VLOOKUP($E76,武器奇术!$A:$R,15,FALSE)="武器",VLOOKUP($E76,武器奇术!$A:$R,17,FALSE)="鸣金"),$E$3*(1+$E$15),0)</f>
        <v>0</v>
      </c>
      <c r="AV76" s="102">
        <f t="shared" si="13"/>
        <v>0</v>
      </c>
      <c r="AW76" s="102">
        <f>MAX($C$7*IF($G$5="撼天",1.05,1)+IF(AND(VLOOKUP($E76,武器奇术!$A:$R,15,FALSE)="武器",VLOOKUP($E76,武器奇术!$A:$R,17,FALSE)="鸣金"),$E$3*(1+$E$15),0),AU76)</f>
        <v>0</v>
      </c>
      <c r="AX76" s="104">
        <f>IF(($D$7+IF(VLOOKUP($E76,武器奇术!$A:$R,17,FALSE)="鸣金",$D$15,0)-VLOOKUP($F$7,目标属性!$A:$R,6,FALSE))&gt;0,($D$7+IF(VLOOKUP($E76,武器奇术!$A:$R,17,FALSE)="鸣金",$D$15,0)-VLOOKUP($F$7,目标属性!$A:$R,6,FALSE))/200,($D$7+IF(VLOOKUP($E76,武器奇术!$A:$R,17,FALSE)="鸣金",$D$15,0)-VLOOKUP($F$7,目标属性!$A:$R,6,FALSE))/100)</f>
        <v>-0.24</v>
      </c>
      <c r="AY76" s="111">
        <f t="shared" si="14"/>
        <v>0</v>
      </c>
      <c r="AZ76" s="102">
        <v>1</v>
      </c>
      <c r="BA76" s="103">
        <f>AU76*IF(VLOOKUP($E76,武器奇术!$A:$R,17,FALSE)="鸣金",VLOOKUP($E76,武器奇术!$A:$R,4,FALSE),VLOOKUP($E76,武器奇术!$A:$R,2,FALSE))*(1+AX76)*(1+AY76)*AZ76</f>
        <v>0</v>
      </c>
      <c r="BB76" s="104">
        <f>(1-IF(VLOOKUP($E76,武器奇术!$A:$R,18,FALSE)="叶龙",1,$N76))*(1-$M76)</f>
        <v>0</v>
      </c>
      <c r="BC76" s="103">
        <f>AV76*IF(VLOOKUP($E76,武器奇术!$A:$R,17,FALSE)="鸣金",VLOOKUP($E76,武器奇术!$A:$R,4,FALSE),VLOOKUP($E76,武器奇术!$A:$R,2,FALSE))*(1+AX76)*(1+AY76)*AZ76*(1+$E$16+VLOOKUP($E76,武器奇术!$A:$R,8,FALSE))</f>
        <v>0</v>
      </c>
      <c r="BD76" s="104">
        <f t="shared" si="15"/>
        <v>0.8703</v>
      </c>
      <c r="BE76" s="103">
        <f>AW76*IF(VLOOKUP($E76,武器奇术!$A:$R,17,FALSE)="鸣金",VLOOKUP($E76,武器奇术!$A:$R,4,FALSE),VLOOKUP($E76,武器奇术!$A:$R,2,FALSE))*(1+AX76)*(1+AY76)*AZ76*(1+$E$17+VLOOKUP($E76,武器奇术!$A:$R,10,FALSE))</f>
        <v>0</v>
      </c>
      <c r="BF76" s="104">
        <f t="shared" si="16"/>
        <v>0.0986</v>
      </c>
      <c r="BG76" s="103">
        <f>AV76*IF(VLOOKUP($E76,武器奇术!$A:$R,17,FALSE)="鸣金",VLOOKUP($E76,武器奇术!$A:$R,4,FALSE),VLOOKUP($E76,武器奇术!$A:$R,2,FALSE))*(1+AX76)*(1+AY76)*AZ76</f>
        <v>0</v>
      </c>
      <c r="BH76" s="104">
        <f t="shared" si="17"/>
        <v>0.0311</v>
      </c>
      <c r="BI76" s="112">
        <f t="shared" si="18"/>
        <v>0</v>
      </c>
      <c r="BJ76" s="110">
        <f>$B$9*IF($G$5="撼天",1.05,1)+IF(AND(VLOOKUP($E76,武器奇术!$A:$R,15,FALSE)="武器",VLOOKUP($E76,武器奇术!$A:$R,17,FALSE)="裂石"),$E$3*(1+$E$15),0)</f>
        <v>0</v>
      </c>
      <c r="BK76" s="102">
        <f t="shared" si="19"/>
        <v>0</v>
      </c>
      <c r="BL76" s="102">
        <f>MAX($C$9*IF($G$5="撼天",1.05,1)+IF(AND(VLOOKUP($E76,武器奇术!$A:$R,15,FALSE)="武器",VLOOKUP($E76,武器奇术!$A:$R,17,FALSE)="裂石"),$E$3*(1+$E$15),0),BJ76)</f>
        <v>0</v>
      </c>
      <c r="BM76" s="104">
        <f>IF(($D$9+IF(VLOOKUP($E76,武器奇术!$A:$R,17,FALSE)="裂石",$D$15,0)-VLOOKUP($F$7,目标属性!$A:$R,6,FALSE))&gt;0,($D$9+IF(VLOOKUP($E76,武器奇术!$A:$R,17,FALSE)="裂石",$D$15,0)-VLOOKUP($F$7,目标属性!$A:$R,6,FALSE))/200,($D$9+IF(VLOOKUP($E76,武器奇术!$A:$R,17,FALSE)="裂石",$D$15,0)-VLOOKUP($F$7,目标属性!$A:$R,6,FALSE))/100)</f>
        <v>-0.24</v>
      </c>
      <c r="BN76" s="111">
        <f t="shared" si="20"/>
        <v>0</v>
      </c>
      <c r="BO76" s="102">
        <v>1</v>
      </c>
      <c r="BP76" s="103">
        <f>BJ76*IF(VLOOKUP($E76,武器奇术!$A:$R,17,FALSE)="裂石",VLOOKUP($E76,武器奇术!$A:$R,4,FALSE),VLOOKUP($E76,武器奇术!$A:$R,2,FALSE))*(1+BM76)*(1+BN76)*BO76</f>
        <v>0</v>
      </c>
      <c r="BQ76" s="104">
        <f>(1-IF(VLOOKUP($E76,武器奇术!$A:$R,18,FALSE)="叶龙",1,$N76))*(1-$M76)</f>
        <v>0</v>
      </c>
      <c r="BR76" s="103">
        <f>BK76*IF(VLOOKUP($E76,武器奇术!$A:$R,17,FALSE)="裂石",VLOOKUP($E76,武器奇术!$A:$R,4,FALSE),VLOOKUP($E76,武器奇术!$A:$R,2,FALSE))*(1+BM76)*(1+BN76)*BO76*(1+$E$16+VLOOKUP($E76,武器奇术!$A:$R,8,FALSE))</f>
        <v>0</v>
      </c>
      <c r="BS76" s="104">
        <f t="shared" si="21"/>
        <v>0.8703</v>
      </c>
      <c r="BT76" s="103">
        <f>BL76*IF(VLOOKUP($E76,武器奇术!$A:$R,17,FALSE)="裂石",VLOOKUP($E76,武器奇术!$A:$R,4,FALSE),VLOOKUP($E76,武器奇术!$A:$R,2,FALSE))*(1+BM76)*(1+BN76)*BO76*(1+$E$17+VLOOKUP($E76,武器奇术!$A:$R,10,FALSE))</f>
        <v>0</v>
      </c>
      <c r="BU76" s="104">
        <f t="shared" si="22"/>
        <v>0.0986</v>
      </c>
      <c r="BV76" s="103">
        <f>BK76*IF(VLOOKUP($E76,武器奇术!$A:$R,17,FALSE)="裂石",VLOOKUP($E76,武器奇术!$A:$R,4,FALSE),VLOOKUP($E76,武器奇术!$A:$R,2,FALSE))*(1+BM76)*(1+BN76)*BO76</f>
        <v>0</v>
      </c>
      <c r="BW76" s="104">
        <f t="shared" si="23"/>
        <v>0.0311</v>
      </c>
      <c r="BX76" s="112">
        <f t="shared" si="24"/>
        <v>0</v>
      </c>
      <c r="BY76" s="110">
        <f>$B$11*IF($G$5="撼天",1.05,1)+IF(AND(VLOOKUP($E76,武器奇术!$A:$R,15,FALSE)="武器",VLOOKUP($E76,武器奇术!$A:$R,17,FALSE)="牵丝"),$E$3*(1+$E$15),0)</f>
        <v>686.71</v>
      </c>
      <c r="BZ76" s="102">
        <f>IF(VLOOKUP($E76,武器奇术!$A:$Z,18,FALSE)="叶龙",(CA76-(BY76+CA76)*0.5)*($G$15-0.5)*2+(BY76+CA76)*0.5,(BY76+CA76)*0.5)</f>
        <v>1052.21</v>
      </c>
      <c r="CA76" s="102">
        <f>MAX($C$11*IF($G$5="撼天",1.05,1)+IF(AND(VLOOKUP($E76,武器奇术!$A:$R,15,FALSE)="武器",VLOOKUP($E76,武器奇术!$A:$R,17,FALSE)="牵丝"),$E$3*(1+$E$15),0),BY76)</f>
        <v>1417.71</v>
      </c>
      <c r="CB76" s="104">
        <f>IF(($D$11+IF(VLOOKUP($E76,武器奇术!$A:$R,17,FALSE)="牵丝",$D$15,0)-VLOOKUP($F$7,目标属性!$A:$R,6,FALSE))&gt;0,($D$11+IF(VLOOKUP($E76,武器奇术!$A:$R,17,FALSE)="牵丝",$D$15,0)-VLOOKUP($F$7,目标属性!$A:$R,6,FALSE))/200,($D$11+IF(VLOOKUP($E76,武器奇术!$A:$R,17,FALSE)="牵丝",$D$15,0)-VLOOKUP($F$7,目标属性!$A:$R,6,FALSE))/100)</f>
        <v>0.028</v>
      </c>
      <c r="CC76" s="111">
        <f>$E$11+IF($G$5="烟柳",IF(VLOOKUP($E76,武器奇术!$A:$T,20,FALSE)=1,0.1,0),0)</f>
        <v>0.248</v>
      </c>
      <c r="CD76" s="102">
        <v>1</v>
      </c>
      <c r="CE76" s="103">
        <f>BY76*IF(VLOOKUP($E76,武器奇术!$A:$R,17,FALSE)="牵丝",VLOOKUP($E76,武器奇术!$A:$R,4,FALSE),VLOOKUP($E76,武器奇术!$A:$R,2,FALSE))*(1+CB76)*(1+CC76)*CD76</f>
        <v>3091.90625934528</v>
      </c>
      <c r="CF76" s="104">
        <f>(1-IF(VLOOKUP($E76,武器奇术!$A:$R,18,FALSE)="叶龙",1,$N76))*(1-$M76)</f>
        <v>0</v>
      </c>
      <c r="CG76" s="124">
        <f>BZ76*IF(VLOOKUP($E76,武器奇术!$A:$R,17,FALSE)="牵丝",VLOOKUP($E76,武器奇术!$A:$R,4,FALSE),VLOOKUP($E76,武器奇术!$A:$R,2,FALSE))*(1+CB76)*(1+CC76)*CD76*(1+$E$16+VLOOKUP($E76,武器奇术!$A:$R,8,FALSE))</f>
        <v>9494.08441559316</v>
      </c>
      <c r="CH76" s="104">
        <f t="shared" si="25"/>
        <v>0.8703</v>
      </c>
      <c r="CI76" s="103">
        <f>CA76*IF(VLOOKUP($E76,武器奇术!$A:$R,17,FALSE)="牵丝",VLOOKUP($E76,武器奇术!$A:$R,4,FALSE),VLOOKUP($E76,武器奇术!$A:$R,2,FALSE))*(1+CB76)*(1+CC76)*CD76*(1+$E$17+VLOOKUP($E76,武器奇术!$A:$R,10,FALSE))</f>
        <v>8617.35764873693</v>
      </c>
      <c r="CJ76" s="104">
        <f t="shared" si="26"/>
        <v>0.0986</v>
      </c>
      <c r="CK76" s="124">
        <f>BZ76*IF(VLOOKUP($E76,武器奇术!$A:$R,17,FALSE)="牵丝",VLOOKUP($E76,武器奇术!$A:$R,4,FALSE),VLOOKUP($E76,武器奇术!$A:$R,2,FALSE))*(1+CB76)*(1+CC76)*CD76</f>
        <v>4737.56707364928</v>
      </c>
      <c r="CL76" s="104">
        <f t="shared" si="27"/>
        <v>0.0311</v>
      </c>
      <c r="CM76" s="112">
        <f t="shared" si="28"/>
        <v>9259.71146704668</v>
      </c>
      <c r="CN76" s="110">
        <f>$B$13*IF($G$5="撼天",1.05,1)+IF(AND(VLOOKUP($E76,武器奇术!$A:$R,15,FALSE)="武器",VLOOKUP($E76,武器奇术!$A:$R,17,FALSE)="破竹"),$E$3*(1+$E$15),0)</f>
        <v>0</v>
      </c>
      <c r="CO76" s="102">
        <f t="shared" si="29"/>
        <v>0</v>
      </c>
      <c r="CP76" s="102">
        <f>MAX($C$13*IF($G$5="撼天",1.05,1)+IF(AND(VLOOKUP($E76,武器奇术!$A:$R,15,FALSE)="武器",VLOOKUP($E76,武器奇术!$A:$R,17,FALSE)="破竹"),$E$3*(1+$E$15),0),CN76)</f>
        <v>0</v>
      </c>
      <c r="CQ76" s="104">
        <f>IF(($D$13+IF(VLOOKUP($E76,武器奇术!$A:$R,17,FALSE)="破竹",$D$15,0)-VLOOKUP($F$7,目标属性!$A:$R,6,FALSE))&gt;0,($D$13+IF(VLOOKUP($E76,武器奇术!$A:$R,17,FALSE)="破竹",$D$15,0)-VLOOKUP($F$7,目标属性!$A:$R,6,FALSE))/200,($D$13+IF(VLOOKUP($E76,武器奇术!$A:$R,17,FALSE)="破竹",$D$15,0)-VLOOKUP($F$7,目标属性!$A:$R,6,FALSE))/100)</f>
        <v>-0.24</v>
      </c>
      <c r="CR76" s="111">
        <f t="shared" si="30"/>
        <v>0</v>
      </c>
      <c r="CS76" s="102">
        <v>1</v>
      </c>
      <c r="CT76" s="103">
        <f>CN76*IF(VLOOKUP($E76,武器奇术!$A:$R,17,FALSE)="破竹",VLOOKUP($E76,武器奇术!$A:$R,4,FALSE),VLOOKUP($E76,武器奇术!$A:$R,2,FALSE))*(1+CQ76)*(1+CR76)*CS76</f>
        <v>0</v>
      </c>
      <c r="CU76" s="104">
        <f>(1-IF(VLOOKUP($E76,武器奇术!$A:$R,18,FALSE)="叶龙",1,$N76))*(1-$M76)</f>
        <v>0</v>
      </c>
      <c r="CV76" s="103">
        <f>CO76*IF(VLOOKUP($E76,武器奇术!$A:$R,17,FALSE)="破竹",VLOOKUP($E76,武器奇术!$A:$R,4,FALSE),VLOOKUP($E76,武器奇术!$A:$R,2,FALSE))*(1+CQ76)*(1+CR76)*CS76*(1+$E$16+VLOOKUP($E76,武器奇术!$A:$R,8,FALSE))</f>
        <v>0</v>
      </c>
      <c r="CW76" s="104">
        <f t="shared" si="31"/>
        <v>0.8703</v>
      </c>
      <c r="CX76" s="103">
        <f>CP76*IF(VLOOKUP($E76,武器奇术!$A:$R,17,FALSE)="破竹",VLOOKUP($E76,武器奇术!$A:$R,4,FALSE),VLOOKUP($E76,武器奇术!$A:$R,2,FALSE))*(1+CQ76)*(1+CR76)*CS76*(1+$E$17+VLOOKUP($E76,武器奇术!$A:$R,10,FALSE))</f>
        <v>0</v>
      </c>
      <c r="CY76" s="104">
        <f t="shared" si="32"/>
        <v>0.0986</v>
      </c>
      <c r="CZ76" s="103">
        <f>CO76*IF(VLOOKUP($E76,武器奇术!$A:$R,17,FALSE)="破竹",VLOOKUP($E76,武器奇术!$A:$R,4,FALSE),VLOOKUP($E76,武器奇术!$A:$R,2,FALSE))*(1+CQ76)*(1+CR76)*CS76</f>
        <v>0</v>
      </c>
      <c r="DA76" s="104">
        <f t="shared" si="33"/>
        <v>0.0311</v>
      </c>
      <c r="DB76" s="112">
        <f t="shared" si="34"/>
        <v>0</v>
      </c>
      <c r="DC76" s="110">
        <f t="shared" si="35"/>
        <v>66</v>
      </c>
      <c r="DD76" s="102">
        <f t="shared" si="36"/>
        <v>125.8</v>
      </c>
      <c r="DE76" s="102">
        <f t="shared" si="37"/>
        <v>185.6</v>
      </c>
      <c r="DF76" s="104">
        <f>IF((IF(VLOOKUP($E76,武器奇术!$A:$R,17,FALSE)="鸣金",$D$7,0)+IF(VLOOKUP($E76,武器奇术!$A:$R,17,FALSE)="裂石",$D$9,0)+IF(VLOOKUP($E76,武器奇术!$A:$R,17,FALSE)="牵丝",$D$11,0)+IF(VLOOKUP($E76,武器奇术!$A:$R,17,FALSE)="破竹",$D$13,0)+$D$15-VLOOKUP($F$7,目标属性!$A:$R,6,FALSE))&gt;0,(IF(VLOOKUP($E76,武器奇术!$A:$R,17,FALSE)="鸣金",$D$7,0)+IF(VLOOKUP($E76,武器奇术!$A:$R,17,FALSE)="裂石",$D$9,0)+IF(VLOOKUP($E76,武器奇术!$A:$R,17,FALSE)="牵丝",$D$11,0)+IF(VLOOKUP($E76,武器奇术!$A:$R,17,FALSE)="破竹",$D$13,0)+$D$15-VLOOKUP($F$7,目标属性!$A:$R,6,FALSE))/200,(IF(VLOOKUP($E76,武器奇术!$A:$R,17,FALSE)="鸣金",$D$7,0)+IF(VLOOKUP($E76,武器奇术!$A:$R,17,FALSE)="裂石",$D$9,0)+IF(VLOOKUP($E76,武器奇术!$A:$R,17,FALSE)="牵丝",$D$11,0)+IF(VLOOKUP($E76,武器奇术!$A:$R,17,FALSE)="破竹",$D$13,0)+$D$15-VLOOKUP($F$7,目标属性!$A:$R,6,FALSE))/100)</f>
        <v>0.028</v>
      </c>
      <c r="DG76" s="111">
        <f>$E$11+IF($G$5="烟柳",IF(VLOOKUP($E76,武器奇术!$A:$T,20,FALSE)=1,0.1,0),0)</f>
        <v>0.248</v>
      </c>
      <c r="DH76" s="102">
        <v>1</v>
      </c>
      <c r="DI76" s="103">
        <f>DC76*IF(VLOOKUP($E76,武器奇术!$A:$R,17,FALSE)="牵丝",VLOOKUP($E76,武器奇术!$A:$R,4,FALSE),VLOOKUP($E76,武器奇术!$A:$R,2,FALSE))*(1+DF76)*(1+DG76)*DH76</f>
        <v>297.164469888</v>
      </c>
      <c r="DJ76" s="104">
        <f>(1-IF(VLOOKUP($E76,武器奇术!$A:$R,18,FALSE)="叶龙",1,$N76))*(1-$M76)</f>
        <v>0</v>
      </c>
      <c r="DK76" s="124">
        <f>DD76*IF(VLOOKUP($E76,武器奇术!$A:$R,17,FALSE)="牵丝",VLOOKUP($E76,武器奇术!$A:$R,4,FALSE),VLOOKUP($E76,武器奇术!$A:$R,2,FALSE))*(1+DF76)*(1+DG76)*DH76*(1+$E$16+VLOOKUP($E76,武器奇术!$A:$R,8,FALSE))</f>
        <v>1135.0926331071</v>
      </c>
      <c r="DL76" s="104">
        <f t="shared" si="38"/>
        <v>0.8703</v>
      </c>
      <c r="DM76" s="103">
        <f>DE76*IF(VLOOKUP($E76,武器奇术!$A:$R,17,FALSE)="牵丝",VLOOKUP($E76,武器奇术!$A:$R,4,FALSE),VLOOKUP($E76,武器奇术!$A:$R,2,FALSE))*(1+DF76)*(1+DG76)*DH76*(1+$E$17+VLOOKUP($E76,武器奇术!$A:$R,10,FALSE))</f>
        <v>1128.14438750208</v>
      </c>
      <c r="DN76" s="104">
        <f t="shared" si="39"/>
        <v>0.0986</v>
      </c>
      <c r="DO76" s="124">
        <f>DD76*IF(VLOOKUP($E76,武器奇术!$A:$R,17,FALSE)="牵丝",VLOOKUP($E76,武器奇术!$A:$R,4,FALSE),VLOOKUP($E76,武器奇术!$A:$R,2,FALSE))*(1+DF76)*(1+DG76)*DH76</f>
        <v>566.4134895744</v>
      </c>
      <c r="DP76" s="104">
        <f t="shared" si="40"/>
        <v>0.0311</v>
      </c>
      <c r="DQ76" s="112">
        <f t="shared" si="41"/>
        <v>1116.72161472658</v>
      </c>
    </row>
    <row r="77" spans="1:121">
      <c r="A77" s="139"/>
      <c r="B77" s="139"/>
      <c r="C77" s="139"/>
      <c r="D77" s="139"/>
      <c r="E77" s="115" t="str">
        <f>期望!E77</f>
        <v>伞重击(小纵)</v>
      </c>
      <c r="F77" s="116">
        <f>期望!F77</f>
        <v>1</v>
      </c>
      <c r="G77" s="117"/>
      <c r="H77" s="103">
        <f>IF(VLOOKUP($E77,武器奇术!$A:$R,18,FALSE)="天工",AE77,(AE77+AT77+BI77+BX77+CM77+DB77+DQ77))*(1+J77)*F77*K77*(1+G77)</f>
        <v>10133.9224152393</v>
      </c>
      <c r="I77" s="104">
        <f t="shared" si="0"/>
        <v>0.0011679341314186</v>
      </c>
      <c r="J77" s="104">
        <f>$F$3+VLOOKUP($E77,武器奇术!$A:$R,12,FALSE)+VLOOKUP($E77,武器奇术!$A:$R,14,FALSE)*$G$3+$P77</f>
        <v>0.623</v>
      </c>
      <c r="K77" s="105">
        <f>VLOOKUP($E77,武器奇术!$A:$R,11,FALSE)</f>
        <v>1</v>
      </c>
      <c r="L77" s="119">
        <f>IF(VLOOKUP($E77,武器奇术!$A:$R,15,FALSE)="天工",0%,IF($C$17+VLOOKUP($E77,武器奇术!$A:$R,7,FALSE)&gt;80%,80%,$C$17+VLOOKUP($E77,武器奇术!$A:$R,7,FALSE))+IF($C$19&gt;20%,20%,$C$19))</f>
        <v>0.8703</v>
      </c>
      <c r="M77" s="120">
        <f>IF(VLOOKUP($E77,武器奇术!$A:$R,15,FALSE)="天工",0%,IF($C$18+VLOOKUP($E77,武器奇术!$A:$R,9,FALSE)&gt;40%,40%,$C$18+VLOOKUP($E77,武器奇术!$A:$R,9,FALSE))+IF($C$20&gt;10%,10%,$C$20))</f>
        <v>0.0986</v>
      </c>
      <c r="N77" s="121">
        <f>IF(VLOOKUP($E77,武器奇术!$A:$R,15,FALSE)="天工",100%,MIN($C$16,1))</f>
        <v>1</v>
      </c>
      <c r="O77" s="122" t="str">
        <f>VLOOKUP($E77,武器奇术!$A:$R,16,FALSE)</f>
        <v>伞</v>
      </c>
      <c r="P77" s="123">
        <f t="shared" si="1"/>
        <v>0.17</v>
      </c>
      <c r="Q77" s="110">
        <f>$B$5*(1+VLOOKUP($E77,武器奇术!$A:$R,5,FALSE))*(1+VLOOKUP($E77,武器奇术!$A:$S,19,FALSE)+IF($G$5="飞隼",0.1,0)+IF($G$5="撼天",0.05,0))-$F$9+IF($J$5="√",160,0)</f>
        <v>3081.85</v>
      </c>
      <c r="R77" s="102">
        <f>IF(VLOOKUP($E77,武器奇术!$A:$Z,18,FALSE)="叶龙",(S77-(Q77+S77)*0.5)*($G$15-0.5)*2+(Q77+S77)*0.5,(Q77+S77)*0.5)</f>
        <v>3161.85</v>
      </c>
      <c r="S77" s="102">
        <f>MAX($C$5,$B$5)*(1+VLOOKUP($E77,武器奇术!$A:$R,6,FALSE))*(1+VLOOKUP($E77,武器奇术!$A:$S,19,FALSE)+IF($G$5="飞隼",0.1,0)+IF($G$5="撼天",0.05,0))-$F$9+IF($J$5="√",320,0)</f>
        <v>3241.85</v>
      </c>
      <c r="T77" s="104">
        <f>IF(($D$5+VLOOKUP($E77,武器奇术!$A:$R,13,FALSE)+IF($I$3="√",10,0)-VLOOKUP($F$7,目标属性!$A:$R,5,FALSE))&gt;0,($D$5+VLOOKUP($E77,武器奇术!$A:$R,13,FALSE)+IF($I$3="√",10,0)-VLOOKUP($F$7,目标属性!$A:$R,5,FALSE))/200,($D$5+VLOOKUP($E77,武器奇术!$A:$R,13,FALSE)+IF($I$3="√",10,0)-VLOOKUP($F$7,目标属性!$A:$R,5,FALSE))/100)</f>
        <v>0.2675</v>
      </c>
      <c r="U77" s="111">
        <f>$E$5+IF($G$5="烟柳",IF(VLOOKUP($E77,武器奇术!$A:$T,20,FALSE)=1,0.1,0),0)</f>
        <v>0.1</v>
      </c>
      <c r="V77" s="102">
        <v>1</v>
      </c>
      <c r="W77" s="103">
        <f>Q77*VLOOKUP($E77,武器奇术!$A:$R,2,FALSE)*(1+T77)*(1+U77)*V77</f>
        <v>2319.02039494125</v>
      </c>
      <c r="X77" s="104">
        <f>(1-IF(VLOOKUP($E77,武器奇术!$A:$R,18,FALSE)="叶龙",1,$N77))*(1-$M77)</f>
        <v>0</v>
      </c>
      <c r="Y77" s="103">
        <f>R77*VLOOKUP($E77,武器奇术!$A:$R,2,FALSE)*(1+T77)*(1+U77)*V77*(1+$E$16+VLOOKUP($E77,武器奇术!$A:$R,8,FALSE))</f>
        <v>3911.43526815541</v>
      </c>
      <c r="Z77" s="104">
        <f t="shared" si="2"/>
        <v>0.8703</v>
      </c>
      <c r="AA77" s="103">
        <f>S77*VLOOKUP($E77,武器奇术!$A:$R,2,FALSE)*(1+T77)*(1+U77)*V77*(1+$E$17+VLOOKUP($E77,武器奇术!$A:$R,10,FALSE))</f>
        <v>3293.21250577069</v>
      </c>
      <c r="AB77" s="104">
        <f t="shared" si="3"/>
        <v>0.0986</v>
      </c>
      <c r="AC77" s="103">
        <f>R77*VLOOKUP($E77,武器奇术!$A:$R,2,FALSE)*(1+T77)*(1+U77)*V77</f>
        <v>2379.21853294125</v>
      </c>
      <c r="AD77" s="104">
        <f t="shared" si="4"/>
        <v>0.0311</v>
      </c>
      <c r="AE77" s="112">
        <f t="shared" si="5"/>
        <v>3802.82656331912</v>
      </c>
      <c r="AF77" s="113">
        <f>VLOOKUP($E77,武器奇术!$A:$R,3,FALSE)*(1+IF(VLOOKUP($E77,武器奇术!$A:$R,15,FALSE)="武器",$E$15,0))</f>
        <v>193.7</v>
      </c>
      <c r="AG77" s="103">
        <f t="shared" si="6"/>
        <v>193.7</v>
      </c>
      <c r="AH77" s="103">
        <f>VLOOKUP($E77,武器奇术!$A:$R,3,FALSE)*(1+IF(VLOOKUP($E77,武器奇术!$A:$R,15,FALSE)="武器",$E$15,0))</f>
        <v>193.7</v>
      </c>
      <c r="AI77" s="104">
        <f>IF(($D$5+VLOOKUP($E77,武器奇术!$A:$R,13,FALSE)+IF($I$3="√",10,0)-VLOOKUP($F$7,目标属性!$A:$R,5,FALSE))&gt;0,($D$5+VLOOKUP($E77,武器奇术!$A:$R,13,FALSE)+IF($I$3="√",10,0)-VLOOKUP($F$7,目标属性!$A:$R,5,FALSE))/200,($D$5+VLOOKUP($E77,武器奇术!$A:$R,13,FALSE)+IF($I$3="√",10,0)-VLOOKUP($F$7,目标属性!$A:$R,5,FALSE))/100)</f>
        <v>0.2675</v>
      </c>
      <c r="AJ77" s="111">
        <f>$E$5+IF($G$5="烟柳",IF(VLOOKUP($E77,武器奇术!$A:$T,20,FALSE)=1,0.1,0),0)</f>
        <v>0.1</v>
      </c>
      <c r="AK77" s="102">
        <v>1</v>
      </c>
      <c r="AL77" s="103">
        <f t="shared" si="7"/>
        <v>270.066225</v>
      </c>
      <c r="AM77" s="104">
        <f>(1-IF(VLOOKUP($E77,武器奇术!$A:$R,18,FALSE)="叶龙",1,$N77))*(1-$M77)</f>
        <v>0</v>
      </c>
      <c r="AN77" s="103">
        <f>AG77*(1+AI77)*(1+AJ77)*AK77*(1+$E$16+VLOOKUP($E77,武器奇术!$A:$R,8,FALSE))</f>
        <v>443.9888739</v>
      </c>
      <c r="AO77" s="104">
        <f t="shared" si="8"/>
        <v>0.8703</v>
      </c>
      <c r="AP77" s="103">
        <f>AH77*(1+AI77)*(1+AJ77)*AK77*(1+$E$17+VLOOKUP($E77,武器奇术!$A:$R,10,FALSE))</f>
        <v>364.58940375</v>
      </c>
      <c r="AQ77" s="104">
        <f t="shared" si="9"/>
        <v>0.0986</v>
      </c>
      <c r="AR77" s="103">
        <f t="shared" si="10"/>
        <v>270.066225</v>
      </c>
      <c r="AS77" s="104">
        <f t="shared" si="11"/>
        <v>0.0311</v>
      </c>
      <c r="AT77" s="112">
        <f t="shared" si="12"/>
        <v>430.75109176242</v>
      </c>
      <c r="AU77" s="110">
        <f>$B$7*IF($G$5="撼天",1.05,1)+IF(AND(VLOOKUP($E77,武器奇术!$A:$R,15,FALSE)="武器",VLOOKUP($E77,武器奇术!$A:$R,17,FALSE)="鸣金"),$E$3*(1+$E$15),0)</f>
        <v>0</v>
      </c>
      <c r="AV77" s="102">
        <f t="shared" si="13"/>
        <v>0</v>
      </c>
      <c r="AW77" s="102">
        <f>MAX($C$7*IF($G$5="撼天",1.05,1)+IF(AND(VLOOKUP($E77,武器奇术!$A:$R,15,FALSE)="武器",VLOOKUP($E77,武器奇术!$A:$R,17,FALSE)="鸣金"),$E$3*(1+$E$15),0),AU77)</f>
        <v>0</v>
      </c>
      <c r="AX77" s="104">
        <f>IF(($D$7+IF(VLOOKUP($E77,武器奇术!$A:$R,17,FALSE)="鸣金",$D$15,0)-VLOOKUP($F$7,目标属性!$A:$R,6,FALSE))&gt;0,($D$7+IF(VLOOKUP($E77,武器奇术!$A:$R,17,FALSE)="鸣金",$D$15,0)-VLOOKUP($F$7,目标属性!$A:$R,6,FALSE))/200,($D$7+IF(VLOOKUP($E77,武器奇术!$A:$R,17,FALSE)="鸣金",$D$15,0)-VLOOKUP($F$7,目标属性!$A:$R,6,FALSE))/100)</f>
        <v>-0.24</v>
      </c>
      <c r="AY77" s="111">
        <f t="shared" si="14"/>
        <v>0</v>
      </c>
      <c r="AZ77" s="102">
        <v>1</v>
      </c>
      <c r="BA77" s="103">
        <f>AU77*IF(VLOOKUP($E77,武器奇术!$A:$R,17,FALSE)="鸣金",VLOOKUP($E77,武器奇术!$A:$R,4,FALSE),VLOOKUP($E77,武器奇术!$A:$R,2,FALSE))*(1+AX77)*(1+AY77)*AZ77</f>
        <v>0</v>
      </c>
      <c r="BB77" s="104">
        <f>(1-IF(VLOOKUP($E77,武器奇术!$A:$R,18,FALSE)="叶龙",1,$N77))*(1-$M77)</f>
        <v>0</v>
      </c>
      <c r="BC77" s="103">
        <f>AV77*IF(VLOOKUP($E77,武器奇术!$A:$R,17,FALSE)="鸣金",VLOOKUP($E77,武器奇术!$A:$R,4,FALSE),VLOOKUP($E77,武器奇术!$A:$R,2,FALSE))*(1+AX77)*(1+AY77)*AZ77*(1+$E$16+VLOOKUP($E77,武器奇术!$A:$R,8,FALSE))</f>
        <v>0</v>
      </c>
      <c r="BD77" s="104">
        <f t="shared" si="15"/>
        <v>0.8703</v>
      </c>
      <c r="BE77" s="103">
        <f>AW77*IF(VLOOKUP($E77,武器奇术!$A:$R,17,FALSE)="鸣金",VLOOKUP($E77,武器奇术!$A:$R,4,FALSE),VLOOKUP($E77,武器奇术!$A:$R,2,FALSE))*(1+AX77)*(1+AY77)*AZ77*(1+$E$17+VLOOKUP($E77,武器奇术!$A:$R,10,FALSE))</f>
        <v>0</v>
      </c>
      <c r="BF77" s="104">
        <f t="shared" si="16"/>
        <v>0.0986</v>
      </c>
      <c r="BG77" s="103">
        <f>AV77*IF(VLOOKUP($E77,武器奇术!$A:$R,17,FALSE)="鸣金",VLOOKUP($E77,武器奇术!$A:$R,4,FALSE),VLOOKUP($E77,武器奇术!$A:$R,2,FALSE))*(1+AX77)*(1+AY77)*AZ77</f>
        <v>0</v>
      </c>
      <c r="BH77" s="104">
        <f t="shared" si="17"/>
        <v>0.0311</v>
      </c>
      <c r="BI77" s="112">
        <f t="shared" si="18"/>
        <v>0</v>
      </c>
      <c r="BJ77" s="110">
        <f>$B$9*IF($G$5="撼天",1.05,1)+IF(AND(VLOOKUP($E77,武器奇术!$A:$R,15,FALSE)="武器",VLOOKUP($E77,武器奇术!$A:$R,17,FALSE)="裂石"),$E$3*(1+$E$15),0)</f>
        <v>0</v>
      </c>
      <c r="BK77" s="102">
        <f t="shared" si="19"/>
        <v>0</v>
      </c>
      <c r="BL77" s="102">
        <f>MAX($C$9*IF($G$5="撼天",1.05,1)+IF(AND(VLOOKUP($E77,武器奇术!$A:$R,15,FALSE)="武器",VLOOKUP($E77,武器奇术!$A:$R,17,FALSE)="裂石"),$E$3*(1+$E$15),0),BJ77)</f>
        <v>0</v>
      </c>
      <c r="BM77" s="104">
        <f>IF(($D$9+IF(VLOOKUP($E77,武器奇术!$A:$R,17,FALSE)="裂石",$D$15,0)-VLOOKUP($F$7,目标属性!$A:$R,6,FALSE))&gt;0,($D$9+IF(VLOOKUP($E77,武器奇术!$A:$R,17,FALSE)="裂石",$D$15,0)-VLOOKUP($F$7,目标属性!$A:$R,6,FALSE))/200,($D$9+IF(VLOOKUP($E77,武器奇术!$A:$R,17,FALSE)="裂石",$D$15,0)-VLOOKUP($F$7,目标属性!$A:$R,6,FALSE))/100)</f>
        <v>-0.24</v>
      </c>
      <c r="BN77" s="111">
        <f t="shared" si="20"/>
        <v>0</v>
      </c>
      <c r="BO77" s="102">
        <v>1</v>
      </c>
      <c r="BP77" s="103">
        <f>BJ77*IF(VLOOKUP($E77,武器奇术!$A:$R,17,FALSE)="裂石",VLOOKUP($E77,武器奇术!$A:$R,4,FALSE),VLOOKUP($E77,武器奇术!$A:$R,2,FALSE))*(1+BM77)*(1+BN77)*BO77</f>
        <v>0</v>
      </c>
      <c r="BQ77" s="104">
        <f>(1-IF(VLOOKUP($E77,武器奇术!$A:$R,18,FALSE)="叶龙",1,$N77))*(1-$M77)</f>
        <v>0</v>
      </c>
      <c r="BR77" s="103">
        <f>BK77*IF(VLOOKUP($E77,武器奇术!$A:$R,17,FALSE)="裂石",VLOOKUP($E77,武器奇术!$A:$R,4,FALSE),VLOOKUP($E77,武器奇术!$A:$R,2,FALSE))*(1+BM77)*(1+BN77)*BO77*(1+$E$16+VLOOKUP($E77,武器奇术!$A:$R,8,FALSE))</f>
        <v>0</v>
      </c>
      <c r="BS77" s="104">
        <f t="shared" si="21"/>
        <v>0.8703</v>
      </c>
      <c r="BT77" s="103">
        <f>BL77*IF(VLOOKUP($E77,武器奇术!$A:$R,17,FALSE)="裂石",VLOOKUP($E77,武器奇术!$A:$R,4,FALSE),VLOOKUP($E77,武器奇术!$A:$R,2,FALSE))*(1+BM77)*(1+BN77)*BO77*(1+$E$17+VLOOKUP($E77,武器奇术!$A:$R,10,FALSE))</f>
        <v>0</v>
      </c>
      <c r="BU77" s="104">
        <f t="shared" si="22"/>
        <v>0.0986</v>
      </c>
      <c r="BV77" s="103">
        <f>BK77*IF(VLOOKUP($E77,武器奇术!$A:$R,17,FALSE)="裂石",VLOOKUP($E77,武器奇术!$A:$R,4,FALSE),VLOOKUP($E77,武器奇术!$A:$R,2,FALSE))*(1+BM77)*(1+BN77)*BO77</f>
        <v>0</v>
      </c>
      <c r="BW77" s="104">
        <f t="shared" si="23"/>
        <v>0.0311</v>
      </c>
      <c r="BX77" s="112">
        <f t="shared" si="24"/>
        <v>0</v>
      </c>
      <c r="BY77" s="110">
        <f>$B$11*IF($G$5="撼天",1.05,1)+IF(AND(VLOOKUP($E77,武器奇术!$A:$R,15,FALSE)="武器",VLOOKUP($E77,武器奇术!$A:$R,17,FALSE)="牵丝"),$E$3*(1+$E$15),0)</f>
        <v>686.71</v>
      </c>
      <c r="BZ77" s="102">
        <f>IF(VLOOKUP($E77,武器奇术!$A:$Z,18,FALSE)="叶龙",(CA77-(BY77+CA77)*0.5)*($G$15-0.5)*2+(BY77+CA77)*0.5,(BY77+CA77)*0.5)</f>
        <v>1052.21</v>
      </c>
      <c r="CA77" s="102">
        <f>MAX($C$11*IF($G$5="撼天",1.05,1)+IF(AND(VLOOKUP($E77,武器奇术!$A:$R,15,FALSE)="武器",VLOOKUP($E77,武器奇术!$A:$R,17,FALSE)="牵丝"),$E$3*(1+$E$15),0),BY77)</f>
        <v>1417.71</v>
      </c>
      <c r="CB77" s="104">
        <f>IF(($D$11+IF(VLOOKUP($E77,武器奇术!$A:$R,17,FALSE)="牵丝",$D$15,0)-VLOOKUP($F$7,目标属性!$A:$R,6,FALSE))&gt;0,($D$11+IF(VLOOKUP($E77,武器奇术!$A:$R,17,FALSE)="牵丝",$D$15,0)-VLOOKUP($F$7,目标属性!$A:$R,6,FALSE))/200,($D$11+IF(VLOOKUP($E77,武器奇术!$A:$R,17,FALSE)="牵丝",$D$15,0)-VLOOKUP($F$7,目标属性!$A:$R,6,FALSE))/100)</f>
        <v>0.028</v>
      </c>
      <c r="CC77" s="111">
        <f>$E$11+IF($G$5="烟柳",IF(VLOOKUP($E77,武器奇术!$A:$T,20,FALSE)=1,0.1,0),0)</f>
        <v>0.248</v>
      </c>
      <c r="CD77" s="102">
        <v>1</v>
      </c>
      <c r="CE77" s="103">
        <f>BY77*IF(VLOOKUP($E77,武器奇术!$A:$R,17,FALSE)="牵丝",VLOOKUP($E77,武器奇术!$A:$R,4,FALSE),VLOOKUP($E77,武器奇术!$A:$R,2,FALSE))*(1+CB77)*(1+CC77)*CD77</f>
        <v>713.266079944704</v>
      </c>
      <c r="CF77" s="104">
        <f>(1-IF(VLOOKUP($E77,武器奇术!$A:$R,18,FALSE)="叶龙",1,$N77))*(1-$M77)</f>
        <v>0</v>
      </c>
      <c r="CG77" s="124">
        <f>BZ77*IF(VLOOKUP($E77,武器奇术!$A:$R,17,FALSE)="牵丝",VLOOKUP($E77,武器奇术!$A:$R,4,FALSE),VLOOKUP($E77,武器奇术!$A:$R,2,FALSE))*(1+CB77)*(1+CC77)*CD77*(1+$E$16+VLOOKUP($E77,武器奇术!$A:$R,8,FALSE))</f>
        <v>1796.72842109893</v>
      </c>
      <c r="CH77" s="104">
        <f t="shared" si="25"/>
        <v>0.8703</v>
      </c>
      <c r="CI77" s="103">
        <f>CA77*IF(VLOOKUP($E77,武器奇术!$A:$R,17,FALSE)="牵丝",VLOOKUP($E77,武器奇术!$A:$R,4,FALSE),VLOOKUP($E77,武器奇术!$A:$R,2,FALSE))*(1+CB77)*(1+CC77)*CD77*(1+$E$17+VLOOKUP($E77,武器奇术!$A:$R,10,FALSE))</f>
        <v>1987.92214059479</v>
      </c>
      <c r="CJ77" s="104">
        <f t="shared" si="26"/>
        <v>0.0986</v>
      </c>
      <c r="CK77" s="124">
        <f>BZ77*IF(VLOOKUP($E77,武器奇术!$A:$R,17,FALSE)="牵丝",VLOOKUP($E77,武器奇术!$A:$R,4,FALSE),VLOOKUP($E77,武器奇术!$A:$R,2,FALSE))*(1+CB77)*(1+CC77)*CD77</f>
        <v>1092.9004994519</v>
      </c>
      <c r="CL77" s="104">
        <f t="shared" si="27"/>
        <v>0.0311</v>
      </c>
      <c r="CM77" s="112">
        <f t="shared" si="28"/>
        <v>1793.691073478</v>
      </c>
      <c r="CN77" s="110">
        <f>$B$13*IF($G$5="撼天",1.05,1)+IF(AND(VLOOKUP($E77,武器奇术!$A:$R,15,FALSE)="武器",VLOOKUP($E77,武器奇术!$A:$R,17,FALSE)="破竹"),$E$3*(1+$E$15),0)</f>
        <v>0</v>
      </c>
      <c r="CO77" s="102">
        <f t="shared" si="29"/>
        <v>0</v>
      </c>
      <c r="CP77" s="102">
        <f>MAX($C$13*IF($G$5="撼天",1.05,1)+IF(AND(VLOOKUP($E77,武器奇术!$A:$R,15,FALSE)="武器",VLOOKUP($E77,武器奇术!$A:$R,17,FALSE)="破竹"),$E$3*(1+$E$15),0),CN77)</f>
        <v>0</v>
      </c>
      <c r="CQ77" s="104">
        <f>IF(($D$13+IF(VLOOKUP($E77,武器奇术!$A:$R,17,FALSE)="破竹",$D$15,0)-VLOOKUP($F$7,目标属性!$A:$R,6,FALSE))&gt;0,($D$13+IF(VLOOKUP($E77,武器奇术!$A:$R,17,FALSE)="破竹",$D$15,0)-VLOOKUP($F$7,目标属性!$A:$R,6,FALSE))/200,($D$13+IF(VLOOKUP($E77,武器奇术!$A:$R,17,FALSE)="破竹",$D$15,0)-VLOOKUP($F$7,目标属性!$A:$R,6,FALSE))/100)</f>
        <v>-0.24</v>
      </c>
      <c r="CR77" s="111">
        <f t="shared" si="30"/>
        <v>0</v>
      </c>
      <c r="CS77" s="102">
        <v>1</v>
      </c>
      <c r="CT77" s="103">
        <f>CN77*IF(VLOOKUP($E77,武器奇术!$A:$R,17,FALSE)="破竹",VLOOKUP($E77,武器奇术!$A:$R,4,FALSE),VLOOKUP($E77,武器奇术!$A:$R,2,FALSE))*(1+CQ77)*(1+CR77)*CS77</f>
        <v>0</v>
      </c>
      <c r="CU77" s="104">
        <f>(1-IF(VLOOKUP($E77,武器奇术!$A:$R,18,FALSE)="叶龙",1,$N77))*(1-$M77)</f>
        <v>0</v>
      </c>
      <c r="CV77" s="103">
        <f>CO77*IF(VLOOKUP($E77,武器奇术!$A:$R,17,FALSE)="破竹",VLOOKUP($E77,武器奇术!$A:$R,4,FALSE),VLOOKUP($E77,武器奇术!$A:$R,2,FALSE))*(1+CQ77)*(1+CR77)*CS77*(1+$E$16+VLOOKUP($E77,武器奇术!$A:$R,8,FALSE))</f>
        <v>0</v>
      </c>
      <c r="CW77" s="104">
        <f t="shared" si="31"/>
        <v>0.8703</v>
      </c>
      <c r="CX77" s="103">
        <f>CP77*IF(VLOOKUP($E77,武器奇术!$A:$R,17,FALSE)="破竹",VLOOKUP($E77,武器奇术!$A:$R,4,FALSE),VLOOKUP($E77,武器奇术!$A:$R,2,FALSE))*(1+CQ77)*(1+CR77)*CS77*(1+$E$17+VLOOKUP($E77,武器奇术!$A:$R,10,FALSE))</f>
        <v>0</v>
      </c>
      <c r="CY77" s="104">
        <f t="shared" si="32"/>
        <v>0.0986</v>
      </c>
      <c r="CZ77" s="103">
        <f>CO77*IF(VLOOKUP($E77,武器奇术!$A:$R,17,FALSE)="破竹",VLOOKUP($E77,武器奇术!$A:$R,4,FALSE),VLOOKUP($E77,武器奇术!$A:$R,2,FALSE))*(1+CQ77)*(1+CR77)*CS77</f>
        <v>0</v>
      </c>
      <c r="DA77" s="104">
        <f t="shared" si="33"/>
        <v>0.0311</v>
      </c>
      <c r="DB77" s="112">
        <f t="shared" si="34"/>
        <v>0</v>
      </c>
      <c r="DC77" s="110">
        <f t="shared" si="35"/>
        <v>66</v>
      </c>
      <c r="DD77" s="102">
        <f t="shared" si="36"/>
        <v>125.8</v>
      </c>
      <c r="DE77" s="102">
        <f t="shared" si="37"/>
        <v>185.6</v>
      </c>
      <c r="DF77" s="104">
        <f>IF((IF(VLOOKUP($E77,武器奇术!$A:$R,17,FALSE)="鸣金",$D$7,0)+IF(VLOOKUP($E77,武器奇术!$A:$R,17,FALSE)="裂石",$D$9,0)+IF(VLOOKUP($E77,武器奇术!$A:$R,17,FALSE)="牵丝",$D$11,0)+IF(VLOOKUP($E77,武器奇术!$A:$R,17,FALSE)="破竹",$D$13,0)+$D$15-VLOOKUP($F$7,目标属性!$A:$R,6,FALSE))&gt;0,(IF(VLOOKUP($E77,武器奇术!$A:$R,17,FALSE)="鸣金",$D$7,0)+IF(VLOOKUP($E77,武器奇术!$A:$R,17,FALSE)="裂石",$D$9,0)+IF(VLOOKUP($E77,武器奇术!$A:$R,17,FALSE)="牵丝",$D$11,0)+IF(VLOOKUP($E77,武器奇术!$A:$R,17,FALSE)="破竹",$D$13,0)+$D$15-VLOOKUP($F$7,目标属性!$A:$R,6,FALSE))/200,(IF(VLOOKUP($E77,武器奇术!$A:$R,17,FALSE)="鸣金",$D$7,0)+IF(VLOOKUP($E77,武器奇术!$A:$R,17,FALSE)="裂石",$D$9,0)+IF(VLOOKUP($E77,武器奇术!$A:$R,17,FALSE)="牵丝",$D$11,0)+IF(VLOOKUP($E77,武器奇术!$A:$R,17,FALSE)="破竹",$D$13,0)+$D$15-VLOOKUP($F$7,目标属性!$A:$R,6,FALSE))/100)</f>
        <v>0.028</v>
      </c>
      <c r="DG77" s="111">
        <f>$E$11+IF($G$5="烟柳",IF(VLOOKUP($E77,武器奇术!$A:$T,20,FALSE)=1,0.1,0),0)</f>
        <v>0.248</v>
      </c>
      <c r="DH77" s="102">
        <v>1</v>
      </c>
      <c r="DI77" s="103">
        <f>DC77*IF(VLOOKUP($E77,武器奇术!$A:$R,17,FALSE)="牵丝",VLOOKUP($E77,武器奇术!$A:$R,4,FALSE),VLOOKUP($E77,武器奇术!$A:$R,2,FALSE))*(1+DF77)*(1+DG77)*DH77</f>
        <v>68.5523165184</v>
      </c>
      <c r="DJ77" s="104">
        <f>(1-IF(VLOOKUP($E77,武器奇术!$A:$R,18,FALSE)="叶龙",1,$N77))*(1-$M77)</f>
        <v>0</v>
      </c>
      <c r="DK77" s="124">
        <f>DD77*IF(VLOOKUP($E77,武器奇术!$A:$R,17,FALSE)="牵丝",VLOOKUP($E77,武器奇术!$A:$R,4,FALSE),VLOOKUP($E77,武器奇术!$A:$R,2,FALSE))*(1+DF77)*(1+DG77)*DH77*(1+$E$16+VLOOKUP($E77,武器奇术!$A:$R,8,FALSE))</f>
        <v>214.813046230549</v>
      </c>
      <c r="DL77" s="104">
        <f t="shared" si="38"/>
        <v>0.8703</v>
      </c>
      <c r="DM77" s="103">
        <f>DE77*IF(VLOOKUP($E77,武器奇术!$A:$R,17,FALSE)="牵丝",VLOOKUP($E77,武器奇术!$A:$R,4,FALSE),VLOOKUP($E77,武器奇术!$A:$R,2,FALSE))*(1+DF77)*(1+DG77)*DH77*(1+$E$17+VLOOKUP($E77,武器奇术!$A:$R,10,FALSE))</f>
        <v>260.249521618944</v>
      </c>
      <c r="DN77" s="104">
        <f t="shared" si="39"/>
        <v>0.0986</v>
      </c>
      <c r="DO77" s="124">
        <f>DD77*IF(VLOOKUP($E77,武器奇术!$A:$R,17,FALSE)="牵丝",VLOOKUP($E77,武器奇术!$A:$R,4,FALSE),VLOOKUP($E77,武器奇术!$A:$R,2,FALSE))*(1+DF77)*(1+DG77)*DH77</f>
        <v>130.66486996992</v>
      </c>
      <c r="DP77" s="104">
        <f t="shared" si="40"/>
        <v>0.0311</v>
      </c>
      <c r="DQ77" s="112">
        <f t="shared" si="41"/>
        <v>216.676074422139</v>
      </c>
    </row>
    <row r="78" spans="1:121">
      <c r="A78" s="139"/>
      <c r="B78" s="139"/>
      <c r="C78" s="139"/>
      <c r="D78" s="139"/>
      <c r="E78" s="115" t="str">
        <f>期望!E78</f>
        <v>丢伞(小纵)</v>
      </c>
      <c r="F78" s="116">
        <f>期望!F78</f>
        <v>1</v>
      </c>
      <c r="G78" s="117"/>
      <c r="H78" s="103">
        <f>IF(VLOOKUP($E78,武器奇术!$A:$R,18,FALSE)="天工",AE78,(AE78+AT78+BI78+BX78+CM78+DB78+DQ78))*(1+J78)*F78*K78*(1+G78)</f>
        <v>8456.81712156399</v>
      </c>
      <c r="I78" s="104">
        <f t="shared" si="0"/>
        <v>0.000974647816978241</v>
      </c>
      <c r="J78" s="104">
        <f>$F$3+VLOOKUP($E78,武器奇术!$A:$R,12,FALSE)+VLOOKUP($E78,武器奇术!$A:$R,14,FALSE)*$G$3+$P78</f>
        <v>0.503</v>
      </c>
      <c r="K78" s="105">
        <f>VLOOKUP($E78,武器奇术!$A:$R,11,FALSE)</f>
        <v>1</v>
      </c>
      <c r="L78" s="119">
        <f>IF(VLOOKUP($E78,武器奇术!$A:$R,15,FALSE)="天工",0%,IF($C$17+VLOOKUP($E78,武器奇术!$A:$R,7,FALSE)&gt;80%,80%,$C$17+VLOOKUP($E78,武器奇术!$A:$R,7,FALSE))+IF($C$19&gt;20%,20%,$C$19))</f>
        <v>0.8703</v>
      </c>
      <c r="M78" s="120">
        <f>IF(VLOOKUP($E78,武器奇术!$A:$R,15,FALSE)="天工",0%,IF($C$18+VLOOKUP($E78,武器奇术!$A:$R,9,FALSE)&gt;40%,40%,$C$18+VLOOKUP($E78,武器奇术!$A:$R,9,FALSE))+IF($C$20&gt;10%,10%,$C$20))</f>
        <v>0.0986</v>
      </c>
      <c r="N78" s="121">
        <f>IF(VLOOKUP($E78,武器奇术!$A:$R,15,FALSE)="天工",100%,MIN($C$16,1))</f>
        <v>1</v>
      </c>
      <c r="O78" s="122" t="str">
        <f>VLOOKUP($E78,武器奇术!$A:$R,16,FALSE)</f>
        <v>伞</v>
      </c>
      <c r="P78" s="123">
        <f t="shared" si="1"/>
        <v>0.17</v>
      </c>
      <c r="Q78" s="110">
        <f>$B$5*(1+VLOOKUP($E78,武器奇术!$A:$R,5,FALSE))*(1+VLOOKUP($E78,武器奇术!$A:$S,19,FALSE)+IF($G$5="飞隼",0.1,0)+IF($G$5="撼天",0.05,0))-$F$9+IF($J$5="√",160,0)</f>
        <v>3081.85</v>
      </c>
      <c r="R78" s="102">
        <f>IF(VLOOKUP($E78,武器奇术!$A:$Z,18,FALSE)="叶龙",(S78-(Q78+S78)*0.5)*($G$15-0.5)*2+(Q78+S78)*0.5,(Q78+S78)*0.5)</f>
        <v>3161.85</v>
      </c>
      <c r="S78" s="102">
        <f>MAX($C$5,$B$5)*(1+VLOOKUP($E78,武器奇术!$A:$R,6,FALSE))*(1+VLOOKUP($E78,武器奇术!$A:$S,19,FALSE)+IF($G$5="飞隼",0.1,0)+IF($G$5="撼天",0.05,0))-$F$9+IF($J$5="√",320,0)</f>
        <v>3241.85</v>
      </c>
      <c r="T78" s="104">
        <f>IF(($D$5+VLOOKUP($E78,武器奇术!$A:$R,13,FALSE)+IF($I$3="√",10,0)-VLOOKUP($F$7,目标属性!$A:$R,5,FALSE))&gt;0,($D$5+VLOOKUP($E78,武器奇术!$A:$R,13,FALSE)+IF($I$3="√",10,0)-VLOOKUP($F$7,目标属性!$A:$R,5,FALSE))/200,($D$5+VLOOKUP($E78,武器奇术!$A:$R,13,FALSE)+IF($I$3="√",10,0)-VLOOKUP($F$7,目标属性!$A:$R,5,FALSE))/100)</f>
        <v>0.2675</v>
      </c>
      <c r="U78" s="111">
        <f>$E$5+IF($G$5="烟柳",IF(VLOOKUP($E78,武器奇术!$A:$T,20,FALSE)=1,0.1,0),0)</f>
        <v>0</v>
      </c>
      <c r="V78" s="102">
        <v>1</v>
      </c>
      <c r="W78" s="103">
        <f>Q78*VLOOKUP($E78,武器奇术!$A:$R,2,FALSE)*(1+T78)*(1+U78)*V78</f>
        <v>2105.465987625</v>
      </c>
      <c r="X78" s="104">
        <f>(1-IF(VLOOKUP($E78,武器奇术!$A:$R,18,FALSE)="叶龙",1,$N78))*(1-$M78)</f>
        <v>0</v>
      </c>
      <c r="Y78" s="103">
        <f>R78*VLOOKUP($E78,武器奇术!$A:$R,2,FALSE)*(1+T78)*(1+U78)*V78*(1+$E$16+VLOOKUP($E78,武器奇术!$A:$R,8,FALSE))</f>
        <v>3551.2382460555</v>
      </c>
      <c r="Z78" s="104">
        <f t="shared" si="2"/>
        <v>0.8703</v>
      </c>
      <c r="AA78" s="103">
        <f>S78*VLOOKUP($E78,武器奇术!$A:$R,2,FALSE)*(1+T78)*(1+U78)*V78*(1+$E$17+VLOOKUP($E78,武器奇术!$A:$R,10,FALSE))</f>
        <v>2989.94650329375</v>
      </c>
      <c r="AB78" s="104">
        <f t="shared" si="3"/>
        <v>0.0986</v>
      </c>
      <c r="AC78" s="103">
        <f>R78*VLOOKUP($E78,武器奇术!$A:$R,2,FALSE)*(1+T78)*(1+U78)*V78</f>
        <v>2160.120587625</v>
      </c>
      <c r="AD78" s="104">
        <f t="shared" si="4"/>
        <v>0.0311</v>
      </c>
      <c r="AE78" s="112">
        <f t="shared" si="5"/>
        <v>3452.631121042</v>
      </c>
      <c r="AF78" s="113">
        <f>VLOOKUP($E78,武器奇术!$A:$R,3,FALSE)*(1+IF(VLOOKUP($E78,武器奇术!$A:$R,15,FALSE)="武器",$E$15,0))</f>
        <v>161.8617</v>
      </c>
      <c r="AG78" s="103">
        <f t="shared" si="6"/>
        <v>161.8617</v>
      </c>
      <c r="AH78" s="103">
        <f>VLOOKUP($E78,武器奇术!$A:$R,3,FALSE)*(1+IF(VLOOKUP($E78,武器奇术!$A:$R,15,FALSE)="武器",$E$15,0))</f>
        <v>161.8617</v>
      </c>
      <c r="AI78" s="104">
        <f>IF(($D$5+VLOOKUP($E78,武器奇术!$A:$R,13,FALSE)+IF($I$3="√",10,0)-VLOOKUP($F$7,目标属性!$A:$R,5,FALSE))&gt;0,($D$5+VLOOKUP($E78,武器奇术!$A:$R,13,FALSE)+IF($I$3="√",10,0)-VLOOKUP($F$7,目标属性!$A:$R,5,FALSE))/200,($D$5+VLOOKUP($E78,武器奇术!$A:$R,13,FALSE)+IF($I$3="√",10,0)-VLOOKUP($F$7,目标属性!$A:$R,5,FALSE))/100)</f>
        <v>0.2675</v>
      </c>
      <c r="AJ78" s="111">
        <f>$E$5+IF($G$5="烟柳",IF(VLOOKUP($E78,武器奇术!$A:$T,20,FALSE)=1,0.1,0),0)</f>
        <v>0</v>
      </c>
      <c r="AK78" s="102">
        <v>1</v>
      </c>
      <c r="AL78" s="103">
        <f t="shared" si="7"/>
        <v>205.15970475</v>
      </c>
      <c r="AM78" s="104">
        <f>(1-IF(VLOOKUP($E78,武器奇术!$A:$R,18,FALSE)="叶龙",1,$N78))*(1-$M78)</f>
        <v>0</v>
      </c>
      <c r="AN78" s="103">
        <f>AG78*(1+AI78)*(1+AJ78)*AK78*(1+$E$16+VLOOKUP($E78,武器奇术!$A:$R,8,FALSE))</f>
        <v>337.282554609</v>
      </c>
      <c r="AO78" s="104">
        <f t="shared" si="8"/>
        <v>0.8703</v>
      </c>
      <c r="AP78" s="103">
        <f>AH78*(1+AI78)*(1+AJ78)*AK78*(1+$E$17+VLOOKUP($E78,武器奇术!$A:$R,10,FALSE))</f>
        <v>276.9656014125</v>
      </c>
      <c r="AQ78" s="104">
        <f t="shared" si="9"/>
        <v>0.0986</v>
      </c>
      <c r="AR78" s="103">
        <f t="shared" si="10"/>
        <v>205.15970475</v>
      </c>
      <c r="AS78" s="104">
        <f t="shared" si="11"/>
        <v>0.0311</v>
      </c>
      <c r="AT78" s="112">
        <f t="shared" si="12"/>
        <v>327.22628239321</v>
      </c>
      <c r="AU78" s="110">
        <f>$B$7*IF($G$5="撼天",1.05,1)+IF(AND(VLOOKUP($E78,武器奇术!$A:$R,15,FALSE)="武器",VLOOKUP($E78,武器奇术!$A:$R,17,FALSE)="鸣金"),$E$3*(1+$E$15),0)</f>
        <v>0</v>
      </c>
      <c r="AV78" s="102">
        <f t="shared" si="13"/>
        <v>0</v>
      </c>
      <c r="AW78" s="102">
        <f>MAX($C$7*IF($G$5="撼天",1.05,1)+IF(AND(VLOOKUP($E78,武器奇术!$A:$R,15,FALSE)="武器",VLOOKUP($E78,武器奇术!$A:$R,17,FALSE)="鸣金"),$E$3*(1+$E$15),0),AU78)</f>
        <v>0</v>
      </c>
      <c r="AX78" s="104">
        <f>IF(($D$7+IF(VLOOKUP($E78,武器奇术!$A:$R,17,FALSE)="鸣金",$D$15,0)-VLOOKUP($F$7,目标属性!$A:$R,6,FALSE))&gt;0,($D$7+IF(VLOOKUP($E78,武器奇术!$A:$R,17,FALSE)="鸣金",$D$15,0)-VLOOKUP($F$7,目标属性!$A:$R,6,FALSE))/200,($D$7+IF(VLOOKUP($E78,武器奇术!$A:$R,17,FALSE)="鸣金",$D$15,0)-VLOOKUP($F$7,目标属性!$A:$R,6,FALSE))/100)</f>
        <v>-0.24</v>
      </c>
      <c r="AY78" s="111">
        <f t="shared" si="14"/>
        <v>0</v>
      </c>
      <c r="AZ78" s="102">
        <v>1</v>
      </c>
      <c r="BA78" s="103">
        <f>AU78*IF(VLOOKUP($E78,武器奇术!$A:$R,17,FALSE)="鸣金",VLOOKUP($E78,武器奇术!$A:$R,4,FALSE),VLOOKUP($E78,武器奇术!$A:$R,2,FALSE))*(1+AX78)*(1+AY78)*AZ78</f>
        <v>0</v>
      </c>
      <c r="BB78" s="104">
        <f>(1-IF(VLOOKUP($E78,武器奇术!$A:$R,18,FALSE)="叶龙",1,$N78))*(1-$M78)</f>
        <v>0</v>
      </c>
      <c r="BC78" s="103">
        <f>AV78*IF(VLOOKUP($E78,武器奇术!$A:$R,17,FALSE)="鸣金",VLOOKUP($E78,武器奇术!$A:$R,4,FALSE),VLOOKUP($E78,武器奇术!$A:$R,2,FALSE))*(1+AX78)*(1+AY78)*AZ78*(1+$E$16+VLOOKUP($E78,武器奇术!$A:$R,8,FALSE))</f>
        <v>0</v>
      </c>
      <c r="BD78" s="104">
        <f t="shared" si="15"/>
        <v>0.8703</v>
      </c>
      <c r="BE78" s="103">
        <f>AW78*IF(VLOOKUP($E78,武器奇术!$A:$R,17,FALSE)="鸣金",VLOOKUP($E78,武器奇术!$A:$R,4,FALSE),VLOOKUP($E78,武器奇术!$A:$R,2,FALSE))*(1+AX78)*(1+AY78)*AZ78*(1+$E$17+VLOOKUP($E78,武器奇术!$A:$R,10,FALSE))</f>
        <v>0</v>
      </c>
      <c r="BF78" s="104">
        <f t="shared" si="16"/>
        <v>0.0986</v>
      </c>
      <c r="BG78" s="103">
        <f>AV78*IF(VLOOKUP($E78,武器奇术!$A:$R,17,FALSE)="鸣金",VLOOKUP($E78,武器奇术!$A:$R,4,FALSE),VLOOKUP($E78,武器奇术!$A:$R,2,FALSE))*(1+AX78)*(1+AY78)*AZ78</f>
        <v>0</v>
      </c>
      <c r="BH78" s="104">
        <f t="shared" si="17"/>
        <v>0.0311</v>
      </c>
      <c r="BI78" s="112">
        <f t="shared" si="18"/>
        <v>0</v>
      </c>
      <c r="BJ78" s="110">
        <f>$B$9*IF($G$5="撼天",1.05,1)+IF(AND(VLOOKUP($E78,武器奇术!$A:$R,15,FALSE)="武器",VLOOKUP($E78,武器奇术!$A:$R,17,FALSE)="裂石"),$E$3*(1+$E$15),0)</f>
        <v>0</v>
      </c>
      <c r="BK78" s="102">
        <f t="shared" si="19"/>
        <v>0</v>
      </c>
      <c r="BL78" s="102">
        <f>MAX($C$9*IF($G$5="撼天",1.05,1)+IF(AND(VLOOKUP($E78,武器奇术!$A:$R,15,FALSE)="武器",VLOOKUP($E78,武器奇术!$A:$R,17,FALSE)="裂石"),$E$3*(1+$E$15),0),BJ78)</f>
        <v>0</v>
      </c>
      <c r="BM78" s="104">
        <f>IF(($D$9+IF(VLOOKUP($E78,武器奇术!$A:$R,17,FALSE)="裂石",$D$15,0)-VLOOKUP($F$7,目标属性!$A:$R,6,FALSE))&gt;0,($D$9+IF(VLOOKUP($E78,武器奇术!$A:$R,17,FALSE)="裂石",$D$15,0)-VLOOKUP($F$7,目标属性!$A:$R,6,FALSE))/200,($D$9+IF(VLOOKUP($E78,武器奇术!$A:$R,17,FALSE)="裂石",$D$15,0)-VLOOKUP($F$7,目标属性!$A:$R,6,FALSE))/100)</f>
        <v>-0.24</v>
      </c>
      <c r="BN78" s="111">
        <f t="shared" si="20"/>
        <v>0</v>
      </c>
      <c r="BO78" s="102">
        <v>1</v>
      </c>
      <c r="BP78" s="103">
        <f>BJ78*IF(VLOOKUP($E78,武器奇术!$A:$R,17,FALSE)="裂石",VLOOKUP($E78,武器奇术!$A:$R,4,FALSE),VLOOKUP($E78,武器奇术!$A:$R,2,FALSE))*(1+BM78)*(1+BN78)*BO78</f>
        <v>0</v>
      </c>
      <c r="BQ78" s="104">
        <f>(1-IF(VLOOKUP($E78,武器奇术!$A:$R,18,FALSE)="叶龙",1,$N78))*(1-$M78)</f>
        <v>0</v>
      </c>
      <c r="BR78" s="103">
        <f>BK78*IF(VLOOKUP($E78,武器奇术!$A:$R,17,FALSE)="裂石",VLOOKUP($E78,武器奇术!$A:$R,4,FALSE),VLOOKUP($E78,武器奇术!$A:$R,2,FALSE))*(1+BM78)*(1+BN78)*BO78*(1+$E$16+VLOOKUP($E78,武器奇术!$A:$R,8,FALSE))</f>
        <v>0</v>
      </c>
      <c r="BS78" s="104">
        <f t="shared" si="21"/>
        <v>0.8703</v>
      </c>
      <c r="BT78" s="103">
        <f>BL78*IF(VLOOKUP($E78,武器奇术!$A:$R,17,FALSE)="裂石",VLOOKUP($E78,武器奇术!$A:$R,4,FALSE),VLOOKUP($E78,武器奇术!$A:$R,2,FALSE))*(1+BM78)*(1+BN78)*BO78*(1+$E$17+VLOOKUP($E78,武器奇术!$A:$R,10,FALSE))</f>
        <v>0</v>
      </c>
      <c r="BU78" s="104">
        <f t="shared" si="22"/>
        <v>0.0986</v>
      </c>
      <c r="BV78" s="103">
        <f>BK78*IF(VLOOKUP($E78,武器奇术!$A:$R,17,FALSE)="裂石",VLOOKUP($E78,武器奇术!$A:$R,4,FALSE),VLOOKUP($E78,武器奇术!$A:$R,2,FALSE))*(1+BM78)*(1+BN78)*BO78</f>
        <v>0</v>
      </c>
      <c r="BW78" s="104">
        <f t="shared" si="23"/>
        <v>0.0311</v>
      </c>
      <c r="BX78" s="112">
        <f t="shared" si="24"/>
        <v>0</v>
      </c>
      <c r="BY78" s="110">
        <f>$B$11*IF($G$5="撼天",1.05,1)+IF(AND(VLOOKUP($E78,武器奇术!$A:$R,15,FALSE)="武器",VLOOKUP($E78,武器奇术!$A:$R,17,FALSE)="牵丝"),$E$3*(1+$E$15),0)</f>
        <v>686.71</v>
      </c>
      <c r="BZ78" s="102">
        <f>IF(VLOOKUP($E78,武器奇术!$A:$Z,18,FALSE)="叶龙",(CA78-(BY78+CA78)*0.5)*($G$15-0.5)*2+(BY78+CA78)*0.5,(BY78+CA78)*0.5)</f>
        <v>1052.21</v>
      </c>
      <c r="CA78" s="102">
        <f>MAX($C$11*IF($G$5="撼天",1.05,1)+IF(AND(VLOOKUP($E78,武器奇术!$A:$R,15,FALSE)="武器",VLOOKUP($E78,武器奇术!$A:$R,17,FALSE)="牵丝"),$E$3*(1+$E$15),0),BY78)</f>
        <v>1417.71</v>
      </c>
      <c r="CB78" s="104">
        <f>IF(($D$11+IF(VLOOKUP($E78,武器奇术!$A:$R,17,FALSE)="牵丝",$D$15,0)-VLOOKUP($F$7,目标属性!$A:$R,6,FALSE))&gt;0,($D$11+IF(VLOOKUP($E78,武器奇术!$A:$R,17,FALSE)="牵丝",$D$15,0)-VLOOKUP($F$7,目标属性!$A:$R,6,FALSE))/200,($D$11+IF(VLOOKUP($E78,武器奇术!$A:$R,17,FALSE)="牵丝",$D$15,0)-VLOOKUP($F$7,目标属性!$A:$R,6,FALSE))/100)</f>
        <v>0.028</v>
      </c>
      <c r="CC78" s="111">
        <f>$E$11+IF($G$5="烟柳",IF(VLOOKUP($E78,武器奇术!$A:$T,20,FALSE)=1,0.1,0),0)</f>
        <v>0.148</v>
      </c>
      <c r="CD78" s="102">
        <v>1</v>
      </c>
      <c r="CE78" s="103">
        <f>BY78*IF(VLOOKUP($E78,武器奇术!$A:$R,17,FALSE)="牵丝",VLOOKUP($E78,武器奇术!$A:$R,4,FALSE),VLOOKUP($E78,武器奇术!$A:$R,2,FALSE))*(1+CB78)*(1+CC78)*CD78</f>
        <v>655.22189082504</v>
      </c>
      <c r="CF78" s="104">
        <f>(1-IF(VLOOKUP($E78,武器奇术!$A:$R,18,FALSE)="叶龙",1,$N78))*(1-$M78)</f>
        <v>0</v>
      </c>
      <c r="CG78" s="124">
        <f>BZ78*IF(VLOOKUP($E78,武器奇术!$A:$R,17,FALSE)="牵丝",VLOOKUP($E78,武器奇术!$A:$R,4,FALSE),VLOOKUP($E78,武器奇术!$A:$R,2,FALSE))*(1+CB78)*(1+CC78)*CD78*(1+$E$16+VLOOKUP($E78,武器奇术!$A:$R,8,FALSE))</f>
        <v>1650.51420006233</v>
      </c>
      <c r="CH78" s="104">
        <f t="shared" si="25"/>
        <v>0.8703</v>
      </c>
      <c r="CI78" s="103">
        <f>CA78*IF(VLOOKUP($E78,武器奇术!$A:$R,17,FALSE)="牵丝",VLOOKUP($E78,武器奇术!$A:$R,4,FALSE),VLOOKUP($E78,武器奇术!$A:$R,2,FALSE))*(1+CB78)*(1+CC78)*CD78*(1+$E$17+VLOOKUP($E78,武器奇术!$A:$R,10,FALSE))</f>
        <v>1826.1489511382</v>
      </c>
      <c r="CJ78" s="104">
        <f t="shared" si="26"/>
        <v>0.0986</v>
      </c>
      <c r="CK78" s="124">
        <f>BZ78*IF(VLOOKUP($E78,武器奇术!$A:$R,17,FALSE)="牵丝",VLOOKUP($E78,武器奇术!$A:$R,4,FALSE),VLOOKUP($E78,武器奇术!$A:$R,2,FALSE))*(1+CB78)*(1+CC78)*CD78</f>
        <v>1003.96240879704</v>
      </c>
      <c r="CL78" s="104">
        <f t="shared" si="27"/>
        <v>0.0311</v>
      </c>
      <c r="CM78" s="112">
        <f t="shared" si="28"/>
        <v>1647.72402581006</v>
      </c>
      <c r="CN78" s="110">
        <f>$B$13*IF($G$5="撼天",1.05,1)+IF(AND(VLOOKUP($E78,武器奇术!$A:$R,15,FALSE)="武器",VLOOKUP($E78,武器奇术!$A:$R,17,FALSE)="破竹"),$E$3*(1+$E$15),0)</f>
        <v>0</v>
      </c>
      <c r="CO78" s="102">
        <f t="shared" si="29"/>
        <v>0</v>
      </c>
      <c r="CP78" s="102">
        <f>MAX($C$13*IF($G$5="撼天",1.05,1)+IF(AND(VLOOKUP($E78,武器奇术!$A:$R,15,FALSE)="武器",VLOOKUP($E78,武器奇术!$A:$R,17,FALSE)="破竹"),$E$3*(1+$E$15),0),CN78)</f>
        <v>0</v>
      </c>
      <c r="CQ78" s="104">
        <f>IF(($D$13+IF(VLOOKUP($E78,武器奇术!$A:$R,17,FALSE)="破竹",$D$15,0)-VLOOKUP($F$7,目标属性!$A:$R,6,FALSE))&gt;0,($D$13+IF(VLOOKUP($E78,武器奇术!$A:$R,17,FALSE)="破竹",$D$15,0)-VLOOKUP($F$7,目标属性!$A:$R,6,FALSE))/200,($D$13+IF(VLOOKUP($E78,武器奇术!$A:$R,17,FALSE)="破竹",$D$15,0)-VLOOKUP($F$7,目标属性!$A:$R,6,FALSE))/100)</f>
        <v>-0.24</v>
      </c>
      <c r="CR78" s="111">
        <f t="shared" si="30"/>
        <v>0</v>
      </c>
      <c r="CS78" s="102">
        <v>1</v>
      </c>
      <c r="CT78" s="103">
        <f>CN78*IF(VLOOKUP($E78,武器奇术!$A:$R,17,FALSE)="破竹",VLOOKUP($E78,武器奇术!$A:$R,4,FALSE),VLOOKUP($E78,武器奇术!$A:$R,2,FALSE))*(1+CQ78)*(1+CR78)*CS78</f>
        <v>0</v>
      </c>
      <c r="CU78" s="104">
        <f>(1-IF(VLOOKUP($E78,武器奇术!$A:$R,18,FALSE)="叶龙",1,$N78))*(1-$M78)</f>
        <v>0</v>
      </c>
      <c r="CV78" s="103">
        <f>CO78*IF(VLOOKUP($E78,武器奇术!$A:$R,17,FALSE)="破竹",VLOOKUP($E78,武器奇术!$A:$R,4,FALSE),VLOOKUP($E78,武器奇术!$A:$R,2,FALSE))*(1+CQ78)*(1+CR78)*CS78*(1+$E$16+VLOOKUP($E78,武器奇术!$A:$R,8,FALSE))</f>
        <v>0</v>
      </c>
      <c r="CW78" s="104">
        <f t="shared" si="31"/>
        <v>0.8703</v>
      </c>
      <c r="CX78" s="103">
        <f>CP78*IF(VLOOKUP($E78,武器奇术!$A:$R,17,FALSE)="破竹",VLOOKUP($E78,武器奇术!$A:$R,4,FALSE),VLOOKUP($E78,武器奇术!$A:$R,2,FALSE))*(1+CQ78)*(1+CR78)*CS78*(1+$E$17+VLOOKUP($E78,武器奇术!$A:$R,10,FALSE))</f>
        <v>0</v>
      </c>
      <c r="CY78" s="104">
        <f t="shared" si="32"/>
        <v>0.0986</v>
      </c>
      <c r="CZ78" s="103">
        <f>CO78*IF(VLOOKUP($E78,武器奇术!$A:$R,17,FALSE)="破竹",VLOOKUP($E78,武器奇术!$A:$R,4,FALSE),VLOOKUP($E78,武器奇术!$A:$R,2,FALSE))*(1+CQ78)*(1+CR78)*CS78</f>
        <v>0</v>
      </c>
      <c r="DA78" s="104">
        <f t="shared" si="33"/>
        <v>0.0311</v>
      </c>
      <c r="DB78" s="112">
        <f t="shared" si="34"/>
        <v>0</v>
      </c>
      <c r="DC78" s="110">
        <f t="shared" si="35"/>
        <v>66</v>
      </c>
      <c r="DD78" s="102">
        <f t="shared" si="36"/>
        <v>125.8</v>
      </c>
      <c r="DE78" s="102">
        <f t="shared" si="37"/>
        <v>185.6</v>
      </c>
      <c r="DF78" s="104">
        <f>IF((IF(VLOOKUP($E78,武器奇术!$A:$R,17,FALSE)="鸣金",$D$7,0)+IF(VLOOKUP($E78,武器奇术!$A:$R,17,FALSE)="裂石",$D$9,0)+IF(VLOOKUP($E78,武器奇术!$A:$R,17,FALSE)="牵丝",$D$11,0)+IF(VLOOKUP($E78,武器奇术!$A:$R,17,FALSE)="破竹",$D$13,0)+$D$15-VLOOKUP($F$7,目标属性!$A:$R,6,FALSE))&gt;0,(IF(VLOOKUP($E78,武器奇术!$A:$R,17,FALSE)="鸣金",$D$7,0)+IF(VLOOKUP($E78,武器奇术!$A:$R,17,FALSE)="裂石",$D$9,0)+IF(VLOOKUP($E78,武器奇术!$A:$R,17,FALSE)="牵丝",$D$11,0)+IF(VLOOKUP($E78,武器奇术!$A:$R,17,FALSE)="破竹",$D$13,0)+$D$15-VLOOKUP($F$7,目标属性!$A:$R,6,FALSE))/200,(IF(VLOOKUP($E78,武器奇术!$A:$R,17,FALSE)="鸣金",$D$7,0)+IF(VLOOKUP($E78,武器奇术!$A:$R,17,FALSE)="裂石",$D$9,0)+IF(VLOOKUP($E78,武器奇术!$A:$R,17,FALSE)="牵丝",$D$11,0)+IF(VLOOKUP($E78,武器奇术!$A:$R,17,FALSE)="破竹",$D$13,0)+$D$15-VLOOKUP($F$7,目标属性!$A:$R,6,FALSE))/100)</f>
        <v>0.028</v>
      </c>
      <c r="DG78" s="111">
        <f>$E$11+IF($G$5="烟柳",IF(VLOOKUP($E78,武器奇术!$A:$T,20,FALSE)=1,0.1,0),0)</f>
        <v>0.148</v>
      </c>
      <c r="DH78" s="102">
        <v>1</v>
      </c>
      <c r="DI78" s="103">
        <f>DC78*IF(VLOOKUP($E78,武器奇术!$A:$R,17,FALSE)="牵丝",VLOOKUP($E78,武器奇术!$A:$R,4,FALSE),VLOOKUP($E78,武器奇术!$A:$R,2,FALSE))*(1+DF78)*(1+DG78)*DH78</f>
        <v>62.973663984</v>
      </c>
      <c r="DJ78" s="104">
        <f>(1-IF(VLOOKUP($E78,武器奇术!$A:$R,18,FALSE)="叶龙",1,$N78))*(1-$M78)</f>
        <v>0</v>
      </c>
      <c r="DK78" s="124">
        <f>DD78*IF(VLOOKUP($E78,武器奇术!$A:$R,17,FALSE)="牵丝",VLOOKUP($E78,武器奇术!$A:$R,4,FALSE),VLOOKUP($E78,武器奇术!$A:$R,2,FALSE))*(1+DF78)*(1+DG78)*DH78*(1+$E$16+VLOOKUP($E78,武器奇术!$A:$R,8,FALSE))</f>
        <v>197.331983508845</v>
      </c>
      <c r="DL78" s="104">
        <f t="shared" si="38"/>
        <v>0.8703</v>
      </c>
      <c r="DM78" s="103">
        <f>DE78*IF(VLOOKUP($E78,武器奇术!$A:$R,17,FALSE)="牵丝",VLOOKUP($E78,武器奇术!$A:$R,4,FALSE),VLOOKUP($E78,武器奇术!$A:$R,2,FALSE))*(1+DF78)*(1+DG78)*DH78*(1+$E$17+VLOOKUP($E78,武器奇术!$A:$R,10,FALSE))</f>
        <v>239.07092799744</v>
      </c>
      <c r="DN78" s="104">
        <f t="shared" si="39"/>
        <v>0.0986</v>
      </c>
      <c r="DO78" s="124">
        <f>DD78*IF(VLOOKUP($E78,武器奇术!$A:$R,17,FALSE)="牵丝",VLOOKUP($E78,武器奇术!$A:$R,4,FALSE),VLOOKUP($E78,武器奇术!$A:$R,2,FALSE))*(1+DF78)*(1+DG78)*DH78</f>
        <v>120.0316201392</v>
      </c>
      <c r="DP78" s="104">
        <f t="shared" si="40"/>
        <v>0.0311</v>
      </c>
      <c r="DQ78" s="112">
        <f t="shared" si="41"/>
        <v>199.043402134624</v>
      </c>
    </row>
    <row r="79" spans="1:121">
      <c r="A79" s="139"/>
      <c r="B79" s="139"/>
      <c r="C79" s="139"/>
      <c r="D79" s="139"/>
      <c r="E79" s="115" t="str">
        <f>期望!E79</f>
        <v>伞～(连中风墙小纵)</v>
      </c>
      <c r="F79" s="116">
        <f>期望!F79</f>
        <v>5</v>
      </c>
      <c r="G79" s="117">
        <f t="shared" si="44"/>
        <v>0.32</v>
      </c>
      <c r="H79" s="103">
        <f>IF(VLOOKUP($E79,武器奇术!$A:$R,18,FALSE)="天工",AE79,(AE79+AT79+BI79+BX79+CM79+DB79+DQ79))*(1+J79)*F79*K79*(1+G79)</f>
        <v>228345.908987751</v>
      </c>
      <c r="I79" s="104">
        <f t="shared" si="0"/>
        <v>0.0263168563907249</v>
      </c>
      <c r="J79" s="104">
        <f>$F$3+VLOOKUP($E79,武器奇术!$A:$R,12,FALSE)+VLOOKUP($E79,武器奇术!$A:$R,14,FALSE)*$G$3+$P79</f>
        <v>1.103</v>
      </c>
      <c r="K79" s="105">
        <f>VLOOKUP($E79,武器奇术!$A:$R,11,FALSE)</f>
        <v>1</v>
      </c>
      <c r="L79" s="119">
        <f>IF(VLOOKUP($E79,武器奇术!$A:$R,15,FALSE)="天工",0%,IF($C$17+VLOOKUP($E79,武器奇术!$A:$R,7,FALSE)&gt;80%,80%,$C$17+VLOOKUP($E79,武器奇术!$A:$R,7,FALSE))+IF($C$19&gt;20%,20%,$C$19))</f>
        <v>0.8703</v>
      </c>
      <c r="M79" s="120">
        <f>IF(VLOOKUP($E79,武器奇术!$A:$R,15,FALSE)="天工",0%,IF($C$18+VLOOKUP($E79,武器奇术!$A:$R,9,FALSE)&gt;40%,40%,$C$18+VLOOKUP($E79,武器奇术!$A:$R,9,FALSE))+IF($C$20&gt;10%,10%,$C$20))</f>
        <v>0.0986</v>
      </c>
      <c r="N79" s="121">
        <f>IF(VLOOKUP($E79,武器奇术!$A:$R,15,FALSE)="天工",100%,MIN($C$16,1))</f>
        <v>1</v>
      </c>
      <c r="O79" s="122" t="str">
        <f>VLOOKUP($E79,武器奇术!$A:$R,16,FALSE)</f>
        <v>伞</v>
      </c>
      <c r="P79" s="123">
        <f t="shared" si="1"/>
        <v>0.17</v>
      </c>
      <c r="Q79" s="110">
        <f>$B$5*(1+VLOOKUP($E79,武器奇术!$A:$R,5,FALSE))*(1+VLOOKUP($E79,武器奇术!$A:$S,19,FALSE)+IF($G$5="飞隼",0.1,0)+IF($G$5="撼天",0.05,0))-$F$9+IF($J$5="√",160,0)</f>
        <v>3081.85</v>
      </c>
      <c r="R79" s="102">
        <f>IF(VLOOKUP($E79,武器奇术!$A:$Z,18,FALSE)="叶龙",(S79-(Q79+S79)*0.5)*($G$15-0.5)*2+(Q79+S79)*0.5,(Q79+S79)*0.5)</f>
        <v>3161.85</v>
      </c>
      <c r="S79" s="102">
        <f>MAX($C$5,$B$5)*(1+VLOOKUP($E79,武器奇术!$A:$R,6,FALSE))*(1+VLOOKUP($E79,武器奇术!$A:$S,19,FALSE)+IF($G$5="飞隼",0.1,0)+IF($G$5="撼天",0.05,0))-$F$9+IF($J$5="√",320,0)</f>
        <v>3241.85</v>
      </c>
      <c r="T79" s="104">
        <f>IF(($D$5+VLOOKUP($E79,武器奇术!$A:$R,13,FALSE)+IF($I$3="√",10,0)-VLOOKUP($F$7,目标属性!$A:$R,5,FALSE))&gt;0,($D$5+VLOOKUP($E79,武器奇术!$A:$R,13,FALSE)+IF($I$3="√",10,0)-VLOOKUP($F$7,目标属性!$A:$R,5,FALSE))/200,($D$5+VLOOKUP($E79,武器奇术!$A:$R,13,FALSE)+IF($I$3="√",10,0)-VLOOKUP($F$7,目标属性!$A:$R,5,FALSE))/100)</f>
        <v>0.2925</v>
      </c>
      <c r="U79" s="111">
        <f>$E$5+IF($G$5="烟柳",IF(VLOOKUP($E79,武器奇术!$A:$T,20,FALSE)=1,0.1,0),0)</f>
        <v>0.1</v>
      </c>
      <c r="V79" s="102">
        <v>1</v>
      </c>
      <c r="W79" s="103">
        <f>Q79*VLOOKUP($E79,武器奇术!$A:$R,2,FALSE)*(1+T79)*(1+U79)*V79</f>
        <v>5148.20660615181</v>
      </c>
      <c r="X79" s="104">
        <f>(1-IF(VLOOKUP($E79,武器奇术!$A:$R,18,FALSE)="叶龙",1,$N79))*(1-$M79)</f>
        <v>0</v>
      </c>
      <c r="Y79" s="103">
        <f>R79*VLOOKUP($E79,武器奇术!$A:$R,2,FALSE)*(1+T79)*(1+U79)*V79*(1+$E$16+VLOOKUP($E79,武器奇术!$A:$R,8,FALSE))</f>
        <v>10584.819359655</v>
      </c>
      <c r="Z79" s="104">
        <f t="shared" si="2"/>
        <v>0.8703</v>
      </c>
      <c r="AA79" s="103">
        <f>S79*VLOOKUP($E79,武器奇术!$A:$R,2,FALSE)*(1+T79)*(1+U79)*V79*(1+$E$17+VLOOKUP($E79,武器奇术!$A:$R,10,FALSE))</f>
        <v>7310.90524889495</v>
      </c>
      <c r="AB79" s="104">
        <f t="shared" si="3"/>
        <v>0.0986</v>
      </c>
      <c r="AC79" s="103">
        <f>R79*VLOOKUP($E79,武器奇术!$A:$R,2,FALSE)*(1+T79)*(1+U79)*V79</f>
        <v>5281.84598785181</v>
      </c>
      <c r="AD79" s="104">
        <f t="shared" si="4"/>
        <v>0.0311</v>
      </c>
      <c r="AE79" s="112">
        <f t="shared" si="5"/>
        <v>10097.088956471</v>
      </c>
      <c r="AF79" s="113">
        <f>VLOOKUP($E79,武器奇术!$A:$R,3,FALSE)*(1+IF(VLOOKUP($E79,武器奇术!$A:$R,15,FALSE)="武器",$E$15,0))</f>
        <v>421.59</v>
      </c>
      <c r="AG79" s="103">
        <f t="shared" si="6"/>
        <v>421.59</v>
      </c>
      <c r="AH79" s="103">
        <f>VLOOKUP($E79,武器奇术!$A:$R,3,FALSE)*(1+IF(VLOOKUP($E79,武器奇术!$A:$R,15,FALSE)="武器",$E$15,0))</f>
        <v>421.59</v>
      </c>
      <c r="AI79" s="104">
        <f>IF(($D$5+VLOOKUP($E79,武器奇术!$A:$R,13,FALSE)+IF($I$3="√",10,0)-VLOOKUP($F$7,目标属性!$A:$R,5,FALSE))&gt;0,($D$5+VLOOKUP($E79,武器奇术!$A:$R,13,FALSE)+IF($I$3="√",10,0)-VLOOKUP($F$7,目标属性!$A:$R,5,FALSE))/200,($D$5+VLOOKUP($E79,武器奇术!$A:$R,13,FALSE)+IF($I$3="√",10,0)-VLOOKUP($F$7,目标属性!$A:$R,5,FALSE))/100)</f>
        <v>0.2925</v>
      </c>
      <c r="AJ79" s="111">
        <f>$E$5+IF($G$5="烟柳",IF(VLOOKUP($E79,武器奇术!$A:$T,20,FALSE)=1,0.1,0),0)</f>
        <v>0.1</v>
      </c>
      <c r="AK79" s="102">
        <v>1</v>
      </c>
      <c r="AL79" s="103">
        <f t="shared" si="7"/>
        <v>599.3955825</v>
      </c>
      <c r="AM79" s="104">
        <f>(1-IF(VLOOKUP($E79,武器奇术!$A:$R,18,FALSE)="叶龙",1,$N79))*(1-$M79)</f>
        <v>0</v>
      </c>
      <c r="AN79" s="103">
        <f>AG79*(1+AI79)*(1+AJ79)*AK79*(1+$E$16+VLOOKUP($E79,武器奇术!$A:$R,8,FALSE))</f>
        <v>1201.18874733</v>
      </c>
      <c r="AO79" s="104">
        <f t="shared" si="8"/>
        <v>0.8703</v>
      </c>
      <c r="AP79" s="103">
        <f>AH79*(1+AI79)*(1+AJ79)*AK79*(1+$E$17+VLOOKUP($E79,武器奇术!$A:$R,10,FALSE))</f>
        <v>809.184036375</v>
      </c>
      <c r="AQ79" s="104">
        <f t="shared" si="9"/>
        <v>0.0986</v>
      </c>
      <c r="AR79" s="103">
        <f t="shared" si="10"/>
        <v>599.3955825</v>
      </c>
      <c r="AS79" s="104">
        <f t="shared" si="11"/>
        <v>0.0311</v>
      </c>
      <c r="AT79" s="112">
        <f t="shared" si="12"/>
        <v>1143.82131540362</v>
      </c>
      <c r="AU79" s="110">
        <f>$B$7*IF($G$5="撼天",1.05,1)+IF(AND(VLOOKUP($E79,武器奇术!$A:$R,15,FALSE)="武器",VLOOKUP($E79,武器奇术!$A:$R,17,FALSE)="鸣金"),$E$3*(1+$E$15),0)</f>
        <v>0</v>
      </c>
      <c r="AV79" s="102">
        <f t="shared" si="13"/>
        <v>0</v>
      </c>
      <c r="AW79" s="102">
        <f>MAX($C$7*IF($G$5="撼天",1.05,1)+IF(AND(VLOOKUP($E79,武器奇术!$A:$R,15,FALSE)="武器",VLOOKUP($E79,武器奇术!$A:$R,17,FALSE)="鸣金"),$E$3*(1+$E$15),0),AU79)</f>
        <v>0</v>
      </c>
      <c r="AX79" s="104">
        <f>IF(($D$7+IF(VLOOKUP($E79,武器奇术!$A:$R,17,FALSE)="鸣金",$D$15,0)-VLOOKUP($F$7,目标属性!$A:$R,6,FALSE))&gt;0,($D$7+IF(VLOOKUP($E79,武器奇术!$A:$R,17,FALSE)="鸣金",$D$15,0)-VLOOKUP($F$7,目标属性!$A:$R,6,FALSE))/200,($D$7+IF(VLOOKUP($E79,武器奇术!$A:$R,17,FALSE)="鸣金",$D$15,0)-VLOOKUP($F$7,目标属性!$A:$R,6,FALSE))/100)</f>
        <v>-0.24</v>
      </c>
      <c r="AY79" s="111">
        <f t="shared" si="14"/>
        <v>0</v>
      </c>
      <c r="AZ79" s="102">
        <v>1</v>
      </c>
      <c r="BA79" s="103">
        <f>AU79*IF(VLOOKUP($E79,武器奇术!$A:$R,17,FALSE)="鸣金",VLOOKUP($E79,武器奇术!$A:$R,4,FALSE),VLOOKUP($E79,武器奇术!$A:$R,2,FALSE))*(1+AX79)*(1+AY79)*AZ79</f>
        <v>0</v>
      </c>
      <c r="BB79" s="104">
        <f>(1-IF(VLOOKUP($E79,武器奇术!$A:$R,18,FALSE)="叶龙",1,$N79))*(1-$M79)</f>
        <v>0</v>
      </c>
      <c r="BC79" s="103">
        <f>AV79*IF(VLOOKUP($E79,武器奇术!$A:$R,17,FALSE)="鸣金",VLOOKUP($E79,武器奇术!$A:$R,4,FALSE),VLOOKUP($E79,武器奇术!$A:$R,2,FALSE))*(1+AX79)*(1+AY79)*AZ79*(1+$E$16+VLOOKUP($E79,武器奇术!$A:$R,8,FALSE))</f>
        <v>0</v>
      </c>
      <c r="BD79" s="104">
        <f t="shared" si="15"/>
        <v>0.8703</v>
      </c>
      <c r="BE79" s="103">
        <f>AW79*IF(VLOOKUP($E79,武器奇术!$A:$R,17,FALSE)="鸣金",VLOOKUP($E79,武器奇术!$A:$R,4,FALSE),VLOOKUP($E79,武器奇术!$A:$R,2,FALSE))*(1+AX79)*(1+AY79)*AZ79*(1+$E$17+VLOOKUP($E79,武器奇术!$A:$R,10,FALSE))</f>
        <v>0</v>
      </c>
      <c r="BF79" s="104">
        <f t="shared" si="16"/>
        <v>0.0986</v>
      </c>
      <c r="BG79" s="103">
        <f>AV79*IF(VLOOKUP($E79,武器奇术!$A:$R,17,FALSE)="鸣金",VLOOKUP($E79,武器奇术!$A:$R,4,FALSE),VLOOKUP($E79,武器奇术!$A:$R,2,FALSE))*(1+AX79)*(1+AY79)*AZ79</f>
        <v>0</v>
      </c>
      <c r="BH79" s="104">
        <f t="shared" si="17"/>
        <v>0.0311</v>
      </c>
      <c r="BI79" s="112">
        <f t="shared" si="18"/>
        <v>0</v>
      </c>
      <c r="BJ79" s="110">
        <f>$B$9*IF($G$5="撼天",1.05,1)+IF(AND(VLOOKUP($E79,武器奇术!$A:$R,15,FALSE)="武器",VLOOKUP($E79,武器奇术!$A:$R,17,FALSE)="裂石"),$E$3*(1+$E$15),0)</f>
        <v>0</v>
      </c>
      <c r="BK79" s="102">
        <f t="shared" si="19"/>
        <v>0</v>
      </c>
      <c r="BL79" s="102">
        <f>MAX($C$9*IF($G$5="撼天",1.05,1)+IF(AND(VLOOKUP($E79,武器奇术!$A:$R,15,FALSE)="武器",VLOOKUP($E79,武器奇术!$A:$R,17,FALSE)="裂石"),$E$3*(1+$E$15),0),BJ79)</f>
        <v>0</v>
      </c>
      <c r="BM79" s="104">
        <f>IF(($D$9+IF(VLOOKUP($E79,武器奇术!$A:$R,17,FALSE)="裂石",$D$15,0)-VLOOKUP($F$7,目标属性!$A:$R,6,FALSE))&gt;0,($D$9+IF(VLOOKUP($E79,武器奇术!$A:$R,17,FALSE)="裂石",$D$15,0)-VLOOKUP($F$7,目标属性!$A:$R,6,FALSE))/200,($D$9+IF(VLOOKUP($E79,武器奇术!$A:$R,17,FALSE)="裂石",$D$15,0)-VLOOKUP($F$7,目标属性!$A:$R,6,FALSE))/100)</f>
        <v>-0.24</v>
      </c>
      <c r="BN79" s="111">
        <f t="shared" si="20"/>
        <v>0</v>
      </c>
      <c r="BO79" s="102">
        <v>1</v>
      </c>
      <c r="BP79" s="103">
        <f>BJ79*IF(VLOOKUP($E79,武器奇术!$A:$R,17,FALSE)="裂石",VLOOKUP($E79,武器奇术!$A:$R,4,FALSE),VLOOKUP($E79,武器奇术!$A:$R,2,FALSE))*(1+BM79)*(1+BN79)*BO79</f>
        <v>0</v>
      </c>
      <c r="BQ79" s="104">
        <f>(1-IF(VLOOKUP($E79,武器奇术!$A:$R,18,FALSE)="叶龙",1,$N79))*(1-$M79)</f>
        <v>0</v>
      </c>
      <c r="BR79" s="103">
        <f>BK79*IF(VLOOKUP($E79,武器奇术!$A:$R,17,FALSE)="裂石",VLOOKUP($E79,武器奇术!$A:$R,4,FALSE),VLOOKUP($E79,武器奇术!$A:$R,2,FALSE))*(1+BM79)*(1+BN79)*BO79*(1+$E$16+VLOOKUP($E79,武器奇术!$A:$R,8,FALSE))</f>
        <v>0</v>
      </c>
      <c r="BS79" s="104">
        <f t="shared" si="21"/>
        <v>0.8703</v>
      </c>
      <c r="BT79" s="103">
        <f>BL79*IF(VLOOKUP($E79,武器奇术!$A:$R,17,FALSE)="裂石",VLOOKUP($E79,武器奇术!$A:$R,4,FALSE),VLOOKUP($E79,武器奇术!$A:$R,2,FALSE))*(1+BM79)*(1+BN79)*BO79*(1+$E$17+VLOOKUP($E79,武器奇术!$A:$R,10,FALSE))</f>
        <v>0</v>
      </c>
      <c r="BU79" s="104">
        <f t="shared" si="22"/>
        <v>0.0986</v>
      </c>
      <c r="BV79" s="103">
        <f>BK79*IF(VLOOKUP($E79,武器奇术!$A:$R,17,FALSE)="裂石",VLOOKUP($E79,武器奇术!$A:$R,4,FALSE),VLOOKUP($E79,武器奇术!$A:$R,2,FALSE))*(1+BM79)*(1+BN79)*BO79</f>
        <v>0</v>
      </c>
      <c r="BW79" s="104">
        <f t="shared" si="23"/>
        <v>0.0311</v>
      </c>
      <c r="BX79" s="112">
        <f t="shared" si="24"/>
        <v>0</v>
      </c>
      <c r="BY79" s="110">
        <f>$B$11*IF($G$5="撼天",1.05,1)+IF(AND(VLOOKUP($E79,武器奇术!$A:$R,15,FALSE)="武器",VLOOKUP($E79,武器奇术!$A:$R,17,FALSE)="牵丝"),$E$3*(1+$E$15),0)</f>
        <v>686.71</v>
      </c>
      <c r="BZ79" s="102">
        <f>IF(VLOOKUP($E79,武器奇术!$A:$Z,18,FALSE)="叶龙",(CA79-(BY79+CA79)*0.5)*($G$15-0.5)*2+(BY79+CA79)*0.5,(BY79+CA79)*0.5)</f>
        <v>1052.21</v>
      </c>
      <c r="CA79" s="102">
        <f>MAX($C$11*IF($G$5="撼天",1.05,1)+IF(AND(VLOOKUP($E79,武器奇术!$A:$R,15,FALSE)="武器",VLOOKUP($E79,武器奇术!$A:$R,17,FALSE)="牵丝"),$E$3*(1+$E$15),0),BY79)</f>
        <v>1417.71</v>
      </c>
      <c r="CB79" s="104">
        <f>IF(($D$11+IF(VLOOKUP($E79,武器奇术!$A:$R,17,FALSE)="牵丝",$D$15,0)-VLOOKUP($F$7,目标属性!$A:$R,6,FALSE))&gt;0,($D$11+IF(VLOOKUP($E79,武器奇术!$A:$R,17,FALSE)="牵丝",$D$15,0)-VLOOKUP($F$7,目标属性!$A:$R,6,FALSE))/200,($D$11+IF(VLOOKUP($E79,武器奇术!$A:$R,17,FALSE)="牵丝",$D$15,0)-VLOOKUP($F$7,目标属性!$A:$R,6,FALSE))/100)</f>
        <v>0.028</v>
      </c>
      <c r="CC79" s="111">
        <f>$E$11+IF($G$5="烟柳",IF(VLOOKUP($E79,武器奇术!$A:$T,20,FALSE)=1,0.1,0),0)</f>
        <v>0.248</v>
      </c>
      <c r="CD79" s="102">
        <v>1</v>
      </c>
      <c r="CE79" s="103">
        <f>BY79*IF(VLOOKUP($E79,武器奇术!$A:$R,17,FALSE)="牵丝",VLOOKUP($E79,武器奇术!$A:$R,4,FALSE),VLOOKUP($E79,武器奇术!$A:$R,2,FALSE))*(1+CB79)*(1+CC79)*CD79</f>
        <v>1552.67083453872</v>
      </c>
      <c r="CF79" s="104">
        <f>(1-IF(VLOOKUP($E79,武器奇术!$A:$R,18,FALSE)="叶龙",1,$N79))*(1-$M79)</f>
        <v>0</v>
      </c>
      <c r="CG79" s="124">
        <f>BZ79*IF(VLOOKUP($E79,武器奇术!$A:$R,17,FALSE)="牵丝",VLOOKUP($E79,武器奇术!$A:$R,4,FALSE),VLOOKUP($E79,武器奇术!$A:$R,2,FALSE))*(1+CB79)*(1+CC79)*CD79*(1+$E$16+VLOOKUP($E79,武器奇术!$A:$R,8,FALSE))</f>
        <v>4767.66975977518</v>
      </c>
      <c r="CH79" s="104">
        <f t="shared" si="25"/>
        <v>0.8703</v>
      </c>
      <c r="CI79" s="103">
        <f>CA79*IF(VLOOKUP($E79,武器奇术!$A:$R,17,FALSE)="牵丝",VLOOKUP($E79,武器奇术!$A:$R,4,FALSE),VLOOKUP($E79,武器奇术!$A:$R,2,FALSE))*(1+CB79)*(1+CC79)*CD79*(1+$E$17+VLOOKUP($E79,武器奇术!$A:$R,10,FALSE))</f>
        <v>4327.40153474647</v>
      </c>
      <c r="CJ79" s="104">
        <f t="shared" si="26"/>
        <v>0.0986</v>
      </c>
      <c r="CK79" s="124">
        <f>BZ79*IF(VLOOKUP($E79,武器奇术!$A:$R,17,FALSE)="牵丝",VLOOKUP($E79,武器奇术!$A:$R,4,FALSE),VLOOKUP($E79,武器奇术!$A:$R,2,FALSE))*(1+CB79)*(1+CC79)*CD79</f>
        <v>2379.07672643472</v>
      </c>
      <c r="CL79" s="104">
        <f t="shared" si="27"/>
        <v>0.0311</v>
      </c>
      <c r="CM79" s="112">
        <f t="shared" si="28"/>
        <v>4649.97406945046</v>
      </c>
      <c r="CN79" s="110">
        <f>$B$13*IF($G$5="撼天",1.05,1)+IF(AND(VLOOKUP($E79,武器奇术!$A:$R,15,FALSE)="武器",VLOOKUP($E79,武器奇术!$A:$R,17,FALSE)="破竹"),$E$3*(1+$E$15),0)</f>
        <v>0</v>
      </c>
      <c r="CO79" s="102">
        <f t="shared" si="29"/>
        <v>0</v>
      </c>
      <c r="CP79" s="102">
        <f>MAX($C$13*IF($G$5="撼天",1.05,1)+IF(AND(VLOOKUP($E79,武器奇术!$A:$R,15,FALSE)="武器",VLOOKUP($E79,武器奇术!$A:$R,17,FALSE)="破竹"),$E$3*(1+$E$15),0),CN79)</f>
        <v>0</v>
      </c>
      <c r="CQ79" s="104">
        <f>IF(($D$13+IF(VLOOKUP($E79,武器奇术!$A:$R,17,FALSE)="破竹",$D$15,0)-VLOOKUP($F$7,目标属性!$A:$R,6,FALSE))&gt;0,($D$13+IF(VLOOKUP($E79,武器奇术!$A:$R,17,FALSE)="破竹",$D$15,0)-VLOOKUP($F$7,目标属性!$A:$R,6,FALSE))/200,($D$13+IF(VLOOKUP($E79,武器奇术!$A:$R,17,FALSE)="破竹",$D$15,0)-VLOOKUP($F$7,目标属性!$A:$R,6,FALSE))/100)</f>
        <v>-0.24</v>
      </c>
      <c r="CR79" s="111">
        <f t="shared" si="30"/>
        <v>0</v>
      </c>
      <c r="CS79" s="102">
        <v>1</v>
      </c>
      <c r="CT79" s="103">
        <f>CN79*IF(VLOOKUP($E79,武器奇术!$A:$R,17,FALSE)="破竹",VLOOKUP($E79,武器奇术!$A:$R,4,FALSE),VLOOKUP($E79,武器奇术!$A:$R,2,FALSE))*(1+CQ79)*(1+CR79)*CS79</f>
        <v>0</v>
      </c>
      <c r="CU79" s="104">
        <f>(1-IF(VLOOKUP($E79,武器奇术!$A:$R,18,FALSE)="叶龙",1,$N79))*(1-$M79)</f>
        <v>0</v>
      </c>
      <c r="CV79" s="103">
        <f>CO79*IF(VLOOKUP($E79,武器奇术!$A:$R,17,FALSE)="破竹",VLOOKUP($E79,武器奇术!$A:$R,4,FALSE),VLOOKUP($E79,武器奇术!$A:$R,2,FALSE))*(1+CQ79)*(1+CR79)*CS79*(1+$E$16+VLOOKUP($E79,武器奇术!$A:$R,8,FALSE))</f>
        <v>0</v>
      </c>
      <c r="CW79" s="104">
        <f t="shared" si="31"/>
        <v>0.8703</v>
      </c>
      <c r="CX79" s="103">
        <f>CP79*IF(VLOOKUP($E79,武器奇术!$A:$R,17,FALSE)="破竹",VLOOKUP($E79,武器奇术!$A:$R,4,FALSE),VLOOKUP($E79,武器奇术!$A:$R,2,FALSE))*(1+CQ79)*(1+CR79)*CS79*(1+$E$17+VLOOKUP($E79,武器奇术!$A:$R,10,FALSE))</f>
        <v>0</v>
      </c>
      <c r="CY79" s="104">
        <f t="shared" si="32"/>
        <v>0.0986</v>
      </c>
      <c r="CZ79" s="103">
        <f>CO79*IF(VLOOKUP($E79,武器奇术!$A:$R,17,FALSE)="破竹",VLOOKUP($E79,武器奇术!$A:$R,4,FALSE),VLOOKUP($E79,武器奇术!$A:$R,2,FALSE))*(1+CQ79)*(1+CR79)*CS79</f>
        <v>0</v>
      </c>
      <c r="DA79" s="104">
        <f t="shared" si="33"/>
        <v>0.0311</v>
      </c>
      <c r="DB79" s="112">
        <f t="shared" si="34"/>
        <v>0</v>
      </c>
      <c r="DC79" s="110">
        <f t="shared" si="35"/>
        <v>66</v>
      </c>
      <c r="DD79" s="102">
        <f t="shared" si="36"/>
        <v>125.8</v>
      </c>
      <c r="DE79" s="102">
        <f t="shared" si="37"/>
        <v>185.6</v>
      </c>
      <c r="DF79" s="104">
        <f>IF((IF(VLOOKUP($E79,武器奇术!$A:$R,17,FALSE)="鸣金",$D$7,0)+IF(VLOOKUP($E79,武器奇术!$A:$R,17,FALSE)="裂石",$D$9,0)+IF(VLOOKUP($E79,武器奇术!$A:$R,17,FALSE)="牵丝",$D$11,0)+IF(VLOOKUP($E79,武器奇术!$A:$R,17,FALSE)="破竹",$D$13,0)+$D$15-VLOOKUP($F$7,目标属性!$A:$R,6,FALSE))&gt;0,(IF(VLOOKUP($E79,武器奇术!$A:$R,17,FALSE)="鸣金",$D$7,0)+IF(VLOOKUP($E79,武器奇术!$A:$R,17,FALSE)="裂石",$D$9,0)+IF(VLOOKUP($E79,武器奇术!$A:$R,17,FALSE)="牵丝",$D$11,0)+IF(VLOOKUP($E79,武器奇术!$A:$R,17,FALSE)="破竹",$D$13,0)+$D$15-VLOOKUP($F$7,目标属性!$A:$R,6,FALSE))/200,(IF(VLOOKUP($E79,武器奇术!$A:$R,17,FALSE)="鸣金",$D$7,0)+IF(VLOOKUP($E79,武器奇术!$A:$R,17,FALSE)="裂石",$D$9,0)+IF(VLOOKUP($E79,武器奇术!$A:$R,17,FALSE)="牵丝",$D$11,0)+IF(VLOOKUP($E79,武器奇术!$A:$R,17,FALSE)="破竹",$D$13,0)+$D$15-VLOOKUP($F$7,目标属性!$A:$R,6,FALSE))/100)</f>
        <v>0.028</v>
      </c>
      <c r="DG79" s="111">
        <f>$E$11+IF($G$5="烟柳",IF(VLOOKUP($E79,武器奇术!$A:$T,20,FALSE)=1,0.1,0),0)</f>
        <v>0.248</v>
      </c>
      <c r="DH79" s="102">
        <v>1</v>
      </c>
      <c r="DI79" s="103">
        <f>DC79*IF(VLOOKUP($E79,武器奇术!$A:$R,17,FALSE)="牵丝",VLOOKUP($E79,武器奇术!$A:$R,4,FALSE),VLOOKUP($E79,武器奇术!$A:$R,2,FALSE))*(1+DF79)*(1+DG79)*DH79</f>
        <v>149.227876512</v>
      </c>
      <c r="DJ79" s="104">
        <f>(1-IF(VLOOKUP($E79,武器奇术!$A:$R,18,FALSE)="叶龙",1,$N79))*(1-$M79)</f>
        <v>0</v>
      </c>
      <c r="DK79" s="124">
        <f>DD79*IF(VLOOKUP($E79,武器奇术!$A:$R,17,FALSE)="牵丝",VLOOKUP($E79,武器奇术!$A:$R,4,FALSE),VLOOKUP($E79,武器奇术!$A:$R,2,FALSE))*(1+DF79)*(1+DG79)*DH79*(1+$E$16+VLOOKUP($E79,武器奇术!$A:$R,8,FALSE))</f>
        <v>570.012502998182</v>
      </c>
      <c r="DL79" s="104">
        <f t="shared" si="38"/>
        <v>0.8703</v>
      </c>
      <c r="DM79" s="103">
        <f>DE79*IF(VLOOKUP($E79,武器奇术!$A:$R,17,FALSE)="牵丝",VLOOKUP($E79,武器奇术!$A:$R,4,FALSE),VLOOKUP($E79,武器奇术!$A:$R,2,FALSE))*(1+DF79)*(1+DG79)*DH79*(1+$E$17+VLOOKUP($E79,武器奇术!$A:$R,10,FALSE))</f>
        <v>566.52328392192</v>
      </c>
      <c r="DN79" s="104">
        <f t="shared" si="39"/>
        <v>0.0986</v>
      </c>
      <c r="DO79" s="124">
        <f>DD79*IF(VLOOKUP($E79,武器奇术!$A:$R,17,FALSE)="牵丝",VLOOKUP($E79,武器奇术!$A:$R,4,FALSE),VLOOKUP($E79,武器奇术!$A:$R,2,FALSE))*(1+DF79)*(1+DG79)*DH79</f>
        <v>284.4373767456</v>
      </c>
      <c r="DP79" s="104">
        <f t="shared" si="40"/>
        <v>0.0311</v>
      </c>
      <c r="DQ79" s="112">
        <f t="shared" si="41"/>
        <v>560.787079570808</v>
      </c>
    </row>
    <row r="80" spans="1:121">
      <c r="A80" s="139"/>
      <c r="B80" s="139"/>
      <c r="C80" s="139"/>
      <c r="D80" s="139"/>
      <c r="E80" s="115" t="str">
        <f>期望!E80</f>
        <v>伞～(连中风墙小纵)</v>
      </c>
      <c r="F80" s="116">
        <f>期望!F80</f>
        <v>4</v>
      </c>
      <c r="G80" s="117">
        <f t="shared" si="44"/>
        <v>0.32</v>
      </c>
      <c r="H80" s="140">
        <f>IF(VLOOKUP($E80,武器奇术!$A:$R,18,FALSE)="天工",AE80,(AE80+AT80+BI80+BX80+CM80+DB80+DQ80))*(1+J80)*F80*K80*(1+G80)*(1+$G$21*5%)</f>
        <v>255747.418066281</v>
      </c>
      <c r="I80" s="104">
        <f t="shared" si="0"/>
        <v>0.0294748791576119</v>
      </c>
      <c r="J80" s="104">
        <f>$F$3+VLOOKUP($E80,武器奇术!$A:$R,12,FALSE)+VLOOKUP($E80,武器奇术!$A:$R,14,FALSE)*$G$3+$P80</f>
        <v>1.103</v>
      </c>
      <c r="K80" s="105">
        <f>VLOOKUP($E80,武器奇术!$A:$R,11,FALSE)</f>
        <v>1</v>
      </c>
      <c r="L80" s="119">
        <f>IF(VLOOKUP($E80,武器奇术!$A:$R,15,FALSE)="天工",0%,IF($C$17+VLOOKUP($E80,武器奇术!$A:$R,7,FALSE)&gt;80%,80%,$C$17+VLOOKUP($E80,武器奇术!$A:$R,7,FALSE))+IF($C$19&gt;20%,20%,$C$19))</f>
        <v>0.8703</v>
      </c>
      <c r="M80" s="120">
        <f>IF(VLOOKUP($E80,武器奇术!$A:$R,15,FALSE)="天工",0%,IF($C$18+VLOOKUP($E80,武器奇术!$A:$R,9,FALSE)&gt;40%,40%,$C$18+VLOOKUP($E80,武器奇术!$A:$R,9,FALSE))+IF($C$20&gt;10%,10%,$C$20))</f>
        <v>0.0986</v>
      </c>
      <c r="N80" s="121">
        <f>IF(VLOOKUP($E80,武器奇术!$A:$R,15,FALSE)="天工",100%,MIN($C$16,1))</f>
        <v>1</v>
      </c>
      <c r="O80" s="122" t="str">
        <f>VLOOKUP($E80,武器奇术!$A:$R,16,FALSE)</f>
        <v>伞</v>
      </c>
      <c r="P80" s="123">
        <f t="shared" si="1"/>
        <v>0.17</v>
      </c>
      <c r="Q80" s="110">
        <f>$B$5*(1+VLOOKUP($E80,武器奇术!$A:$R,5,FALSE))*(1+VLOOKUP($E80,武器奇术!$A:$S,19,FALSE)+IF($G$5="飞隼",0.1,0)+IF($G$5="撼天",0.05,0))-$F$9+IF($J$5="√",160,0)</f>
        <v>3081.85</v>
      </c>
      <c r="R80" s="102">
        <f>IF(VLOOKUP($E80,武器奇术!$A:$Z,18,FALSE)="叶龙",(S80-(Q80+S80)*0.5)*($G$15-0.5)*2+(Q80+S80)*0.5,(Q80+S80)*0.5)</f>
        <v>3161.85</v>
      </c>
      <c r="S80" s="102">
        <f>MAX($C$5,$B$5)*(1+VLOOKUP($E80,武器奇术!$A:$R,6,FALSE))*(1+VLOOKUP($E80,武器奇术!$A:$S,19,FALSE)+IF($G$5="飞隼",0.1,0)+IF($G$5="撼天",0.05,0))-$F$9+IF($J$5="√",320,0)</f>
        <v>3241.85</v>
      </c>
      <c r="T80" s="104">
        <f>IF(($D$5+VLOOKUP($E80,武器奇术!$A:$R,13,FALSE)+IF($I$3="√",10,0)-VLOOKUP($F$7,目标属性!$A:$R,5,FALSE))&gt;0,($D$5+VLOOKUP($E80,武器奇术!$A:$R,13,FALSE)+IF($I$3="√",10,0)-VLOOKUP($F$7,目标属性!$A:$R,5,FALSE))/200,($D$5+VLOOKUP($E80,武器奇术!$A:$R,13,FALSE)+IF($I$3="√",10,0)-VLOOKUP($F$7,目标属性!$A:$R,5,FALSE))/100)</f>
        <v>0.2925</v>
      </c>
      <c r="U80" s="111">
        <f>$E$5+IF($G$5="烟柳",IF(VLOOKUP($E80,武器奇术!$A:$T,20,FALSE)=1,0.1,0),0)</f>
        <v>0.1</v>
      </c>
      <c r="V80" s="102">
        <v>1</v>
      </c>
      <c r="W80" s="103">
        <f>Q80*VLOOKUP($E80,武器奇术!$A:$R,2,FALSE)*(1+T80)*(1+U80)*V80</f>
        <v>5148.20660615181</v>
      </c>
      <c r="X80" s="104">
        <f>(1-IF(VLOOKUP($E80,武器奇术!$A:$R,18,FALSE)="叶龙",1,$N80))*(1-$M80)</f>
        <v>0</v>
      </c>
      <c r="Y80" s="103">
        <f>R80*VLOOKUP($E80,武器奇术!$A:$R,2,FALSE)*(1+T80)*(1+U80)*V80*(1+$E$16+VLOOKUP($E80,武器奇术!$A:$R,8,FALSE))</f>
        <v>10584.819359655</v>
      </c>
      <c r="Z80" s="104">
        <f t="shared" si="2"/>
        <v>0.8703</v>
      </c>
      <c r="AA80" s="103">
        <f>S80*VLOOKUP($E80,武器奇术!$A:$R,2,FALSE)*(1+T80)*(1+U80)*V80*(1+$E$17+VLOOKUP($E80,武器奇术!$A:$R,10,FALSE))</f>
        <v>7310.90524889495</v>
      </c>
      <c r="AB80" s="104">
        <f t="shared" si="3"/>
        <v>0.0986</v>
      </c>
      <c r="AC80" s="103">
        <f>R80*VLOOKUP($E80,武器奇术!$A:$R,2,FALSE)*(1+T80)*(1+U80)*V80</f>
        <v>5281.84598785181</v>
      </c>
      <c r="AD80" s="104">
        <f t="shared" si="4"/>
        <v>0.0311</v>
      </c>
      <c r="AE80" s="112">
        <f t="shared" si="5"/>
        <v>10097.088956471</v>
      </c>
      <c r="AF80" s="113">
        <f>VLOOKUP($E80,武器奇术!$A:$R,3,FALSE)*(1+IF(VLOOKUP($E80,武器奇术!$A:$R,15,FALSE)="武器",$E$15,0))</f>
        <v>421.59</v>
      </c>
      <c r="AG80" s="103">
        <f t="shared" si="6"/>
        <v>421.59</v>
      </c>
      <c r="AH80" s="103">
        <f>VLOOKUP($E80,武器奇术!$A:$R,3,FALSE)*(1+IF(VLOOKUP($E80,武器奇术!$A:$R,15,FALSE)="武器",$E$15,0))</f>
        <v>421.59</v>
      </c>
      <c r="AI80" s="104">
        <f>IF(($D$5+VLOOKUP($E80,武器奇术!$A:$R,13,FALSE)+IF($I$3="√",10,0)-VLOOKUP($F$7,目标属性!$A:$R,5,FALSE))&gt;0,($D$5+VLOOKUP($E80,武器奇术!$A:$R,13,FALSE)+IF($I$3="√",10,0)-VLOOKUP($F$7,目标属性!$A:$R,5,FALSE))/200,($D$5+VLOOKUP($E80,武器奇术!$A:$R,13,FALSE)+IF($I$3="√",10,0)-VLOOKUP($F$7,目标属性!$A:$R,5,FALSE))/100)</f>
        <v>0.2925</v>
      </c>
      <c r="AJ80" s="111">
        <f>$E$5+IF($G$5="烟柳",IF(VLOOKUP($E80,武器奇术!$A:$T,20,FALSE)=1,0.1,0),0)</f>
        <v>0.1</v>
      </c>
      <c r="AK80" s="102">
        <v>1</v>
      </c>
      <c r="AL80" s="103">
        <f t="shared" si="7"/>
        <v>599.3955825</v>
      </c>
      <c r="AM80" s="104">
        <f>(1-IF(VLOOKUP($E80,武器奇术!$A:$R,18,FALSE)="叶龙",1,$N80))*(1-$M80)</f>
        <v>0</v>
      </c>
      <c r="AN80" s="103">
        <f>AG80*(1+AI80)*(1+AJ80)*AK80*(1+$E$16+VLOOKUP($E80,武器奇术!$A:$R,8,FALSE))</f>
        <v>1201.18874733</v>
      </c>
      <c r="AO80" s="104">
        <f t="shared" si="8"/>
        <v>0.8703</v>
      </c>
      <c r="AP80" s="103">
        <f>AH80*(1+AI80)*(1+AJ80)*AK80*(1+$E$17+VLOOKUP($E80,武器奇术!$A:$R,10,FALSE))</f>
        <v>809.184036375</v>
      </c>
      <c r="AQ80" s="104">
        <f t="shared" si="9"/>
        <v>0.0986</v>
      </c>
      <c r="AR80" s="103">
        <f t="shared" si="10"/>
        <v>599.3955825</v>
      </c>
      <c r="AS80" s="104">
        <f t="shared" si="11"/>
        <v>0.0311</v>
      </c>
      <c r="AT80" s="112">
        <f t="shared" si="12"/>
        <v>1143.82131540362</v>
      </c>
      <c r="AU80" s="110">
        <f>$B$7*IF($G$5="撼天",1.05,1)+IF(AND(VLOOKUP($E80,武器奇术!$A:$R,15,FALSE)="武器",VLOOKUP($E80,武器奇术!$A:$R,17,FALSE)="鸣金"),$E$3*(1+$E$15),0)</f>
        <v>0</v>
      </c>
      <c r="AV80" s="102">
        <f t="shared" si="13"/>
        <v>0</v>
      </c>
      <c r="AW80" s="102">
        <f>MAX($C$7*IF($G$5="撼天",1.05,1)+IF(AND(VLOOKUP($E80,武器奇术!$A:$R,15,FALSE)="武器",VLOOKUP($E80,武器奇术!$A:$R,17,FALSE)="鸣金"),$E$3*(1+$E$15),0),AU80)</f>
        <v>0</v>
      </c>
      <c r="AX80" s="104">
        <f>IF(($D$7+IF(VLOOKUP($E80,武器奇术!$A:$R,17,FALSE)="鸣金",$D$15,0)-VLOOKUP($F$7,目标属性!$A:$R,6,FALSE))&gt;0,($D$7+IF(VLOOKUP($E80,武器奇术!$A:$R,17,FALSE)="鸣金",$D$15,0)-VLOOKUP($F$7,目标属性!$A:$R,6,FALSE))/200,($D$7+IF(VLOOKUP($E80,武器奇术!$A:$R,17,FALSE)="鸣金",$D$15,0)-VLOOKUP($F$7,目标属性!$A:$R,6,FALSE))/100)</f>
        <v>-0.24</v>
      </c>
      <c r="AY80" s="111">
        <f t="shared" si="14"/>
        <v>0</v>
      </c>
      <c r="AZ80" s="102">
        <v>1</v>
      </c>
      <c r="BA80" s="103">
        <f>AU80*IF(VLOOKUP($E80,武器奇术!$A:$R,17,FALSE)="鸣金",VLOOKUP($E80,武器奇术!$A:$R,4,FALSE),VLOOKUP($E80,武器奇术!$A:$R,2,FALSE))*(1+AX80)*(1+AY80)*AZ80</f>
        <v>0</v>
      </c>
      <c r="BB80" s="104">
        <f>(1-IF(VLOOKUP($E80,武器奇术!$A:$R,18,FALSE)="叶龙",1,$N80))*(1-$M80)</f>
        <v>0</v>
      </c>
      <c r="BC80" s="103">
        <f>AV80*IF(VLOOKUP($E80,武器奇术!$A:$R,17,FALSE)="鸣金",VLOOKUP($E80,武器奇术!$A:$R,4,FALSE),VLOOKUP($E80,武器奇术!$A:$R,2,FALSE))*(1+AX80)*(1+AY80)*AZ80*(1+$E$16+VLOOKUP($E80,武器奇术!$A:$R,8,FALSE))</f>
        <v>0</v>
      </c>
      <c r="BD80" s="104">
        <f t="shared" si="15"/>
        <v>0.8703</v>
      </c>
      <c r="BE80" s="103">
        <f>AW80*IF(VLOOKUP($E80,武器奇术!$A:$R,17,FALSE)="鸣金",VLOOKUP($E80,武器奇术!$A:$R,4,FALSE),VLOOKUP($E80,武器奇术!$A:$R,2,FALSE))*(1+AX80)*(1+AY80)*AZ80*(1+$E$17+VLOOKUP($E80,武器奇术!$A:$R,10,FALSE))</f>
        <v>0</v>
      </c>
      <c r="BF80" s="104">
        <f t="shared" si="16"/>
        <v>0.0986</v>
      </c>
      <c r="BG80" s="103">
        <f>AV80*IF(VLOOKUP($E80,武器奇术!$A:$R,17,FALSE)="鸣金",VLOOKUP($E80,武器奇术!$A:$R,4,FALSE),VLOOKUP($E80,武器奇术!$A:$R,2,FALSE))*(1+AX80)*(1+AY80)*AZ80</f>
        <v>0</v>
      </c>
      <c r="BH80" s="104">
        <f t="shared" si="17"/>
        <v>0.0311</v>
      </c>
      <c r="BI80" s="112">
        <f t="shared" si="18"/>
        <v>0</v>
      </c>
      <c r="BJ80" s="110">
        <f>$B$9*IF($G$5="撼天",1.05,1)+IF(AND(VLOOKUP($E80,武器奇术!$A:$R,15,FALSE)="武器",VLOOKUP($E80,武器奇术!$A:$R,17,FALSE)="裂石"),$E$3*(1+$E$15),0)</f>
        <v>0</v>
      </c>
      <c r="BK80" s="102">
        <f t="shared" si="19"/>
        <v>0</v>
      </c>
      <c r="BL80" s="102">
        <f>MAX($C$9*IF($G$5="撼天",1.05,1)+IF(AND(VLOOKUP($E80,武器奇术!$A:$R,15,FALSE)="武器",VLOOKUP($E80,武器奇术!$A:$R,17,FALSE)="裂石"),$E$3*(1+$E$15),0),BJ80)</f>
        <v>0</v>
      </c>
      <c r="BM80" s="104">
        <f>IF(($D$9+IF(VLOOKUP($E80,武器奇术!$A:$R,17,FALSE)="裂石",$D$15,0)-VLOOKUP($F$7,目标属性!$A:$R,6,FALSE))&gt;0,($D$9+IF(VLOOKUP($E80,武器奇术!$A:$R,17,FALSE)="裂石",$D$15,0)-VLOOKUP($F$7,目标属性!$A:$R,6,FALSE))/200,($D$9+IF(VLOOKUP($E80,武器奇术!$A:$R,17,FALSE)="裂石",$D$15,0)-VLOOKUP($F$7,目标属性!$A:$R,6,FALSE))/100)</f>
        <v>-0.24</v>
      </c>
      <c r="BN80" s="111">
        <f t="shared" si="20"/>
        <v>0</v>
      </c>
      <c r="BO80" s="102">
        <v>1</v>
      </c>
      <c r="BP80" s="103">
        <f>BJ80*IF(VLOOKUP($E80,武器奇术!$A:$R,17,FALSE)="裂石",VLOOKUP($E80,武器奇术!$A:$R,4,FALSE),VLOOKUP($E80,武器奇术!$A:$R,2,FALSE))*(1+BM80)*(1+BN80)*BO80</f>
        <v>0</v>
      </c>
      <c r="BQ80" s="104">
        <f>(1-IF(VLOOKUP($E80,武器奇术!$A:$R,18,FALSE)="叶龙",1,$N80))*(1-$M80)</f>
        <v>0</v>
      </c>
      <c r="BR80" s="103">
        <f>BK80*IF(VLOOKUP($E80,武器奇术!$A:$R,17,FALSE)="裂石",VLOOKUP($E80,武器奇术!$A:$R,4,FALSE),VLOOKUP($E80,武器奇术!$A:$R,2,FALSE))*(1+BM80)*(1+BN80)*BO80*(1+$E$16+VLOOKUP($E80,武器奇术!$A:$R,8,FALSE))</f>
        <v>0</v>
      </c>
      <c r="BS80" s="104">
        <f t="shared" si="21"/>
        <v>0.8703</v>
      </c>
      <c r="BT80" s="103">
        <f>BL80*IF(VLOOKUP($E80,武器奇术!$A:$R,17,FALSE)="裂石",VLOOKUP($E80,武器奇术!$A:$R,4,FALSE),VLOOKUP($E80,武器奇术!$A:$R,2,FALSE))*(1+BM80)*(1+BN80)*BO80*(1+$E$17+VLOOKUP($E80,武器奇术!$A:$R,10,FALSE))</f>
        <v>0</v>
      </c>
      <c r="BU80" s="104">
        <f t="shared" si="22"/>
        <v>0.0986</v>
      </c>
      <c r="BV80" s="103">
        <f>BK80*IF(VLOOKUP($E80,武器奇术!$A:$R,17,FALSE)="裂石",VLOOKUP($E80,武器奇术!$A:$R,4,FALSE),VLOOKUP($E80,武器奇术!$A:$R,2,FALSE))*(1+BM80)*(1+BN80)*BO80</f>
        <v>0</v>
      </c>
      <c r="BW80" s="104">
        <f t="shared" si="23"/>
        <v>0.0311</v>
      </c>
      <c r="BX80" s="112">
        <f t="shared" si="24"/>
        <v>0</v>
      </c>
      <c r="BY80" s="110">
        <f>$B$11*IF($G$5="撼天",1.05,1)+IF(AND(VLOOKUP($E80,武器奇术!$A:$R,15,FALSE)="武器",VLOOKUP($E80,武器奇术!$A:$R,17,FALSE)="牵丝"),$E$3*(1+$E$15),0)</f>
        <v>686.71</v>
      </c>
      <c r="BZ80" s="102">
        <f>IF(VLOOKUP($E80,武器奇术!$A:$Z,18,FALSE)="叶龙",(CA80-(BY80+CA80)*0.5)*($G$15-0.5)*2+(BY80+CA80)*0.5,(BY80+CA80)*0.5)</f>
        <v>1052.21</v>
      </c>
      <c r="CA80" s="102">
        <f>MAX($C$11*IF($G$5="撼天",1.05,1)+IF(AND(VLOOKUP($E80,武器奇术!$A:$R,15,FALSE)="武器",VLOOKUP($E80,武器奇术!$A:$R,17,FALSE)="牵丝"),$E$3*(1+$E$15),0),BY80)</f>
        <v>1417.71</v>
      </c>
      <c r="CB80" s="104">
        <f>IF(($D$11+IF(VLOOKUP($E80,武器奇术!$A:$R,17,FALSE)="牵丝",$D$15,0)-VLOOKUP($F$7,目标属性!$A:$R,6,FALSE))&gt;0,($D$11+IF(VLOOKUP($E80,武器奇术!$A:$R,17,FALSE)="牵丝",$D$15,0)-VLOOKUP($F$7,目标属性!$A:$R,6,FALSE))/200,($D$11+IF(VLOOKUP($E80,武器奇术!$A:$R,17,FALSE)="牵丝",$D$15,0)-VLOOKUP($F$7,目标属性!$A:$R,6,FALSE))/100)</f>
        <v>0.028</v>
      </c>
      <c r="CC80" s="111">
        <f>$E$11+IF($G$5="烟柳",IF(VLOOKUP($E80,武器奇术!$A:$T,20,FALSE)=1,0.1,0),0)</f>
        <v>0.248</v>
      </c>
      <c r="CD80" s="102">
        <v>1</v>
      </c>
      <c r="CE80" s="103">
        <f>BY80*IF(VLOOKUP($E80,武器奇术!$A:$R,17,FALSE)="牵丝",VLOOKUP($E80,武器奇术!$A:$R,4,FALSE),VLOOKUP($E80,武器奇术!$A:$R,2,FALSE))*(1+CB80)*(1+CC80)*CD80</f>
        <v>1552.67083453872</v>
      </c>
      <c r="CF80" s="104">
        <f>(1-IF(VLOOKUP($E80,武器奇术!$A:$R,18,FALSE)="叶龙",1,$N80))*(1-$M80)</f>
        <v>0</v>
      </c>
      <c r="CG80" s="124">
        <f>BZ80*IF(VLOOKUP($E80,武器奇术!$A:$R,17,FALSE)="牵丝",VLOOKUP($E80,武器奇术!$A:$R,4,FALSE),VLOOKUP($E80,武器奇术!$A:$R,2,FALSE))*(1+CB80)*(1+CC80)*CD80*(1+$E$16+VLOOKUP($E80,武器奇术!$A:$R,8,FALSE))</f>
        <v>4767.66975977518</v>
      </c>
      <c r="CH80" s="104">
        <f t="shared" si="25"/>
        <v>0.8703</v>
      </c>
      <c r="CI80" s="103">
        <f>CA80*IF(VLOOKUP($E80,武器奇术!$A:$R,17,FALSE)="牵丝",VLOOKUP($E80,武器奇术!$A:$R,4,FALSE),VLOOKUP($E80,武器奇术!$A:$R,2,FALSE))*(1+CB80)*(1+CC80)*CD80*(1+$E$17+VLOOKUP($E80,武器奇术!$A:$R,10,FALSE))</f>
        <v>4327.40153474647</v>
      </c>
      <c r="CJ80" s="104">
        <f t="shared" si="26"/>
        <v>0.0986</v>
      </c>
      <c r="CK80" s="124">
        <f>BZ80*IF(VLOOKUP($E80,武器奇术!$A:$R,17,FALSE)="牵丝",VLOOKUP($E80,武器奇术!$A:$R,4,FALSE),VLOOKUP($E80,武器奇术!$A:$R,2,FALSE))*(1+CB80)*(1+CC80)*CD80</f>
        <v>2379.07672643472</v>
      </c>
      <c r="CL80" s="104">
        <f t="shared" si="27"/>
        <v>0.0311</v>
      </c>
      <c r="CM80" s="112">
        <f t="shared" si="28"/>
        <v>4649.97406945046</v>
      </c>
      <c r="CN80" s="110">
        <f>$B$13*IF($G$5="撼天",1.05,1)+IF(AND(VLOOKUP($E80,武器奇术!$A:$R,15,FALSE)="武器",VLOOKUP($E80,武器奇术!$A:$R,17,FALSE)="破竹"),$E$3*(1+$E$15),0)</f>
        <v>0</v>
      </c>
      <c r="CO80" s="102">
        <f t="shared" si="29"/>
        <v>0</v>
      </c>
      <c r="CP80" s="102">
        <f>MAX($C$13*IF($G$5="撼天",1.05,1)+IF(AND(VLOOKUP($E80,武器奇术!$A:$R,15,FALSE)="武器",VLOOKUP($E80,武器奇术!$A:$R,17,FALSE)="破竹"),$E$3*(1+$E$15),0),CN80)</f>
        <v>0</v>
      </c>
      <c r="CQ80" s="104">
        <f>IF(($D$13+IF(VLOOKUP($E80,武器奇术!$A:$R,17,FALSE)="破竹",$D$15,0)-VLOOKUP($F$7,目标属性!$A:$R,6,FALSE))&gt;0,($D$13+IF(VLOOKUP($E80,武器奇术!$A:$R,17,FALSE)="破竹",$D$15,0)-VLOOKUP($F$7,目标属性!$A:$R,6,FALSE))/200,($D$13+IF(VLOOKUP($E80,武器奇术!$A:$R,17,FALSE)="破竹",$D$15,0)-VLOOKUP($F$7,目标属性!$A:$R,6,FALSE))/100)</f>
        <v>-0.24</v>
      </c>
      <c r="CR80" s="111">
        <f t="shared" si="30"/>
        <v>0</v>
      </c>
      <c r="CS80" s="102">
        <v>1</v>
      </c>
      <c r="CT80" s="103">
        <f>CN80*IF(VLOOKUP($E80,武器奇术!$A:$R,17,FALSE)="破竹",VLOOKUP($E80,武器奇术!$A:$R,4,FALSE),VLOOKUP($E80,武器奇术!$A:$R,2,FALSE))*(1+CQ80)*(1+CR80)*CS80</f>
        <v>0</v>
      </c>
      <c r="CU80" s="104">
        <f>(1-IF(VLOOKUP($E80,武器奇术!$A:$R,18,FALSE)="叶龙",1,$N80))*(1-$M80)</f>
        <v>0</v>
      </c>
      <c r="CV80" s="103">
        <f>CO80*IF(VLOOKUP($E80,武器奇术!$A:$R,17,FALSE)="破竹",VLOOKUP($E80,武器奇术!$A:$R,4,FALSE),VLOOKUP($E80,武器奇术!$A:$R,2,FALSE))*(1+CQ80)*(1+CR80)*CS80*(1+$E$16+VLOOKUP($E80,武器奇术!$A:$R,8,FALSE))</f>
        <v>0</v>
      </c>
      <c r="CW80" s="104">
        <f t="shared" si="31"/>
        <v>0.8703</v>
      </c>
      <c r="CX80" s="103">
        <f>CP80*IF(VLOOKUP($E80,武器奇术!$A:$R,17,FALSE)="破竹",VLOOKUP($E80,武器奇术!$A:$R,4,FALSE),VLOOKUP($E80,武器奇术!$A:$R,2,FALSE))*(1+CQ80)*(1+CR80)*CS80*(1+$E$17+VLOOKUP($E80,武器奇术!$A:$R,10,FALSE))</f>
        <v>0</v>
      </c>
      <c r="CY80" s="104">
        <f t="shared" si="32"/>
        <v>0.0986</v>
      </c>
      <c r="CZ80" s="103">
        <f>CO80*IF(VLOOKUP($E80,武器奇术!$A:$R,17,FALSE)="破竹",VLOOKUP($E80,武器奇术!$A:$R,4,FALSE),VLOOKUP($E80,武器奇术!$A:$R,2,FALSE))*(1+CQ80)*(1+CR80)*CS80</f>
        <v>0</v>
      </c>
      <c r="DA80" s="104">
        <f t="shared" si="33"/>
        <v>0.0311</v>
      </c>
      <c r="DB80" s="112">
        <f t="shared" si="34"/>
        <v>0</v>
      </c>
      <c r="DC80" s="110">
        <f t="shared" si="35"/>
        <v>66</v>
      </c>
      <c r="DD80" s="102">
        <f t="shared" si="36"/>
        <v>125.8</v>
      </c>
      <c r="DE80" s="102">
        <f t="shared" si="37"/>
        <v>185.6</v>
      </c>
      <c r="DF80" s="104">
        <f>IF((IF(VLOOKUP($E80,武器奇术!$A:$R,17,FALSE)="鸣金",$D$7,0)+IF(VLOOKUP($E80,武器奇术!$A:$R,17,FALSE)="裂石",$D$9,0)+IF(VLOOKUP($E80,武器奇术!$A:$R,17,FALSE)="牵丝",$D$11,0)+IF(VLOOKUP($E80,武器奇术!$A:$R,17,FALSE)="破竹",$D$13,0)+$D$15-VLOOKUP($F$7,目标属性!$A:$R,6,FALSE))&gt;0,(IF(VLOOKUP($E80,武器奇术!$A:$R,17,FALSE)="鸣金",$D$7,0)+IF(VLOOKUP($E80,武器奇术!$A:$R,17,FALSE)="裂石",$D$9,0)+IF(VLOOKUP($E80,武器奇术!$A:$R,17,FALSE)="牵丝",$D$11,0)+IF(VLOOKUP($E80,武器奇术!$A:$R,17,FALSE)="破竹",$D$13,0)+$D$15-VLOOKUP($F$7,目标属性!$A:$R,6,FALSE))/200,(IF(VLOOKUP($E80,武器奇术!$A:$R,17,FALSE)="鸣金",$D$7,0)+IF(VLOOKUP($E80,武器奇术!$A:$R,17,FALSE)="裂石",$D$9,0)+IF(VLOOKUP($E80,武器奇术!$A:$R,17,FALSE)="牵丝",$D$11,0)+IF(VLOOKUP($E80,武器奇术!$A:$R,17,FALSE)="破竹",$D$13,0)+$D$15-VLOOKUP($F$7,目标属性!$A:$R,6,FALSE))/100)</f>
        <v>0.028</v>
      </c>
      <c r="DG80" s="111">
        <f>$E$11+IF($G$5="烟柳",IF(VLOOKUP($E80,武器奇术!$A:$T,20,FALSE)=1,0.1,0),0)</f>
        <v>0.248</v>
      </c>
      <c r="DH80" s="102">
        <v>1</v>
      </c>
      <c r="DI80" s="103">
        <f>DC80*IF(VLOOKUP($E80,武器奇术!$A:$R,17,FALSE)="牵丝",VLOOKUP($E80,武器奇术!$A:$R,4,FALSE),VLOOKUP($E80,武器奇术!$A:$R,2,FALSE))*(1+DF80)*(1+DG80)*DH80</f>
        <v>149.227876512</v>
      </c>
      <c r="DJ80" s="104">
        <f>(1-IF(VLOOKUP($E80,武器奇术!$A:$R,18,FALSE)="叶龙",1,$N80))*(1-$M80)</f>
        <v>0</v>
      </c>
      <c r="DK80" s="124">
        <f>DD80*IF(VLOOKUP($E80,武器奇术!$A:$R,17,FALSE)="牵丝",VLOOKUP($E80,武器奇术!$A:$R,4,FALSE),VLOOKUP($E80,武器奇术!$A:$R,2,FALSE))*(1+DF80)*(1+DG80)*DH80*(1+$E$16+VLOOKUP($E80,武器奇术!$A:$R,8,FALSE))</f>
        <v>570.012502998182</v>
      </c>
      <c r="DL80" s="104">
        <f t="shared" si="38"/>
        <v>0.8703</v>
      </c>
      <c r="DM80" s="103">
        <f>DE80*IF(VLOOKUP($E80,武器奇术!$A:$R,17,FALSE)="牵丝",VLOOKUP($E80,武器奇术!$A:$R,4,FALSE),VLOOKUP($E80,武器奇术!$A:$R,2,FALSE))*(1+DF80)*(1+DG80)*DH80*(1+$E$17+VLOOKUP($E80,武器奇术!$A:$R,10,FALSE))</f>
        <v>566.52328392192</v>
      </c>
      <c r="DN80" s="104">
        <f t="shared" si="39"/>
        <v>0.0986</v>
      </c>
      <c r="DO80" s="124">
        <f>DD80*IF(VLOOKUP($E80,武器奇术!$A:$R,17,FALSE)="牵丝",VLOOKUP($E80,武器奇术!$A:$R,4,FALSE),VLOOKUP($E80,武器奇术!$A:$R,2,FALSE))*(1+DF80)*(1+DG80)*DH80</f>
        <v>284.4373767456</v>
      </c>
      <c r="DP80" s="104">
        <f t="shared" si="40"/>
        <v>0.0311</v>
      </c>
      <c r="DQ80" s="112">
        <f t="shared" si="41"/>
        <v>560.787079570808</v>
      </c>
    </row>
    <row r="81" spans="1:121">
      <c r="A81" s="139"/>
      <c r="B81" s="139"/>
      <c r="C81" s="139"/>
      <c r="D81" s="139"/>
      <c r="E81" s="115" t="str">
        <f>期望!E81</f>
        <v>扇左蓄(风墙5惊春小纵)</v>
      </c>
      <c r="F81" s="116">
        <f>期望!F81</f>
        <v>1</v>
      </c>
      <c r="G81" s="117"/>
      <c r="H81" s="140">
        <f>IF(VLOOKUP($E81,武器奇术!$A:$R,18,FALSE)="天工",AE81,(AE81+AT81+BI81+BX81+CM81+DB81+DQ81))*(1+J81)*F81*K81*(1+G81)*(1+$G$21*5%)</f>
        <v>107578.080223594</v>
      </c>
      <c r="I81" s="104">
        <f t="shared" si="0"/>
        <v>0.0123983692135517</v>
      </c>
      <c r="J81" s="104">
        <f>$F$3+VLOOKUP($E81,武器奇术!$A:$R,12,FALSE)+VLOOKUP($E81,武器奇术!$A:$R,14,FALSE)*$G$3+$P81</f>
        <v>0.987</v>
      </c>
      <c r="K81" s="105">
        <f>VLOOKUP($E81,武器奇术!$A:$R,11,FALSE)</f>
        <v>1</v>
      </c>
      <c r="L81" s="119">
        <f>IF(VLOOKUP($E81,武器奇术!$A:$R,15,FALSE)="天工",0%,IF($C$17+VLOOKUP($E81,武器奇术!$A:$R,7,FALSE)&gt;80%,80%,$C$17+VLOOKUP($E81,武器奇术!$A:$R,7,FALSE))+IF($C$19&gt;20%,20%,$C$19))</f>
        <v>0.8703</v>
      </c>
      <c r="M81" s="120">
        <f>IF(VLOOKUP($E81,武器奇术!$A:$R,15,FALSE)="天工",0%,IF($C$18+VLOOKUP($E81,武器奇术!$A:$R,9,FALSE)&gt;40%,40%,$C$18+VLOOKUP($E81,武器奇术!$A:$R,9,FALSE))+IF($C$20&gt;10%,10%,$C$20))</f>
        <v>0.0986</v>
      </c>
      <c r="N81" s="121">
        <f>IF(VLOOKUP($E81,武器奇术!$A:$R,15,FALSE)="天工",100%,MIN($C$16,1))</f>
        <v>1</v>
      </c>
      <c r="O81" s="122" t="str">
        <f>VLOOKUP($E81,武器奇术!$A:$R,16,FALSE)</f>
        <v>扇</v>
      </c>
      <c r="P81" s="123">
        <f t="shared" si="1"/>
        <v>0.084</v>
      </c>
      <c r="Q81" s="110">
        <f>$B$5*(1+VLOOKUP($E81,武器奇术!$A:$R,5,FALSE))*(1+VLOOKUP($E81,武器奇术!$A:$S,19,FALSE)+IF($G$5="飞隼",0.1,0)+IF($G$5="撼天",0.05,0))-$F$9+IF($J$5="√",160,0)</f>
        <v>3081.85</v>
      </c>
      <c r="R81" s="102">
        <f>IF(VLOOKUP($E81,武器奇术!$A:$Z,18,FALSE)="叶龙",(S81-(Q81+S81)*0.5)*($G$15-0.5)*2+(Q81+S81)*0.5,(Q81+S81)*0.5)</f>
        <v>3161.85</v>
      </c>
      <c r="S81" s="102">
        <f>MAX($C$5,$B$5)*(1+VLOOKUP($E81,武器奇术!$A:$R,6,FALSE))*(1+VLOOKUP($E81,武器奇术!$A:$S,19,FALSE)+IF($G$5="飞隼",0.1,0)+IF($G$5="撼天",0.05,0))-$F$9+IF($J$5="√",320,0)</f>
        <v>3241.85</v>
      </c>
      <c r="T81" s="104">
        <f>IF(($D$5+VLOOKUP($E81,武器奇术!$A:$R,13,FALSE)+IF($I$3="√",10,0)-VLOOKUP($F$7,目标属性!$A:$R,5,FALSE))&gt;0,($D$5+VLOOKUP($E81,武器奇术!$A:$R,13,FALSE)+IF($I$3="√",10,0)-VLOOKUP($F$7,目标属性!$A:$R,5,FALSE))/200,($D$5+VLOOKUP($E81,武器奇术!$A:$R,13,FALSE)+IF($I$3="√",10,0)-VLOOKUP($F$7,目标属性!$A:$R,5,FALSE))/100)</f>
        <v>0.2925</v>
      </c>
      <c r="U81" s="111">
        <f>$E$5+IF($G$5="烟柳",IF(VLOOKUP($E81,武器奇术!$A:$T,20,FALSE)=1,0.1,0),0)</f>
        <v>0.1</v>
      </c>
      <c r="V81" s="102">
        <v>1</v>
      </c>
      <c r="W81" s="103">
        <f>Q81*VLOOKUP($E81,武器奇术!$A:$R,2,FALSE)*(1+T81)*(1+U81)*V81</f>
        <v>12099.3184914278</v>
      </c>
      <c r="X81" s="104">
        <f>(1-IF(VLOOKUP($E81,武器奇术!$A:$R,18,FALSE)="叶龙",1,$N81))*(1-$M81)</f>
        <v>0</v>
      </c>
      <c r="Y81" s="103">
        <f>R81*VLOOKUP($E81,武器奇术!$A:$R,2,FALSE)*(1+T81)*(1+U81)*V81*(1+$E$16+VLOOKUP($E81,武器奇术!$A:$R,8,FALSE))</f>
        <v>24876.449296666</v>
      </c>
      <c r="Z81" s="104">
        <f t="shared" si="2"/>
        <v>0.8703</v>
      </c>
      <c r="AA81" s="103">
        <f>S81*VLOOKUP($E81,武器奇术!$A:$R,2,FALSE)*(1+T81)*(1+U81)*V81*(1+$E$17+VLOOKUP($E81,武器奇术!$A:$R,10,FALSE))</f>
        <v>17182.0942386675</v>
      </c>
      <c r="AB81" s="104">
        <f t="shared" si="3"/>
        <v>0.0986</v>
      </c>
      <c r="AC81" s="103">
        <f>R81*VLOOKUP($E81,武器奇术!$A:$R,2,FALSE)*(1+T81)*(1+U81)*V81</f>
        <v>12413.3978526277</v>
      </c>
      <c r="AD81" s="104">
        <f t="shared" si="4"/>
        <v>0.0311</v>
      </c>
      <c r="AE81" s="112">
        <f t="shared" si="5"/>
        <v>23730.1849880378</v>
      </c>
      <c r="AF81" s="113">
        <f>VLOOKUP($E81,武器奇术!$A:$R,3,FALSE)*(1+IF(VLOOKUP($E81,武器奇术!$A:$R,15,FALSE)="武器",$E$15,0))</f>
        <v>993.395</v>
      </c>
      <c r="AG81" s="103">
        <f t="shared" si="6"/>
        <v>993.395</v>
      </c>
      <c r="AH81" s="103">
        <f>VLOOKUP($E81,武器奇术!$A:$R,3,FALSE)*(1+IF(VLOOKUP($E81,武器奇术!$A:$R,15,FALSE)="武器",$E$15,0))</f>
        <v>993.395</v>
      </c>
      <c r="AI81" s="104">
        <f>IF(($D$5+VLOOKUP($E81,武器奇术!$A:$R,13,FALSE)+IF($I$3="√",10,0)-VLOOKUP($F$7,目标属性!$A:$R,5,FALSE))&gt;0,($D$5+VLOOKUP($E81,武器奇术!$A:$R,13,FALSE)+IF($I$3="√",10,0)-VLOOKUP($F$7,目标属性!$A:$R,5,FALSE))/200,($D$5+VLOOKUP($E81,武器奇术!$A:$R,13,FALSE)+IF($I$3="√",10,0)-VLOOKUP($F$7,目标属性!$A:$R,5,FALSE))/100)</f>
        <v>0.2925</v>
      </c>
      <c r="AJ81" s="111">
        <f>$E$5+IF($G$5="烟柳",IF(VLOOKUP($E81,武器奇术!$A:$T,20,FALSE)=1,0.1,0),0)</f>
        <v>0.1</v>
      </c>
      <c r="AK81" s="102">
        <v>1</v>
      </c>
      <c r="AL81" s="103">
        <f t="shared" si="7"/>
        <v>1412.35934125</v>
      </c>
      <c r="AM81" s="104">
        <f>(1-IF(VLOOKUP($E81,武器奇术!$A:$R,18,FALSE)="叶龙",1,$N81))*(1-$M81)</f>
        <v>0</v>
      </c>
      <c r="AN81" s="103">
        <f>AG81*(1+AI81)*(1+AJ81)*AK81*(1+$E$16+VLOOKUP($E81,武器奇术!$A:$R,8,FALSE))</f>
        <v>2830.368119865</v>
      </c>
      <c r="AO81" s="104">
        <f t="shared" si="8"/>
        <v>0.8703</v>
      </c>
      <c r="AP81" s="103">
        <f>AH81*(1+AI81)*(1+AJ81)*AK81*(1+$E$17+VLOOKUP($E81,武器奇术!$A:$R,10,FALSE))</f>
        <v>1906.6851106875</v>
      </c>
      <c r="AQ81" s="104">
        <f t="shared" si="9"/>
        <v>0.0986</v>
      </c>
      <c r="AR81" s="103">
        <f t="shared" si="10"/>
        <v>1412.35934125</v>
      </c>
      <c r="AS81" s="104">
        <f t="shared" si="11"/>
        <v>0.0311</v>
      </c>
      <c r="AT81" s="112">
        <f t="shared" si="12"/>
        <v>2695.19290214517</v>
      </c>
      <c r="AU81" s="110">
        <f>$B$7*IF($G$5="撼天",1.05,1)+IF(AND(VLOOKUP($E81,武器奇术!$A:$R,15,FALSE)="武器",VLOOKUP($E81,武器奇术!$A:$R,17,FALSE)="鸣金"),$E$3*(1+$E$15),0)</f>
        <v>0</v>
      </c>
      <c r="AV81" s="102">
        <f t="shared" si="13"/>
        <v>0</v>
      </c>
      <c r="AW81" s="102">
        <f>MAX($C$7*IF($G$5="撼天",1.05,1)+IF(AND(VLOOKUP($E81,武器奇术!$A:$R,15,FALSE)="武器",VLOOKUP($E81,武器奇术!$A:$R,17,FALSE)="鸣金"),$E$3*(1+$E$15),0),AU81)</f>
        <v>0</v>
      </c>
      <c r="AX81" s="104">
        <f>IF(($D$7+IF(VLOOKUP($E81,武器奇术!$A:$R,17,FALSE)="鸣金",$D$15,0)-VLOOKUP($F$7,目标属性!$A:$R,6,FALSE))&gt;0,($D$7+IF(VLOOKUP($E81,武器奇术!$A:$R,17,FALSE)="鸣金",$D$15,0)-VLOOKUP($F$7,目标属性!$A:$R,6,FALSE))/200,($D$7+IF(VLOOKUP($E81,武器奇术!$A:$R,17,FALSE)="鸣金",$D$15,0)-VLOOKUP($F$7,目标属性!$A:$R,6,FALSE))/100)</f>
        <v>-0.24</v>
      </c>
      <c r="AY81" s="111">
        <f t="shared" si="14"/>
        <v>0</v>
      </c>
      <c r="AZ81" s="102">
        <v>1</v>
      </c>
      <c r="BA81" s="103">
        <f>AU81*IF(VLOOKUP($E81,武器奇术!$A:$R,17,FALSE)="鸣金",VLOOKUP($E81,武器奇术!$A:$R,4,FALSE),VLOOKUP($E81,武器奇术!$A:$R,2,FALSE))*(1+AX81)*(1+AY81)*AZ81</f>
        <v>0</v>
      </c>
      <c r="BB81" s="104">
        <f>(1-IF(VLOOKUP($E81,武器奇术!$A:$R,18,FALSE)="叶龙",1,$N81))*(1-$M81)</f>
        <v>0</v>
      </c>
      <c r="BC81" s="103">
        <f>AV81*IF(VLOOKUP($E81,武器奇术!$A:$R,17,FALSE)="鸣金",VLOOKUP($E81,武器奇术!$A:$R,4,FALSE),VLOOKUP($E81,武器奇术!$A:$R,2,FALSE))*(1+AX81)*(1+AY81)*AZ81*(1+$E$16+VLOOKUP($E81,武器奇术!$A:$R,8,FALSE))</f>
        <v>0</v>
      </c>
      <c r="BD81" s="104">
        <f t="shared" si="15"/>
        <v>0.8703</v>
      </c>
      <c r="BE81" s="103">
        <f>AW81*IF(VLOOKUP($E81,武器奇术!$A:$R,17,FALSE)="鸣金",VLOOKUP($E81,武器奇术!$A:$R,4,FALSE),VLOOKUP($E81,武器奇术!$A:$R,2,FALSE))*(1+AX81)*(1+AY81)*AZ81*(1+$E$17+VLOOKUP($E81,武器奇术!$A:$R,10,FALSE))</f>
        <v>0</v>
      </c>
      <c r="BF81" s="104">
        <f t="shared" si="16"/>
        <v>0.0986</v>
      </c>
      <c r="BG81" s="103">
        <f>AV81*IF(VLOOKUP($E81,武器奇术!$A:$R,17,FALSE)="鸣金",VLOOKUP($E81,武器奇术!$A:$R,4,FALSE),VLOOKUP($E81,武器奇术!$A:$R,2,FALSE))*(1+AX81)*(1+AY81)*AZ81</f>
        <v>0</v>
      </c>
      <c r="BH81" s="104">
        <f t="shared" si="17"/>
        <v>0.0311</v>
      </c>
      <c r="BI81" s="112">
        <f t="shared" si="18"/>
        <v>0</v>
      </c>
      <c r="BJ81" s="110">
        <f>$B$9*IF($G$5="撼天",1.05,1)+IF(AND(VLOOKUP($E81,武器奇术!$A:$R,15,FALSE)="武器",VLOOKUP($E81,武器奇术!$A:$R,17,FALSE)="裂石"),$E$3*(1+$E$15),0)</f>
        <v>0</v>
      </c>
      <c r="BK81" s="102">
        <f t="shared" si="19"/>
        <v>0</v>
      </c>
      <c r="BL81" s="102">
        <f>MAX($C$9*IF($G$5="撼天",1.05,1)+IF(AND(VLOOKUP($E81,武器奇术!$A:$R,15,FALSE)="武器",VLOOKUP($E81,武器奇术!$A:$R,17,FALSE)="裂石"),$E$3*(1+$E$15),0),BJ81)</f>
        <v>0</v>
      </c>
      <c r="BM81" s="104">
        <f>IF(($D$9+IF(VLOOKUP($E81,武器奇术!$A:$R,17,FALSE)="裂石",$D$15,0)-VLOOKUP($F$7,目标属性!$A:$R,6,FALSE))&gt;0,($D$9+IF(VLOOKUP($E81,武器奇术!$A:$R,17,FALSE)="裂石",$D$15,0)-VLOOKUP($F$7,目标属性!$A:$R,6,FALSE))/200,($D$9+IF(VLOOKUP($E81,武器奇术!$A:$R,17,FALSE)="裂石",$D$15,0)-VLOOKUP($F$7,目标属性!$A:$R,6,FALSE))/100)</f>
        <v>-0.24</v>
      </c>
      <c r="BN81" s="111">
        <f t="shared" si="20"/>
        <v>0</v>
      </c>
      <c r="BO81" s="102">
        <v>1</v>
      </c>
      <c r="BP81" s="103">
        <f>BJ81*IF(VLOOKUP($E81,武器奇术!$A:$R,17,FALSE)="裂石",VLOOKUP($E81,武器奇术!$A:$R,4,FALSE),VLOOKUP($E81,武器奇术!$A:$R,2,FALSE))*(1+BM81)*(1+BN81)*BO81</f>
        <v>0</v>
      </c>
      <c r="BQ81" s="104">
        <f>(1-IF(VLOOKUP($E81,武器奇术!$A:$R,18,FALSE)="叶龙",1,$N81))*(1-$M81)</f>
        <v>0</v>
      </c>
      <c r="BR81" s="103">
        <f>BK81*IF(VLOOKUP($E81,武器奇术!$A:$R,17,FALSE)="裂石",VLOOKUP($E81,武器奇术!$A:$R,4,FALSE),VLOOKUP($E81,武器奇术!$A:$R,2,FALSE))*(1+BM81)*(1+BN81)*BO81*(1+$E$16+VLOOKUP($E81,武器奇术!$A:$R,8,FALSE))</f>
        <v>0</v>
      </c>
      <c r="BS81" s="104">
        <f t="shared" si="21"/>
        <v>0.8703</v>
      </c>
      <c r="BT81" s="103">
        <f>BL81*IF(VLOOKUP($E81,武器奇术!$A:$R,17,FALSE)="裂石",VLOOKUP($E81,武器奇术!$A:$R,4,FALSE),VLOOKUP($E81,武器奇术!$A:$R,2,FALSE))*(1+BM81)*(1+BN81)*BO81*(1+$E$17+VLOOKUP($E81,武器奇术!$A:$R,10,FALSE))</f>
        <v>0</v>
      </c>
      <c r="BU81" s="104">
        <f t="shared" si="22"/>
        <v>0.0986</v>
      </c>
      <c r="BV81" s="103">
        <f>BK81*IF(VLOOKUP($E81,武器奇术!$A:$R,17,FALSE)="裂石",VLOOKUP($E81,武器奇术!$A:$R,4,FALSE),VLOOKUP($E81,武器奇术!$A:$R,2,FALSE))*(1+BM81)*(1+BN81)*BO81</f>
        <v>0</v>
      </c>
      <c r="BW81" s="104">
        <f t="shared" si="23"/>
        <v>0.0311</v>
      </c>
      <c r="BX81" s="112">
        <f t="shared" si="24"/>
        <v>0</v>
      </c>
      <c r="BY81" s="110">
        <f>$B$11*IF($G$5="撼天",1.05,1)+IF(AND(VLOOKUP($E81,武器奇术!$A:$R,15,FALSE)="武器",VLOOKUP($E81,武器奇术!$A:$R,17,FALSE)="牵丝"),$E$3*(1+$E$15),0)</f>
        <v>686.71</v>
      </c>
      <c r="BZ81" s="102">
        <f>IF(VLOOKUP($E81,武器奇术!$A:$Z,18,FALSE)="叶龙",(CA81-(BY81+CA81)*0.5)*($G$15-0.5)*2+(BY81+CA81)*0.5,(BY81+CA81)*0.5)</f>
        <v>1052.21</v>
      </c>
      <c r="CA81" s="102">
        <f>MAX($C$11*IF($G$5="撼天",1.05,1)+IF(AND(VLOOKUP($E81,武器奇术!$A:$R,15,FALSE)="武器",VLOOKUP($E81,武器奇术!$A:$R,17,FALSE)="牵丝"),$E$3*(1+$E$15),0),BY81)</f>
        <v>1417.71</v>
      </c>
      <c r="CB81" s="104">
        <f>IF(($D$11+IF(VLOOKUP($E81,武器奇术!$A:$R,17,FALSE)="牵丝",$D$15,0)-VLOOKUP($F$7,目标属性!$A:$R,6,FALSE))&gt;0,($D$11+IF(VLOOKUP($E81,武器奇术!$A:$R,17,FALSE)="牵丝",$D$15,0)-VLOOKUP($F$7,目标属性!$A:$R,6,FALSE))/200,($D$11+IF(VLOOKUP($E81,武器奇术!$A:$R,17,FALSE)="牵丝",$D$15,0)-VLOOKUP($F$7,目标属性!$A:$R,6,FALSE))/100)</f>
        <v>0.028</v>
      </c>
      <c r="CC81" s="111">
        <f>$E$11+IF($G$5="烟柳",IF(VLOOKUP($E81,武器奇术!$A:$T,20,FALSE)=1,0.1,0),0)</f>
        <v>0.248</v>
      </c>
      <c r="CD81" s="102">
        <v>1</v>
      </c>
      <c r="CE81" s="103">
        <f>BY81*IF(VLOOKUP($E81,武器奇术!$A:$R,17,FALSE)="牵丝",VLOOKUP($E81,武器奇术!$A:$R,4,FALSE),VLOOKUP($E81,武器奇术!$A:$R,2,FALSE))*(1+CB81)*(1+CC81)*CD81</f>
        <v>3649.20705503528</v>
      </c>
      <c r="CF81" s="104">
        <f>(1-IF(VLOOKUP($E81,武器奇术!$A:$R,18,FALSE)="叶龙",1,$N81))*(1-$M81)</f>
        <v>0</v>
      </c>
      <c r="CG81" s="124">
        <f>BZ81*IF(VLOOKUP($E81,武器奇术!$A:$R,17,FALSE)="牵丝",VLOOKUP($E81,武器奇术!$A:$R,4,FALSE),VLOOKUP($E81,武器奇术!$A:$R,2,FALSE))*(1+CB81)*(1+CC81)*CD81*(1+$E$16+VLOOKUP($E81,武器奇术!$A:$R,8,FALSE))</f>
        <v>11205.3461277378</v>
      </c>
      <c r="CH81" s="104">
        <f t="shared" si="25"/>
        <v>0.8703</v>
      </c>
      <c r="CI81" s="103">
        <f>CA81*IF(VLOOKUP($E81,武器奇术!$A:$R,17,FALSE)="牵丝",VLOOKUP($E81,武器奇术!$A:$R,4,FALSE),VLOOKUP($E81,武器奇术!$A:$R,2,FALSE))*(1+CB81)*(1+CC81)*CD81*(1+$E$17+VLOOKUP($E81,武器奇术!$A:$R,10,FALSE))</f>
        <v>10170.5937016965</v>
      </c>
      <c r="CJ81" s="104">
        <f t="shared" si="26"/>
        <v>0.0986</v>
      </c>
      <c r="CK81" s="124">
        <f>BZ81*IF(VLOOKUP($E81,武器奇术!$A:$R,17,FALSE)="牵丝",VLOOKUP($E81,武器奇术!$A:$R,4,FALSE),VLOOKUP($E81,武器奇术!$A:$R,2,FALSE))*(1+CB81)*(1+CC81)*CD81</f>
        <v>5591.49008370152</v>
      </c>
      <c r="CL81" s="104">
        <f t="shared" si="27"/>
        <v>0.0311</v>
      </c>
      <c r="CM81" s="112">
        <f t="shared" si="28"/>
        <v>10928.7286155606</v>
      </c>
      <c r="CN81" s="110">
        <f>$B$13*IF($G$5="撼天",1.05,1)+IF(AND(VLOOKUP($E81,武器奇术!$A:$R,15,FALSE)="武器",VLOOKUP($E81,武器奇术!$A:$R,17,FALSE)="破竹"),$E$3*(1+$E$15),0)</f>
        <v>0</v>
      </c>
      <c r="CO81" s="102">
        <f t="shared" si="29"/>
        <v>0</v>
      </c>
      <c r="CP81" s="102">
        <f>MAX($C$13*IF($G$5="撼天",1.05,1)+IF(AND(VLOOKUP($E81,武器奇术!$A:$R,15,FALSE)="武器",VLOOKUP($E81,武器奇术!$A:$R,17,FALSE)="破竹"),$E$3*(1+$E$15),0),CN81)</f>
        <v>0</v>
      </c>
      <c r="CQ81" s="104">
        <f>IF(($D$13+IF(VLOOKUP($E81,武器奇术!$A:$R,17,FALSE)="破竹",$D$15,0)-VLOOKUP($F$7,目标属性!$A:$R,6,FALSE))&gt;0,($D$13+IF(VLOOKUP($E81,武器奇术!$A:$R,17,FALSE)="破竹",$D$15,0)-VLOOKUP($F$7,目标属性!$A:$R,6,FALSE))/200,($D$13+IF(VLOOKUP($E81,武器奇术!$A:$R,17,FALSE)="破竹",$D$15,0)-VLOOKUP($F$7,目标属性!$A:$R,6,FALSE))/100)</f>
        <v>-0.24</v>
      </c>
      <c r="CR81" s="111">
        <f t="shared" si="30"/>
        <v>0</v>
      </c>
      <c r="CS81" s="102">
        <v>1</v>
      </c>
      <c r="CT81" s="103">
        <f>CN81*IF(VLOOKUP($E81,武器奇术!$A:$R,17,FALSE)="破竹",VLOOKUP($E81,武器奇术!$A:$R,4,FALSE),VLOOKUP($E81,武器奇术!$A:$R,2,FALSE))*(1+CQ81)*(1+CR81)*CS81</f>
        <v>0</v>
      </c>
      <c r="CU81" s="104">
        <f>(1-IF(VLOOKUP($E81,武器奇术!$A:$R,18,FALSE)="叶龙",1,$N81))*(1-$M81)</f>
        <v>0</v>
      </c>
      <c r="CV81" s="103">
        <f>CO81*IF(VLOOKUP($E81,武器奇术!$A:$R,17,FALSE)="破竹",VLOOKUP($E81,武器奇术!$A:$R,4,FALSE),VLOOKUP($E81,武器奇术!$A:$R,2,FALSE))*(1+CQ81)*(1+CR81)*CS81*(1+$E$16+VLOOKUP($E81,武器奇术!$A:$R,8,FALSE))</f>
        <v>0</v>
      </c>
      <c r="CW81" s="104">
        <f t="shared" si="31"/>
        <v>0.8703</v>
      </c>
      <c r="CX81" s="103">
        <f>CP81*IF(VLOOKUP($E81,武器奇术!$A:$R,17,FALSE)="破竹",VLOOKUP($E81,武器奇术!$A:$R,4,FALSE),VLOOKUP($E81,武器奇术!$A:$R,2,FALSE))*(1+CQ81)*(1+CR81)*CS81*(1+$E$17+VLOOKUP($E81,武器奇术!$A:$R,10,FALSE))</f>
        <v>0</v>
      </c>
      <c r="CY81" s="104">
        <f t="shared" si="32"/>
        <v>0.0986</v>
      </c>
      <c r="CZ81" s="103">
        <f>CO81*IF(VLOOKUP($E81,武器奇术!$A:$R,17,FALSE)="破竹",VLOOKUP($E81,武器奇术!$A:$R,4,FALSE),VLOOKUP($E81,武器奇术!$A:$R,2,FALSE))*(1+CQ81)*(1+CR81)*CS81</f>
        <v>0</v>
      </c>
      <c r="DA81" s="104">
        <f t="shared" si="33"/>
        <v>0.0311</v>
      </c>
      <c r="DB81" s="112">
        <f t="shared" si="34"/>
        <v>0</v>
      </c>
      <c r="DC81" s="110">
        <f t="shared" si="35"/>
        <v>66</v>
      </c>
      <c r="DD81" s="102">
        <f t="shared" si="36"/>
        <v>125.8</v>
      </c>
      <c r="DE81" s="102">
        <f t="shared" si="37"/>
        <v>185.6</v>
      </c>
      <c r="DF81" s="104">
        <f>IF((IF(VLOOKUP($E81,武器奇术!$A:$R,17,FALSE)="鸣金",$D$7,0)+IF(VLOOKUP($E81,武器奇术!$A:$R,17,FALSE)="裂石",$D$9,0)+IF(VLOOKUP($E81,武器奇术!$A:$R,17,FALSE)="牵丝",$D$11,0)+IF(VLOOKUP($E81,武器奇术!$A:$R,17,FALSE)="破竹",$D$13,0)+$D$15-VLOOKUP($F$7,目标属性!$A:$R,6,FALSE))&gt;0,(IF(VLOOKUP($E81,武器奇术!$A:$R,17,FALSE)="鸣金",$D$7,0)+IF(VLOOKUP($E81,武器奇术!$A:$R,17,FALSE)="裂石",$D$9,0)+IF(VLOOKUP($E81,武器奇术!$A:$R,17,FALSE)="牵丝",$D$11,0)+IF(VLOOKUP($E81,武器奇术!$A:$R,17,FALSE)="破竹",$D$13,0)+$D$15-VLOOKUP($F$7,目标属性!$A:$R,6,FALSE))/200,(IF(VLOOKUP($E81,武器奇术!$A:$R,17,FALSE)="鸣金",$D$7,0)+IF(VLOOKUP($E81,武器奇术!$A:$R,17,FALSE)="裂石",$D$9,0)+IF(VLOOKUP($E81,武器奇术!$A:$R,17,FALSE)="牵丝",$D$11,0)+IF(VLOOKUP($E81,武器奇术!$A:$R,17,FALSE)="破竹",$D$13,0)+$D$15-VLOOKUP($F$7,目标属性!$A:$R,6,FALSE))/100)</f>
        <v>0.028</v>
      </c>
      <c r="DG81" s="111">
        <f>$E$11+IF($G$5="烟柳",IF(VLOOKUP($E81,武器奇术!$A:$T,20,FALSE)=1,0.1,0),0)</f>
        <v>0.248</v>
      </c>
      <c r="DH81" s="102">
        <v>1</v>
      </c>
      <c r="DI81" s="103">
        <f>DC81*IF(VLOOKUP($E81,武器奇术!$A:$R,17,FALSE)="牵丝",VLOOKUP($E81,武器奇术!$A:$R,4,FALSE),VLOOKUP($E81,武器奇术!$A:$R,2,FALSE))*(1+DF81)*(1+DG81)*DH81</f>
        <v>350.72689436928</v>
      </c>
      <c r="DJ81" s="104">
        <f>(1-IF(VLOOKUP($E81,武器奇术!$A:$R,18,FALSE)="叶龙",1,$N81))*(1-$M81)</f>
        <v>0</v>
      </c>
      <c r="DK81" s="124">
        <f>DD81*IF(VLOOKUP($E81,武器奇术!$A:$R,17,FALSE)="牵丝",VLOOKUP($E81,武器奇术!$A:$R,4,FALSE),VLOOKUP($E81,武器奇术!$A:$R,2,FALSE))*(1+DF81)*(1+DG81)*DH81*(1+$E$16+VLOOKUP($E81,武器奇术!$A:$R,8,FALSE))</f>
        <v>1339.6874605539</v>
      </c>
      <c r="DL81" s="104">
        <f t="shared" si="38"/>
        <v>0.8703</v>
      </c>
      <c r="DM81" s="103">
        <f>DE81*IF(VLOOKUP($E81,武器奇术!$A:$R,17,FALSE)="牵丝",VLOOKUP($E81,武器奇术!$A:$R,4,FALSE),VLOOKUP($E81,武器奇术!$A:$R,2,FALSE))*(1+DF81)*(1+DG81)*DH81*(1+$E$17+VLOOKUP($E81,武器奇术!$A:$R,10,FALSE))</f>
        <v>1331.48682807829</v>
      </c>
      <c r="DN81" s="104">
        <f t="shared" si="39"/>
        <v>0.0986</v>
      </c>
      <c r="DO81" s="124">
        <f>DD81*IF(VLOOKUP($E81,武器奇术!$A:$R,17,FALSE)="牵丝",VLOOKUP($E81,武器奇术!$A:$R,4,FALSE),VLOOKUP($E81,武器奇术!$A:$R,2,FALSE))*(1+DF81)*(1+DG81)*DH81</f>
        <v>668.506716843264</v>
      </c>
      <c r="DP81" s="104">
        <f t="shared" si="40"/>
        <v>0.0311</v>
      </c>
      <c r="DQ81" s="112">
        <f t="shared" si="41"/>
        <v>1318.0051570624</v>
      </c>
    </row>
    <row r="82" spans="1:121">
      <c r="A82" s="139"/>
      <c r="B82" s="139"/>
      <c r="C82" s="139"/>
      <c r="D82" s="139"/>
      <c r="E82" s="115" t="str">
        <f>期望!E82</f>
        <v>伞Q(连中风墙小纵)</v>
      </c>
      <c r="F82" s="116">
        <f>期望!F82</f>
        <v>1</v>
      </c>
      <c r="G82" s="117"/>
      <c r="H82" s="140">
        <f>IF(VLOOKUP($E82,武器奇术!$A:$R,18,FALSE)="天工",AE82,(AE82+AT82+BI82+BX82+CM82+DB82+DQ82))*(1+J82)*F82*K82*(1+G82)*(1+$G$21*5%)</f>
        <v>96476.7137967659</v>
      </c>
      <c r="I82" s="104">
        <f t="shared" si="0"/>
        <v>0.0111189372005555</v>
      </c>
      <c r="J82" s="104">
        <f>$F$3+VLOOKUP($E82,武器奇术!$A:$R,12,FALSE)+VLOOKUP($E82,武器奇术!$A:$R,14,FALSE)*$G$3+$P82</f>
        <v>1.103</v>
      </c>
      <c r="K82" s="105">
        <f>VLOOKUP($E82,武器奇术!$A:$R,11,FALSE)</f>
        <v>1</v>
      </c>
      <c r="L82" s="119">
        <f>IF(VLOOKUP($E82,武器奇术!$A:$R,15,FALSE)="天工",0%,IF($C$17+VLOOKUP($E82,武器奇术!$A:$R,7,FALSE)&gt;80%,80%,$C$17+VLOOKUP($E82,武器奇术!$A:$R,7,FALSE))+IF($C$19&gt;20%,20%,$C$19))</f>
        <v>0.8703</v>
      </c>
      <c r="M82" s="120">
        <f>IF(VLOOKUP($E82,武器奇术!$A:$R,15,FALSE)="天工",0%,IF($C$18+VLOOKUP($E82,武器奇术!$A:$R,9,FALSE)&gt;40%,40%,$C$18+VLOOKUP($E82,武器奇术!$A:$R,9,FALSE))+IF($C$20&gt;10%,10%,$C$20))</f>
        <v>0.0986</v>
      </c>
      <c r="N82" s="121">
        <f>IF(VLOOKUP($E82,武器奇术!$A:$R,15,FALSE)="天工",100%,MIN($C$16,1))</f>
        <v>1</v>
      </c>
      <c r="O82" s="122" t="str">
        <f>VLOOKUP($E82,武器奇术!$A:$R,16,FALSE)</f>
        <v>伞</v>
      </c>
      <c r="P82" s="123">
        <f t="shared" si="1"/>
        <v>0.17</v>
      </c>
      <c r="Q82" s="110">
        <f>$B$5*(1+VLOOKUP($E82,武器奇术!$A:$R,5,FALSE))*(1+VLOOKUP($E82,武器奇术!$A:$S,19,FALSE)+IF($G$5="飞隼",0.1,0)+IF($G$5="撼天",0.05,0))-$F$9+IF($J$5="√",160,0)</f>
        <v>3081.85</v>
      </c>
      <c r="R82" s="102">
        <f>IF(VLOOKUP($E82,武器奇术!$A:$Z,18,FALSE)="叶龙",(S82-(Q82+S82)*0.5)*($G$15-0.5)*2+(Q82+S82)*0.5,(Q82+S82)*0.5)</f>
        <v>3161.85</v>
      </c>
      <c r="S82" s="102">
        <f>MAX($C$5,$B$5)*(1+VLOOKUP($E82,武器奇术!$A:$R,6,FALSE))*(1+VLOOKUP($E82,武器奇术!$A:$S,19,FALSE)+IF($G$5="飞隼",0.1,0)+IF($G$5="撼天",0.05,0))-$F$9+IF($J$5="√",320,0)</f>
        <v>3241.85</v>
      </c>
      <c r="T82" s="104">
        <f>IF(($D$5+VLOOKUP($E82,武器奇术!$A:$R,13,FALSE)+IF($I$3="√",10,0)-VLOOKUP($F$7,目标属性!$A:$R,5,FALSE))&gt;0,($D$5+VLOOKUP($E82,武器奇术!$A:$R,13,FALSE)+IF($I$3="√",10,0)-VLOOKUP($F$7,目标属性!$A:$R,5,FALSE))/200,($D$5+VLOOKUP($E82,武器奇术!$A:$R,13,FALSE)+IF($I$3="√",10,0)-VLOOKUP($F$7,目标属性!$A:$R,5,FALSE))/100)</f>
        <v>0.2925</v>
      </c>
      <c r="U82" s="111">
        <f>$E$5+IF($G$5="烟柳",IF(VLOOKUP($E82,武器奇术!$A:$T,20,FALSE)=1,0.1,0),0)</f>
        <v>0.1</v>
      </c>
      <c r="V82" s="102">
        <v>1</v>
      </c>
      <c r="W82" s="103">
        <f>Q82*VLOOKUP($E82,武器奇术!$A:$R,2,FALSE)*(1+T82)*(1+U82)*V82</f>
        <v>10251.6768696788</v>
      </c>
      <c r="X82" s="104">
        <f>(1-IF(VLOOKUP($E82,武器奇术!$A:$R,18,FALSE)="叶龙",1,$N82))*(1-$M82)</f>
        <v>0</v>
      </c>
      <c r="Y82" s="103">
        <f>R82*VLOOKUP($E82,武器奇术!$A:$R,2,FALSE)*(1+T82)*(1+U82)*V82*(1+$E$16+VLOOKUP($E82,武器奇术!$A:$R,8,FALSE))</f>
        <v>21077.6598727482</v>
      </c>
      <c r="Z82" s="104">
        <f t="shared" si="2"/>
        <v>0.8703</v>
      </c>
      <c r="AA82" s="103">
        <f>S82*VLOOKUP($E82,武器奇术!$A:$R,2,FALSE)*(1+T82)*(1+U82)*V82*(1+$E$17+VLOOKUP($E82,武器奇术!$A:$R,10,FALSE))</f>
        <v>14558.2809646663</v>
      </c>
      <c r="AB82" s="104">
        <f t="shared" si="3"/>
        <v>0.0986</v>
      </c>
      <c r="AC82" s="103">
        <f>R82*VLOOKUP($E82,武器奇术!$A:$R,2,FALSE)*(1+T82)*(1+U82)*V82</f>
        <v>10517.7943476788</v>
      </c>
      <c r="AD82" s="104">
        <f t="shared" si="4"/>
        <v>0.0311</v>
      </c>
      <c r="AE82" s="112">
        <f t="shared" si="5"/>
        <v>20106.4372945817</v>
      </c>
      <c r="AF82" s="113">
        <f>VLOOKUP($E82,武器奇术!$A:$R,3,FALSE)*(1+IF(VLOOKUP($E82,武器奇术!$A:$R,15,FALSE)="武器",$E$15,0))</f>
        <v>842.4</v>
      </c>
      <c r="AG82" s="103">
        <f t="shared" si="6"/>
        <v>842.4</v>
      </c>
      <c r="AH82" s="103">
        <f>VLOOKUP($E82,武器奇术!$A:$R,3,FALSE)*(1+IF(VLOOKUP($E82,武器奇术!$A:$R,15,FALSE)="武器",$E$15,0))</f>
        <v>842.4</v>
      </c>
      <c r="AI82" s="104">
        <f>IF(($D$5+VLOOKUP($E82,武器奇术!$A:$R,13,FALSE)+IF($I$3="√",10,0)-VLOOKUP($F$7,目标属性!$A:$R,5,FALSE))&gt;0,($D$5+VLOOKUP($E82,武器奇术!$A:$R,13,FALSE)+IF($I$3="√",10,0)-VLOOKUP($F$7,目标属性!$A:$R,5,FALSE))/200,($D$5+VLOOKUP($E82,武器奇术!$A:$R,13,FALSE)+IF($I$3="√",10,0)-VLOOKUP($F$7,目标属性!$A:$R,5,FALSE))/100)</f>
        <v>0.2925</v>
      </c>
      <c r="AJ82" s="111">
        <f>$E$5+IF($G$5="烟柳",IF(VLOOKUP($E82,武器奇术!$A:$T,20,FALSE)=1,0.1,0),0)</f>
        <v>0.1</v>
      </c>
      <c r="AK82" s="102">
        <v>1</v>
      </c>
      <c r="AL82" s="103">
        <f t="shared" si="7"/>
        <v>1197.6822</v>
      </c>
      <c r="AM82" s="104">
        <f>(1-IF(VLOOKUP($E82,武器奇术!$A:$R,18,FALSE)="叶龙",1,$N82))*(1-$M82)</f>
        <v>0</v>
      </c>
      <c r="AN82" s="103">
        <f>AG82*(1+AI82)*(1+AJ82)*AK82*(1+$E$16+VLOOKUP($E82,武器奇术!$A:$R,8,FALSE))</f>
        <v>2400.1551288</v>
      </c>
      <c r="AO82" s="104">
        <f t="shared" si="8"/>
        <v>0.8703</v>
      </c>
      <c r="AP82" s="103">
        <f>AH82*(1+AI82)*(1+AJ82)*AK82*(1+$E$17+VLOOKUP($E82,武器奇术!$A:$R,10,FALSE))</f>
        <v>1616.87097</v>
      </c>
      <c r="AQ82" s="104">
        <f t="shared" si="9"/>
        <v>0.0986</v>
      </c>
      <c r="AR82" s="103">
        <f t="shared" si="10"/>
        <v>1197.6822</v>
      </c>
      <c r="AS82" s="104">
        <f t="shared" si="11"/>
        <v>0.0311</v>
      </c>
      <c r="AT82" s="112">
        <f t="shared" si="12"/>
        <v>2285.52640265664</v>
      </c>
      <c r="AU82" s="110">
        <f>$B$7*IF($G$5="撼天",1.05,1)+IF(AND(VLOOKUP($E82,武器奇术!$A:$R,15,FALSE)="武器",VLOOKUP($E82,武器奇术!$A:$R,17,FALSE)="鸣金"),$E$3*(1+$E$15),0)</f>
        <v>0</v>
      </c>
      <c r="AV82" s="102">
        <f t="shared" si="13"/>
        <v>0</v>
      </c>
      <c r="AW82" s="102">
        <f>MAX($C$7*IF($G$5="撼天",1.05,1)+IF(AND(VLOOKUP($E82,武器奇术!$A:$R,15,FALSE)="武器",VLOOKUP($E82,武器奇术!$A:$R,17,FALSE)="鸣金"),$E$3*(1+$E$15),0),AU82)</f>
        <v>0</v>
      </c>
      <c r="AX82" s="104">
        <f>IF(($D$7+IF(VLOOKUP($E82,武器奇术!$A:$R,17,FALSE)="鸣金",$D$15,0)-VLOOKUP($F$7,目标属性!$A:$R,6,FALSE))&gt;0,($D$7+IF(VLOOKUP($E82,武器奇术!$A:$R,17,FALSE)="鸣金",$D$15,0)-VLOOKUP($F$7,目标属性!$A:$R,6,FALSE))/200,($D$7+IF(VLOOKUP($E82,武器奇术!$A:$R,17,FALSE)="鸣金",$D$15,0)-VLOOKUP($F$7,目标属性!$A:$R,6,FALSE))/100)</f>
        <v>-0.24</v>
      </c>
      <c r="AY82" s="111">
        <f t="shared" si="14"/>
        <v>0</v>
      </c>
      <c r="AZ82" s="102">
        <v>1</v>
      </c>
      <c r="BA82" s="103">
        <f>AU82*IF(VLOOKUP($E82,武器奇术!$A:$R,17,FALSE)="鸣金",VLOOKUP($E82,武器奇术!$A:$R,4,FALSE),VLOOKUP($E82,武器奇术!$A:$R,2,FALSE))*(1+AX82)*(1+AY82)*AZ82</f>
        <v>0</v>
      </c>
      <c r="BB82" s="104">
        <f>(1-IF(VLOOKUP($E82,武器奇术!$A:$R,18,FALSE)="叶龙",1,$N82))*(1-$M82)</f>
        <v>0</v>
      </c>
      <c r="BC82" s="103">
        <f>AV82*IF(VLOOKUP($E82,武器奇术!$A:$R,17,FALSE)="鸣金",VLOOKUP($E82,武器奇术!$A:$R,4,FALSE),VLOOKUP($E82,武器奇术!$A:$R,2,FALSE))*(1+AX82)*(1+AY82)*AZ82*(1+$E$16+VLOOKUP($E82,武器奇术!$A:$R,8,FALSE))</f>
        <v>0</v>
      </c>
      <c r="BD82" s="104">
        <f t="shared" si="15"/>
        <v>0.8703</v>
      </c>
      <c r="BE82" s="103">
        <f>AW82*IF(VLOOKUP($E82,武器奇术!$A:$R,17,FALSE)="鸣金",VLOOKUP($E82,武器奇术!$A:$R,4,FALSE),VLOOKUP($E82,武器奇术!$A:$R,2,FALSE))*(1+AX82)*(1+AY82)*AZ82*(1+$E$17+VLOOKUP($E82,武器奇术!$A:$R,10,FALSE))</f>
        <v>0</v>
      </c>
      <c r="BF82" s="104">
        <f t="shared" si="16"/>
        <v>0.0986</v>
      </c>
      <c r="BG82" s="103">
        <f>AV82*IF(VLOOKUP($E82,武器奇术!$A:$R,17,FALSE)="鸣金",VLOOKUP($E82,武器奇术!$A:$R,4,FALSE),VLOOKUP($E82,武器奇术!$A:$R,2,FALSE))*(1+AX82)*(1+AY82)*AZ82</f>
        <v>0</v>
      </c>
      <c r="BH82" s="104">
        <f t="shared" si="17"/>
        <v>0.0311</v>
      </c>
      <c r="BI82" s="112">
        <f t="shared" si="18"/>
        <v>0</v>
      </c>
      <c r="BJ82" s="110">
        <f>$B$9*IF($G$5="撼天",1.05,1)+IF(AND(VLOOKUP($E82,武器奇术!$A:$R,15,FALSE)="武器",VLOOKUP($E82,武器奇术!$A:$R,17,FALSE)="裂石"),$E$3*(1+$E$15),0)</f>
        <v>0</v>
      </c>
      <c r="BK82" s="102">
        <f t="shared" si="19"/>
        <v>0</v>
      </c>
      <c r="BL82" s="102">
        <f>MAX($C$9*IF($G$5="撼天",1.05,1)+IF(AND(VLOOKUP($E82,武器奇术!$A:$R,15,FALSE)="武器",VLOOKUP($E82,武器奇术!$A:$R,17,FALSE)="裂石"),$E$3*(1+$E$15),0),BJ82)</f>
        <v>0</v>
      </c>
      <c r="BM82" s="104">
        <f>IF(($D$9+IF(VLOOKUP($E82,武器奇术!$A:$R,17,FALSE)="裂石",$D$15,0)-VLOOKUP($F$7,目标属性!$A:$R,6,FALSE))&gt;0,($D$9+IF(VLOOKUP($E82,武器奇术!$A:$R,17,FALSE)="裂石",$D$15,0)-VLOOKUP($F$7,目标属性!$A:$R,6,FALSE))/200,($D$9+IF(VLOOKUP($E82,武器奇术!$A:$R,17,FALSE)="裂石",$D$15,0)-VLOOKUP($F$7,目标属性!$A:$R,6,FALSE))/100)</f>
        <v>-0.24</v>
      </c>
      <c r="BN82" s="111">
        <f t="shared" si="20"/>
        <v>0</v>
      </c>
      <c r="BO82" s="102">
        <v>1</v>
      </c>
      <c r="BP82" s="103">
        <f>BJ82*IF(VLOOKUP($E82,武器奇术!$A:$R,17,FALSE)="裂石",VLOOKUP($E82,武器奇术!$A:$R,4,FALSE),VLOOKUP($E82,武器奇术!$A:$R,2,FALSE))*(1+BM82)*(1+BN82)*BO82</f>
        <v>0</v>
      </c>
      <c r="BQ82" s="104">
        <f>(1-IF(VLOOKUP($E82,武器奇术!$A:$R,18,FALSE)="叶龙",1,$N82))*(1-$M82)</f>
        <v>0</v>
      </c>
      <c r="BR82" s="103">
        <f>BK82*IF(VLOOKUP($E82,武器奇术!$A:$R,17,FALSE)="裂石",VLOOKUP($E82,武器奇术!$A:$R,4,FALSE),VLOOKUP($E82,武器奇术!$A:$R,2,FALSE))*(1+BM82)*(1+BN82)*BO82*(1+$E$16+VLOOKUP($E82,武器奇术!$A:$R,8,FALSE))</f>
        <v>0</v>
      </c>
      <c r="BS82" s="104">
        <f t="shared" si="21"/>
        <v>0.8703</v>
      </c>
      <c r="BT82" s="103">
        <f>BL82*IF(VLOOKUP($E82,武器奇术!$A:$R,17,FALSE)="裂石",VLOOKUP($E82,武器奇术!$A:$R,4,FALSE),VLOOKUP($E82,武器奇术!$A:$R,2,FALSE))*(1+BM82)*(1+BN82)*BO82*(1+$E$17+VLOOKUP($E82,武器奇术!$A:$R,10,FALSE))</f>
        <v>0</v>
      </c>
      <c r="BU82" s="104">
        <f t="shared" si="22"/>
        <v>0.0986</v>
      </c>
      <c r="BV82" s="103">
        <f>BK82*IF(VLOOKUP($E82,武器奇术!$A:$R,17,FALSE)="裂石",VLOOKUP($E82,武器奇术!$A:$R,4,FALSE),VLOOKUP($E82,武器奇术!$A:$R,2,FALSE))*(1+BM82)*(1+BN82)*BO82</f>
        <v>0</v>
      </c>
      <c r="BW82" s="104">
        <f t="shared" si="23"/>
        <v>0.0311</v>
      </c>
      <c r="BX82" s="112">
        <f t="shared" si="24"/>
        <v>0</v>
      </c>
      <c r="BY82" s="110">
        <f>$B$11*IF($G$5="撼天",1.05,1)+IF(AND(VLOOKUP($E82,武器奇术!$A:$R,15,FALSE)="武器",VLOOKUP($E82,武器奇术!$A:$R,17,FALSE)="牵丝"),$E$3*(1+$E$15),0)</f>
        <v>686.71</v>
      </c>
      <c r="BZ82" s="102">
        <f>IF(VLOOKUP($E82,武器奇术!$A:$Z,18,FALSE)="叶龙",(CA82-(BY82+CA82)*0.5)*($G$15-0.5)*2+(BY82+CA82)*0.5,(BY82+CA82)*0.5)</f>
        <v>1052.21</v>
      </c>
      <c r="CA82" s="102">
        <f>MAX($C$11*IF($G$5="撼天",1.05,1)+IF(AND(VLOOKUP($E82,武器奇术!$A:$R,15,FALSE)="武器",VLOOKUP($E82,武器奇术!$A:$R,17,FALSE)="牵丝"),$E$3*(1+$E$15),0),BY82)</f>
        <v>1417.71</v>
      </c>
      <c r="CB82" s="104">
        <f>IF(($D$11+IF(VLOOKUP($E82,武器奇术!$A:$R,17,FALSE)="牵丝",$D$15,0)-VLOOKUP($F$7,目标属性!$A:$R,6,FALSE))&gt;0,($D$11+IF(VLOOKUP($E82,武器奇术!$A:$R,17,FALSE)="牵丝",$D$15,0)-VLOOKUP($F$7,目标属性!$A:$R,6,FALSE))/200,($D$11+IF(VLOOKUP($E82,武器奇术!$A:$R,17,FALSE)="牵丝",$D$15,0)-VLOOKUP($F$7,目标属性!$A:$R,6,FALSE))/100)</f>
        <v>0.028</v>
      </c>
      <c r="CC82" s="111">
        <f>$E$11+IF($G$5="烟柳",IF(VLOOKUP($E82,武器奇术!$A:$T,20,FALSE)=1,0.1,0),0)</f>
        <v>0.248</v>
      </c>
      <c r="CD82" s="102">
        <v>1</v>
      </c>
      <c r="CE82" s="103">
        <f>BY82*IF(VLOOKUP($E82,武器奇术!$A:$R,17,FALSE)="牵丝",VLOOKUP($E82,武器奇术!$A:$R,4,FALSE),VLOOKUP($E82,武器奇术!$A:$R,2,FALSE))*(1+CB82)*(1+CC82)*CD82</f>
        <v>3091.90625934528</v>
      </c>
      <c r="CF82" s="104">
        <f>(1-IF(VLOOKUP($E82,武器奇术!$A:$R,18,FALSE)="叶龙",1,$N82))*(1-$M82)</f>
        <v>0</v>
      </c>
      <c r="CG82" s="124">
        <f>BZ82*IF(VLOOKUP($E82,武器奇术!$A:$R,17,FALSE)="牵丝",VLOOKUP($E82,武器奇术!$A:$R,4,FALSE),VLOOKUP($E82,武器奇术!$A:$R,2,FALSE))*(1+CB82)*(1+CC82)*CD82*(1+$E$16+VLOOKUP($E82,武器奇术!$A:$R,8,FALSE))</f>
        <v>9494.08441559316</v>
      </c>
      <c r="CH82" s="104">
        <f t="shared" si="25"/>
        <v>0.8703</v>
      </c>
      <c r="CI82" s="103">
        <f>CA82*IF(VLOOKUP($E82,武器奇术!$A:$R,17,FALSE)="牵丝",VLOOKUP($E82,武器奇术!$A:$R,4,FALSE),VLOOKUP($E82,武器奇术!$A:$R,2,FALSE))*(1+CB82)*(1+CC82)*CD82*(1+$E$17+VLOOKUP($E82,武器奇术!$A:$R,10,FALSE))</f>
        <v>8617.35764873693</v>
      </c>
      <c r="CJ82" s="104">
        <f t="shared" si="26"/>
        <v>0.0986</v>
      </c>
      <c r="CK82" s="124">
        <f>BZ82*IF(VLOOKUP($E82,武器奇术!$A:$R,17,FALSE)="牵丝",VLOOKUP($E82,武器奇术!$A:$R,4,FALSE),VLOOKUP($E82,武器奇术!$A:$R,2,FALSE))*(1+CB82)*(1+CC82)*CD82</f>
        <v>4737.56707364928</v>
      </c>
      <c r="CL82" s="104">
        <f t="shared" si="27"/>
        <v>0.0311</v>
      </c>
      <c r="CM82" s="112">
        <f t="shared" si="28"/>
        <v>9259.71146704668</v>
      </c>
      <c r="CN82" s="110">
        <f>$B$13*IF($G$5="撼天",1.05,1)+IF(AND(VLOOKUP($E82,武器奇术!$A:$R,15,FALSE)="武器",VLOOKUP($E82,武器奇术!$A:$R,17,FALSE)="破竹"),$E$3*(1+$E$15),0)</f>
        <v>0</v>
      </c>
      <c r="CO82" s="102">
        <f t="shared" si="29"/>
        <v>0</v>
      </c>
      <c r="CP82" s="102">
        <f>MAX($C$13*IF($G$5="撼天",1.05,1)+IF(AND(VLOOKUP($E82,武器奇术!$A:$R,15,FALSE)="武器",VLOOKUP($E82,武器奇术!$A:$R,17,FALSE)="破竹"),$E$3*(1+$E$15),0),CN82)</f>
        <v>0</v>
      </c>
      <c r="CQ82" s="104">
        <f>IF(($D$13+IF(VLOOKUP($E82,武器奇术!$A:$R,17,FALSE)="破竹",$D$15,0)-VLOOKUP($F$7,目标属性!$A:$R,6,FALSE))&gt;0,($D$13+IF(VLOOKUP($E82,武器奇术!$A:$R,17,FALSE)="破竹",$D$15,0)-VLOOKUP($F$7,目标属性!$A:$R,6,FALSE))/200,($D$13+IF(VLOOKUP($E82,武器奇术!$A:$R,17,FALSE)="破竹",$D$15,0)-VLOOKUP($F$7,目标属性!$A:$R,6,FALSE))/100)</f>
        <v>-0.24</v>
      </c>
      <c r="CR82" s="111">
        <f t="shared" si="30"/>
        <v>0</v>
      </c>
      <c r="CS82" s="102">
        <v>1</v>
      </c>
      <c r="CT82" s="103">
        <f>CN82*IF(VLOOKUP($E82,武器奇术!$A:$R,17,FALSE)="破竹",VLOOKUP($E82,武器奇术!$A:$R,4,FALSE),VLOOKUP($E82,武器奇术!$A:$R,2,FALSE))*(1+CQ82)*(1+CR82)*CS82</f>
        <v>0</v>
      </c>
      <c r="CU82" s="104">
        <f>(1-IF(VLOOKUP($E82,武器奇术!$A:$R,18,FALSE)="叶龙",1,$N82))*(1-$M82)</f>
        <v>0</v>
      </c>
      <c r="CV82" s="103">
        <f>CO82*IF(VLOOKUP($E82,武器奇术!$A:$R,17,FALSE)="破竹",VLOOKUP($E82,武器奇术!$A:$R,4,FALSE),VLOOKUP($E82,武器奇术!$A:$R,2,FALSE))*(1+CQ82)*(1+CR82)*CS82*(1+$E$16+VLOOKUP($E82,武器奇术!$A:$R,8,FALSE))</f>
        <v>0</v>
      </c>
      <c r="CW82" s="104">
        <f t="shared" si="31"/>
        <v>0.8703</v>
      </c>
      <c r="CX82" s="103">
        <f>CP82*IF(VLOOKUP($E82,武器奇术!$A:$R,17,FALSE)="破竹",VLOOKUP($E82,武器奇术!$A:$R,4,FALSE),VLOOKUP($E82,武器奇术!$A:$R,2,FALSE))*(1+CQ82)*(1+CR82)*CS82*(1+$E$17+VLOOKUP($E82,武器奇术!$A:$R,10,FALSE))</f>
        <v>0</v>
      </c>
      <c r="CY82" s="104">
        <f t="shared" si="32"/>
        <v>0.0986</v>
      </c>
      <c r="CZ82" s="103">
        <f>CO82*IF(VLOOKUP($E82,武器奇术!$A:$R,17,FALSE)="破竹",VLOOKUP($E82,武器奇术!$A:$R,4,FALSE),VLOOKUP($E82,武器奇术!$A:$R,2,FALSE))*(1+CQ82)*(1+CR82)*CS82</f>
        <v>0</v>
      </c>
      <c r="DA82" s="104">
        <f t="shared" si="33"/>
        <v>0.0311</v>
      </c>
      <c r="DB82" s="112">
        <f t="shared" si="34"/>
        <v>0</v>
      </c>
      <c r="DC82" s="110">
        <f t="shared" si="35"/>
        <v>66</v>
      </c>
      <c r="DD82" s="102">
        <f t="shared" si="36"/>
        <v>125.8</v>
      </c>
      <c r="DE82" s="102">
        <f t="shared" si="37"/>
        <v>185.6</v>
      </c>
      <c r="DF82" s="104">
        <f>IF((IF(VLOOKUP($E82,武器奇术!$A:$R,17,FALSE)="鸣金",$D$7,0)+IF(VLOOKUP($E82,武器奇术!$A:$R,17,FALSE)="裂石",$D$9,0)+IF(VLOOKUP($E82,武器奇术!$A:$R,17,FALSE)="牵丝",$D$11,0)+IF(VLOOKUP($E82,武器奇术!$A:$R,17,FALSE)="破竹",$D$13,0)+$D$15-VLOOKUP($F$7,目标属性!$A:$R,6,FALSE))&gt;0,(IF(VLOOKUP($E82,武器奇术!$A:$R,17,FALSE)="鸣金",$D$7,0)+IF(VLOOKUP($E82,武器奇术!$A:$R,17,FALSE)="裂石",$D$9,0)+IF(VLOOKUP($E82,武器奇术!$A:$R,17,FALSE)="牵丝",$D$11,0)+IF(VLOOKUP($E82,武器奇术!$A:$R,17,FALSE)="破竹",$D$13,0)+$D$15-VLOOKUP($F$7,目标属性!$A:$R,6,FALSE))/200,(IF(VLOOKUP($E82,武器奇术!$A:$R,17,FALSE)="鸣金",$D$7,0)+IF(VLOOKUP($E82,武器奇术!$A:$R,17,FALSE)="裂石",$D$9,0)+IF(VLOOKUP($E82,武器奇术!$A:$R,17,FALSE)="牵丝",$D$11,0)+IF(VLOOKUP($E82,武器奇术!$A:$R,17,FALSE)="破竹",$D$13,0)+$D$15-VLOOKUP($F$7,目标属性!$A:$R,6,FALSE))/100)</f>
        <v>0.028</v>
      </c>
      <c r="DG82" s="111">
        <f>$E$11+IF($G$5="烟柳",IF(VLOOKUP($E82,武器奇术!$A:$T,20,FALSE)=1,0.1,0),0)</f>
        <v>0.248</v>
      </c>
      <c r="DH82" s="102">
        <v>1</v>
      </c>
      <c r="DI82" s="103">
        <f>DC82*IF(VLOOKUP($E82,武器奇术!$A:$R,17,FALSE)="牵丝",VLOOKUP($E82,武器奇术!$A:$R,4,FALSE),VLOOKUP($E82,武器奇术!$A:$R,2,FALSE))*(1+DF82)*(1+DG82)*DH82</f>
        <v>297.164469888</v>
      </c>
      <c r="DJ82" s="104">
        <f>(1-IF(VLOOKUP($E82,武器奇术!$A:$R,18,FALSE)="叶龙",1,$N82))*(1-$M82)</f>
        <v>0</v>
      </c>
      <c r="DK82" s="124">
        <f>DD82*IF(VLOOKUP($E82,武器奇术!$A:$R,17,FALSE)="牵丝",VLOOKUP($E82,武器奇术!$A:$R,4,FALSE),VLOOKUP($E82,武器奇术!$A:$R,2,FALSE))*(1+DF82)*(1+DG82)*DH82*(1+$E$16+VLOOKUP($E82,武器奇术!$A:$R,8,FALSE))</f>
        <v>1135.0926331071</v>
      </c>
      <c r="DL82" s="104">
        <f t="shared" si="38"/>
        <v>0.8703</v>
      </c>
      <c r="DM82" s="103">
        <f>DE82*IF(VLOOKUP($E82,武器奇术!$A:$R,17,FALSE)="牵丝",VLOOKUP($E82,武器奇术!$A:$R,4,FALSE),VLOOKUP($E82,武器奇术!$A:$R,2,FALSE))*(1+DF82)*(1+DG82)*DH82*(1+$E$17+VLOOKUP($E82,武器奇术!$A:$R,10,FALSE))</f>
        <v>1128.14438750208</v>
      </c>
      <c r="DN82" s="104">
        <f t="shared" si="39"/>
        <v>0.0986</v>
      </c>
      <c r="DO82" s="124">
        <f>DD82*IF(VLOOKUP($E82,武器奇术!$A:$R,17,FALSE)="牵丝",VLOOKUP($E82,武器奇术!$A:$R,4,FALSE),VLOOKUP($E82,武器奇术!$A:$R,2,FALSE))*(1+DF82)*(1+DG82)*DH82</f>
        <v>566.4134895744</v>
      </c>
      <c r="DP82" s="104">
        <f t="shared" si="40"/>
        <v>0.0311</v>
      </c>
      <c r="DQ82" s="112">
        <f t="shared" si="41"/>
        <v>1116.72161472658</v>
      </c>
    </row>
    <row r="83" spans="1:121">
      <c r="A83" s="139"/>
      <c r="B83" s="139"/>
      <c r="C83" s="139"/>
      <c r="D83" s="139"/>
      <c r="E83" s="115" t="str">
        <f>期望!E83</f>
        <v>伞重击派生(小纵)</v>
      </c>
      <c r="F83" s="116">
        <f>期望!F83</f>
        <v>1</v>
      </c>
      <c r="G83" s="117"/>
      <c r="H83" s="140">
        <f>IF(VLOOKUP($E83,武器奇术!$A:$R,18,FALSE)="天工",AE83,(AE83+AT83+BI83+BX83+CM83+DB83+DQ83))*(1+J83)*F83*K83*(1+G83)*(1+$G$21*5%)</f>
        <v>44174.3155693458</v>
      </c>
      <c r="I83" s="104">
        <f t="shared" si="0"/>
        <v>0.0050910880083225</v>
      </c>
      <c r="J83" s="104">
        <f>$F$3+VLOOKUP($E83,武器奇术!$A:$R,12,FALSE)+VLOOKUP($E83,武器奇术!$A:$R,14,FALSE)*$G$3+$P83</f>
        <v>0.623</v>
      </c>
      <c r="K83" s="105">
        <f>VLOOKUP($E83,武器奇术!$A:$R,11,FALSE)</f>
        <v>1</v>
      </c>
      <c r="L83" s="119">
        <f>IF(VLOOKUP($E83,武器奇术!$A:$R,15,FALSE)="天工",0%,IF($C$17+VLOOKUP($E83,武器奇术!$A:$R,7,FALSE)&gt;80%,80%,$C$17+VLOOKUP($E83,武器奇术!$A:$R,7,FALSE))+IF($C$19&gt;20%,20%,$C$19))</f>
        <v>0.8703</v>
      </c>
      <c r="M83" s="120">
        <f>IF(VLOOKUP($E83,武器奇术!$A:$R,15,FALSE)="天工",0%,IF($C$18+VLOOKUP($E83,武器奇术!$A:$R,9,FALSE)&gt;40%,40%,$C$18+VLOOKUP($E83,武器奇术!$A:$R,9,FALSE))+IF($C$20&gt;10%,10%,$C$20))</f>
        <v>0.0986</v>
      </c>
      <c r="N83" s="121">
        <f>IF(VLOOKUP($E83,武器奇术!$A:$R,15,FALSE)="天工",100%,MIN($C$16,1))</f>
        <v>1</v>
      </c>
      <c r="O83" s="122" t="str">
        <f>VLOOKUP($E83,武器奇术!$A:$R,16,FALSE)</f>
        <v>伞</v>
      </c>
      <c r="P83" s="123">
        <f t="shared" si="1"/>
        <v>0.17</v>
      </c>
      <c r="Q83" s="110">
        <f>$B$5*(1+VLOOKUP($E83,武器奇术!$A:$R,5,FALSE))*(1+VLOOKUP($E83,武器奇术!$A:$S,19,FALSE)+IF($G$5="飞隼",0.1,0)+IF($G$5="撼天",0.05,0))-$F$9+IF($J$5="√",160,0)</f>
        <v>3081.85</v>
      </c>
      <c r="R83" s="102">
        <f>IF(VLOOKUP($E83,武器奇术!$A:$Z,18,FALSE)="叶龙",(S83-(Q83+S83)*0.5)*($G$15-0.5)*2+(Q83+S83)*0.5,(Q83+S83)*0.5)</f>
        <v>3161.85</v>
      </c>
      <c r="S83" s="102">
        <f>MAX($C$5,$B$5)*(1+VLOOKUP($E83,武器奇术!$A:$R,6,FALSE))*(1+VLOOKUP($E83,武器奇术!$A:$S,19,FALSE)+IF($G$5="飞隼",0.1,0)+IF($G$5="撼天",0.05,0))-$F$9+IF($J$5="√",320,0)</f>
        <v>3241.85</v>
      </c>
      <c r="T83" s="104">
        <f>IF(($D$5+VLOOKUP($E83,武器奇术!$A:$R,13,FALSE)+IF($I$3="√",10,0)-VLOOKUP($F$7,目标属性!$A:$R,5,FALSE))&gt;0,($D$5+VLOOKUP($E83,武器奇术!$A:$R,13,FALSE)+IF($I$3="√",10,0)-VLOOKUP($F$7,目标属性!$A:$R,5,FALSE))/200,($D$5+VLOOKUP($E83,武器奇术!$A:$R,13,FALSE)+IF($I$3="√",10,0)-VLOOKUP($F$7,目标属性!$A:$R,5,FALSE))/100)</f>
        <v>0.2675</v>
      </c>
      <c r="U83" s="111">
        <f>$E$5+IF($G$5="烟柳",IF(VLOOKUP($E83,武器奇术!$A:$T,20,FALSE)=1,0.1,0),0)</f>
        <v>0.1</v>
      </c>
      <c r="V83" s="102">
        <v>1</v>
      </c>
      <c r="W83" s="103">
        <f>Q83*VLOOKUP($E83,武器奇术!$A:$R,2,FALSE)*(1+T83)*(1+U83)*V83</f>
        <v>7302.52948156875</v>
      </c>
      <c r="X83" s="104">
        <f>(1-IF(VLOOKUP($E83,武器奇术!$A:$R,18,FALSE)="叶龙",1,$N83))*(1-$M83)</f>
        <v>0</v>
      </c>
      <c r="Y83" s="103">
        <f>R83*VLOOKUP($E83,武器奇术!$A:$R,2,FALSE)*(1+T83)*(1+U83)*V83*(1+$E$16+VLOOKUP($E83,武器奇术!$A:$R,8,FALSE))</f>
        <v>12316.998773819</v>
      </c>
      <c r="Z83" s="104">
        <f t="shared" si="2"/>
        <v>0.8703</v>
      </c>
      <c r="AA83" s="103">
        <f>S83*VLOOKUP($E83,武器奇术!$A:$R,2,FALSE)*(1+T83)*(1+U83)*V83*(1+$E$17+VLOOKUP($E83,武器奇术!$A:$R,10,FALSE))</f>
        <v>10370.2328211178</v>
      </c>
      <c r="AB83" s="104">
        <f t="shared" si="3"/>
        <v>0.0986</v>
      </c>
      <c r="AC83" s="103">
        <f>R83*VLOOKUP($E83,武器奇术!$A:$R,2,FALSE)*(1+T83)*(1+U83)*V83</f>
        <v>7492.09171156875</v>
      </c>
      <c r="AD83" s="104">
        <f t="shared" si="4"/>
        <v>0.0311</v>
      </c>
      <c r="AE83" s="112">
        <f t="shared" si="5"/>
        <v>11974.9930412467</v>
      </c>
      <c r="AF83" s="113">
        <f>VLOOKUP($E83,武器奇术!$A:$R,3,FALSE)*(1+IF(VLOOKUP($E83,武器奇术!$A:$R,15,FALSE)="武器",$E$15,0))</f>
        <v>510.9</v>
      </c>
      <c r="AG83" s="103">
        <f t="shared" si="6"/>
        <v>510.9</v>
      </c>
      <c r="AH83" s="103">
        <f>VLOOKUP($E83,武器奇术!$A:$R,3,FALSE)*(1+IF(VLOOKUP($E83,武器奇术!$A:$R,15,FALSE)="武器",$E$15,0))</f>
        <v>510.9</v>
      </c>
      <c r="AI83" s="104">
        <f>IF(($D$5+VLOOKUP($E83,武器奇术!$A:$R,13,FALSE)+IF($I$3="√",10,0)-VLOOKUP($F$7,目标属性!$A:$R,5,FALSE))&gt;0,($D$5+VLOOKUP($E83,武器奇术!$A:$R,13,FALSE)+IF($I$3="√",10,0)-VLOOKUP($F$7,目标属性!$A:$R,5,FALSE))/200,($D$5+VLOOKUP($E83,武器奇术!$A:$R,13,FALSE)+IF($I$3="√",10,0)-VLOOKUP($F$7,目标属性!$A:$R,5,FALSE))/100)</f>
        <v>0.2675</v>
      </c>
      <c r="AJ83" s="111">
        <f>$E$5+IF($G$5="烟柳",IF(VLOOKUP($E83,武器奇术!$A:$T,20,FALSE)=1,0.1,0),0)</f>
        <v>0.1</v>
      </c>
      <c r="AK83" s="102">
        <v>1</v>
      </c>
      <c r="AL83" s="103">
        <f t="shared" si="7"/>
        <v>712.322325</v>
      </c>
      <c r="AM83" s="104">
        <f>(1-IF(VLOOKUP($E83,武器奇术!$A:$R,18,FALSE)="叶龙",1,$N83))*(1-$M83)</f>
        <v>0</v>
      </c>
      <c r="AN83" s="103">
        <f>AG83*(1+AI83)*(1+AJ83)*AK83*(1+$E$16+VLOOKUP($E83,武器奇术!$A:$R,8,FALSE))</f>
        <v>1171.0579023</v>
      </c>
      <c r="AO83" s="104">
        <f t="shared" si="8"/>
        <v>0.8703</v>
      </c>
      <c r="AP83" s="103">
        <f>AH83*(1+AI83)*(1+AJ83)*AK83*(1+$E$17+VLOOKUP($E83,武器奇术!$A:$R,10,FALSE))</f>
        <v>961.63513875</v>
      </c>
      <c r="AQ83" s="104">
        <f t="shared" si="9"/>
        <v>0.0986</v>
      </c>
      <c r="AR83" s="103">
        <f t="shared" si="10"/>
        <v>712.322325</v>
      </c>
      <c r="AS83" s="104">
        <f t="shared" si="11"/>
        <v>0.0311</v>
      </c>
      <c r="AT83" s="112">
        <f t="shared" si="12"/>
        <v>1136.14214135994</v>
      </c>
      <c r="AU83" s="110">
        <f>$B$7*IF($G$5="撼天",1.05,1)+IF(AND(VLOOKUP($E83,武器奇术!$A:$R,15,FALSE)="武器",VLOOKUP($E83,武器奇术!$A:$R,17,FALSE)="鸣金"),$E$3*(1+$E$15),0)</f>
        <v>0</v>
      </c>
      <c r="AV83" s="102">
        <f t="shared" si="13"/>
        <v>0</v>
      </c>
      <c r="AW83" s="102">
        <f>MAX($C$7*IF($G$5="撼天",1.05,1)+IF(AND(VLOOKUP($E83,武器奇术!$A:$R,15,FALSE)="武器",VLOOKUP($E83,武器奇术!$A:$R,17,FALSE)="鸣金"),$E$3*(1+$E$15),0),AU83)</f>
        <v>0</v>
      </c>
      <c r="AX83" s="104">
        <f>IF(($D$7+IF(VLOOKUP($E83,武器奇术!$A:$R,17,FALSE)="鸣金",$D$15,0)-VLOOKUP($F$7,目标属性!$A:$R,6,FALSE))&gt;0,($D$7+IF(VLOOKUP($E83,武器奇术!$A:$R,17,FALSE)="鸣金",$D$15,0)-VLOOKUP($F$7,目标属性!$A:$R,6,FALSE))/200,($D$7+IF(VLOOKUP($E83,武器奇术!$A:$R,17,FALSE)="鸣金",$D$15,0)-VLOOKUP($F$7,目标属性!$A:$R,6,FALSE))/100)</f>
        <v>-0.24</v>
      </c>
      <c r="AY83" s="111">
        <f t="shared" si="14"/>
        <v>0</v>
      </c>
      <c r="AZ83" s="102">
        <v>1</v>
      </c>
      <c r="BA83" s="103">
        <f>AU83*IF(VLOOKUP($E83,武器奇术!$A:$R,17,FALSE)="鸣金",VLOOKUP($E83,武器奇术!$A:$R,4,FALSE),VLOOKUP($E83,武器奇术!$A:$R,2,FALSE))*(1+AX83)*(1+AY83)*AZ83</f>
        <v>0</v>
      </c>
      <c r="BB83" s="104">
        <f>(1-IF(VLOOKUP($E83,武器奇术!$A:$R,18,FALSE)="叶龙",1,$N83))*(1-$M83)</f>
        <v>0</v>
      </c>
      <c r="BC83" s="103">
        <f>AV83*IF(VLOOKUP($E83,武器奇术!$A:$R,17,FALSE)="鸣金",VLOOKUP($E83,武器奇术!$A:$R,4,FALSE),VLOOKUP($E83,武器奇术!$A:$R,2,FALSE))*(1+AX83)*(1+AY83)*AZ83*(1+$E$16+VLOOKUP($E83,武器奇术!$A:$R,8,FALSE))</f>
        <v>0</v>
      </c>
      <c r="BD83" s="104">
        <f t="shared" si="15"/>
        <v>0.8703</v>
      </c>
      <c r="BE83" s="103">
        <f>AW83*IF(VLOOKUP($E83,武器奇术!$A:$R,17,FALSE)="鸣金",VLOOKUP($E83,武器奇术!$A:$R,4,FALSE),VLOOKUP($E83,武器奇术!$A:$R,2,FALSE))*(1+AX83)*(1+AY83)*AZ83*(1+$E$17+VLOOKUP($E83,武器奇术!$A:$R,10,FALSE))</f>
        <v>0</v>
      </c>
      <c r="BF83" s="104">
        <f t="shared" si="16"/>
        <v>0.0986</v>
      </c>
      <c r="BG83" s="103">
        <f>AV83*IF(VLOOKUP($E83,武器奇术!$A:$R,17,FALSE)="鸣金",VLOOKUP($E83,武器奇术!$A:$R,4,FALSE),VLOOKUP($E83,武器奇术!$A:$R,2,FALSE))*(1+AX83)*(1+AY83)*AZ83</f>
        <v>0</v>
      </c>
      <c r="BH83" s="104">
        <f t="shared" si="17"/>
        <v>0.0311</v>
      </c>
      <c r="BI83" s="112">
        <f t="shared" si="18"/>
        <v>0</v>
      </c>
      <c r="BJ83" s="110">
        <f>$B$9*IF($G$5="撼天",1.05,1)+IF(AND(VLOOKUP($E83,武器奇术!$A:$R,15,FALSE)="武器",VLOOKUP($E83,武器奇术!$A:$R,17,FALSE)="裂石"),$E$3*(1+$E$15),0)</f>
        <v>0</v>
      </c>
      <c r="BK83" s="102">
        <f t="shared" si="19"/>
        <v>0</v>
      </c>
      <c r="BL83" s="102">
        <f>MAX($C$9*IF($G$5="撼天",1.05,1)+IF(AND(VLOOKUP($E83,武器奇术!$A:$R,15,FALSE)="武器",VLOOKUP($E83,武器奇术!$A:$R,17,FALSE)="裂石"),$E$3*(1+$E$15),0),BJ83)</f>
        <v>0</v>
      </c>
      <c r="BM83" s="104">
        <f>IF(($D$9+IF(VLOOKUP($E83,武器奇术!$A:$R,17,FALSE)="裂石",$D$15,0)-VLOOKUP($F$7,目标属性!$A:$R,6,FALSE))&gt;0,($D$9+IF(VLOOKUP($E83,武器奇术!$A:$R,17,FALSE)="裂石",$D$15,0)-VLOOKUP($F$7,目标属性!$A:$R,6,FALSE))/200,($D$9+IF(VLOOKUP($E83,武器奇术!$A:$R,17,FALSE)="裂石",$D$15,0)-VLOOKUP($F$7,目标属性!$A:$R,6,FALSE))/100)</f>
        <v>-0.24</v>
      </c>
      <c r="BN83" s="111">
        <f t="shared" si="20"/>
        <v>0</v>
      </c>
      <c r="BO83" s="102">
        <v>1</v>
      </c>
      <c r="BP83" s="103">
        <f>BJ83*IF(VLOOKUP($E83,武器奇术!$A:$R,17,FALSE)="裂石",VLOOKUP($E83,武器奇术!$A:$R,4,FALSE),VLOOKUP($E83,武器奇术!$A:$R,2,FALSE))*(1+BM83)*(1+BN83)*BO83</f>
        <v>0</v>
      </c>
      <c r="BQ83" s="104">
        <f>(1-IF(VLOOKUP($E83,武器奇术!$A:$R,18,FALSE)="叶龙",1,$N83))*(1-$M83)</f>
        <v>0</v>
      </c>
      <c r="BR83" s="103">
        <f>BK83*IF(VLOOKUP($E83,武器奇术!$A:$R,17,FALSE)="裂石",VLOOKUP($E83,武器奇术!$A:$R,4,FALSE),VLOOKUP($E83,武器奇术!$A:$R,2,FALSE))*(1+BM83)*(1+BN83)*BO83*(1+$E$16+VLOOKUP($E83,武器奇术!$A:$R,8,FALSE))</f>
        <v>0</v>
      </c>
      <c r="BS83" s="104">
        <f t="shared" si="21"/>
        <v>0.8703</v>
      </c>
      <c r="BT83" s="103">
        <f>BL83*IF(VLOOKUP($E83,武器奇术!$A:$R,17,FALSE)="裂石",VLOOKUP($E83,武器奇术!$A:$R,4,FALSE),VLOOKUP($E83,武器奇术!$A:$R,2,FALSE))*(1+BM83)*(1+BN83)*BO83*(1+$E$17+VLOOKUP($E83,武器奇术!$A:$R,10,FALSE))</f>
        <v>0</v>
      </c>
      <c r="BU83" s="104">
        <f t="shared" si="22"/>
        <v>0.0986</v>
      </c>
      <c r="BV83" s="103">
        <f>BK83*IF(VLOOKUP($E83,武器奇术!$A:$R,17,FALSE)="裂石",VLOOKUP($E83,武器奇术!$A:$R,4,FALSE),VLOOKUP($E83,武器奇术!$A:$R,2,FALSE))*(1+BM83)*(1+BN83)*BO83</f>
        <v>0</v>
      </c>
      <c r="BW83" s="104">
        <f t="shared" si="23"/>
        <v>0.0311</v>
      </c>
      <c r="BX83" s="112">
        <f t="shared" si="24"/>
        <v>0</v>
      </c>
      <c r="BY83" s="110">
        <f>$B$11*IF($G$5="撼天",1.05,1)+IF(AND(VLOOKUP($E83,武器奇术!$A:$R,15,FALSE)="武器",VLOOKUP($E83,武器奇术!$A:$R,17,FALSE)="牵丝"),$E$3*(1+$E$15),0)</f>
        <v>686.71</v>
      </c>
      <c r="BZ83" s="102">
        <f>IF(VLOOKUP($E83,武器奇术!$A:$Z,18,FALSE)="叶龙",(CA83-(BY83+CA83)*0.5)*($G$15-0.5)*2+(BY83+CA83)*0.5,(BY83+CA83)*0.5)</f>
        <v>1052.21</v>
      </c>
      <c r="CA83" s="102">
        <f>MAX($C$11*IF($G$5="撼天",1.05,1)+IF(AND(VLOOKUP($E83,武器奇术!$A:$R,15,FALSE)="武器",VLOOKUP($E83,武器奇术!$A:$R,17,FALSE)="牵丝"),$E$3*(1+$E$15),0),BY83)</f>
        <v>1417.71</v>
      </c>
      <c r="CB83" s="104">
        <f>IF(($D$11+IF(VLOOKUP($E83,武器奇术!$A:$R,17,FALSE)="牵丝",$D$15,0)-VLOOKUP($F$7,目标属性!$A:$R,6,FALSE))&gt;0,($D$11+IF(VLOOKUP($E83,武器奇术!$A:$R,17,FALSE)="牵丝",$D$15,0)-VLOOKUP($F$7,目标属性!$A:$R,6,FALSE))/200,($D$11+IF(VLOOKUP($E83,武器奇术!$A:$R,17,FALSE)="牵丝",$D$15,0)-VLOOKUP($F$7,目标属性!$A:$R,6,FALSE))/100)</f>
        <v>0.028</v>
      </c>
      <c r="CC83" s="111">
        <f>$E$11+IF($G$5="烟柳",IF(VLOOKUP($E83,武器奇术!$A:$T,20,FALSE)=1,0.1,0),0)</f>
        <v>0.248</v>
      </c>
      <c r="CD83" s="102">
        <v>1</v>
      </c>
      <c r="CE83" s="103">
        <f>BY83*IF(VLOOKUP($E83,武器奇术!$A:$R,17,FALSE)="牵丝",VLOOKUP($E83,武器奇术!$A:$R,4,FALSE),VLOOKUP($E83,武器奇术!$A:$R,2,FALSE))*(1+CB83)*(1+CC83)*CD83</f>
        <v>2245.87190093261</v>
      </c>
      <c r="CF83" s="104">
        <f>(1-IF(VLOOKUP($E83,武器奇术!$A:$R,18,FALSE)="叶龙",1,$N83))*(1-$M83)</f>
        <v>0</v>
      </c>
      <c r="CG83" s="124">
        <f>BZ83*IF(VLOOKUP($E83,武器奇术!$A:$R,17,FALSE)="牵丝",VLOOKUP($E83,武器奇术!$A:$R,4,FALSE),VLOOKUP($E83,武器奇术!$A:$R,2,FALSE))*(1+CB83)*(1+CC83)*CD83*(1+$E$16+VLOOKUP($E83,武器奇术!$A:$R,8,FALSE))</f>
        <v>5657.38647611832</v>
      </c>
      <c r="CH83" s="104">
        <f t="shared" si="25"/>
        <v>0.8703</v>
      </c>
      <c r="CI83" s="103">
        <f>CA83*IF(VLOOKUP($E83,武器奇术!$A:$R,17,FALSE)="牵丝",VLOOKUP($E83,武器奇术!$A:$R,4,FALSE),VLOOKUP($E83,武器奇术!$A:$R,2,FALSE))*(1+CB83)*(1+CC83)*CD83*(1+$E$17+VLOOKUP($E83,武器奇术!$A:$R,10,FALSE))</f>
        <v>6259.4010879499</v>
      </c>
      <c r="CJ83" s="104">
        <f t="shared" si="26"/>
        <v>0.0986</v>
      </c>
      <c r="CK83" s="124">
        <f>BZ83*IF(VLOOKUP($E83,武器奇术!$A:$R,17,FALSE)="牵丝",VLOOKUP($E83,武器奇术!$A:$R,4,FALSE),VLOOKUP($E83,武器奇术!$A:$R,2,FALSE))*(1+CB83)*(1+CC83)*CD83</f>
        <v>3441.23264970701</v>
      </c>
      <c r="CL83" s="104">
        <f t="shared" si="27"/>
        <v>0.0311</v>
      </c>
      <c r="CM83" s="112">
        <f t="shared" si="28"/>
        <v>5647.82273284352</v>
      </c>
      <c r="CN83" s="110">
        <f>$B$13*IF($G$5="撼天",1.05,1)+IF(AND(VLOOKUP($E83,武器奇术!$A:$R,15,FALSE)="武器",VLOOKUP($E83,武器奇术!$A:$R,17,FALSE)="破竹"),$E$3*(1+$E$15),0)</f>
        <v>0</v>
      </c>
      <c r="CO83" s="102">
        <f t="shared" si="29"/>
        <v>0</v>
      </c>
      <c r="CP83" s="102">
        <f>MAX($C$13*IF($G$5="撼天",1.05,1)+IF(AND(VLOOKUP($E83,武器奇术!$A:$R,15,FALSE)="武器",VLOOKUP($E83,武器奇术!$A:$R,17,FALSE)="破竹"),$E$3*(1+$E$15),0),CN83)</f>
        <v>0</v>
      </c>
      <c r="CQ83" s="104">
        <f>IF(($D$13+IF(VLOOKUP($E83,武器奇术!$A:$R,17,FALSE)="破竹",$D$15,0)-VLOOKUP($F$7,目标属性!$A:$R,6,FALSE))&gt;0,($D$13+IF(VLOOKUP($E83,武器奇术!$A:$R,17,FALSE)="破竹",$D$15,0)-VLOOKUP($F$7,目标属性!$A:$R,6,FALSE))/200,($D$13+IF(VLOOKUP($E83,武器奇术!$A:$R,17,FALSE)="破竹",$D$15,0)-VLOOKUP($F$7,目标属性!$A:$R,6,FALSE))/100)</f>
        <v>-0.24</v>
      </c>
      <c r="CR83" s="111">
        <f t="shared" si="30"/>
        <v>0</v>
      </c>
      <c r="CS83" s="102">
        <v>1</v>
      </c>
      <c r="CT83" s="103">
        <f>CN83*IF(VLOOKUP($E83,武器奇术!$A:$R,17,FALSE)="破竹",VLOOKUP($E83,武器奇术!$A:$R,4,FALSE),VLOOKUP($E83,武器奇术!$A:$R,2,FALSE))*(1+CQ83)*(1+CR83)*CS83</f>
        <v>0</v>
      </c>
      <c r="CU83" s="104">
        <f>(1-IF(VLOOKUP($E83,武器奇术!$A:$R,18,FALSE)="叶龙",1,$N83))*(1-$M83)</f>
        <v>0</v>
      </c>
      <c r="CV83" s="103">
        <f>CO83*IF(VLOOKUP($E83,武器奇术!$A:$R,17,FALSE)="破竹",VLOOKUP($E83,武器奇术!$A:$R,4,FALSE),VLOOKUP($E83,武器奇术!$A:$R,2,FALSE))*(1+CQ83)*(1+CR83)*CS83*(1+$E$16+VLOOKUP($E83,武器奇术!$A:$R,8,FALSE))</f>
        <v>0</v>
      </c>
      <c r="CW83" s="104">
        <f t="shared" si="31"/>
        <v>0.8703</v>
      </c>
      <c r="CX83" s="103">
        <f>CP83*IF(VLOOKUP($E83,武器奇术!$A:$R,17,FALSE)="破竹",VLOOKUP($E83,武器奇术!$A:$R,4,FALSE),VLOOKUP($E83,武器奇术!$A:$R,2,FALSE))*(1+CQ83)*(1+CR83)*CS83*(1+$E$17+VLOOKUP($E83,武器奇术!$A:$R,10,FALSE))</f>
        <v>0</v>
      </c>
      <c r="CY83" s="104">
        <f t="shared" si="32"/>
        <v>0.0986</v>
      </c>
      <c r="CZ83" s="103">
        <f>CO83*IF(VLOOKUP($E83,武器奇术!$A:$R,17,FALSE)="破竹",VLOOKUP($E83,武器奇术!$A:$R,4,FALSE),VLOOKUP($E83,武器奇术!$A:$R,2,FALSE))*(1+CQ83)*(1+CR83)*CS83</f>
        <v>0</v>
      </c>
      <c r="DA83" s="104">
        <f t="shared" si="33"/>
        <v>0.0311</v>
      </c>
      <c r="DB83" s="112">
        <f t="shared" si="34"/>
        <v>0</v>
      </c>
      <c r="DC83" s="110">
        <f t="shared" si="35"/>
        <v>66</v>
      </c>
      <c r="DD83" s="102">
        <f t="shared" si="36"/>
        <v>125.8</v>
      </c>
      <c r="DE83" s="102">
        <f t="shared" si="37"/>
        <v>185.6</v>
      </c>
      <c r="DF83" s="104">
        <f>IF((IF(VLOOKUP($E83,武器奇术!$A:$R,17,FALSE)="鸣金",$D$7,0)+IF(VLOOKUP($E83,武器奇术!$A:$R,17,FALSE)="裂石",$D$9,0)+IF(VLOOKUP($E83,武器奇术!$A:$R,17,FALSE)="牵丝",$D$11,0)+IF(VLOOKUP($E83,武器奇术!$A:$R,17,FALSE)="破竹",$D$13,0)+$D$15-VLOOKUP($F$7,目标属性!$A:$R,6,FALSE))&gt;0,(IF(VLOOKUP($E83,武器奇术!$A:$R,17,FALSE)="鸣金",$D$7,0)+IF(VLOOKUP($E83,武器奇术!$A:$R,17,FALSE)="裂石",$D$9,0)+IF(VLOOKUP($E83,武器奇术!$A:$R,17,FALSE)="牵丝",$D$11,0)+IF(VLOOKUP($E83,武器奇术!$A:$R,17,FALSE)="破竹",$D$13,0)+$D$15-VLOOKUP($F$7,目标属性!$A:$R,6,FALSE))/200,(IF(VLOOKUP($E83,武器奇术!$A:$R,17,FALSE)="鸣金",$D$7,0)+IF(VLOOKUP($E83,武器奇术!$A:$R,17,FALSE)="裂石",$D$9,0)+IF(VLOOKUP($E83,武器奇术!$A:$R,17,FALSE)="牵丝",$D$11,0)+IF(VLOOKUP($E83,武器奇术!$A:$R,17,FALSE)="破竹",$D$13,0)+$D$15-VLOOKUP($F$7,目标属性!$A:$R,6,FALSE))/100)</f>
        <v>0.028</v>
      </c>
      <c r="DG83" s="111">
        <f>$E$11+IF($G$5="烟柳",IF(VLOOKUP($E83,武器奇术!$A:$T,20,FALSE)=1,0.1,0),0)</f>
        <v>0.248</v>
      </c>
      <c r="DH83" s="102">
        <v>1</v>
      </c>
      <c r="DI83" s="103">
        <f>DC83*IF(VLOOKUP($E83,武器奇术!$A:$R,17,FALSE)="牵丝",VLOOKUP($E83,武器奇术!$A:$R,4,FALSE),VLOOKUP($E83,武器奇术!$A:$R,2,FALSE))*(1+DF83)*(1+DG83)*DH83</f>
        <v>215.8517357568</v>
      </c>
      <c r="DJ83" s="104">
        <f>(1-IF(VLOOKUP($E83,武器奇术!$A:$R,18,FALSE)="叶龙",1,$N83))*(1-$M83)</f>
        <v>0</v>
      </c>
      <c r="DK83" s="124">
        <f>DD83*IF(VLOOKUP($E83,武器奇术!$A:$R,17,FALSE)="牵丝",VLOOKUP($E83,武器奇术!$A:$R,4,FALSE),VLOOKUP($E83,武器奇术!$A:$R,2,FALSE))*(1+DF83)*(1+DG83)*DH83*(1+$E$16+VLOOKUP($E83,武器奇术!$A:$R,8,FALSE))</f>
        <v>676.385150013481</v>
      </c>
      <c r="DL83" s="104">
        <f t="shared" si="38"/>
        <v>0.8703</v>
      </c>
      <c r="DM83" s="103">
        <f>DE83*IF(VLOOKUP($E83,武器奇术!$A:$R,17,FALSE)="牵丝",VLOOKUP($E83,武器奇术!$A:$R,4,FALSE),VLOOKUP($E83,武器奇术!$A:$R,2,FALSE))*(1+DF83)*(1+DG83)*DH83*(1+$E$17+VLOOKUP($E83,武器奇术!$A:$R,10,FALSE))</f>
        <v>819.451680473088</v>
      </c>
      <c r="DN83" s="104">
        <f t="shared" si="39"/>
        <v>0.0986</v>
      </c>
      <c r="DO83" s="124">
        <f>DD83*IF(VLOOKUP($E83,武器奇术!$A:$R,17,FALSE)="牵丝",VLOOKUP($E83,武器奇术!$A:$R,4,FALSE),VLOOKUP($E83,武器奇术!$A:$R,2,FALSE))*(1+DF83)*(1+DG83)*DH83</f>
        <v>411.42649027584</v>
      </c>
      <c r="DP83" s="104">
        <f t="shared" si="40"/>
        <v>0.0311</v>
      </c>
      <c r="DQ83" s="112">
        <f t="shared" si="41"/>
        <v>682.251295598958</v>
      </c>
    </row>
    <row r="84" spans="1:121">
      <c r="A84" s="139"/>
      <c r="B84" s="139"/>
      <c r="C84" s="139"/>
      <c r="D84" s="139"/>
      <c r="E84" s="115" t="str">
        <f>期望!E84</f>
        <v>丢伞(大纵)</v>
      </c>
      <c r="F84" s="116">
        <f>期望!F84</f>
        <v>1</v>
      </c>
      <c r="G84" s="117"/>
      <c r="H84" s="140">
        <f>IF(VLOOKUP($E84,武器奇术!$A:$R,18,FALSE)="天工",AE84,(AE84+AT84+BI84+BX84+CM84+DB84+DQ84))*(1+J84)*F84*K84*(1+G84)*(1+$G$21*5%)</f>
        <v>12396.3680015501</v>
      </c>
      <c r="I84" s="104">
        <f t="shared" si="0"/>
        <v>0.00142868088992508</v>
      </c>
      <c r="J84" s="104">
        <f>$F$3+VLOOKUP($E84,武器奇术!$A:$R,12,FALSE)+VLOOKUP($E84,武器奇术!$A:$R,14,FALSE)*$G$3+$P84</f>
        <v>0.503</v>
      </c>
      <c r="K84" s="105">
        <f>VLOOKUP($E84,武器奇术!$A:$R,11,FALSE)</f>
        <v>1</v>
      </c>
      <c r="L84" s="119">
        <f>IF(VLOOKUP($E84,武器奇术!$A:$R,15,FALSE)="天工",0%,IF($C$17+VLOOKUP($E84,武器奇术!$A:$R,7,FALSE)&gt;80%,80%,$C$17+VLOOKUP($E84,武器奇术!$A:$R,7,FALSE))+IF($C$19&gt;20%,20%,$C$19))</f>
        <v>0.8703</v>
      </c>
      <c r="M84" s="120">
        <f>IF(VLOOKUP($E84,武器奇术!$A:$R,15,FALSE)="天工",0%,IF($C$18+VLOOKUP($E84,武器奇术!$A:$R,9,FALSE)&gt;40%,40%,$C$18+VLOOKUP($E84,武器奇术!$A:$R,9,FALSE))+IF($C$20&gt;10%,10%,$C$20))</f>
        <v>0.0986</v>
      </c>
      <c r="N84" s="121">
        <f>IF(VLOOKUP($E84,武器奇术!$A:$R,15,FALSE)="天工",100%,MIN($C$16,1))</f>
        <v>1</v>
      </c>
      <c r="O84" s="122" t="str">
        <f>VLOOKUP($E84,武器奇术!$A:$R,16,FALSE)</f>
        <v>伞</v>
      </c>
      <c r="P84" s="123">
        <f t="shared" si="1"/>
        <v>0.17</v>
      </c>
      <c r="Q84" s="110">
        <f>$B$5*(1+VLOOKUP($E84,武器奇术!$A:$R,5,FALSE))*(1+VLOOKUP($E84,武器奇术!$A:$S,19,FALSE)+IF($G$5="飞隼",0.1,0)+IF($G$5="撼天",0.05,0))-$F$9+IF($J$5="√",160,0)</f>
        <v>3324.7</v>
      </c>
      <c r="R84" s="102">
        <f>IF(VLOOKUP($E84,武器奇术!$A:$Z,18,FALSE)="叶龙",(S84-(Q84+S84)*0.5)*($G$15-0.5)*2+(Q84+S84)*0.5,(Q84+S84)*0.5)</f>
        <v>3404.7</v>
      </c>
      <c r="S84" s="102">
        <f>MAX($C$5,$B$5)*(1+VLOOKUP($E84,武器奇术!$A:$R,6,FALSE))*(1+VLOOKUP($E84,武器奇术!$A:$S,19,FALSE)+IF($G$5="飞隼",0.1,0)+IF($G$5="撼天",0.05,0))-$F$9+IF($J$5="√",320,0)</f>
        <v>3484.7</v>
      </c>
      <c r="T84" s="104">
        <f>IF(($D$5+VLOOKUP($E84,武器奇术!$A:$R,13,FALSE)+IF($I$3="√",10,0)-VLOOKUP($F$7,目标属性!$A:$R,5,FALSE))&gt;0,($D$5+VLOOKUP($E84,武器奇术!$A:$R,13,FALSE)+IF($I$3="√",10,0)-VLOOKUP($F$7,目标属性!$A:$R,5,FALSE))/200,($D$5+VLOOKUP($E84,武器奇术!$A:$R,13,FALSE)+IF($I$3="√",10,0)-VLOOKUP($F$7,目标属性!$A:$R,5,FALSE))/100)</f>
        <v>0.2675</v>
      </c>
      <c r="U84" s="111">
        <f>$E$5+IF($G$5="烟柳",IF(VLOOKUP($E84,武器奇术!$A:$T,20,FALSE)=1,0.1,0),0)</f>
        <v>0</v>
      </c>
      <c r="V84" s="102">
        <v>1</v>
      </c>
      <c r="W84" s="103">
        <f>Q84*VLOOKUP($E84,武器奇术!$A:$R,2,FALSE)*(1+T84)*(1+U84)*V84</f>
        <v>2271.37685775</v>
      </c>
      <c r="X84" s="104">
        <f>(1-IF(VLOOKUP($E84,武器奇术!$A:$R,18,FALSE)="叶龙",1,$N84))*(1-$M84)</f>
        <v>0</v>
      </c>
      <c r="Y84" s="103">
        <f>R84*VLOOKUP($E84,武器奇术!$A:$R,2,FALSE)*(1+T84)*(1+U84)*V84*(1+$E$16+VLOOKUP($E84,武器奇术!$A:$R,8,FALSE))</f>
        <v>3823.995716541</v>
      </c>
      <c r="Z84" s="104">
        <f t="shared" si="2"/>
        <v>0.8703</v>
      </c>
      <c r="AA84" s="103">
        <f>S84*VLOOKUP($E84,武器奇术!$A:$R,2,FALSE)*(1+T84)*(1+U84)*V84*(1+$E$17+VLOOKUP($E84,武器奇术!$A:$R,10,FALSE))</f>
        <v>3213.9261779625</v>
      </c>
      <c r="AB84" s="104">
        <f t="shared" si="3"/>
        <v>0.0986</v>
      </c>
      <c r="AC84" s="103">
        <f>R84*VLOOKUP($E84,武器奇术!$A:$R,2,FALSE)*(1+T84)*(1+U84)*V84</f>
        <v>2326.03145775</v>
      </c>
      <c r="AD84" s="104">
        <f t="shared" si="4"/>
        <v>0.0311</v>
      </c>
      <c r="AE84" s="112">
        <f t="shared" si="5"/>
        <v>3717.25617158876</v>
      </c>
      <c r="AF84" s="113">
        <f>VLOOKUP($E84,武器奇术!$A:$R,3,FALSE)*(1+IF(VLOOKUP($E84,武器奇术!$A:$R,15,FALSE)="武器",$E$15,0))</f>
        <v>161.8617</v>
      </c>
      <c r="AG84" s="103">
        <f t="shared" si="6"/>
        <v>161.8617</v>
      </c>
      <c r="AH84" s="103">
        <f>VLOOKUP($E84,武器奇术!$A:$R,3,FALSE)*(1+IF(VLOOKUP($E84,武器奇术!$A:$R,15,FALSE)="武器",$E$15,0))</f>
        <v>161.8617</v>
      </c>
      <c r="AI84" s="104">
        <f>IF(($D$5+VLOOKUP($E84,武器奇术!$A:$R,13,FALSE)+IF($I$3="√",10,0)-VLOOKUP($F$7,目标属性!$A:$R,5,FALSE))&gt;0,($D$5+VLOOKUP($E84,武器奇术!$A:$R,13,FALSE)+IF($I$3="√",10,0)-VLOOKUP($F$7,目标属性!$A:$R,5,FALSE))/200,($D$5+VLOOKUP($E84,武器奇术!$A:$R,13,FALSE)+IF($I$3="√",10,0)-VLOOKUP($F$7,目标属性!$A:$R,5,FALSE))/100)</f>
        <v>0.2675</v>
      </c>
      <c r="AJ84" s="111">
        <f>$E$5+IF($G$5="烟柳",IF(VLOOKUP($E84,武器奇术!$A:$T,20,FALSE)=1,0.1,0),0)</f>
        <v>0</v>
      </c>
      <c r="AK84" s="102">
        <v>1</v>
      </c>
      <c r="AL84" s="103">
        <f t="shared" si="7"/>
        <v>205.15970475</v>
      </c>
      <c r="AM84" s="104">
        <f>(1-IF(VLOOKUP($E84,武器奇术!$A:$R,18,FALSE)="叶龙",1,$N84))*(1-$M84)</f>
        <v>0</v>
      </c>
      <c r="AN84" s="103">
        <f>AG84*(1+AI84)*(1+AJ84)*AK84*(1+$E$16+VLOOKUP($E84,武器奇术!$A:$R,8,FALSE))</f>
        <v>337.282554609</v>
      </c>
      <c r="AO84" s="104">
        <f t="shared" si="8"/>
        <v>0.8703</v>
      </c>
      <c r="AP84" s="103">
        <f>AH84*(1+AI84)*(1+AJ84)*AK84*(1+$E$17+VLOOKUP($E84,武器奇术!$A:$R,10,FALSE))</f>
        <v>276.9656014125</v>
      </c>
      <c r="AQ84" s="104">
        <f t="shared" si="9"/>
        <v>0.0986</v>
      </c>
      <c r="AR84" s="103">
        <f t="shared" si="10"/>
        <v>205.15970475</v>
      </c>
      <c r="AS84" s="104">
        <f t="shared" si="11"/>
        <v>0.0311</v>
      </c>
      <c r="AT84" s="112">
        <f t="shared" si="12"/>
        <v>327.22628239321</v>
      </c>
      <c r="AU84" s="110">
        <f>$B$7*IF($G$5="撼天",1.05,1)+IF(AND(VLOOKUP($E84,武器奇术!$A:$R,15,FALSE)="武器",VLOOKUP($E84,武器奇术!$A:$R,17,FALSE)="鸣金"),$E$3*(1+$E$15),0)</f>
        <v>0</v>
      </c>
      <c r="AV84" s="102">
        <f t="shared" si="13"/>
        <v>0</v>
      </c>
      <c r="AW84" s="102">
        <f>MAX($C$7*IF($G$5="撼天",1.05,1)+IF(AND(VLOOKUP($E84,武器奇术!$A:$R,15,FALSE)="武器",VLOOKUP($E84,武器奇术!$A:$R,17,FALSE)="鸣金"),$E$3*(1+$E$15),0),AU84)</f>
        <v>0</v>
      </c>
      <c r="AX84" s="104">
        <f>IF(($D$7+IF(VLOOKUP($E84,武器奇术!$A:$R,17,FALSE)="鸣金",$D$15,0)-VLOOKUP($F$7,目标属性!$A:$R,6,FALSE))&gt;0,($D$7+IF(VLOOKUP($E84,武器奇术!$A:$R,17,FALSE)="鸣金",$D$15,0)-VLOOKUP($F$7,目标属性!$A:$R,6,FALSE))/200,($D$7+IF(VLOOKUP($E84,武器奇术!$A:$R,17,FALSE)="鸣金",$D$15,0)-VLOOKUP($F$7,目标属性!$A:$R,6,FALSE))/100)</f>
        <v>-0.24</v>
      </c>
      <c r="AY84" s="111">
        <f t="shared" si="14"/>
        <v>0</v>
      </c>
      <c r="AZ84" s="102">
        <v>1</v>
      </c>
      <c r="BA84" s="103">
        <f>AU84*IF(VLOOKUP($E84,武器奇术!$A:$R,17,FALSE)="鸣金",VLOOKUP($E84,武器奇术!$A:$R,4,FALSE),VLOOKUP($E84,武器奇术!$A:$R,2,FALSE))*(1+AX84)*(1+AY84)*AZ84</f>
        <v>0</v>
      </c>
      <c r="BB84" s="104">
        <f>(1-IF(VLOOKUP($E84,武器奇术!$A:$R,18,FALSE)="叶龙",1,$N84))*(1-$M84)</f>
        <v>0</v>
      </c>
      <c r="BC84" s="103">
        <f>AV84*IF(VLOOKUP($E84,武器奇术!$A:$R,17,FALSE)="鸣金",VLOOKUP($E84,武器奇术!$A:$R,4,FALSE),VLOOKUP($E84,武器奇术!$A:$R,2,FALSE))*(1+AX84)*(1+AY84)*AZ84*(1+$E$16+VLOOKUP($E84,武器奇术!$A:$R,8,FALSE))</f>
        <v>0</v>
      </c>
      <c r="BD84" s="104">
        <f t="shared" si="15"/>
        <v>0.8703</v>
      </c>
      <c r="BE84" s="103">
        <f>AW84*IF(VLOOKUP($E84,武器奇术!$A:$R,17,FALSE)="鸣金",VLOOKUP($E84,武器奇术!$A:$R,4,FALSE),VLOOKUP($E84,武器奇术!$A:$R,2,FALSE))*(1+AX84)*(1+AY84)*AZ84*(1+$E$17+VLOOKUP($E84,武器奇术!$A:$R,10,FALSE))</f>
        <v>0</v>
      </c>
      <c r="BF84" s="104">
        <f t="shared" si="16"/>
        <v>0.0986</v>
      </c>
      <c r="BG84" s="103">
        <f>AV84*IF(VLOOKUP($E84,武器奇术!$A:$R,17,FALSE)="鸣金",VLOOKUP($E84,武器奇术!$A:$R,4,FALSE),VLOOKUP($E84,武器奇术!$A:$R,2,FALSE))*(1+AX84)*(1+AY84)*AZ84</f>
        <v>0</v>
      </c>
      <c r="BH84" s="104">
        <f t="shared" si="17"/>
        <v>0.0311</v>
      </c>
      <c r="BI84" s="112">
        <f t="shared" si="18"/>
        <v>0</v>
      </c>
      <c r="BJ84" s="110">
        <f>$B$9*IF($G$5="撼天",1.05,1)+IF(AND(VLOOKUP($E84,武器奇术!$A:$R,15,FALSE)="武器",VLOOKUP($E84,武器奇术!$A:$R,17,FALSE)="裂石"),$E$3*(1+$E$15),0)</f>
        <v>0</v>
      </c>
      <c r="BK84" s="102">
        <f t="shared" si="19"/>
        <v>0</v>
      </c>
      <c r="BL84" s="102">
        <f>MAX($C$9*IF($G$5="撼天",1.05,1)+IF(AND(VLOOKUP($E84,武器奇术!$A:$R,15,FALSE)="武器",VLOOKUP($E84,武器奇术!$A:$R,17,FALSE)="裂石"),$E$3*(1+$E$15),0),BJ84)</f>
        <v>0</v>
      </c>
      <c r="BM84" s="104">
        <f>IF(($D$9+IF(VLOOKUP($E84,武器奇术!$A:$R,17,FALSE)="裂石",$D$15,0)-VLOOKUP($F$7,目标属性!$A:$R,6,FALSE))&gt;0,($D$9+IF(VLOOKUP($E84,武器奇术!$A:$R,17,FALSE)="裂石",$D$15,0)-VLOOKUP($F$7,目标属性!$A:$R,6,FALSE))/200,($D$9+IF(VLOOKUP($E84,武器奇术!$A:$R,17,FALSE)="裂石",$D$15,0)-VLOOKUP($F$7,目标属性!$A:$R,6,FALSE))/100)</f>
        <v>-0.24</v>
      </c>
      <c r="BN84" s="111">
        <f t="shared" si="20"/>
        <v>0</v>
      </c>
      <c r="BO84" s="102">
        <v>1</v>
      </c>
      <c r="BP84" s="103">
        <f>BJ84*IF(VLOOKUP($E84,武器奇术!$A:$R,17,FALSE)="裂石",VLOOKUP($E84,武器奇术!$A:$R,4,FALSE),VLOOKUP($E84,武器奇术!$A:$R,2,FALSE))*(1+BM84)*(1+BN84)*BO84</f>
        <v>0</v>
      </c>
      <c r="BQ84" s="104">
        <f>(1-IF(VLOOKUP($E84,武器奇术!$A:$R,18,FALSE)="叶龙",1,$N84))*(1-$M84)</f>
        <v>0</v>
      </c>
      <c r="BR84" s="103">
        <f>BK84*IF(VLOOKUP($E84,武器奇术!$A:$R,17,FALSE)="裂石",VLOOKUP($E84,武器奇术!$A:$R,4,FALSE),VLOOKUP($E84,武器奇术!$A:$R,2,FALSE))*(1+BM84)*(1+BN84)*BO84*(1+$E$16+VLOOKUP($E84,武器奇术!$A:$R,8,FALSE))</f>
        <v>0</v>
      </c>
      <c r="BS84" s="104">
        <f t="shared" si="21"/>
        <v>0.8703</v>
      </c>
      <c r="BT84" s="103">
        <f>BL84*IF(VLOOKUP($E84,武器奇术!$A:$R,17,FALSE)="裂石",VLOOKUP($E84,武器奇术!$A:$R,4,FALSE),VLOOKUP($E84,武器奇术!$A:$R,2,FALSE))*(1+BM84)*(1+BN84)*BO84*(1+$E$17+VLOOKUP($E84,武器奇术!$A:$R,10,FALSE))</f>
        <v>0</v>
      </c>
      <c r="BU84" s="104">
        <f t="shared" si="22"/>
        <v>0.0986</v>
      </c>
      <c r="BV84" s="103">
        <f>BK84*IF(VLOOKUP($E84,武器奇术!$A:$R,17,FALSE)="裂石",VLOOKUP($E84,武器奇术!$A:$R,4,FALSE),VLOOKUP($E84,武器奇术!$A:$R,2,FALSE))*(1+BM84)*(1+BN84)*BO84</f>
        <v>0</v>
      </c>
      <c r="BW84" s="104">
        <f t="shared" si="23"/>
        <v>0.0311</v>
      </c>
      <c r="BX84" s="112">
        <f t="shared" si="24"/>
        <v>0</v>
      </c>
      <c r="BY84" s="110">
        <f>$B$11*IF($G$5="撼天",1.05,1)+IF(AND(VLOOKUP($E84,武器奇术!$A:$R,15,FALSE)="武器",VLOOKUP($E84,武器奇术!$A:$R,17,FALSE)="牵丝"),$E$3*(1+$E$15),0)</f>
        <v>686.71</v>
      </c>
      <c r="BZ84" s="102">
        <f>IF(VLOOKUP($E84,武器奇术!$A:$Z,18,FALSE)="叶龙",(CA84-(BY84+CA84)*0.5)*($G$15-0.5)*2+(BY84+CA84)*0.5,(BY84+CA84)*0.5)</f>
        <v>1052.21</v>
      </c>
      <c r="CA84" s="102">
        <f>MAX($C$11*IF($G$5="撼天",1.05,1)+IF(AND(VLOOKUP($E84,武器奇术!$A:$R,15,FALSE)="武器",VLOOKUP($E84,武器奇术!$A:$R,17,FALSE)="牵丝"),$E$3*(1+$E$15),0),BY84)</f>
        <v>1417.71</v>
      </c>
      <c r="CB84" s="104">
        <f>IF(($D$11+IF(VLOOKUP($E84,武器奇术!$A:$R,17,FALSE)="牵丝",$D$15,0)-VLOOKUP($F$7,目标属性!$A:$R,6,FALSE))&gt;0,($D$11+IF(VLOOKUP($E84,武器奇术!$A:$R,17,FALSE)="牵丝",$D$15,0)-VLOOKUP($F$7,目标属性!$A:$R,6,FALSE))/200,($D$11+IF(VLOOKUP($E84,武器奇术!$A:$R,17,FALSE)="牵丝",$D$15,0)-VLOOKUP($F$7,目标属性!$A:$R,6,FALSE))/100)</f>
        <v>0.028</v>
      </c>
      <c r="CC84" s="111">
        <f>$E$11+IF($G$5="烟柳",IF(VLOOKUP($E84,武器奇术!$A:$T,20,FALSE)=1,0.1,0),0)</f>
        <v>0.148</v>
      </c>
      <c r="CD84" s="102">
        <v>1</v>
      </c>
      <c r="CE84" s="103">
        <f>BY84*IF(VLOOKUP($E84,武器奇术!$A:$R,17,FALSE)="牵丝",VLOOKUP($E84,武器奇术!$A:$R,4,FALSE),VLOOKUP($E84,武器奇术!$A:$R,2,FALSE))*(1+CB84)*(1+CC84)*CD84</f>
        <v>655.22189082504</v>
      </c>
      <c r="CF84" s="104">
        <f>(1-IF(VLOOKUP($E84,武器奇术!$A:$R,18,FALSE)="叶龙",1,$N84))*(1-$M84)</f>
        <v>0</v>
      </c>
      <c r="CG84" s="124">
        <f>BZ84*IF(VLOOKUP($E84,武器奇术!$A:$R,17,FALSE)="牵丝",VLOOKUP($E84,武器奇术!$A:$R,4,FALSE),VLOOKUP($E84,武器奇术!$A:$R,2,FALSE))*(1+CB84)*(1+CC84)*CD84*(1+$E$16+VLOOKUP($E84,武器奇术!$A:$R,8,FALSE))</f>
        <v>1650.51420006233</v>
      </c>
      <c r="CH84" s="104">
        <f t="shared" si="25"/>
        <v>0.8703</v>
      </c>
      <c r="CI84" s="103">
        <f>CA84*IF(VLOOKUP($E84,武器奇术!$A:$R,17,FALSE)="牵丝",VLOOKUP($E84,武器奇术!$A:$R,4,FALSE),VLOOKUP($E84,武器奇术!$A:$R,2,FALSE))*(1+CB84)*(1+CC84)*CD84*(1+$E$17+VLOOKUP($E84,武器奇术!$A:$R,10,FALSE))</f>
        <v>1826.1489511382</v>
      </c>
      <c r="CJ84" s="104">
        <f t="shared" si="26"/>
        <v>0.0986</v>
      </c>
      <c r="CK84" s="124">
        <f>BZ84*IF(VLOOKUP($E84,武器奇术!$A:$R,17,FALSE)="牵丝",VLOOKUP($E84,武器奇术!$A:$R,4,FALSE),VLOOKUP($E84,武器奇术!$A:$R,2,FALSE))*(1+CB84)*(1+CC84)*CD84</f>
        <v>1003.96240879704</v>
      </c>
      <c r="CL84" s="104">
        <f t="shared" si="27"/>
        <v>0.0311</v>
      </c>
      <c r="CM84" s="112">
        <f t="shared" si="28"/>
        <v>1647.72402581006</v>
      </c>
      <c r="CN84" s="110">
        <f>$B$13*IF($G$5="撼天",1.05,1)+IF(AND(VLOOKUP($E84,武器奇术!$A:$R,15,FALSE)="武器",VLOOKUP($E84,武器奇术!$A:$R,17,FALSE)="破竹"),$E$3*(1+$E$15),0)</f>
        <v>0</v>
      </c>
      <c r="CO84" s="102">
        <f t="shared" si="29"/>
        <v>0</v>
      </c>
      <c r="CP84" s="102">
        <f>MAX($C$13*IF($G$5="撼天",1.05,1)+IF(AND(VLOOKUP($E84,武器奇术!$A:$R,15,FALSE)="武器",VLOOKUP($E84,武器奇术!$A:$R,17,FALSE)="破竹"),$E$3*(1+$E$15),0),CN84)</f>
        <v>0</v>
      </c>
      <c r="CQ84" s="104">
        <f>IF(($D$13+IF(VLOOKUP($E84,武器奇术!$A:$R,17,FALSE)="破竹",$D$15,0)-VLOOKUP($F$7,目标属性!$A:$R,6,FALSE))&gt;0,($D$13+IF(VLOOKUP($E84,武器奇术!$A:$R,17,FALSE)="破竹",$D$15,0)-VLOOKUP($F$7,目标属性!$A:$R,6,FALSE))/200,($D$13+IF(VLOOKUP($E84,武器奇术!$A:$R,17,FALSE)="破竹",$D$15,0)-VLOOKUP($F$7,目标属性!$A:$R,6,FALSE))/100)</f>
        <v>-0.24</v>
      </c>
      <c r="CR84" s="111">
        <f t="shared" si="30"/>
        <v>0</v>
      </c>
      <c r="CS84" s="102">
        <v>1</v>
      </c>
      <c r="CT84" s="103">
        <f>CN84*IF(VLOOKUP($E84,武器奇术!$A:$R,17,FALSE)="破竹",VLOOKUP($E84,武器奇术!$A:$R,4,FALSE),VLOOKUP($E84,武器奇术!$A:$R,2,FALSE))*(1+CQ84)*(1+CR84)*CS84</f>
        <v>0</v>
      </c>
      <c r="CU84" s="104">
        <f>(1-IF(VLOOKUP($E84,武器奇术!$A:$R,18,FALSE)="叶龙",1,$N84))*(1-$M84)</f>
        <v>0</v>
      </c>
      <c r="CV84" s="103">
        <f>CO84*IF(VLOOKUP($E84,武器奇术!$A:$R,17,FALSE)="破竹",VLOOKUP($E84,武器奇术!$A:$R,4,FALSE),VLOOKUP($E84,武器奇术!$A:$R,2,FALSE))*(1+CQ84)*(1+CR84)*CS84*(1+$E$16+VLOOKUP($E84,武器奇术!$A:$R,8,FALSE))</f>
        <v>0</v>
      </c>
      <c r="CW84" s="104">
        <f t="shared" si="31"/>
        <v>0.8703</v>
      </c>
      <c r="CX84" s="103">
        <f>CP84*IF(VLOOKUP($E84,武器奇术!$A:$R,17,FALSE)="破竹",VLOOKUP($E84,武器奇术!$A:$R,4,FALSE),VLOOKUP($E84,武器奇术!$A:$R,2,FALSE))*(1+CQ84)*(1+CR84)*CS84*(1+$E$17+VLOOKUP($E84,武器奇术!$A:$R,10,FALSE))</f>
        <v>0</v>
      </c>
      <c r="CY84" s="104">
        <f t="shared" si="32"/>
        <v>0.0986</v>
      </c>
      <c r="CZ84" s="103">
        <f>CO84*IF(VLOOKUP($E84,武器奇术!$A:$R,17,FALSE)="破竹",VLOOKUP($E84,武器奇术!$A:$R,4,FALSE),VLOOKUP($E84,武器奇术!$A:$R,2,FALSE))*(1+CQ84)*(1+CR84)*CS84</f>
        <v>0</v>
      </c>
      <c r="DA84" s="104">
        <f t="shared" si="33"/>
        <v>0.0311</v>
      </c>
      <c r="DB84" s="112">
        <f t="shared" si="34"/>
        <v>0</v>
      </c>
      <c r="DC84" s="110">
        <f t="shared" si="35"/>
        <v>66</v>
      </c>
      <c r="DD84" s="102">
        <f t="shared" si="36"/>
        <v>125.8</v>
      </c>
      <c r="DE84" s="102">
        <f t="shared" si="37"/>
        <v>185.6</v>
      </c>
      <c r="DF84" s="104">
        <f>IF((IF(VLOOKUP($E84,武器奇术!$A:$R,17,FALSE)="鸣金",$D$7,0)+IF(VLOOKUP($E84,武器奇术!$A:$R,17,FALSE)="裂石",$D$9,0)+IF(VLOOKUP($E84,武器奇术!$A:$R,17,FALSE)="牵丝",$D$11,0)+IF(VLOOKUP($E84,武器奇术!$A:$R,17,FALSE)="破竹",$D$13,0)+$D$15-VLOOKUP($F$7,目标属性!$A:$R,6,FALSE))&gt;0,(IF(VLOOKUP($E84,武器奇术!$A:$R,17,FALSE)="鸣金",$D$7,0)+IF(VLOOKUP($E84,武器奇术!$A:$R,17,FALSE)="裂石",$D$9,0)+IF(VLOOKUP($E84,武器奇术!$A:$R,17,FALSE)="牵丝",$D$11,0)+IF(VLOOKUP($E84,武器奇术!$A:$R,17,FALSE)="破竹",$D$13,0)+$D$15-VLOOKUP($F$7,目标属性!$A:$R,6,FALSE))/200,(IF(VLOOKUP($E84,武器奇术!$A:$R,17,FALSE)="鸣金",$D$7,0)+IF(VLOOKUP($E84,武器奇术!$A:$R,17,FALSE)="裂石",$D$9,0)+IF(VLOOKUP($E84,武器奇术!$A:$R,17,FALSE)="牵丝",$D$11,0)+IF(VLOOKUP($E84,武器奇术!$A:$R,17,FALSE)="破竹",$D$13,0)+$D$15-VLOOKUP($F$7,目标属性!$A:$R,6,FALSE))/100)</f>
        <v>0.028</v>
      </c>
      <c r="DG84" s="111">
        <f>$E$11+IF($G$5="烟柳",IF(VLOOKUP($E84,武器奇术!$A:$T,20,FALSE)=1,0.1,0),0)</f>
        <v>0.148</v>
      </c>
      <c r="DH84" s="102">
        <v>1</v>
      </c>
      <c r="DI84" s="103">
        <f>DC84*IF(VLOOKUP($E84,武器奇术!$A:$R,17,FALSE)="牵丝",VLOOKUP($E84,武器奇术!$A:$R,4,FALSE),VLOOKUP($E84,武器奇术!$A:$R,2,FALSE))*(1+DF84)*(1+DG84)*DH84</f>
        <v>62.973663984</v>
      </c>
      <c r="DJ84" s="104">
        <f>(1-IF(VLOOKUP($E84,武器奇术!$A:$R,18,FALSE)="叶龙",1,$N84))*(1-$M84)</f>
        <v>0</v>
      </c>
      <c r="DK84" s="124">
        <f>DD84*IF(VLOOKUP($E84,武器奇术!$A:$R,17,FALSE)="牵丝",VLOOKUP($E84,武器奇术!$A:$R,4,FALSE),VLOOKUP($E84,武器奇术!$A:$R,2,FALSE))*(1+DF84)*(1+DG84)*DH84*(1+$E$16+VLOOKUP($E84,武器奇术!$A:$R,8,FALSE))</f>
        <v>197.331983508845</v>
      </c>
      <c r="DL84" s="104">
        <f t="shared" si="38"/>
        <v>0.8703</v>
      </c>
      <c r="DM84" s="103">
        <f>DE84*IF(VLOOKUP($E84,武器奇术!$A:$R,17,FALSE)="牵丝",VLOOKUP($E84,武器奇术!$A:$R,4,FALSE),VLOOKUP($E84,武器奇术!$A:$R,2,FALSE))*(1+DF84)*(1+DG84)*DH84*(1+$E$17+VLOOKUP($E84,武器奇术!$A:$R,10,FALSE))</f>
        <v>239.07092799744</v>
      </c>
      <c r="DN84" s="104">
        <f t="shared" si="39"/>
        <v>0.0986</v>
      </c>
      <c r="DO84" s="124">
        <f>DD84*IF(VLOOKUP($E84,武器奇术!$A:$R,17,FALSE)="牵丝",VLOOKUP($E84,武器奇术!$A:$R,4,FALSE),VLOOKUP($E84,武器奇术!$A:$R,2,FALSE))*(1+DF84)*(1+DG84)*DH84</f>
        <v>120.0316201392</v>
      </c>
      <c r="DP84" s="104">
        <f t="shared" si="40"/>
        <v>0.0311</v>
      </c>
      <c r="DQ84" s="112">
        <f t="shared" si="41"/>
        <v>199.043402134624</v>
      </c>
    </row>
    <row r="85" spans="1:121">
      <c r="A85" s="139"/>
      <c r="B85" s="139"/>
      <c r="C85" s="139"/>
      <c r="D85" s="139"/>
      <c r="E85" s="115" t="str">
        <f>期望!E85</f>
        <v>扇Q(大纵)</v>
      </c>
      <c r="F85" s="116">
        <f>期望!F85</f>
        <v>1</v>
      </c>
      <c r="G85" s="117"/>
      <c r="H85" s="140">
        <f>IF(VLOOKUP($E85,武器奇术!$A:$R,18,FALSE)="天工",AE85,(AE85+AT85+BI85+BX85+CM85+DB85+DQ85))*(1+J85)*F85*K85*(1+G85)*(1+$G$21*5%)</f>
        <v>20096.3191950759</v>
      </c>
      <c r="I85" s="104">
        <f t="shared" si="0"/>
        <v>0.00231609994058335</v>
      </c>
      <c r="J85" s="104">
        <f>$F$3+VLOOKUP($E85,武器奇术!$A:$R,12,FALSE)+VLOOKUP($E85,武器奇术!$A:$R,14,FALSE)*$G$3+$P85</f>
        <v>0.417</v>
      </c>
      <c r="K85" s="105">
        <f>VLOOKUP($E85,武器奇术!$A:$R,11,FALSE)</f>
        <v>1</v>
      </c>
      <c r="L85" s="119">
        <f>IF(VLOOKUP($E85,武器奇术!$A:$R,15,FALSE)="天工",0%,IF($C$17+VLOOKUP($E85,武器奇术!$A:$R,7,FALSE)&gt;80%,80%,$C$17+VLOOKUP($E85,武器奇术!$A:$R,7,FALSE))+IF($C$19&gt;20%,20%,$C$19))</f>
        <v>0.8703</v>
      </c>
      <c r="M85" s="120">
        <f>IF(VLOOKUP($E85,武器奇术!$A:$R,15,FALSE)="天工",0%,IF($C$18+VLOOKUP($E85,武器奇术!$A:$R,9,FALSE)&gt;40%,40%,$C$18+VLOOKUP($E85,武器奇术!$A:$R,9,FALSE))+IF($C$20&gt;10%,10%,$C$20))</f>
        <v>0.0986</v>
      </c>
      <c r="N85" s="121">
        <f>IF(VLOOKUP($E85,武器奇术!$A:$R,15,FALSE)="天工",100%,MIN($C$16,1))</f>
        <v>1</v>
      </c>
      <c r="O85" s="122" t="str">
        <f>VLOOKUP($E85,武器奇术!$A:$R,16,FALSE)</f>
        <v>扇</v>
      </c>
      <c r="P85" s="123">
        <f t="shared" si="1"/>
        <v>0.084</v>
      </c>
      <c r="Q85" s="110">
        <f>$B$5*(1+VLOOKUP($E85,武器奇术!$A:$R,5,FALSE))*(1+VLOOKUP($E85,武器奇术!$A:$S,19,FALSE)+IF($G$5="飞隼",0.1,0)+IF($G$5="撼天",0.05,0))-$F$9+IF($J$5="√",160,0)</f>
        <v>3324.7</v>
      </c>
      <c r="R85" s="102">
        <f>IF(VLOOKUP($E85,武器奇术!$A:$Z,18,FALSE)="叶龙",(S85-(Q85+S85)*0.5)*($G$15-0.5)*2+(Q85+S85)*0.5,(Q85+S85)*0.5)</f>
        <v>3404.7</v>
      </c>
      <c r="S85" s="102">
        <f>MAX($C$5,$B$5)*(1+VLOOKUP($E85,武器奇术!$A:$R,6,FALSE))*(1+VLOOKUP($E85,武器奇术!$A:$S,19,FALSE)+IF($G$5="飞隼",0.1,0)+IF($G$5="撼天",0.05,0))-$F$9+IF($J$5="√",320,0)</f>
        <v>3484.7</v>
      </c>
      <c r="T85" s="104">
        <f>IF(($D$5+VLOOKUP($E85,武器奇术!$A:$R,13,FALSE)+IF($I$3="√",10,0)-VLOOKUP($F$7,目标属性!$A:$R,5,FALSE))&gt;0,($D$5+VLOOKUP($E85,武器奇术!$A:$R,13,FALSE)+IF($I$3="√",10,0)-VLOOKUP($F$7,目标属性!$A:$R,5,FALSE))/200,($D$5+VLOOKUP($E85,武器奇术!$A:$R,13,FALSE)+IF($I$3="√",10,0)-VLOOKUP($F$7,目标属性!$A:$R,5,FALSE))/100)</f>
        <v>0.2675</v>
      </c>
      <c r="U85" s="111">
        <f>$E$5+IF($G$5="烟柳",IF(VLOOKUP($E85,武器奇术!$A:$T,20,FALSE)=1,0.1,0),0)</f>
        <v>0</v>
      </c>
      <c r="V85" s="102">
        <v>1</v>
      </c>
      <c r="W85" s="103">
        <f>Q85*VLOOKUP($E85,武器奇术!$A:$R,2,FALSE)*(1+T85)*(1+U85)*V85</f>
        <v>3904.74544785</v>
      </c>
      <c r="X85" s="104">
        <f>(1-IF(VLOOKUP($E85,武器奇术!$A:$R,18,FALSE)="叶龙",1,$N85))*(1-$M85)</f>
        <v>0</v>
      </c>
      <c r="Y85" s="103">
        <f>R85*VLOOKUP($E85,武器奇术!$A:$R,2,FALSE)*(1+T85)*(1+U85)*V85*(1+$E$16+VLOOKUP($E85,武器奇术!$A:$R,8,FALSE))</f>
        <v>6573.8672188254</v>
      </c>
      <c r="Z85" s="104">
        <f t="shared" si="2"/>
        <v>0.8703</v>
      </c>
      <c r="AA85" s="103">
        <f>S85*VLOOKUP($E85,武器奇术!$A:$R,2,FALSE)*(1+T85)*(1+U85)*V85*(1+$E$17+VLOOKUP($E85,武器奇术!$A:$R,10,FALSE))</f>
        <v>5525.0909025975</v>
      </c>
      <c r="AB85" s="104">
        <f t="shared" si="3"/>
        <v>0.0986</v>
      </c>
      <c r="AC85" s="103">
        <f>R85*VLOOKUP($E85,武器奇术!$A:$R,2,FALSE)*(1+T85)*(1+U85)*V85</f>
        <v>3998.70268785</v>
      </c>
      <c r="AD85" s="104">
        <f t="shared" si="4"/>
        <v>0.0311</v>
      </c>
      <c r="AE85" s="112">
        <f t="shared" si="5"/>
        <v>6390.37025713199</v>
      </c>
      <c r="AF85" s="113">
        <f>VLOOKUP($E85,武器奇术!$A:$R,3,FALSE)*(1+IF(VLOOKUP($E85,武器奇术!$A:$R,15,FALSE)="武器",$E$15,0))</f>
        <v>279.5</v>
      </c>
      <c r="AG85" s="103">
        <f t="shared" si="6"/>
        <v>279.5</v>
      </c>
      <c r="AH85" s="103">
        <f>VLOOKUP($E85,武器奇术!$A:$R,3,FALSE)*(1+IF(VLOOKUP($E85,武器奇术!$A:$R,15,FALSE)="武器",$E$15,0))</f>
        <v>279.5</v>
      </c>
      <c r="AI85" s="104">
        <f>IF(($D$5+VLOOKUP($E85,武器奇术!$A:$R,13,FALSE)+IF($I$3="√",10,0)-VLOOKUP($F$7,目标属性!$A:$R,5,FALSE))&gt;0,($D$5+VLOOKUP($E85,武器奇术!$A:$R,13,FALSE)+IF($I$3="√",10,0)-VLOOKUP($F$7,目标属性!$A:$R,5,FALSE))/200,($D$5+VLOOKUP($E85,武器奇术!$A:$R,13,FALSE)+IF($I$3="√",10,0)-VLOOKUP($F$7,目标属性!$A:$R,5,FALSE))/100)</f>
        <v>0.2675</v>
      </c>
      <c r="AJ85" s="111">
        <f>$E$5+IF($G$5="烟柳",IF(VLOOKUP($E85,武器奇术!$A:$T,20,FALSE)=1,0.1,0),0)</f>
        <v>0</v>
      </c>
      <c r="AK85" s="102">
        <v>1</v>
      </c>
      <c r="AL85" s="103">
        <f t="shared" si="7"/>
        <v>354.26625</v>
      </c>
      <c r="AM85" s="104">
        <f>(1-IF(VLOOKUP($E85,武器奇术!$A:$R,18,FALSE)="叶龙",1,$N85))*(1-$M85)</f>
        <v>0</v>
      </c>
      <c r="AN85" s="103">
        <f>AG85*(1+AI85)*(1+AJ85)*AK85*(1+$E$16+VLOOKUP($E85,武器奇术!$A:$R,8,FALSE))</f>
        <v>582.413715</v>
      </c>
      <c r="AO85" s="104">
        <f t="shared" si="8"/>
        <v>0.8703</v>
      </c>
      <c r="AP85" s="103">
        <f>AH85*(1+AI85)*(1+AJ85)*AK85*(1+$E$17+VLOOKUP($E85,武器奇术!$A:$R,10,FALSE))</f>
        <v>478.2594375</v>
      </c>
      <c r="AQ85" s="104">
        <f t="shared" si="9"/>
        <v>0.0986</v>
      </c>
      <c r="AR85" s="103">
        <f t="shared" si="10"/>
        <v>354.26625</v>
      </c>
      <c r="AS85" s="104">
        <f t="shared" si="11"/>
        <v>0.0311</v>
      </c>
      <c r="AT85" s="112">
        <f t="shared" si="12"/>
        <v>565.048717077</v>
      </c>
      <c r="AU85" s="110">
        <f>$B$7*IF($G$5="撼天",1.05,1)+IF(AND(VLOOKUP($E85,武器奇术!$A:$R,15,FALSE)="武器",VLOOKUP($E85,武器奇术!$A:$R,17,FALSE)="鸣金"),$E$3*(1+$E$15),0)</f>
        <v>0</v>
      </c>
      <c r="AV85" s="102">
        <f t="shared" si="13"/>
        <v>0</v>
      </c>
      <c r="AW85" s="102">
        <f>MAX($C$7*IF($G$5="撼天",1.05,1)+IF(AND(VLOOKUP($E85,武器奇术!$A:$R,15,FALSE)="武器",VLOOKUP($E85,武器奇术!$A:$R,17,FALSE)="鸣金"),$E$3*(1+$E$15),0),AU85)</f>
        <v>0</v>
      </c>
      <c r="AX85" s="104">
        <f>IF(($D$7+IF(VLOOKUP($E85,武器奇术!$A:$R,17,FALSE)="鸣金",$D$15,0)-VLOOKUP($F$7,目标属性!$A:$R,6,FALSE))&gt;0,($D$7+IF(VLOOKUP($E85,武器奇术!$A:$R,17,FALSE)="鸣金",$D$15,0)-VLOOKUP($F$7,目标属性!$A:$R,6,FALSE))/200,($D$7+IF(VLOOKUP($E85,武器奇术!$A:$R,17,FALSE)="鸣金",$D$15,0)-VLOOKUP($F$7,目标属性!$A:$R,6,FALSE))/100)</f>
        <v>-0.24</v>
      </c>
      <c r="AY85" s="111">
        <f t="shared" si="14"/>
        <v>0</v>
      </c>
      <c r="AZ85" s="102">
        <v>1</v>
      </c>
      <c r="BA85" s="103">
        <f>AU85*IF(VLOOKUP($E85,武器奇术!$A:$R,17,FALSE)="鸣金",VLOOKUP($E85,武器奇术!$A:$R,4,FALSE),VLOOKUP($E85,武器奇术!$A:$R,2,FALSE))*(1+AX85)*(1+AY85)*AZ85</f>
        <v>0</v>
      </c>
      <c r="BB85" s="104">
        <f>(1-IF(VLOOKUP($E85,武器奇术!$A:$R,18,FALSE)="叶龙",1,$N85))*(1-$M85)</f>
        <v>0</v>
      </c>
      <c r="BC85" s="103">
        <f>AV85*IF(VLOOKUP($E85,武器奇术!$A:$R,17,FALSE)="鸣金",VLOOKUP($E85,武器奇术!$A:$R,4,FALSE),VLOOKUP($E85,武器奇术!$A:$R,2,FALSE))*(1+AX85)*(1+AY85)*AZ85*(1+$E$16+VLOOKUP($E85,武器奇术!$A:$R,8,FALSE))</f>
        <v>0</v>
      </c>
      <c r="BD85" s="104">
        <f t="shared" si="15"/>
        <v>0.8703</v>
      </c>
      <c r="BE85" s="103">
        <f>AW85*IF(VLOOKUP($E85,武器奇术!$A:$R,17,FALSE)="鸣金",VLOOKUP($E85,武器奇术!$A:$R,4,FALSE),VLOOKUP($E85,武器奇术!$A:$R,2,FALSE))*(1+AX85)*(1+AY85)*AZ85*(1+$E$17+VLOOKUP($E85,武器奇术!$A:$R,10,FALSE))</f>
        <v>0</v>
      </c>
      <c r="BF85" s="104">
        <f t="shared" si="16"/>
        <v>0.0986</v>
      </c>
      <c r="BG85" s="103">
        <f>AV85*IF(VLOOKUP($E85,武器奇术!$A:$R,17,FALSE)="鸣金",VLOOKUP($E85,武器奇术!$A:$R,4,FALSE),VLOOKUP($E85,武器奇术!$A:$R,2,FALSE))*(1+AX85)*(1+AY85)*AZ85</f>
        <v>0</v>
      </c>
      <c r="BH85" s="104">
        <f t="shared" si="17"/>
        <v>0.0311</v>
      </c>
      <c r="BI85" s="112">
        <f t="shared" si="18"/>
        <v>0</v>
      </c>
      <c r="BJ85" s="110">
        <f>$B$9*IF($G$5="撼天",1.05,1)+IF(AND(VLOOKUP($E85,武器奇术!$A:$R,15,FALSE)="武器",VLOOKUP($E85,武器奇术!$A:$R,17,FALSE)="裂石"),$E$3*(1+$E$15),0)</f>
        <v>0</v>
      </c>
      <c r="BK85" s="102">
        <f t="shared" si="19"/>
        <v>0</v>
      </c>
      <c r="BL85" s="102">
        <f>MAX($C$9*IF($G$5="撼天",1.05,1)+IF(AND(VLOOKUP($E85,武器奇术!$A:$R,15,FALSE)="武器",VLOOKUP($E85,武器奇术!$A:$R,17,FALSE)="裂石"),$E$3*(1+$E$15),0),BJ85)</f>
        <v>0</v>
      </c>
      <c r="BM85" s="104">
        <f>IF(($D$9+IF(VLOOKUP($E85,武器奇术!$A:$R,17,FALSE)="裂石",$D$15,0)-VLOOKUP($F$7,目标属性!$A:$R,6,FALSE))&gt;0,($D$9+IF(VLOOKUP($E85,武器奇术!$A:$R,17,FALSE)="裂石",$D$15,0)-VLOOKUP($F$7,目标属性!$A:$R,6,FALSE))/200,($D$9+IF(VLOOKUP($E85,武器奇术!$A:$R,17,FALSE)="裂石",$D$15,0)-VLOOKUP($F$7,目标属性!$A:$R,6,FALSE))/100)</f>
        <v>-0.24</v>
      </c>
      <c r="BN85" s="111">
        <f t="shared" si="20"/>
        <v>0</v>
      </c>
      <c r="BO85" s="102">
        <v>1</v>
      </c>
      <c r="BP85" s="103">
        <f>BJ85*IF(VLOOKUP($E85,武器奇术!$A:$R,17,FALSE)="裂石",VLOOKUP($E85,武器奇术!$A:$R,4,FALSE),VLOOKUP($E85,武器奇术!$A:$R,2,FALSE))*(1+BM85)*(1+BN85)*BO85</f>
        <v>0</v>
      </c>
      <c r="BQ85" s="104">
        <f>(1-IF(VLOOKUP($E85,武器奇术!$A:$R,18,FALSE)="叶龙",1,$N85))*(1-$M85)</f>
        <v>0</v>
      </c>
      <c r="BR85" s="103">
        <f>BK85*IF(VLOOKUP($E85,武器奇术!$A:$R,17,FALSE)="裂石",VLOOKUP($E85,武器奇术!$A:$R,4,FALSE),VLOOKUP($E85,武器奇术!$A:$R,2,FALSE))*(1+BM85)*(1+BN85)*BO85*(1+$E$16+VLOOKUP($E85,武器奇术!$A:$R,8,FALSE))</f>
        <v>0</v>
      </c>
      <c r="BS85" s="104">
        <f t="shared" si="21"/>
        <v>0.8703</v>
      </c>
      <c r="BT85" s="103">
        <f>BL85*IF(VLOOKUP($E85,武器奇术!$A:$R,17,FALSE)="裂石",VLOOKUP($E85,武器奇术!$A:$R,4,FALSE),VLOOKUP($E85,武器奇术!$A:$R,2,FALSE))*(1+BM85)*(1+BN85)*BO85*(1+$E$17+VLOOKUP($E85,武器奇术!$A:$R,10,FALSE))</f>
        <v>0</v>
      </c>
      <c r="BU85" s="104">
        <f t="shared" si="22"/>
        <v>0.0986</v>
      </c>
      <c r="BV85" s="103">
        <f>BK85*IF(VLOOKUP($E85,武器奇术!$A:$R,17,FALSE)="裂石",VLOOKUP($E85,武器奇术!$A:$R,4,FALSE),VLOOKUP($E85,武器奇术!$A:$R,2,FALSE))*(1+BM85)*(1+BN85)*BO85</f>
        <v>0</v>
      </c>
      <c r="BW85" s="104">
        <f t="shared" si="23"/>
        <v>0.0311</v>
      </c>
      <c r="BX85" s="112">
        <f t="shared" si="24"/>
        <v>0</v>
      </c>
      <c r="BY85" s="110">
        <f>$B$11*IF($G$5="撼天",1.05,1)+IF(AND(VLOOKUP($E85,武器奇术!$A:$R,15,FALSE)="武器",VLOOKUP($E85,武器奇术!$A:$R,17,FALSE)="牵丝"),$E$3*(1+$E$15),0)</f>
        <v>686.71</v>
      </c>
      <c r="BZ85" s="102">
        <f>IF(VLOOKUP($E85,武器奇术!$A:$Z,18,FALSE)="叶龙",(CA85-(BY85+CA85)*0.5)*($G$15-0.5)*2+(BY85+CA85)*0.5,(BY85+CA85)*0.5)</f>
        <v>1052.21</v>
      </c>
      <c r="CA85" s="102">
        <f>MAX($C$11*IF($G$5="撼天",1.05,1)+IF(AND(VLOOKUP($E85,武器奇术!$A:$R,15,FALSE)="武器",VLOOKUP($E85,武器奇术!$A:$R,17,FALSE)="牵丝"),$E$3*(1+$E$15),0),BY85)</f>
        <v>1417.71</v>
      </c>
      <c r="CB85" s="104">
        <f>IF(($D$11+IF(VLOOKUP($E85,武器奇术!$A:$R,17,FALSE)="牵丝",$D$15,0)-VLOOKUP($F$7,目标属性!$A:$R,6,FALSE))&gt;0,($D$11+IF(VLOOKUP($E85,武器奇术!$A:$R,17,FALSE)="牵丝",$D$15,0)-VLOOKUP($F$7,目标属性!$A:$R,6,FALSE))/200,($D$11+IF(VLOOKUP($E85,武器奇术!$A:$R,17,FALSE)="牵丝",$D$15,0)-VLOOKUP($F$7,目标属性!$A:$R,6,FALSE))/100)</f>
        <v>0.028</v>
      </c>
      <c r="CC85" s="111">
        <f>$E$11+IF($G$5="烟柳",IF(VLOOKUP($E85,武器奇术!$A:$T,20,FALSE)=1,0.1,0),0)</f>
        <v>0.148</v>
      </c>
      <c r="CD85" s="102">
        <v>1</v>
      </c>
      <c r="CE85" s="103">
        <f>BY85*IF(VLOOKUP($E85,武器奇术!$A:$R,17,FALSE)="牵丝",VLOOKUP($E85,武器奇术!$A:$R,4,FALSE),VLOOKUP($E85,武器奇术!$A:$R,2,FALSE))*(1+CB85)*(1+CC85)*CD85</f>
        <v>1126.39815220498</v>
      </c>
      <c r="CF85" s="104">
        <f>(1-IF(VLOOKUP($E85,武器奇术!$A:$R,18,FALSE)="叶龙",1,$N85))*(1-$M85)</f>
        <v>0</v>
      </c>
      <c r="CG85" s="124">
        <f>BZ85*IF(VLOOKUP($E85,武器奇术!$A:$R,17,FALSE)="牵丝",VLOOKUP($E85,武器奇术!$A:$R,4,FALSE),VLOOKUP($E85,武器奇术!$A:$R,2,FALSE))*(1+CB85)*(1+CC85)*CD85*(1+$E$16+VLOOKUP($E85,武器奇术!$A:$R,8,FALSE))</f>
        <v>2837.4145784374</v>
      </c>
      <c r="CH85" s="104">
        <f t="shared" si="25"/>
        <v>0.8703</v>
      </c>
      <c r="CI85" s="103">
        <f>CA85*IF(VLOOKUP($E85,武器奇术!$A:$R,17,FALSE)="牵丝",VLOOKUP($E85,武器奇术!$A:$R,4,FALSE),VLOOKUP($E85,武器奇术!$A:$R,2,FALSE))*(1+CB85)*(1+CC85)*CD85*(1+$E$17+VLOOKUP($E85,武器奇术!$A:$R,10,FALSE))</f>
        <v>3139.34994086208</v>
      </c>
      <c r="CJ85" s="104">
        <f t="shared" si="26"/>
        <v>0.0986</v>
      </c>
      <c r="CK85" s="124">
        <f>BZ85*IF(VLOOKUP($E85,武器奇术!$A:$R,17,FALSE)="牵丝",VLOOKUP($E85,武器奇术!$A:$R,4,FALSE),VLOOKUP($E85,武器奇术!$A:$R,2,FALSE))*(1+CB85)*(1+CC85)*CD85</f>
        <v>1725.92127642178</v>
      </c>
      <c r="CL85" s="104">
        <f t="shared" si="27"/>
        <v>0.0311</v>
      </c>
      <c r="CM85" s="112">
        <f t="shared" si="28"/>
        <v>2832.61796347979</v>
      </c>
      <c r="CN85" s="110">
        <f>$B$13*IF($G$5="撼天",1.05,1)+IF(AND(VLOOKUP($E85,武器奇术!$A:$R,15,FALSE)="武器",VLOOKUP($E85,武器奇术!$A:$R,17,FALSE)="破竹"),$E$3*(1+$E$15),0)</f>
        <v>0</v>
      </c>
      <c r="CO85" s="102">
        <f t="shared" si="29"/>
        <v>0</v>
      </c>
      <c r="CP85" s="102">
        <f>MAX($C$13*IF($G$5="撼天",1.05,1)+IF(AND(VLOOKUP($E85,武器奇术!$A:$R,15,FALSE)="武器",VLOOKUP($E85,武器奇术!$A:$R,17,FALSE)="破竹"),$E$3*(1+$E$15),0),CN85)</f>
        <v>0</v>
      </c>
      <c r="CQ85" s="104">
        <f>IF(($D$13+IF(VLOOKUP($E85,武器奇术!$A:$R,17,FALSE)="破竹",$D$15,0)-VLOOKUP($F$7,目标属性!$A:$R,6,FALSE))&gt;0,($D$13+IF(VLOOKUP($E85,武器奇术!$A:$R,17,FALSE)="破竹",$D$15,0)-VLOOKUP($F$7,目标属性!$A:$R,6,FALSE))/200,($D$13+IF(VLOOKUP($E85,武器奇术!$A:$R,17,FALSE)="破竹",$D$15,0)-VLOOKUP($F$7,目标属性!$A:$R,6,FALSE))/100)</f>
        <v>-0.24</v>
      </c>
      <c r="CR85" s="111">
        <f t="shared" si="30"/>
        <v>0</v>
      </c>
      <c r="CS85" s="102">
        <v>1</v>
      </c>
      <c r="CT85" s="103">
        <f>CN85*IF(VLOOKUP($E85,武器奇术!$A:$R,17,FALSE)="破竹",VLOOKUP($E85,武器奇术!$A:$R,4,FALSE),VLOOKUP($E85,武器奇术!$A:$R,2,FALSE))*(1+CQ85)*(1+CR85)*CS85</f>
        <v>0</v>
      </c>
      <c r="CU85" s="104">
        <f>(1-IF(VLOOKUP($E85,武器奇术!$A:$R,18,FALSE)="叶龙",1,$N85))*(1-$M85)</f>
        <v>0</v>
      </c>
      <c r="CV85" s="103">
        <f>CO85*IF(VLOOKUP($E85,武器奇术!$A:$R,17,FALSE)="破竹",VLOOKUP($E85,武器奇术!$A:$R,4,FALSE),VLOOKUP($E85,武器奇术!$A:$R,2,FALSE))*(1+CQ85)*(1+CR85)*CS85*(1+$E$16+VLOOKUP($E85,武器奇术!$A:$R,8,FALSE))</f>
        <v>0</v>
      </c>
      <c r="CW85" s="104">
        <f t="shared" si="31"/>
        <v>0.8703</v>
      </c>
      <c r="CX85" s="103">
        <f>CP85*IF(VLOOKUP($E85,武器奇术!$A:$R,17,FALSE)="破竹",VLOOKUP($E85,武器奇术!$A:$R,4,FALSE),VLOOKUP($E85,武器奇术!$A:$R,2,FALSE))*(1+CQ85)*(1+CR85)*CS85*(1+$E$17+VLOOKUP($E85,武器奇术!$A:$R,10,FALSE))</f>
        <v>0</v>
      </c>
      <c r="CY85" s="104">
        <f t="shared" si="32"/>
        <v>0.0986</v>
      </c>
      <c r="CZ85" s="103">
        <f>CO85*IF(VLOOKUP($E85,武器奇术!$A:$R,17,FALSE)="破竹",VLOOKUP($E85,武器奇术!$A:$R,4,FALSE),VLOOKUP($E85,武器奇术!$A:$R,2,FALSE))*(1+CQ85)*(1+CR85)*CS85</f>
        <v>0</v>
      </c>
      <c r="DA85" s="104">
        <f t="shared" si="33"/>
        <v>0.0311</v>
      </c>
      <c r="DB85" s="112">
        <f t="shared" si="34"/>
        <v>0</v>
      </c>
      <c r="DC85" s="110">
        <f t="shared" si="35"/>
        <v>66</v>
      </c>
      <c r="DD85" s="102">
        <f t="shared" si="36"/>
        <v>125.8</v>
      </c>
      <c r="DE85" s="102">
        <f t="shared" si="37"/>
        <v>185.6</v>
      </c>
      <c r="DF85" s="104">
        <f>IF((IF(VLOOKUP($E85,武器奇术!$A:$R,17,FALSE)="鸣金",$D$7,0)+IF(VLOOKUP($E85,武器奇术!$A:$R,17,FALSE)="裂石",$D$9,0)+IF(VLOOKUP($E85,武器奇术!$A:$R,17,FALSE)="牵丝",$D$11,0)+IF(VLOOKUP($E85,武器奇术!$A:$R,17,FALSE)="破竹",$D$13,0)+$D$15-VLOOKUP($F$7,目标属性!$A:$R,6,FALSE))&gt;0,(IF(VLOOKUP($E85,武器奇术!$A:$R,17,FALSE)="鸣金",$D$7,0)+IF(VLOOKUP($E85,武器奇术!$A:$R,17,FALSE)="裂石",$D$9,0)+IF(VLOOKUP($E85,武器奇术!$A:$R,17,FALSE)="牵丝",$D$11,0)+IF(VLOOKUP($E85,武器奇术!$A:$R,17,FALSE)="破竹",$D$13,0)+$D$15-VLOOKUP($F$7,目标属性!$A:$R,6,FALSE))/200,(IF(VLOOKUP($E85,武器奇术!$A:$R,17,FALSE)="鸣金",$D$7,0)+IF(VLOOKUP($E85,武器奇术!$A:$R,17,FALSE)="裂石",$D$9,0)+IF(VLOOKUP($E85,武器奇术!$A:$R,17,FALSE)="牵丝",$D$11,0)+IF(VLOOKUP($E85,武器奇术!$A:$R,17,FALSE)="破竹",$D$13,0)+$D$15-VLOOKUP($F$7,目标属性!$A:$R,6,FALSE))/100)</f>
        <v>0.028</v>
      </c>
      <c r="DG85" s="111">
        <f>$E$11+IF($G$5="烟柳",IF(VLOOKUP($E85,武器奇术!$A:$T,20,FALSE)=1,0.1,0),0)</f>
        <v>0.148</v>
      </c>
      <c r="DH85" s="102">
        <v>1</v>
      </c>
      <c r="DI85" s="103">
        <f>DC85*IF(VLOOKUP($E85,武器奇术!$A:$R,17,FALSE)="牵丝",VLOOKUP($E85,武器奇术!$A:$R,4,FALSE),VLOOKUP($E85,武器奇术!$A:$R,2,FALSE))*(1+DF85)*(1+DG85)*DH85</f>
        <v>108.2586216096</v>
      </c>
      <c r="DJ85" s="104">
        <f>(1-IF(VLOOKUP($E85,武器奇术!$A:$R,18,FALSE)="叶龙",1,$N85))*(1-$M85)</f>
        <v>0</v>
      </c>
      <c r="DK85" s="124">
        <f>DD85*IF(VLOOKUP($E85,武器奇术!$A:$R,17,FALSE)="牵丝",VLOOKUP($E85,武器奇术!$A:$R,4,FALSE),VLOOKUP($E85,武器奇术!$A:$R,2,FALSE))*(1+DF85)*(1+DG85)*DH85*(1+$E$16+VLOOKUP($E85,武器奇术!$A:$R,8,FALSE))</f>
        <v>339.235279998693</v>
      </c>
      <c r="DL85" s="104">
        <f t="shared" si="38"/>
        <v>0.8703</v>
      </c>
      <c r="DM85" s="103">
        <f>DE85*IF(VLOOKUP($E85,武器奇术!$A:$R,17,FALSE)="牵丝",VLOOKUP($E85,武器奇术!$A:$R,4,FALSE),VLOOKUP($E85,武器奇术!$A:$R,2,FALSE))*(1+DF85)*(1+DG85)*DH85*(1+$E$17+VLOOKUP($E85,武器奇术!$A:$R,10,FALSE))</f>
        <v>410.989094401536</v>
      </c>
      <c r="DN85" s="104">
        <f t="shared" si="39"/>
        <v>0.0986</v>
      </c>
      <c r="DO85" s="124">
        <f>DD85*IF(VLOOKUP($E85,武器奇术!$A:$R,17,FALSE)="牵丝",VLOOKUP($E85,武器奇术!$A:$R,4,FALSE),VLOOKUP($E85,武器奇术!$A:$R,2,FALSE))*(1+DF85)*(1+DG85)*DH85</f>
        <v>206.34749391648</v>
      </c>
      <c r="DP85" s="104">
        <f t="shared" si="40"/>
        <v>0.0311</v>
      </c>
      <c r="DQ85" s="112">
        <f t="shared" si="41"/>
        <v>342.177395951657</v>
      </c>
    </row>
    <row r="86" spans="1:121">
      <c r="A86" s="139"/>
      <c r="B86" s="139"/>
      <c r="C86" s="139"/>
      <c r="D86" s="139"/>
      <c r="E86" s="115" t="str">
        <f>期望!E86</f>
        <v>扇普通重击派生(风墙大纵)</v>
      </c>
      <c r="F86" s="116">
        <f>期望!F86</f>
        <v>1</v>
      </c>
      <c r="G86" s="117"/>
      <c r="H86" s="140">
        <f>IF(VLOOKUP($E86,武器奇术!$A:$R,18,FALSE)="天工",AE86,(AE86+AT86+BI86+BX86+CM86+DB86+DQ86))*(1+J86)*F86*K86*(1+G86)*(1+$G$21*5%)</f>
        <v>55592.4976316463</v>
      </c>
      <c r="I86" s="104">
        <f t="shared" si="0"/>
        <v>0.00640703300995961</v>
      </c>
      <c r="J86" s="104">
        <f>$F$3+VLOOKUP($E86,武器奇术!$A:$R,12,FALSE)+VLOOKUP($E86,武器奇术!$A:$R,14,FALSE)*$G$3+$P86</f>
        <v>0.517</v>
      </c>
      <c r="K86" s="105">
        <f>VLOOKUP($E86,武器奇术!$A:$R,11,FALSE)</f>
        <v>1</v>
      </c>
      <c r="L86" s="119">
        <f>IF(VLOOKUP($E86,武器奇术!$A:$R,15,FALSE)="天工",0%,IF($C$17+VLOOKUP($E86,武器奇术!$A:$R,7,FALSE)&gt;80%,80%,$C$17+VLOOKUP($E86,武器奇术!$A:$R,7,FALSE))+IF($C$19&gt;20%,20%,$C$19))</f>
        <v>0.8703</v>
      </c>
      <c r="M86" s="120">
        <f>IF(VLOOKUP($E86,武器奇术!$A:$R,15,FALSE)="天工",0%,IF($C$18+VLOOKUP($E86,武器奇术!$A:$R,9,FALSE)&gt;40%,40%,$C$18+VLOOKUP($E86,武器奇术!$A:$R,9,FALSE))+IF($C$20&gt;10%,10%,$C$20))</f>
        <v>0.0986</v>
      </c>
      <c r="N86" s="121">
        <f>IF(VLOOKUP($E86,武器奇术!$A:$R,15,FALSE)="天工",100%,MIN($C$16,1))</f>
        <v>1</v>
      </c>
      <c r="O86" s="122" t="str">
        <f>VLOOKUP($E86,武器奇术!$A:$R,16,FALSE)</f>
        <v>扇</v>
      </c>
      <c r="P86" s="123">
        <f t="shared" si="1"/>
        <v>0.084</v>
      </c>
      <c r="Q86" s="110">
        <f>$B$5*(1+VLOOKUP($E86,武器奇术!$A:$R,5,FALSE))*(1+VLOOKUP($E86,武器奇术!$A:$S,19,FALSE)+IF($G$5="飞隼",0.1,0)+IF($G$5="撼天",0.05,0))-$F$9+IF($J$5="√",160,0)</f>
        <v>3324.7</v>
      </c>
      <c r="R86" s="102">
        <f>IF(VLOOKUP($E86,武器奇术!$A:$Z,18,FALSE)="叶龙",(S86-(Q86+S86)*0.5)*($G$15-0.5)*2+(Q86+S86)*0.5,(Q86+S86)*0.5)</f>
        <v>3404.7</v>
      </c>
      <c r="S86" s="102">
        <f>MAX($C$5,$B$5)*(1+VLOOKUP($E86,武器奇术!$A:$R,6,FALSE))*(1+VLOOKUP($E86,武器奇术!$A:$S,19,FALSE)+IF($G$5="飞隼",0.1,0)+IF($G$5="撼天",0.05,0))-$F$9+IF($J$5="√",320,0)</f>
        <v>3484.7</v>
      </c>
      <c r="T86" s="104">
        <f>IF(($D$5+VLOOKUP($E86,武器奇术!$A:$R,13,FALSE)+IF($I$3="√",10,0)-VLOOKUP($F$7,目标属性!$A:$R,5,FALSE))&gt;0,($D$5+VLOOKUP($E86,武器奇术!$A:$R,13,FALSE)+IF($I$3="√",10,0)-VLOOKUP($F$7,目标属性!$A:$R,5,FALSE))/200,($D$5+VLOOKUP($E86,武器奇术!$A:$R,13,FALSE)+IF($I$3="√",10,0)-VLOOKUP($F$7,目标属性!$A:$R,5,FALSE))/100)</f>
        <v>0.2675</v>
      </c>
      <c r="U86" s="111">
        <f>$E$5+IF($G$5="烟柳",IF(VLOOKUP($E86,武器奇术!$A:$T,20,FALSE)=1,0.1,0),0)</f>
        <v>0.1</v>
      </c>
      <c r="V86" s="102">
        <v>1</v>
      </c>
      <c r="W86" s="103">
        <f>Q86*VLOOKUP($E86,武器奇术!$A:$R,2,FALSE)*(1+T86)*(1+U86)*V86</f>
        <v>8386.98951529725</v>
      </c>
      <c r="X86" s="104">
        <f>(1-IF(VLOOKUP($E86,武器奇术!$A:$R,18,FALSE)="叶龙",1,$N86))*(1-$M86)</f>
        <v>0</v>
      </c>
      <c r="Y86" s="103">
        <f>R86*VLOOKUP($E86,武器奇术!$A:$R,2,FALSE)*(1+T86)*(1+U86)*V86*(1+$E$16+VLOOKUP($E86,武器奇术!$A:$R,8,FALSE))</f>
        <v>17211.9551052053</v>
      </c>
      <c r="Z86" s="104">
        <f t="shared" si="2"/>
        <v>0.8703</v>
      </c>
      <c r="AA86" s="103">
        <f>S86*VLOOKUP($E86,武器奇术!$A:$R,2,FALSE)*(1+T86)*(1+U86)*V86*(1+$E$17+VLOOKUP($E86,武器奇术!$A:$R,10,FALSE))</f>
        <v>11867.3240266313</v>
      </c>
      <c r="AB86" s="104">
        <f t="shared" si="3"/>
        <v>0.0986</v>
      </c>
      <c r="AC86" s="103">
        <f>R86*VLOOKUP($E86,武器奇术!$A:$R,2,FALSE)*(1+T86)*(1+U86)*V86</f>
        <v>8588.79995269725</v>
      </c>
      <c r="AD86" s="104">
        <f t="shared" si="4"/>
        <v>0.0311</v>
      </c>
      <c r="AE86" s="112">
        <f t="shared" si="5"/>
        <v>16416.7943556149</v>
      </c>
      <c r="AF86" s="113">
        <f>VLOOKUP($E86,武器奇术!$A:$R,3,FALSE)*(1+IF(VLOOKUP($E86,武器奇术!$A:$R,15,FALSE)="武器",$E$15,0))</f>
        <v>652.21</v>
      </c>
      <c r="AG86" s="103">
        <f t="shared" si="6"/>
        <v>652.21</v>
      </c>
      <c r="AH86" s="103">
        <f>VLOOKUP($E86,武器奇术!$A:$R,3,FALSE)*(1+IF(VLOOKUP($E86,武器奇术!$A:$R,15,FALSE)="武器",$E$15,0))</f>
        <v>652.21</v>
      </c>
      <c r="AI86" s="104">
        <f>IF(($D$5+VLOOKUP($E86,武器奇术!$A:$R,13,FALSE)+IF($I$3="√",10,0)-VLOOKUP($F$7,目标属性!$A:$R,5,FALSE))&gt;0,($D$5+VLOOKUP($E86,武器奇术!$A:$R,13,FALSE)+IF($I$3="√",10,0)-VLOOKUP($F$7,目标属性!$A:$R,5,FALSE))/200,($D$5+VLOOKUP($E86,武器奇术!$A:$R,13,FALSE)+IF($I$3="√",10,0)-VLOOKUP($F$7,目标属性!$A:$R,5,FALSE))/100)</f>
        <v>0.2675</v>
      </c>
      <c r="AJ86" s="111">
        <f>$E$5+IF($G$5="烟柳",IF(VLOOKUP($E86,武器奇术!$A:$T,20,FALSE)=1,0.1,0),0)</f>
        <v>0.1</v>
      </c>
      <c r="AK86" s="102">
        <v>1</v>
      </c>
      <c r="AL86" s="103">
        <f t="shared" si="7"/>
        <v>909.3437925</v>
      </c>
      <c r="AM86" s="104">
        <f>(1-IF(VLOOKUP($E86,武器奇术!$A:$R,18,FALSE)="叶龙",1,$N86))*(1-$M86)</f>
        <v>0</v>
      </c>
      <c r="AN86" s="103">
        <f>AG86*(1+AI86)*(1+AJ86)*AK86*(1+$E$16+VLOOKUP($E86,武器奇术!$A:$R,8,FALSE))</f>
        <v>1822.32496017</v>
      </c>
      <c r="AO86" s="104">
        <f t="shared" si="8"/>
        <v>0.8703</v>
      </c>
      <c r="AP86" s="103">
        <f>AH86*(1+AI86)*(1+AJ86)*AK86*(1+$E$17+VLOOKUP($E86,武器奇术!$A:$R,10,FALSE))</f>
        <v>1227.614119875</v>
      </c>
      <c r="AQ86" s="104">
        <f t="shared" si="9"/>
        <v>0.0986</v>
      </c>
      <c r="AR86" s="103">
        <f t="shared" si="10"/>
        <v>909.3437925</v>
      </c>
      <c r="AS86" s="104">
        <f t="shared" si="11"/>
        <v>0.0311</v>
      </c>
      <c r="AT86" s="112">
        <f t="shared" si="12"/>
        <v>1735.29275700238</v>
      </c>
      <c r="AU86" s="110">
        <f>$B$7*IF($G$5="撼天",1.05,1)+IF(AND(VLOOKUP($E86,武器奇术!$A:$R,15,FALSE)="武器",VLOOKUP($E86,武器奇术!$A:$R,17,FALSE)="鸣金"),$E$3*(1+$E$15),0)</f>
        <v>0</v>
      </c>
      <c r="AV86" s="102">
        <f t="shared" si="13"/>
        <v>0</v>
      </c>
      <c r="AW86" s="102">
        <f>MAX($C$7*IF($G$5="撼天",1.05,1)+IF(AND(VLOOKUP($E86,武器奇术!$A:$R,15,FALSE)="武器",VLOOKUP($E86,武器奇术!$A:$R,17,FALSE)="鸣金"),$E$3*(1+$E$15),0),AU86)</f>
        <v>0</v>
      </c>
      <c r="AX86" s="104">
        <f>IF(($D$7+IF(VLOOKUP($E86,武器奇术!$A:$R,17,FALSE)="鸣金",$D$15,0)-VLOOKUP($F$7,目标属性!$A:$R,6,FALSE))&gt;0,($D$7+IF(VLOOKUP($E86,武器奇术!$A:$R,17,FALSE)="鸣金",$D$15,0)-VLOOKUP($F$7,目标属性!$A:$R,6,FALSE))/200,($D$7+IF(VLOOKUP($E86,武器奇术!$A:$R,17,FALSE)="鸣金",$D$15,0)-VLOOKUP($F$7,目标属性!$A:$R,6,FALSE))/100)</f>
        <v>-0.24</v>
      </c>
      <c r="AY86" s="111">
        <f t="shared" si="14"/>
        <v>0</v>
      </c>
      <c r="AZ86" s="102">
        <v>1</v>
      </c>
      <c r="BA86" s="103">
        <f>AU86*IF(VLOOKUP($E86,武器奇术!$A:$R,17,FALSE)="鸣金",VLOOKUP($E86,武器奇术!$A:$R,4,FALSE),VLOOKUP($E86,武器奇术!$A:$R,2,FALSE))*(1+AX86)*(1+AY86)*AZ86</f>
        <v>0</v>
      </c>
      <c r="BB86" s="104">
        <f>(1-IF(VLOOKUP($E86,武器奇术!$A:$R,18,FALSE)="叶龙",1,$N86))*(1-$M86)</f>
        <v>0</v>
      </c>
      <c r="BC86" s="103">
        <f>AV86*IF(VLOOKUP($E86,武器奇术!$A:$R,17,FALSE)="鸣金",VLOOKUP($E86,武器奇术!$A:$R,4,FALSE),VLOOKUP($E86,武器奇术!$A:$R,2,FALSE))*(1+AX86)*(1+AY86)*AZ86*(1+$E$16+VLOOKUP($E86,武器奇术!$A:$R,8,FALSE))</f>
        <v>0</v>
      </c>
      <c r="BD86" s="104">
        <f t="shared" si="15"/>
        <v>0.8703</v>
      </c>
      <c r="BE86" s="103">
        <f>AW86*IF(VLOOKUP($E86,武器奇术!$A:$R,17,FALSE)="鸣金",VLOOKUP($E86,武器奇术!$A:$R,4,FALSE),VLOOKUP($E86,武器奇术!$A:$R,2,FALSE))*(1+AX86)*(1+AY86)*AZ86*(1+$E$17+VLOOKUP($E86,武器奇术!$A:$R,10,FALSE))</f>
        <v>0</v>
      </c>
      <c r="BF86" s="104">
        <f t="shared" si="16"/>
        <v>0.0986</v>
      </c>
      <c r="BG86" s="103">
        <f>AV86*IF(VLOOKUP($E86,武器奇术!$A:$R,17,FALSE)="鸣金",VLOOKUP($E86,武器奇术!$A:$R,4,FALSE),VLOOKUP($E86,武器奇术!$A:$R,2,FALSE))*(1+AX86)*(1+AY86)*AZ86</f>
        <v>0</v>
      </c>
      <c r="BH86" s="104">
        <f t="shared" si="17"/>
        <v>0.0311</v>
      </c>
      <c r="BI86" s="112">
        <f t="shared" si="18"/>
        <v>0</v>
      </c>
      <c r="BJ86" s="110">
        <f>$B$9*IF($G$5="撼天",1.05,1)+IF(AND(VLOOKUP($E86,武器奇术!$A:$R,15,FALSE)="武器",VLOOKUP($E86,武器奇术!$A:$R,17,FALSE)="裂石"),$E$3*(1+$E$15),0)</f>
        <v>0</v>
      </c>
      <c r="BK86" s="102">
        <f t="shared" si="19"/>
        <v>0</v>
      </c>
      <c r="BL86" s="102">
        <f>MAX($C$9*IF($G$5="撼天",1.05,1)+IF(AND(VLOOKUP($E86,武器奇术!$A:$R,15,FALSE)="武器",VLOOKUP($E86,武器奇术!$A:$R,17,FALSE)="裂石"),$E$3*(1+$E$15),0),BJ86)</f>
        <v>0</v>
      </c>
      <c r="BM86" s="104">
        <f>IF(($D$9+IF(VLOOKUP($E86,武器奇术!$A:$R,17,FALSE)="裂石",$D$15,0)-VLOOKUP($F$7,目标属性!$A:$R,6,FALSE))&gt;0,($D$9+IF(VLOOKUP($E86,武器奇术!$A:$R,17,FALSE)="裂石",$D$15,0)-VLOOKUP($F$7,目标属性!$A:$R,6,FALSE))/200,($D$9+IF(VLOOKUP($E86,武器奇术!$A:$R,17,FALSE)="裂石",$D$15,0)-VLOOKUP($F$7,目标属性!$A:$R,6,FALSE))/100)</f>
        <v>-0.24</v>
      </c>
      <c r="BN86" s="111">
        <f t="shared" si="20"/>
        <v>0</v>
      </c>
      <c r="BO86" s="102">
        <v>1</v>
      </c>
      <c r="BP86" s="103">
        <f>BJ86*IF(VLOOKUP($E86,武器奇术!$A:$R,17,FALSE)="裂石",VLOOKUP($E86,武器奇术!$A:$R,4,FALSE),VLOOKUP($E86,武器奇术!$A:$R,2,FALSE))*(1+BM86)*(1+BN86)*BO86</f>
        <v>0</v>
      </c>
      <c r="BQ86" s="104">
        <f>(1-IF(VLOOKUP($E86,武器奇术!$A:$R,18,FALSE)="叶龙",1,$N86))*(1-$M86)</f>
        <v>0</v>
      </c>
      <c r="BR86" s="103">
        <f>BK86*IF(VLOOKUP($E86,武器奇术!$A:$R,17,FALSE)="裂石",VLOOKUP($E86,武器奇术!$A:$R,4,FALSE),VLOOKUP($E86,武器奇术!$A:$R,2,FALSE))*(1+BM86)*(1+BN86)*BO86*(1+$E$16+VLOOKUP($E86,武器奇术!$A:$R,8,FALSE))</f>
        <v>0</v>
      </c>
      <c r="BS86" s="104">
        <f t="shared" si="21"/>
        <v>0.8703</v>
      </c>
      <c r="BT86" s="103">
        <f>BL86*IF(VLOOKUP($E86,武器奇术!$A:$R,17,FALSE)="裂石",VLOOKUP($E86,武器奇术!$A:$R,4,FALSE),VLOOKUP($E86,武器奇术!$A:$R,2,FALSE))*(1+BM86)*(1+BN86)*BO86*(1+$E$17+VLOOKUP($E86,武器奇术!$A:$R,10,FALSE))</f>
        <v>0</v>
      </c>
      <c r="BU86" s="104">
        <f t="shared" si="22"/>
        <v>0.0986</v>
      </c>
      <c r="BV86" s="103">
        <f>BK86*IF(VLOOKUP($E86,武器奇术!$A:$R,17,FALSE)="裂石",VLOOKUP($E86,武器奇术!$A:$R,4,FALSE),VLOOKUP($E86,武器奇术!$A:$R,2,FALSE))*(1+BM86)*(1+BN86)*BO86</f>
        <v>0</v>
      </c>
      <c r="BW86" s="104">
        <f t="shared" si="23"/>
        <v>0.0311</v>
      </c>
      <c r="BX86" s="112">
        <f t="shared" si="24"/>
        <v>0</v>
      </c>
      <c r="BY86" s="110">
        <f>$B$11*IF($G$5="撼天",1.05,1)+IF(AND(VLOOKUP($E86,武器奇术!$A:$R,15,FALSE)="武器",VLOOKUP($E86,武器奇术!$A:$R,17,FALSE)="牵丝"),$E$3*(1+$E$15),0)</f>
        <v>686.71</v>
      </c>
      <c r="BZ86" s="102">
        <f>IF(VLOOKUP($E86,武器奇术!$A:$Z,18,FALSE)="叶龙",(CA86-(BY86+CA86)*0.5)*($G$15-0.5)*2+(BY86+CA86)*0.5,(BY86+CA86)*0.5)</f>
        <v>1052.21</v>
      </c>
      <c r="CA86" s="102">
        <f>MAX($C$11*IF($G$5="撼天",1.05,1)+IF(AND(VLOOKUP($E86,武器奇术!$A:$R,15,FALSE)="武器",VLOOKUP($E86,武器奇术!$A:$R,17,FALSE)="牵丝"),$E$3*(1+$E$15),0),BY86)</f>
        <v>1417.71</v>
      </c>
      <c r="CB86" s="104">
        <f>IF(($D$11+IF(VLOOKUP($E86,武器奇术!$A:$R,17,FALSE)="牵丝",$D$15,0)-VLOOKUP($F$7,目标属性!$A:$R,6,FALSE))&gt;0,($D$11+IF(VLOOKUP($E86,武器奇术!$A:$R,17,FALSE)="牵丝",$D$15,0)-VLOOKUP($F$7,目标属性!$A:$R,6,FALSE))/200,($D$11+IF(VLOOKUP($E86,武器奇术!$A:$R,17,FALSE)="牵丝",$D$15,0)-VLOOKUP($F$7,目标属性!$A:$R,6,FALSE))/100)</f>
        <v>0.028</v>
      </c>
      <c r="CC86" s="111">
        <f>$E$11+IF($G$5="烟柳",IF(VLOOKUP($E86,武器奇术!$A:$T,20,FALSE)=1,0.1,0),0)</f>
        <v>0.248</v>
      </c>
      <c r="CD86" s="102">
        <v>1</v>
      </c>
      <c r="CE86" s="103">
        <f>BY86*IF(VLOOKUP($E86,武器奇术!$A:$R,17,FALSE)="牵丝",VLOOKUP($E86,武器奇术!$A:$R,4,FALSE),VLOOKUP($E86,武器奇术!$A:$R,2,FALSE))*(1+CB86)*(1+CC86)*CD86</f>
        <v>2390.903845202</v>
      </c>
      <c r="CF86" s="104">
        <f>(1-IF(VLOOKUP($E86,武器奇术!$A:$R,18,FALSE)="叶龙",1,$N86))*(1-$M86)</f>
        <v>0</v>
      </c>
      <c r="CG86" s="124">
        <f>BZ86*IF(VLOOKUP($E86,武器奇术!$A:$R,17,FALSE)="牵丝",VLOOKUP($E86,武器奇术!$A:$R,4,FALSE),VLOOKUP($E86,武器奇术!$A:$R,2,FALSE))*(1+CB86)*(1+CC86)*CD86*(1+$E$16+VLOOKUP($E86,武器奇术!$A:$R,8,FALSE))</f>
        <v>7341.56893253313</v>
      </c>
      <c r="CH86" s="104">
        <f t="shared" si="25"/>
        <v>0.8703</v>
      </c>
      <c r="CI86" s="103">
        <f>CA86*IF(VLOOKUP($E86,武器奇术!$A:$R,17,FALSE)="牵丝",VLOOKUP($E86,武器奇术!$A:$R,4,FALSE),VLOOKUP($E86,武器奇术!$A:$R,2,FALSE))*(1+CB86)*(1+CC86)*CD86*(1+$E$17+VLOOKUP($E86,武器奇术!$A:$R,10,FALSE))</f>
        <v>6663.61519712074</v>
      </c>
      <c r="CJ86" s="104">
        <f t="shared" si="26"/>
        <v>0.0986</v>
      </c>
      <c r="CK86" s="124">
        <f>BZ86*IF(VLOOKUP($E86,武器奇术!$A:$R,17,FALSE)="牵丝",VLOOKUP($E86,武器奇术!$A:$R,4,FALSE),VLOOKUP($E86,武器奇术!$A:$R,2,FALSE))*(1+CB86)*(1+CC86)*CD86</f>
        <v>3663.45755116424</v>
      </c>
      <c r="CL86" s="104">
        <f t="shared" si="27"/>
        <v>0.0311</v>
      </c>
      <c r="CM86" s="112">
        <f t="shared" si="28"/>
        <v>7160.3334302609</v>
      </c>
      <c r="CN86" s="110">
        <f>$B$13*IF($G$5="撼天",1.05,1)+IF(AND(VLOOKUP($E86,武器奇术!$A:$R,15,FALSE)="武器",VLOOKUP($E86,武器奇术!$A:$R,17,FALSE)="破竹"),$E$3*(1+$E$15),0)</f>
        <v>0</v>
      </c>
      <c r="CO86" s="102">
        <f t="shared" si="29"/>
        <v>0</v>
      </c>
      <c r="CP86" s="102">
        <f>MAX($C$13*IF($G$5="撼天",1.05,1)+IF(AND(VLOOKUP($E86,武器奇术!$A:$R,15,FALSE)="武器",VLOOKUP($E86,武器奇术!$A:$R,17,FALSE)="破竹"),$E$3*(1+$E$15),0),CN86)</f>
        <v>0</v>
      </c>
      <c r="CQ86" s="104">
        <f>IF(($D$13+IF(VLOOKUP($E86,武器奇术!$A:$R,17,FALSE)="破竹",$D$15,0)-VLOOKUP($F$7,目标属性!$A:$R,6,FALSE))&gt;0,($D$13+IF(VLOOKUP($E86,武器奇术!$A:$R,17,FALSE)="破竹",$D$15,0)-VLOOKUP($F$7,目标属性!$A:$R,6,FALSE))/200,($D$13+IF(VLOOKUP($E86,武器奇术!$A:$R,17,FALSE)="破竹",$D$15,0)-VLOOKUP($F$7,目标属性!$A:$R,6,FALSE))/100)</f>
        <v>-0.24</v>
      </c>
      <c r="CR86" s="111">
        <f t="shared" si="30"/>
        <v>0</v>
      </c>
      <c r="CS86" s="102">
        <v>1</v>
      </c>
      <c r="CT86" s="103">
        <f>CN86*IF(VLOOKUP($E86,武器奇术!$A:$R,17,FALSE)="破竹",VLOOKUP($E86,武器奇术!$A:$R,4,FALSE),VLOOKUP($E86,武器奇术!$A:$R,2,FALSE))*(1+CQ86)*(1+CR86)*CS86</f>
        <v>0</v>
      </c>
      <c r="CU86" s="104">
        <f>(1-IF(VLOOKUP($E86,武器奇术!$A:$R,18,FALSE)="叶龙",1,$N86))*(1-$M86)</f>
        <v>0</v>
      </c>
      <c r="CV86" s="103">
        <f>CO86*IF(VLOOKUP($E86,武器奇术!$A:$R,17,FALSE)="破竹",VLOOKUP($E86,武器奇术!$A:$R,4,FALSE),VLOOKUP($E86,武器奇术!$A:$R,2,FALSE))*(1+CQ86)*(1+CR86)*CS86*(1+$E$16+VLOOKUP($E86,武器奇术!$A:$R,8,FALSE))</f>
        <v>0</v>
      </c>
      <c r="CW86" s="104">
        <f t="shared" si="31"/>
        <v>0.8703</v>
      </c>
      <c r="CX86" s="103">
        <f>CP86*IF(VLOOKUP($E86,武器奇术!$A:$R,17,FALSE)="破竹",VLOOKUP($E86,武器奇术!$A:$R,4,FALSE),VLOOKUP($E86,武器奇术!$A:$R,2,FALSE))*(1+CQ86)*(1+CR86)*CS86*(1+$E$17+VLOOKUP($E86,武器奇术!$A:$R,10,FALSE))</f>
        <v>0</v>
      </c>
      <c r="CY86" s="104">
        <f t="shared" si="32"/>
        <v>0.0986</v>
      </c>
      <c r="CZ86" s="103">
        <f>CO86*IF(VLOOKUP($E86,武器奇术!$A:$R,17,FALSE)="破竹",VLOOKUP($E86,武器奇术!$A:$R,4,FALSE),VLOOKUP($E86,武器奇术!$A:$R,2,FALSE))*(1+CQ86)*(1+CR86)*CS86</f>
        <v>0</v>
      </c>
      <c r="DA86" s="104">
        <f t="shared" si="33"/>
        <v>0.0311</v>
      </c>
      <c r="DB86" s="112">
        <f t="shared" si="34"/>
        <v>0</v>
      </c>
      <c r="DC86" s="110">
        <f t="shared" si="35"/>
        <v>66</v>
      </c>
      <c r="DD86" s="102">
        <f t="shared" si="36"/>
        <v>125.8</v>
      </c>
      <c r="DE86" s="102">
        <f t="shared" si="37"/>
        <v>185.6</v>
      </c>
      <c r="DF86" s="104">
        <f>IF((IF(VLOOKUP($E86,武器奇术!$A:$R,17,FALSE)="鸣金",$D$7,0)+IF(VLOOKUP($E86,武器奇术!$A:$R,17,FALSE)="裂石",$D$9,0)+IF(VLOOKUP($E86,武器奇术!$A:$R,17,FALSE)="牵丝",$D$11,0)+IF(VLOOKUP($E86,武器奇术!$A:$R,17,FALSE)="破竹",$D$13,0)+$D$15-VLOOKUP($F$7,目标属性!$A:$R,6,FALSE))&gt;0,(IF(VLOOKUP($E86,武器奇术!$A:$R,17,FALSE)="鸣金",$D$7,0)+IF(VLOOKUP($E86,武器奇术!$A:$R,17,FALSE)="裂石",$D$9,0)+IF(VLOOKUP($E86,武器奇术!$A:$R,17,FALSE)="牵丝",$D$11,0)+IF(VLOOKUP($E86,武器奇术!$A:$R,17,FALSE)="破竹",$D$13,0)+$D$15-VLOOKUP($F$7,目标属性!$A:$R,6,FALSE))/200,(IF(VLOOKUP($E86,武器奇术!$A:$R,17,FALSE)="鸣金",$D$7,0)+IF(VLOOKUP($E86,武器奇术!$A:$R,17,FALSE)="裂石",$D$9,0)+IF(VLOOKUP($E86,武器奇术!$A:$R,17,FALSE)="牵丝",$D$11,0)+IF(VLOOKUP($E86,武器奇术!$A:$R,17,FALSE)="破竹",$D$13,0)+$D$15-VLOOKUP($F$7,目标属性!$A:$R,6,FALSE))/100)</f>
        <v>0.028</v>
      </c>
      <c r="DG86" s="111">
        <f>$E$11+IF($G$5="烟柳",IF(VLOOKUP($E86,武器奇术!$A:$T,20,FALSE)=1,0.1,0),0)</f>
        <v>0.248</v>
      </c>
      <c r="DH86" s="102">
        <v>1</v>
      </c>
      <c r="DI86" s="103">
        <f>DC86*IF(VLOOKUP($E86,武器奇术!$A:$R,17,FALSE)="牵丝",VLOOKUP($E86,武器奇术!$A:$R,4,FALSE),VLOOKUP($E86,武器奇术!$A:$R,2,FALSE))*(1+DF86)*(1+DG86)*DH86</f>
        <v>229.79081968128</v>
      </c>
      <c r="DJ86" s="104">
        <f>(1-IF(VLOOKUP($E86,武器奇术!$A:$R,18,FALSE)="叶龙",1,$N86))*(1-$M86)</f>
        <v>0</v>
      </c>
      <c r="DK86" s="124">
        <f>DD86*IF(VLOOKUP($E86,武器奇术!$A:$R,17,FALSE)="牵丝",VLOOKUP($E86,武器奇术!$A:$R,4,FALSE),VLOOKUP($E86,武器奇术!$A:$R,2,FALSE))*(1+DF86)*(1+DG86)*DH86*(1+$E$16+VLOOKUP($E86,武器奇术!$A:$R,8,FALSE))</f>
        <v>877.742438973843</v>
      </c>
      <c r="DL86" s="104">
        <f t="shared" si="38"/>
        <v>0.8703</v>
      </c>
      <c r="DM86" s="103">
        <f>DE86*IF(VLOOKUP($E86,武器奇术!$A:$R,17,FALSE)="牵丝",VLOOKUP($E86,武器奇术!$A:$R,4,FALSE),VLOOKUP($E86,武器奇术!$A:$R,2,FALSE))*(1+DF86)*(1+DG86)*DH86*(1+$E$17+VLOOKUP($E86,武器奇术!$A:$R,10,FALSE))</f>
        <v>872.369511808205</v>
      </c>
      <c r="DN86" s="104">
        <f t="shared" si="39"/>
        <v>0.0986</v>
      </c>
      <c r="DO86" s="124">
        <f>DD86*IF(VLOOKUP($E86,武器奇术!$A:$R,17,FALSE)="牵丝",VLOOKUP($E86,武器奇术!$A:$R,4,FALSE),VLOOKUP($E86,武器奇术!$A:$R,2,FALSE))*(1+DF86)*(1+DG86)*DH86</f>
        <v>437.995229028864</v>
      </c>
      <c r="DP86" s="104">
        <f t="shared" si="40"/>
        <v>0.0311</v>
      </c>
      <c r="DQ86" s="112">
        <f t="shared" si="41"/>
        <v>863.536530126023</v>
      </c>
    </row>
    <row r="87" spans="1:121">
      <c r="A87" s="139"/>
      <c r="B87" s="139"/>
      <c r="C87" s="139"/>
      <c r="D87" s="139"/>
      <c r="E87" s="115" t="str">
        <f>期望!E87</f>
        <v>扇左蓄(风墙3惊春大纵)</v>
      </c>
      <c r="F87" s="116">
        <f>期望!F87</f>
        <v>1</v>
      </c>
      <c r="G87" s="117"/>
      <c r="H87" s="140">
        <f>IF(VLOOKUP($E87,武器奇术!$A:$R,18,FALSE)="天工",AE87,(AE87+AT87+BI87+BX87+CM87+DB87+DQ87))*(1+J87)*F87*K87*(1+G87)*(1+$G$21*5%)</f>
        <v>103246.803717359</v>
      </c>
      <c r="I87" s="104">
        <f t="shared" si="0"/>
        <v>0.011899189778683</v>
      </c>
      <c r="J87" s="104">
        <f>$F$3+VLOOKUP($E87,武器奇术!$A:$R,12,FALSE)+VLOOKUP($E87,武器奇术!$A:$R,14,FALSE)*$G$3+$P87</f>
        <v>0.907</v>
      </c>
      <c r="K87" s="105">
        <f>VLOOKUP($E87,武器奇术!$A:$R,11,FALSE)</f>
        <v>1</v>
      </c>
      <c r="L87" s="119">
        <f>IF(VLOOKUP($E87,武器奇术!$A:$R,15,FALSE)="天工",0%,IF($C$17+VLOOKUP($E87,武器奇术!$A:$R,7,FALSE)&gt;80%,80%,$C$17+VLOOKUP($E87,武器奇术!$A:$R,7,FALSE))+IF($C$19&gt;20%,20%,$C$19))</f>
        <v>0.8703</v>
      </c>
      <c r="M87" s="120">
        <f>IF(VLOOKUP($E87,武器奇术!$A:$R,15,FALSE)="天工",0%,IF($C$18+VLOOKUP($E87,武器奇术!$A:$R,9,FALSE)&gt;40%,40%,$C$18+VLOOKUP($E87,武器奇术!$A:$R,9,FALSE))+IF($C$20&gt;10%,10%,$C$20))</f>
        <v>0.0986</v>
      </c>
      <c r="N87" s="121">
        <f>IF(VLOOKUP($E87,武器奇术!$A:$R,15,FALSE)="天工",100%,MIN($C$16,1))</f>
        <v>1</v>
      </c>
      <c r="O87" s="122" t="str">
        <f>VLOOKUP($E87,武器奇术!$A:$R,16,FALSE)</f>
        <v>扇</v>
      </c>
      <c r="P87" s="123">
        <f t="shared" si="1"/>
        <v>0.084</v>
      </c>
      <c r="Q87" s="110">
        <f>$B$5*(1+VLOOKUP($E87,武器奇术!$A:$R,5,FALSE))*(1+VLOOKUP($E87,武器奇术!$A:$S,19,FALSE)+IF($G$5="飞隼",0.1,0)+IF($G$5="撼天",0.05,0))-$F$9+IF($J$5="√",160,0)</f>
        <v>3081.85</v>
      </c>
      <c r="R87" s="102">
        <f>IF(VLOOKUP($E87,武器奇术!$A:$Z,18,FALSE)="叶龙",(S87-(Q87+S87)*0.5)*($G$15-0.5)*2+(Q87+S87)*0.5,(Q87+S87)*0.5)</f>
        <v>3161.85</v>
      </c>
      <c r="S87" s="102">
        <f>MAX($C$5,$B$5)*(1+VLOOKUP($E87,武器奇术!$A:$R,6,FALSE))*(1+VLOOKUP($E87,武器奇术!$A:$S,19,FALSE)+IF($G$5="飞隼",0.1,0)+IF($G$5="撼天",0.05,0))-$F$9+IF($J$5="√",320,0)</f>
        <v>3241.85</v>
      </c>
      <c r="T87" s="104">
        <f>IF(($D$5+VLOOKUP($E87,武器奇术!$A:$R,13,FALSE)+IF($I$3="√",10,0)-VLOOKUP($F$7,目标属性!$A:$R,5,FALSE))&gt;0,($D$5+VLOOKUP($E87,武器奇术!$A:$R,13,FALSE)+IF($I$3="√",10,0)-VLOOKUP($F$7,目标属性!$A:$R,5,FALSE))/200,($D$5+VLOOKUP($E87,武器奇术!$A:$R,13,FALSE)+IF($I$3="√",10,0)-VLOOKUP($F$7,目标属性!$A:$R,5,FALSE))/100)</f>
        <v>0.2925</v>
      </c>
      <c r="U87" s="111">
        <f>$E$5+IF($G$5="烟柳",IF(VLOOKUP($E87,武器奇术!$A:$T,20,FALSE)=1,0.1,0),0)</f>
        <v>0.1</v>
      </c>
      <c r="V87" s="102">
        <v>1</v>
      </c>
      <c r="W87" s="103">
        <f>Q87*VLOOKUP($E87,武器奇术!$A:$R,2,FALSE)*(1+T87)*(1+U87)*V87</f>
        <v>12099.3184914278</v>
      </c>
      <c r="X87" s="104">
        <f>(1-IF(VLOOKUP($E87,武器奇术!$A:$R,18,FALSE)="叶龙",1,$N87))*(1-$M87)</f>
        <v>0</v>
      </c>
      <c r="Y87" s="103">
        <f>R87*VLOOKUP($E87,武器奇术!$A:$R,2,FALSE)*(1+T87)*(1+U87)*V87*(1+$E$16+VLOOKUP($E87,武器奇术!$A:$R,8,FALSE))</f>
        <v>24876.449296666</v>
      </c>
      <c r="Z87" s="104">
        <f t="shared" si="2"/>
        <v>0.8703</v>
      </c>
      <c r="AA87" s="103">
        <f>S87*VLOOKUP($E87,武器奇术!$A:$R,2,FALSE)*(1+T87)*(1+U87)*V87*(1+$E$17+VLOOKUP($E87,武器奇术!$A:$R,10,FALSE))</f>
        <v>17182.0942386675</v>
      </c>
      <c r="AB87" s="104">
        <f t="shared" si="3"/>
        <v>0.0986</v>
      </c>
      <c r="AC87" s="103">
        <f>R87*VLOOKUP($E87,武器奇术!$A:$R,2,FALSE)*(1+T87)*(1+U87)*V87</f>
        <v>12413.3978526277</v>
      </c>
      <c r="AD87" s="104">
        <f t="shared" si="4"/>
        <v>0.0311</v>
      </c>
      <c r="AE87" s="112">
        <f t="shared" si="5"/>
        <v>23730.1849880378</v>
      </c>
      <c r="AF87" s="113">
        <f>VLOOKUP($E87,武器奇术!$A:$R,3,FALSE)*(1+IF(VLOOKUP($E87,武器奇术!$A:$R,15,FALSE)="武器",$E$15,0))</f>
        <v>993.395</v>
      </c>
      <c r="AG87" s="103">
        <f t="shared" si="6"/>
        <v>993.395</v>
      </c>
      <c r="AH87" s="103">
        <f>VLOOKUP($E87,武器奇术!$A:$R,3,FALSE)*(1+IF(VLOOKUP($E87,武器奇术!$A:$R,15,FALSE)="武器",$E$15,0))</f>
        <v>993.395</v>
      </c>
      <c r="AI87" s="104">
        <f>IF(($D$5+VLOOKUP($E87,武器奇术!$A:$R,13,FALSE)+IF($I$3="√",10,0)-VLOOKUP($F$7,目标属性!$A:$R,5,FALSE))&gt;0,($D$5+VLOOKUP($E87,武器奇术!$A:$R,13,FALSE)+IF($I$3="√",10,0)-VLOOKUP($F$7,目标属性!$A:$R,5,FALSE))/200,($D$5+VLOOKUP($E87,武器奇术!$A:$R,13,FALSE)+IF($I$3="√",10,0)-VLOOKUP($F$7,目标属性!$A:$R,5,FALSE))/100)</f>
        <v>0.2925</v>
      </c>
      <c r="AJ87" s="111">
        <f>$E$5+IF($G$5="烟柳",IF(VLOOKUP($E87,武器奇术!$A:$T,20,FALSE)=1,0.1,0),0)</f>
        <v>0.1</v>
      </c>
      <c r="AK87" s="102">
        <v>1</v>
      </c>
      <c r="AL87" s="103">
        <f t="shared" si="7"/>
        <v>1412.35934125</v>
      </c>
      <c r="AM87" s="104">
        <f>(1-IF(VLOOKUP($E87,武器奇术!$A:$R,18,FALSE)="叶龙",1,$N87))*(1-$M87)</f>
        <v>0</v>
      </c>
      <c r="AN87" s="103">
        <f>AG87*(1+AI87)*(1+AJ87)*AK87*(1+$E$16+VLOOKUP($E87,武器奇术!$A:$R,8,FALSE))</f>
        <v>2830.368119865</v>
      </c>
      <c r="AO87" s="104">
        <f t="shared" si="8"/>
        <v>0.8703</v>
      </c>
      <c r="AP87" s="103">
        <f>AH87*(1+AI87)*(1+AJ87)*AK87*(1+$E$17+VLOOKUP($E87,武器奇术!$A:$R,10,FALSE))</f>
        <v>1906.6851106875</v>
      </c>
      <c r="AQ87" s="104">
        <f t="shared" si="9"/>
        <v>0.0986</v>
      </c>
      <c r="AR87" s="103">
        <f t="shared" si="10"/>
        <v>1412.35934125</v>
      </c>
      <c r="AS87" s="104">
        <f t="shared" si="11"/>
        <v>0.0311</v>
      </c>
      <c r="AT87" s="112">
        <f t="shared" si="12"/>
        <v>2695.19290214517</v>
      </c>
      <c r="AU87" s="110">
        <f>$B$7*IF($G$5="撼天",1.05,1)+IF(AND(VLOOKUP($E87,武器奇术!$A:$R,15,FALSE)="武器",VLOOKUP($E87,武器奇术!$A:$R,17,FALSE)="鸣金"),$E$3*(1+$E$15),0)</f>
        <v>0</v>
      </c>
      <c r="AV87" s="102">
        <f t="shared" si="13"/>
        <v>0</v>
      </c>
      <c r="AW87" s="102">
        <f>MAX($C$7*IF($G$5="撼天",1.05,1)+IF(AND(VLOOKUP($E87,武器奇术!$A:$R,15,FALSE)="武器",VLOOKUP($E87,武器奇术!$A:$R,17,FALSE)="鸣金"),$E$3*(1+$E$15),0),AU87)</f>
        <v>0</v>
      </c>
      <c r="AX87" s="104">
        <f>IF(($D$7+IF(VLOOKUP($E87,武器奇术!$A:$R,17,FALSE)="鸣金",$D$15,0)-VLOOKUP($F$7,目标属性!$A:$R,6,FALSE))&gt;0,($D$7+IF(VLOOKUP($E87,武器奇术!$A:$R,17,FALSE)="鸣金",$D$15,0)-VLOOKUP($F$7,目标属性!$A:$R,6,FALSE))/200,($D$7+IF(VLOOKUP($E87,武器奇术!$A:$R,17,FALSE)="鸣金",$D$15,0)-VLOOKUP($F$7,目标属性!$A:$R,6,FALSE))/100)</f>
        <v>-0.24</v>
      </c>
      <c r="AY87" s="111">
        <f t="shared" si="14"/>
        <v>0</v>
      </c>
      <c r="AZ87" s="102">
        <v>1</v>
      </c>
      <c r="BA87" s="103">
        <f>AU87*IF(VLOOKUP($E87,武器奇术!$A:$R,17,FALSE)="鸣金",VLOOKUP($E87,武器奇术!$A:$R,4,FALSE),VLOOKUP($E87,武器奇术!$A:$R,2,FALSE))*(1+AX87)*(1+AY87)*AZ87</f>
        <v>0</v>
      </c>
      <c r="BB87" s="104">
        <f>(1-IF(VLOOKUP($E87,武器奇术!$A:$R,18,FALSE)="叶龙",1,$N87))*(1-$M87)</f>
        <v>0</v>
      </c>
      <c r="BC87" s="103">
        <f>AV87*IF(VLOOKUP($E87,武器奇术!$A:$R,17,FALSE)="鸣金",VLOOKUP($E87,武器奇术!$A:$R,4,FALSE),VLOOKUP($E87,武器奇术!$A:$R,2,FALSE))*(1+AX87)*(1+AY87)*AZ87*(1+$E$16+VLOOKUP($E87,武器奇术!$A:$R,8,FALSE))</f>
        <v>0</v>
      </c>
      <c r="BD87" s="104">
        <f t="shared" si="15"/>
        <v>0.8703</v>
      </c>
      <c r="BE87" s="103">
        <f>AW87*IF(VLOOKUP($E87,武器奇术!$A:$R,17,FALSE)="鸣金",VLOOKUP($E87,武器奇术!$A:$R,4,FALSE),VLOOKUP($E87,武器奇术!$A:$R,2,FALSE))*(1+AX87)*(1+AY87)*AZ87*(1+$E$17+VLOOKUP($E87,武器奇术!$A:$R,10,FALSE))</f>
        <v>0</v>
      </c>
      <c r="BF87" s="104">
        <f t="shared" si="16"/>
        <v>0.0986</v>
      </c>
      <c r="BG87" s="103">
        <f>AV87*IF(VLOOKUP($E87,武器奇术!$A:$R,17,FALSE)="鸣金",VLOOKUP($E87,武器奇术!$A:$R,4,FALSE),VLOOKUP($E87,武器奇术!$A:$R,2,FALSE))*(1+AX87)*(1+AY87)*AZ87</f>
        <v>0</v>
      </c>
      <c r="BH87" s="104">
        <f t="shared" si="17"/>
        <v>0.0311</v>
      </c>
      <c r="BI87" s="112">
        <f t="shared" si="18"/>
        <v>0</v>
      </c>
      <c r="BJ87" s="110">
        <f>$B$9*IF($G$5="撼天",1.05,1)+IF(AND(VLOOKUP($E87,武器奇术!$A:$R,15,FALSE)="武器",VLOOKUP($E87,武器奇术!$A:$R,17,FALSE)="裂石"),$E$3*(1+$E$15),0)</f>
        <v>0</v>
      </c>
      <c r="BK87" s="102">
        <f t="shared" si="19"/>
        <v>0</v>
      </c>
      <c r="BL87" s="102">
        <f>MAX($C$9*IF($G$5="撼天",1.05,1)+IF(AND(VLOOKUP($E87,武器奇术!$A:$R,15,FALSE)="武器",VLOOKUP($E87,武器奇术!$A:$R,17,FALSE)="裂石"),$E$3*(1+$E$15),0),BJ87)</f>
        <v>0</v>
      </c>
      <c r="BM87" s="104">
        <f>IF(($D$9+IF(VLOOKUP($E87,武器奇术!$A:$R,17,FALSE)="裂石",$D$15,0)-VLOOKUP($F$7,目标属性!$A:$R,6,FALSE))&gt;0,($D$9+IF(VLOOKUP($E87,武器奇术!$A:$R,17,FALSE)="裂石",$D$15,0)-VLOOKUP($F$7,目标属性!$A:$R,6,FALSE))/200,($D$9+IF(VLOOKUP($E87,武器奇术!$A:$R,17,FALSE)="裂石",$D$15,0)-VLOOKUP($F$7,目标属性!$A:$R,6,FALSE))/100)</f>
        <v>-0.24</v>
      </c>
      <c r="BN87" s="111">
        <f t="shared" si="20"/>
        <v>0</v>
      </c>
      <c r="BO87" s="102">
        <v>1</v>
      </c>
      <c r="BP87" s="103">
        <f>BJ87*IF(VLOOKUP($E87,武器奇术!$A:$R,17,FALSE)="裂石",VLOOKUP($E87,武器奇术!$A:$R,4,FALSE),VLOOKUP($E87,武器奇术!$A:$R,2,FALSE))*(1+BM87)*(1+BN87)*BO87</f>
        <v>0</v>
      </c>
      <c r="BQ87" s="104">
        <f>(1-IF(VLOOKUP($E87,武器奇术!$A:$R,18,FALSE)="叶龙",1,$N87))*(1-$M87)</f>
        <v>0</v>
      </c>
      <c r="BR87" s="103">
        <f>BK87*IF(VLOOKUP($E87,武器奇术!$A:$R,17,FALSE)="裂石",VLOOKUP($E87,武器奇术!$A:$R,4,FALSE),VLOOKUP($E87,武器奇术!$A:$R,2,FALSE))*(1+BM87)*(1+BN87)*BO87*(1+$E$16+VLOOKUP($E87,武器奇术!$A:$R,8,FALSE))</f>
        <v>0</v>
      </c>
      <c r="BS87" s="104">
        <f t="shared" si="21"/>
        <v>0.8703</v>
      </c>
      <c r="BT87" s="103">
        <f>BL87*IF(VLOOKUP($E87,武器奇术!$A:$R,17,FALSE)="裂石",VLOOKUP($E87,武器奇术!$A:$R,4,FALSE),VLOOKUP($E87,武器奇术!$A:$R,2,FALSE))*(1+BM87)*(1+BN87)*BO87*(1+$E$17+VLOOKUP($E87,武器奇术!$A:$R,10,FALSE))</f>
        <v>0</v>
      </c>
      <c r="BU87" s="104">
        <f t="shared" si="22"/>
        <v>0.0986</v>
      </c>
      <c r="BV87" s="103">
        <f>BK87*IF(VLOOKUP($E87,武器奇术!$A:$R,17,FALSE)="裂石",VLOOKUP($E87,武器奇术!$A:$R,4,FALSE),VLOOKUP($E87,武器奇术!$A:$R,2,FALSE))*(1+BM87)*(1+BN87)*BO87</f>
        <v>0</v>
      </c>
      <c r="BW87" s="104">
        <f t="shared" si="23"/>
        <v>0.0311</v>
      </c>
      <c r="BX87" s="112">
        <f t="shared" si="24"/>
        <v>0</v>
      </c>
      <c r="BY87" s="110">
        <f>$B$11*IF($G$5="撼天",1.05,1)+IF(AND(VLOOKUP($E87,武器奇术!$A:$R,15,FALSE)="武器",VLOOKUP($E87,武器奇术!$A:$R,17,FALSE)="牵丝"),$E$3*(1+$E$15),0)</f>
        <v>686.71</v>
      </c>
      <c r="BZ87" s="102">
        <f>IF(VLOOKUP($E87,武器奇术!$A:$Z,18,FALSE)="叶龙",(CA87-(BY87+CA87)*0.5)*($G$15-0.5)*2+(BY87+CA87)*0.5,(BY87+CA87)*0.5)</f>
        <v>1052.21</v>
      </c>
      <c r="CA87" s="102">
        <f>MAX($C$11*IF($G$5="撼天",1.05,1)+IF(AND(VLOOKUP($E87,武器奇术!$A:$R,15,FALSE)="武器",VLOOKUP($E87,武器奇术!$A:$R,17,FALSE)="牵丝"),$E$3*(1+$E$15),0),BY87)</f>
        <v>1417.71</v>
      </c>
      <c r="CB87" s="104">
        <f>IF(($D$11+IF(VLOOKUP($E87,武器奇术!$A:$R,17,FALSE)="牵丝",$D$15,0)-VLOOKUP($F$7,目标属性!$A:$R,6,FALSE))&gt;0,($D$11+IF(VLOOKUP($E87,武器奇术!$A:$R,17,FALSE)="牵丝",$D$15,0)-VLOOKUP($F$7,目标属性!$A:$R,6,FALSE))/200,($D$11+IF(VLOOKUP($E87,武器奇术!$A:$R,17,FALSE)="牵丝",$D$15,0)-VLOOKUP($F$7,目标属性!$A:$R,6,FALSE))/100)</f>
        <v>0.028</v>
      </c>
      <c r="CC87" s="111">
        <f>$E$11+IF($G$5="烟柳",IF(VLOOKUP($E87,武器奇术!$A:$T,20,FALSE)=1,0.1,0),0)</f>
        <v>0.248</v>
      </c>
      <c r="CD87" s="102">
        <v>1</v>
      </c>
      <c r="CE87" s="103">
        <f>BY87*IF(VLOOKUP($E87,武器奇术!$A:$R,17,FALSE)="牵丝",VLOOKUP($E87,武器奇术!$A:$R,4,FALSE),VLOOKUP($E87,武器奇术!$A:$R,2,FALSE))*(1+CB87)*(1+CC87)*CD87</f>
        <v>3649.20705503528</v>
      </c>
      <c r="CF87" s="104">
        <f>(1-IF(VLOOKUP($E87,武器奇术!$A:$R,18,FALSE)="叶龙",1,$N87))*(1-$M87)</f>
        <v>0</v>
      </c>
      <c r="CG87" s="124">
        <f>BZ87*IF(VLOOKUP($E87,武器奇术!$A:$R,17,FALSE)="牵丝",VLOOKUP($E87,武器奇术!$A:$R,4,FALSE),VLOOKUP($E87,武器奇术!$A:$R,2,FALSE))*(1+CB87)*(1+CC87)*CD87*(1+$E$16+VLOOKUP($E87,武器奇术!$A:$R,8,FALSE))</f>
        <v>11205.3461277378</v>
      </c>
      <c r="CH87" s="104">
        <f t="shared" si="25"/>
        <v>0.8703</v>
      </c>
      <c r="CI87" s="103">
        <f>CA87*IF(VLOOKUP($E87,武器奇术!$A:$R,17,FALSE)="牵丝",VLOOKUP($E87,武器奇术!$A:$R,4,FALSE),VLOOKUP($E87,武器奇术!$A:$R,2,FALSE))*(1+CB87)*(1+CC87)*CD87*(1+$E$17+VLOOKUP($E87,武器奇术!$A:$R,10,FALSE))</f>
        <v>10170.5937016965</v>
      </c>
      <c r="CJ87" s="104">
        <f t="shared" si="26"/>
        <v>0.0986</v>
      </c>
      <c r="CK87" s="124">
        <f>BZ87*IF(VLOOKUP($E87,武器奇术!$A:$R,17,FALSE)="牵丝",VLOOKUP($E87,武器奇术!$A:$R,4,FALSE),VLOOKUP($E87,武器奇术!$A:$R,2,FALSE))*(1+CB87)*(1+CC87)*CD87</f>
        <v>5591.49008370152</v>
      </c>
      <c r="CL87" s="104">
        <f t="shared" si="27"/>
        <v>0.0311</v>
      </c>
      <c r="CM87" s="112">
        <f t="shared" si="28"/>
        <v>10928.7286155606</v>
      </c>
      <c r="CN87" s="110">
        <f>$B$13*IF($G$5="撼天",1.05,1)+IF(AND(VLOOKUP($E87,武器奇术!$A:$R,15,FALSE)="武器",VLOOKUP($E87,武器奇术!$A:$R,17,FALSE)="破竹"),$E$3*(1+$E$15),0)</f>
        <v>0</v>
      </c>
      <c r="CO87" s="102">
        <f t="shared" si="29"/>
        <v>0</v>
      </c>
      <c r="CP87" s="102">
        <f>MAX($C$13*IF($G$5="撼天",1.05,1)+IF(AND(VLOOKUP($E87,武器奇术!$A:$R,15,FALSE)="武器",VLOOKUP($E87,武器奇术!$A:$R,17,FALSE)="破竹"),$E$3*(1+$E$15),0),CN87)</f>
        <v>0</v>
      </c>
      <c r="CQ87" s="104">
        <f>IF(($D$13+IF(VLOOKUP($E87,武器奇术!$A:$R,17,FALSE)="破竹",$D$15,0)-VLOOKUP($F$7,目标属性!$A:$R,6,FALSE))&gt;0,($D$13+IF(VLOOKUP($E87,武器奇术!$A:$R,17,FALSE)="破竹",$D$15,0)-VLOOKUP($F$7,目标属性!$A:$R,6,FALSE))/200,($D$13+IF(VLOOKUP($E87,武器奇术!$A:$R,17,FALSE)="破竹",$D$15,0)-VLOOKUP($F$7,目标属性!$A:$R,6,FALSE))/100)</f>
        <v>-0.24</v>
      </c>
      <c r="CR87" s="111">
        <f t="shared" si="30"/>
        <v>0</v>
      </c>
      <c r="CS87" s="102">
        <v>1</v>
      </c>
      <c r="CT87" s="103">
        <f>CN87*IF(VLOOKUP($E87,武器奇术!$A:$R,17,FALSE)="破竹",VLOOKUP($E87,武器奇术!$A:$R,4,FALSE),VLOOKUP($E87,武器奇术!$A:$R,2,FALSE))*(1+CQ87)*(1+CR87)*CS87</f>
        <v>0</v>
      </c>
      <c r="CU87" s="104">
        <f>(1-IF(VLOOKUP($E87,武器奇术!$A:$R,18,FALSE)="叶龙",1,$N87))*(1-$M87)</f>
        <v>0</v>
      </c>
      <c r="CV87" s="103">
        <f>CO87*IF(VLOOKUP($E87,武器奇术!$A:$R,17,FALSE)="破竹",VLOOKUP($E87,武器奇术!$A:$R,4,FALSE),VLOOKUP($E87,武器奇术!$A:$R,2,FALSE))*(1+CQ87)*(1+CR87)*CS87*(1+$E$16+VLOOKUP($E87,武器奇术!$A:$R,8,FALSE))</f>
        <v>0</v>
      </c>
      <c r="CW87" s="104">
        <f t="shared" si="31"/>
        <v>0.8703</v>
      </c>
      <c r="CX87" s="103">
        <f>CP87*IF(VLOOKUP($E87,武器奇术!$A:$R,17,FALSE)="破竹",VLOOKUP($E87,武器奇术!$A:$R,4,FALSE),VLOOKUP($E87,武器奇术!$A:$R,2,FALSE))*(1+CQ87)*(1+CR87)*CS87*(1+$E$17+VLOOKUP($E87,武器奇术!$A:$R,10,FALSE))</f>
        <v>0</v>
      </c>
      <c r="CY87" s="104">
        <f t="shared" si="32"/>
        <v>0.0986</v>
      </c>
      <c r="CZ87" s="103">
        <f>CO87*IF(VLOOKUP($E87,武器奇术!$A:$R,17,FALSE)="破竹",VLOOKUP($E87,武器奇术!$A:$R,4,FALSE),VLOOKUP($E87,武器奇术!$A:$R,2,FALSE))*(1+CQ87)*(1+CR87)*CS87</f>
        <v>0</v>
      </c>
      <c r="DA87" s="104">
        <f t="shared" si="33"/>
        <v>0.0311</v>
      </c>
      <c r="DB87" s="112">
        <f t="shared" si="34"/>
        <v>0</v>
      </c>
      <c r="DC87" s="110">
        <f t="shared" si="35"/>
        <v>66</v>
      </c>
      <c r="DD87" s="102">
        <f t="shared" si="36"/>
        <v>125.8</v>
      </c>
      <c r="DE87" s="102">
        <f t="shared" si="37"/>
        <v>185.6</v>
      </c>
      <c r="DF87" s="104">
        <f>IF((IF(VLOOKUP($E87,武器奇术!$A:$R,17,FALSE)="鸣金",$D$7,0)+IF(VLOOKUP($E87,武器奇术!$A:$R,17,FALSE)="裂石",$D$9,0)+IF(VLOOKUP($E87,武器奇术!$A:$R,17,FALSE)="牵丝",$D$11,0)+IF(VLOOKUP($E87,武器奇术!$A:$R,17,FALSE)="破竹",$D$13,0)+$D$15-VLOOKUP($F$7,目标属性!$A:$R,6,FALSE))&gt;0,(IF(VLOOKUP($E87,武器奇术!$A:$R,17,FALSE)="鸣金",$D$7,0)+IF(VLOOKUP($E87,武器奇术!$A:$R,17,FALSE)="裂石",$D$9,0)+IF(VLOOKUP($E87,武器奇术!$A:$R,17,FALSE)="牵丝",$D$11,0)+IF(VLOOKUP($E87,武器奇术!$A:$R,17,FALSE)="破竹",$D$13,0)+$D$15-VLOOKUP($F$7,目标属性!$A:$R,6,FALSE))/200,(IF(VLOOKUP($E87,武器奇术!$A:$R,17,FALSE)="鸣金",$D$7,0)+IF(VLOOKUP($E87,武器奇术!$A:$R,17,FALSE)="裂石",$D$9,0)+IF(VLOOKUP($E87,武器奇术!$A:$R,17,FALSE)="牵丝",$D$11,0)+IF(VLOOKUP($E87,武器奇术!$A:$R,17,FALSE)="破竹",$D$13,0)+$D$15-VLOOKUP($F$7,目标属性!$A:$R,6,FALSE))/100)</f>
        <v>0.028</v>
      </c>
      <c r="DG87" s="111">
        <f>$E$11+IF($G$5="烟柳",IF(VLOOKUP($E87,武器奇术!$A:$T,20,FALSE)=1,0.1,0),0)</f>
        <v>0.248</v>
      </c>
      <c r="DH87" s="102">
        <v>1</v>
      </c>
      <c r="DI87" s="103">
        <f>DC87*IF(VLOOKUP($E87,武器奇术!$A:$R,17,FALSE)="牵丝",VLOOKUP($E87,武器奇术!$A:$R,4,FALSE),VLOOKUP($E87,武器奇术!$A:$R,2,FALSE))*(1+DF87)*(1+DG87)*DH87</f>
        <v>350.72689436928</v>
      </c>
      <c r="DJ87" s="104">
        <f>(1-IF(VLOOKUP($E87,武器奇术!$A:$R,18,FALSE)="叶龙",1,$N87))*(1-$M87)</f>
        <v>0</v>
      </c>
      <c r="DK87" s="124">
        <f>DD87*IF(VLOOKUP($E87,武器奇术!$A:$R,17,FALSE)="牵丝",VLOOKUP($E87,武器奇术!$A:$R,4,FALSE),VLOOKUP($E87,武器奇术!$A:$R,2,FALSE))*(1+DF87)*(1+DG87)*DH87*(1+$E$16+VLOOKUP($E87,武器奇术!$A:$R,8,FALSE))</f>
        <v>1339.6874605539</v>
      </c>
      <c r="DL87" s="104">
        <f t="shared" si="38"/>
        <v>0.8703</v>
      </c>
      <c r="DM87" s="103">
        <f>DE87*IF(VLOOKUP($E87,武器奇术!$A:$R,17,FALSE)="牵丝",VLOOKUP($E87,武器奇术!$A:$R,4,FALSE),VLOOKUP($E87,武器奇术!$A:$R,2,FALSE))*(1+DF87)*(1+DG87)*DH87*(1+$E$17+VLOOKUP($E87,武器奇术!$A:$R,10,FALSE))</f>
        <v>1331.48682807829</v>
      </c>
      <c r="DN87" s="104">
        <f t="shared" si="39"/>
        <v>0.0986</v>
      </c>
      <c r="DO87" s="124">
        <f>DD87*IF(VLOOKUP($E87,武器奇术!$A:$R,17,FALSE)="牵丝",VLOOKUP($E87,武器奇术!$A:$R,4,FALSE),VLOOKUP($E87,武器奇术!$A:$R,2,FALSE))*(1+DF87)*(1+DG87)*DH87</f>
        <v>668.506716843264</v>
      </c>
      <c r="DP87" s="104">
        <f t="shared" si="40"/>
        <v>0.0311</v>
      </c>
      <c r="DQ87" s="112">
        <f t="shared" si="41"/>
        <v>1318.0051570624</v>
      </c>
    </row>
    <row r="88" spans="1:121">
      <c r="A88" s="139"/>
      <c r="B88" s="139"/>
      <c r="C88" s="139"/>
      <c r="D88" s="139"/>
      <c r="E88" s="115" t="str">
        <f>期望!E88</f>
        <v>伞～(连中风墙大纵)</v>
      </c>
      <c r="F88" s="116">
        <f>期望!F88</f>
        <v>10</v>
      </c>
      <c r="G88" s="117">
        <f>$E$23</f>
        <v>0.32</v>
      </c>
      <c r="H88" s="140">
        <f>IF(VLOOKUP($E88,武器奇术!$A:$R,18,FALSE)="天工",AE88,(AE88+AT88+BI88+BX88+CM88+DB88+DQ88))*(1+J88)*F88*K88*(1+G88)*(1+$G$21*5%)</f>
        <v>669454.823269609</v>
      </c>
      <c r="I88" s="104">
        <f t="shared" si="0"/>
        <v>0.0771546401779833</v>
      </c>
      <c r="J88" s="104">
        <f>$F$3+VLOOKUP($E88,武器奇术!$A:$R,12,FALSE)+VLOOKUP($E88,武器奇术!$A:$R,14,FALSE)*$G$3+$P88</f>
        <v>1.103</v>
      </c>
      <c r="K88" s="105">
        <f>VLOOKUP($E88,武器奇术!$A:$R,11,FALSE)</f>
        <v>1</v>
      </c>
      <c r="L88" s="119">
        <f>IF(VLOOKUP($E88,武器奇术!$A:$R,15,FALSE)="天工",0%,IF($C$17+VLOOKUP($E88,武器奇术!$A:$R,7,FALSE)&gt;80%,80%,$C$17+VLOOKUP($E88,武器奇术!$A:$R,7,FALSE))+IF($C$19&gt;20%,20%,$C$19))</f>
        <v>0.8703</v>
      </c>
      <c r="M88" s="120">
        <f>IF(VLOOKUP($E88,武器奇术!$A:$R,15,FALSE)="天工",0%,IF($C$18+VLOOKUP($E88,武器奇术!$A:$R,9,FALSE)&gt;40%,40%,$C$18+VLOOKUP($E88,武器奇术!$A:$R,9,FALSE))+IF($C$20&gt;10%,10%,$C$20))</f>
        <v>0.0986</v>
      </c>
      <c r="N88" s="121">
        <f>IF(VLOOKUP($E88,武器奇术!$A:$R,15,FALSE)="天工",100%,MIN($C$16,1))</f>
        <v>1</v>
      </c>
      <c r="O88" s="122" t="str">
        <f>VLOOKUP($E88,武器奇术!$A:$R,16,FALSE)</f>
        <v>伞</v>
      </c>
      <c r="P88" s="123">
        <f t="shared" si="1"/>
        <v>0.17</v>
      </c>
      <c r="Q88" s="110">
        <f>$B$5*(1+VLOOKUP($E88,武器奇术!$A:$R,5,FALSE))*(1+VLOOKUP($E88,武器奇术!$A:$S,19,FALSE)+IF($G$5="飞隼",0.1,0)+IF($G$5="撼天",0.05,0))-$F$9+IF($J$5="√",160,0)</f>
        <v>3324.7</v>
      </c>
      <c r="R88" s="102">
        <f>IF(VLOOKUP($E88,武器奇术!$A:$Z,18,FALSE)="叶龙",(S88-(Q88+S88)*0.5)*($G$15-0.5)*2+(Q88+S88)*0.5,(Q88+S88)*0.5)</f>
        <v>3404.7</v>
      </c>
      <c r="S88" s="102">
        <f>MAX($C$5,$B$5)*(1+VLOOKUP($E88,武器奇术!$A:$R,6,FALSE))*(1+VLOOKUP($E88,武器奇术!$A:$S,19,FALSE)+IF($G$5="飞隼",0.1,0)+IF($G$5="撼天",0.05,0))-$F$9+IF($J$5="√",320,0)</f>
        <v>3484.7</v>
      </c>
      <c r="T88" s="104">
        <f>IF(($D$5+VLOOKUP($E88,武器奇术!$A:$R,13,FALSE)+IF($I$3="√",10,0)-VLOOKUP($F$7,目标属性!$A:$R,5,FALSE))&gt;0,($D$5+VLOOKUP($E88,武器奇术!$A:$R,13,FALSE)+IF($I$3="√",10,0)-VLOOKUP($F$7,目标属性!$A:$R,5,FALSE))/200,($D$5+VLOOKUP($E88,武器奇术!$A:$R,13,FALSE)+IF($I$3="√",10,0)-VLOOKUP($F$7,目标属性!$A:$R,5,FALSE))/100)</f>
        <v>0.2925</v>
      </c>
      <c r="U88" s="111">
        <f>$E$5+IF($G$5="烟柳",IF(VLOOKUP($E88,武器奇术!$A:$T,20,FALSE)=1,0.1,0),0)</f>
        <v>0.1</v>
      </c>
      <c r="V88" s="102">
        <v>1</v>
      </c>
      <c r="W88" s="103">
        <f>Q88*VLOOKUP($E88,武器奇术!$A:$R,2,FALSE)*(1+T88)*(1+U88)*V88</f>
        <v>5553.88565422487</v>
      </c>
      <c r="X88" s="104">
        <f>(1-IF(VLOOKUP($E88,武器奇术!$A:$R,18,FALSE)="叶龙",1,$N88))*(1-$M88)</f>
        <v>0</v>
      </c>
      <c r="Y88" s="103">
        <f>R88*VLOOKUP($E88,武器奇术!$A:$R,2,FALSE)*(1+T88)*(1+U88)*V88*(1+$E$16+VLOOKUP($E88,武器奇术!$A:$R,8,FALSE))</f>
        <v>11397.8001719934</v>
      </c>
      <c r="Z88" s="104">
        <f t="shared" si="2"/>
        <v>0.8703</v>
      </c>
      <c r="AA88" s="103">
        <f>S88*VLOOKUP($E88,武器奇术!$A:$R,2,FALSE)*(1+T88)*(1+U88)*V88*(1+$E$17+VLOOKUP($E88,武器奇术!$A:$R,10,FALSE))</f>
        <v>7858.57196379358</v>
      </c>
      <c r="AB88" s="104">
        <f t="shared" si="3"/>
        <v>0.0986</v>
      </c>
      <c r="AC88" s="103">
        <f>R88*VLOOKUP($E88,武器奇术!$A:$R,2,FALSE)*(1+T88)*(1+U88)*V88</f>
        <v>5687.52503592487</v>
      </c>
      <c r="AD88" s="104">
        <f t="shared" si="4"/>
        <v>0.0311</v>
      </c>
      <c r="AE88" s="112">
        <f t="shared" si="5"/>
        <v>10871.2427139332</v>
      </c>
      <c r="AF88" s="113">
        <f>VLOOKUP($E88,武器奇术!$A:$R,3,FALSE)*(1+IF(VLOOKUP($E88,武器奇术!$A:$R,15,FALSE)="武器",$E$15,0))</f>
        <v>421.59</v>
      </c>
      <c r="AG88" s="103">
        <f t="shared" si="6"/>
        <v>421.59</v>
      </c>
      <c r="AH88" s="103">
        <f>VLOOKUP($E88,武器奇术!$A:$R,3,FALSE)*(1+IF(VLOOKUP($E88,武器奇术!$A:$R,15,FALSE)="武器",$E$15,0))</f>
        <v>421.59</v>
      </c>
      <c r="AI88" s="104">
        <f>IF(($D$5+VLOOKUP($E88,武器奇术!$A:$R,13,FALSE)+IF($I$3="√",10,0)-VLOOKUP($F$7,目标属性!$A:$R,5,FALSE))&gt;0,($D$5+VLOOKUP($E88,武器奇术!$A:$R,13,FALSE)+IF($I$3="√",10,0)-VLOOKUP($F$7,目标属性!$A:$R,5,FALSE))/200,($D$5+VLOOKUP($E88,武器奇术!$A:$R,13,FALSE)+IF($I$3="√",10,0)-VLOOKUP($F$7,目标属性!$A:$R,5,FALSE))/100)</f>
        <v>0.2925</v>
      </c>
      <c r="AJ88" s="111">
        <f>$E$5+IF($G$5="烟柳",IF(VLOOKUP($E88,武器奇术!$A:$T,20,FALSE)=1,0.1,0),0)</f>
        <v>0.1</v>
      </c>
      <c r="AK88" s="102">
        <v>1</v>
      </c>
      <c r="AL88" s="103">
        <f t="shared" si="7"/>
        <v>599.3955825</v>
      </c>
      <c r="AM88" s="104">
        <f>(1-IF(VLOOKUP($E88,武器奇术!$A:$R,18,FALSE)="叶龙",1,$N88))*(1-$M88)</f>
        <v>0</v>
      </c>
      <c r="AN88" s="103">
        <f>AG88*(1+AI88)*(1+AJ88)*AK88*(1+$E$16+VLOOKUP($E88,武器奇术!$A:$R,8,FALSE))</f>
        <v>1201.18874733</v>
      </c>
      <c r="AO88" s="104">
        <f t="shared" si="8"/>
        <v>0.8703</v>
      </c>
      <c r="AP88" s="103">
        <f>AH88*(1+AI88)*(1+AJ88)*AK88*(1+$E$17+VLOOKUP($E88,武器奇术!$A:$R,10,FALSE))</f>
        <v>809.184036375</v>
      </c>
      <c r="AQ88" s="104">
        <f t="shared" si="9"/>
        <v>0.0986</v>
      </c>
      <c r="AR88" s="103">
        <f t="shared" si="10"/>
        <v>599.3955825</v>
      </c>
      <c r="AS88" s="104">
        <f t="shared" si="11"/>
        <v>0.0311</v>
      </c>
      <c r="AT88" s="112">
        <f t="shared" si="12"/>
        <v>1143.82131540362</v>
      </c>
      <c r="AU88" s="110">
        <f>$B$7*IF($G$5="撼天",1.05,1)+IF(AND(VLOOKUP($E88,武器奇术!$A:$R,15,FALSE)="武器",VLOOKUP($E88,武器奇术!$A:$R,17,FALSE)="鸣金"),$E$3*(1+$E$15),0)</f>
        <v>0</v>
      </c>
      <c r="AV88" s="102">
        <f t="shared" si="13"/>
        <v>0</v>
      </c>
      <c r="AW88" s="102">
        <f>MAX($C$7*IF($G$5="撼天",1.05,1)+IF(AND(VLOOKUP($E88,武器奇术!$A:$R,15,FALSE)="武器",VLOOKUP($E88,武器奇术!$A:$R,17,FALSE)="鸣金"),$E$3*(1+$E$15),0),AU88)</f>
        <v>0</v>
      </c>
      <c r="AX88" s="104">
        <f>IF(($D$7+IF(VLOOKUP($E88,武器奇术!$A:$R,17,FALSE)="鸣金",$D$15,0)-VLOOKUP($F$7,目标属性!$A:$R,6,FALSE))&gt;0,($D$7+IF(VLOOKUP($E88,武器奇术!$A:$R,17,FALSE)="鸣金",$D$15,0)-VLOOKUP($F$7,目标属性!$A:$R,6,FALSE))/200,($D$7+IF(VLOOKUP($E88,武器奇术!$A:$R,17,FALSE)="鸣金",$D$15,0)-VLOOKUP($F$7,目标属性!$A:$R,6,FALSE))/100)</f>
        <v>-0.24</v>
      </c>
      <c r="AY88" s="111">
        <f t="shared" si="14"/>
        <v>0</v>
      </c>
      <c r="AZ88" s="102">
        <v>1</v>
      </c>
      <c r="BA88" s="103">
        <f>AU88*IF(VLOOKUP($E88,武器奇术!$A:$R,17,FALSE)="鸣金",VLOOKUP($E88,武器奇术!$A:$R,4,FALSE),VLOOKUP($E88,武器奇术!$A:$R,2,FALSE))*(1+AX88)*(1+AY88)*AZ88</f>
        <v>0</v>
      </c>
      <c r="BB88" s="104">
        <f>(1-IF(VLOOKUP($E88,武器奇术!$A:$R,18,FALSE)="叶龙",1,$N88))*(1-$M88)</f>
        <v>0</v>
      </c>
      <c r="BC88" s="103">
        <f>AV88*IF(VLOOKUP($E88,武器奇术!$A:$R,17,FALSE)="鸣金",VLOOKUP($E88,武器奇术!$A:$R,4,FALSE),VLOOKUP($E88,武器奇术!$A:$R,2,FALSE))*(1+AX88)*(1+AY88)*AZ88*(1+$E$16+VLOOKUP($E88,武器奇术!$A:$R,8,FALSE))</f>
        <v>0</v>
      </c>
      <c r="BD88" s="104">
        <f t="shared" si="15"/>
        <v>0.8703</v>
      </c>
      <c r="BE88" s="103">
        <f>AW88*IF(VLOOKUP($E88,武器奇术!$A:$R,17,FALSE)="鸣金",VLOOKUP($E88,武器奇术!$A:$R,4,FALSE),VLOOKUP($E88,武器奇术!$A:$R,2,FALSE))*(1+AX88)*(1+AY88)*AZ88*(1+$E$17+VLOOKUP($E88,武器奇术!$A:$R,10,FALSE))</f>
        <v>0</v>
      </c>
      <c r="BF88" s="104">
        <f t="shared" si="16"/>
        <v>0.0986</v>
      </c>
      <c r="BG88" s="103">
        <f>AV88*IF(VLOOKUP($E88,武器奇术!$A:$R,17,FALSE)="鸣金",VLOOKUP($E88,武器奇术!$A:$R,4,FALSE),VLOOKUP($E88,武器奇术!$A:$R,2,FALSE))*(1+AX88)*(1+AY88)*AZ88</f>
        <v>0</v>
      </c>
      <c r="BH88" s="104">
        <f t="shared" si="17"/>
        <v>0.0311</v>
      </c>
      <c r="BI88" s="112">
        <f t="shared" si="18"/>
        <v>0</v>
      </c>
      <c r="BJ88" s="110">
        <f>$B$9*IF($G$5="撼天",1.05,1)+IF(AND(VLOOKUP($E88,武器奇术!$A:$R,15,FALSE)="武器",VLOOKUP($E88,武器奇术!$A:$R,17,FALSE)="裂石"),$E$3*(1+$E$15),0)</f>
        <v>0</v>
      </c>
      <c r="BK88" s="102">
        <f t="shared" si="19"/>
        <v>0</v>
      </c>
      <c r="BL88" s="102">
        <f>MAX($C$9*IF($G$5="撼天",1.05,1)+IF(AND(VLOOKUP($E88,武器奇术!$A:$R,15,FALSE)="武器",VLOOKUP($E88,武器奇术!$A:$R,17,FALSE)="裂石"),$E$3*(1+$E$15),0),BJ88)</f>
        <v>0</v>
      </c>
      <c r="BM88" s="104">
        <f>IF(($D$9+IF(VLOOKUP($E88,武器奇术!$A:$R,17,FALSE)="裂石",$D$15,0)-VLOOKUP($F$7,目标属性!$A:$R,6,FALSE))&gt;0,($D$9+IF(VLOOKUP($E88,武器奇术!$A:$R,17,FALSE)="裂石",$D$15,0)-VLOOKUP($F$7,目标属性!$A:$R,6,FALSE))/200,($D$9+IF(VLOOKUP($E88,武器奇术!$A:$R,17,FALSE)="裂石",$D$15,0)-VLOOKUP($F$7,目标属性!$A:$R,6,FALSE))/100)</f>
        <v>-0.24</v>
      </c>
      <c r="BN88" s="111">
        <f t="shared" si="20"/>
        <v>0</v>
      </c>
      <c r="BO88" s="102">
        <v>1</v>
      </c>
      <c r="BP88" s="103">
        <f>BJ88*IF(VLOOKUP($E88,武器奇术!$A:$R,17,FALSE)="裂石",VLOOKUP($E88,武器奇术!$A:$R,4,FALSE),VLOOKUP($E88,武器奇术!$A:$R,2,FALSE))*(1+BM88)*(1+BN88)*BO88</f>
        <v>0</v>
      </c>
      <c r="BQ88" s="104">
        <f>(1-IF(VLOOKUP($E88,武器奇术!$A:$R,18,FALSE)="叶龙",1,$N88))*(1-$M88)</f>
        <v>0</v>
      </c>
      <c r="BR88" s="103">
        <f>BK88*IF(VLOOKUP($E88,武器奇术!$A:$R,17,FALSE)="裂石",VLOOKUP($E88,武器奇术!$A:$R,4,FALSE),VLOOKUP($E88,武器奇术!$A:$R,2,FALSE))*(1+BM88)*(1+BN88)*BO88*(1+$E$16+VLOOKUP($E88,武器奇术!$A:$R,8,FALSE))</f>
        <v>0</v>
      </c>
      <c r="BS88" s="104">
        <f t="shared" si="21"/>
        <v>0.8703</v>
      </c>
      <c r="BT88" s="103">
        <f>BL88*IF(VLOOKUP($E88,武器奇术!$A:$R,17,FALSE)="裂石",VLOOKUP($E88,武器奇术!$A:$R,4,FALSE),VLOOKUP($E88,武器奇术!$A:$R,2,FALSE))*(1+BM88)*(1+BN88)*BO88*(1+$E$17+VLOOKUP($E88,武器奇术!$A:$R,10,FALSE))</f>
        <v>0</v>
      </c>
      <c r="BU88" s="104">
        <f t="shared" si="22"/>
        <v>0.0986</v>
      </c>
      <c r="BV88" s="103">
        <f>BK88*IF(VLOOKUP($E88,武器奇术!$A:$R,17,FALSE)="裂石",VLOOKUP($E88,武器奇术!$A:$R,4,FALSE),VLOOKUP($E88,武器奇术!$A:$R,2,FALSE))*(1+BM88)*(1+BN88)*BO88</f>
        <v>0</v>
      </c>
      <c r="BW88" s="104">
        <f t="shared" si="23"/>
        <v>0.0311</v>
      </c>
      <c r="BX88" s="112">
        <f t="shared" si="24"/>
        <v>0</v>
      </c>
      <c r="BY88" s="110">
        <f>$B$11*IF($G$5="撼天",1.05,1)+IF(AND(VLOOKUP($E88,武器奇术!$A:$R,15,FALSE)="武器",VLOOKUP($E88,武器奇术!$A:$R,17,FALSE)="牵丝"),$E$3*(1+$E$15),0)</f>
        <v>686.71</v>
      </c>
      <c r="BZ88" s="102">
        <f>IF(VLOOKUP($E88,武器奇术!$A:$Z,18,FALSE)="叶龙",(CA88-(BY88+CA88)*0.5)*($G$15-0.5)*2+(BY88+CA88)*0.5,(BY88+CA88)*0.5)</f>
        <v>1052.21</v>
      </c>
      <c r="CA88" s="102">
        <f>MAX($C$11*IF($G$5="撼天",1.05,1)+IF(AND(VLOOKUP($E88,武器奇术!$A:$R,15,FALSE)="武器",VLOOKUP($E88,武器奇术!$A:$R,17,FALSE)="牵丝"),$E$3*(1+$E$15),0),BY88)</f>
        <v>1417.71</v>
      </c>
      <c r="CB88" s="104">
        <f>IF(($D$11+IF(VLOOKUP($E88,武器奇术!$A:$R,17,FALSE)="牵丝",$D$15,0)-VLOOKUP($F$7,目标属性!$A:$R,6,FALSE))&gt;0,($D$11+IF(VLOOKUP($E88,武器奇术!$A:$R,17,FALSE)="牵丝",$D$15,0)-VLOOKUP($F$7,目标属性!$A:$R,6,FALSE))/200,($D$11+IF(VLOOKUP($E88,武器奇术!$A:$R,17,FALSE)="牵丝",$D$15,0)-VLOOKUP($F$7,目标属性!$A:$R,6,FALSE))/100)</f>
        <v>0.028</v>
      </c>
      <c r="CC88" s="111">
        <f>$E$11+IF($G$5="烟柳",IF(VLOOKUP($E88,武器奇术!$A:$T,20,FALSE)=1,0.1,0),0)</f>
        <v>0.248</v>
      </c>
      <c r="CD88" s="102">
        <v>1</v>
      </c>
      <c r="CE88" s="103">
        <f>BY88*IF(VLOOKUP($E88,武器奇术!$A:$R,17,FALSE)="牵丝",VLOOKUP($E88,武器奇术!$A:$R,4,FALSE),VLOOKUP($E88,武器奇术!$A:$R,2,FALSE))*(1+CB88)*(1+CC88)*CD88</f>
        <v>1552.67083453872</v>
      </c>
      <c r="CF88" s="104">
        <f>(1-IF(VLOOKUP($E88,武器奇术!$A:$R,18,FALSE)="叶龙",1,$N88))*(1-$M88)</f>
        <v>0</v>
      </c>
      <c r="CG88" s="124">
        <f>BZ88*IF(VLOOKUP($E88,武器奇术!$A:$R,17,FALSE)="牵丝",VLOOKUP($E88,武器奇术!$A:$R,4,FALSE),VLOOKUP($E88,武器奇术!$A:$R,2,FALSE))*(1+CB88)*(1+CC88)*CD88*(1+$E$16+VLOOKUP($E88,武器奇术!$A:$R,8,FALSE))</f>
        <v>4767.66975977518</v>
      </c>
      <c r="CH88" s="104">
        <f t="shared" si="25"/>
        <v>0.8703</v>
      </c>
      <c r="CI88" s="103">
        <f>CA88*IF(VLOOKUP($E88,武器奇术!$A:$R,17,FALSE)="牵丝",VLOOKUP($E88,武器奇术!$A:$R,4,FALSE),VLOOKUP($E88,武器奇术!$A:$R,2,FALSE))*(1+CB88)*(1+CC88)*CD88*(1+$E$17+VLOOKUP($E88,武器奇术!$A:$R,10,FALSE))</f>
        <v>4327.40153474647</v>
      </c>
      <c r="CJ88" s="104">
        <f t="shared" si="26"/>
        <v>0.0986</v>
      </c>
      <c r="CK88" s="124">
        <f>BZ88*IF(VLOOKUP($E88,武器奇术!$A:$R,17,FALSE)="牵丝",VLOOKUP($E88,武器奇术!$A:$R,4,FALSE),VLOOKUP($E88,武器奇术!$A:$R,2,FALSE))*(1+CB88)*(1+CC88)*CD88</f>
        <v>2379.07672643472</v>
      </c>
      <c r="CL88" s="104">
        <f t="shared" si="27"/>
        <v>0.0311</v>
      </c>
      <c r="CM88" s="112">
        <f t="shared" si="28"/>
        <v>4649.97406945046</v>
      </c>
      <c r="CN88" s="110">
        <f>$B$13*IF($G$5="撼天",1.05,1)+IF(AND(VLOOKUP($E88,武器奇术!$A:$R,15,FALSE)="武器",VLOOKUP($E88,武器奇术!$A:$R,17,FALSE)="破竹"),$E$3*(1+$E$15),0)</f>
        <v>0</v>
      </c>
      <c r="CO88" s="102">
        <f t="shared" si="29"/>
        <v>0</v>
      </c>
      <c r="CP88" s="102">
        <f>MAX($C$13*IF($G$5="撼天",1.05,1)+IF(AND(VLOOKUP($E88,武器奇术!$A:$R,15,FALSE)="武器",VLOOKUP($E88,武器奇术!$A:$R,17,FALSE)="破竹"),$E$3*(1+$E$15),0),CN88)</f>
        <v>0</v>
      </c>
      <c r="CQ88" s="104">
        <f>IF(($D$13+IF(VLOOKUP($E88,武器奇术!$A:$R,17,FALSE)="破竹",$D$15,0)-VLOOKUP($F$7,目标属性!$A:$R,6,FALSE))&gt;0,($D$13+IF(VLOOKUP($E88,武器奇术!$A:$R,17,FALSE)="破竹",$D$15,0)-VLOOKUP($F$7,目标属性!$A:$R,6,FALSE))/200,($D$13+IF(VLOOKUP($E88,武器奇术!$A:$R,17,FALSE)="破竹",$D$15,0)-VLOOKUP($F$7,目标属性!$A:$R,6,FALSE))/100)</f>
        <v>-0.24</v>
      </c>
      <c r="CR88" s="111">
        <f t="shared" si="30"/>
        <v>0</v>
      </c>
      <c r="CS88" s="102">
        <v>1</v>
      </c>
      <c r="CT88" s="103">
        <f>CN88*IF(VLOOKUP($E88,武器奇术!$A:$R,17,FALSE)="破竹",VLOOKUP($E88,武器奇术!$A:$R,4,FALSE),VLOOKUP($E88,武器奇术!$A:$R,2,FALSE))*(1+CQ88)*(1+CR88)*CS88</f>
        <v>0</v>
      </c>
      <c r="CU88" s="104">
        <f>(1-IF(VLOOKUP($E88,武器奇术!$A:$R,18,FALSE)="叶龙",1,$N88))*(1-$M88)</f>
        <v>0</v>
      </c>
      <c r="CV88" s="103">
        <f>CO88*IF(VLOOKUP($E88,武器奇术!$A:$R,17,FALSE)="破竹",VLOOKUP($E88,武器奇术!$A:$R,4,FALSE),VLOOKUP($E88,武器奇术!$A:$R,2,FALSE))*(1+CQ88)*(1+CR88)*CS88*(1+$E$16+VLOOKUP($E88,武器奇术!$A:$R,8,FALSE))</f>
        <v>0</v>
      </c>
      <c r="CW88" s="104">
        <f t="shared" si="31"/>
        <v>0.8703</v>
      </c>
      <c r="CX88" s="103">
        <f>CP88*IF(VLOOKUP($E88,武器奇术!$A:$R,17,FALSE)="破竹",VLOOKUP($E88,武器奇术!$A:$R,4,FALSE),VLOOKUP($E88,武器奇术!$A:$R,2,FALSE))*(1+CQ88)*(1+CR88)*CS88*(1+$E$17+VLOOKUP($E88,武器奇术!$A:$R,10,FALSE))</f>
        <v>0</v>
      </c>
      <c r="CY88" s="104">
        <f t="shared" si="32"/>
        <v>0.0986</v>
      </c>
      <c r="CZ88" s="103">
        <f>CO88*IF(VLOOKUP($E88,武器奇术!$A:$R,17,FALSE)="破竹",VLOOKUP($E88,武器奇术!$A:$R,4,FALSE),VLOOKUP($E88,武器奇术!$A:$R,2,FALSE))*(1+CQ88)*(1+CR88)*CS88</f>
        <v>0</v>
      </c>
      <c r="DA88" s="104">
        <f t="shared" si="33"/>
        <v>0.0311</v>
      </c>
      <c r="DB88" s="112">
        <f t="shared" si="34"/>
        <v>0</v>
      </c>
      <c r="DC88" s="110">
        <f t="shared" si="35"/>
        <v>66</v>
      </c>
      <c r="DD88" s="102">
        <f t="shared" si="36"/>
        <v>125.8</v>
      </c>
      <c r="DE88" s="102">
        <f t="shared" si="37"/>
        <v>185.6</v>
      </c>
      <c r="DF88" s="104">
        <f>IF((IF(VLOOKUP($E88,武器奇术!$A:$R,17,FALSE)="鸣金",$D$7,0)+IF(VLOOKUP($E88,武器奇术!$A:$R,17,FALSE)="裂石",$D$9,0)+IF(VLOOKUP($E88,武器奇术!$A:$R,17,FALSE)="牵丝",$D$11,0)+IF(VLOOKUP($E88,武器奇术!$A:$R,17,FALSE)="破竹",$D$13,0)+$D$15-VLOOKUP($F$7,目标属性!$A:$R,6,FALSE))&gt;0,(IF(VLOOKUP($E88,武器奇术!$A:$R,17,FALSE)="鸣金",$D$7,0)+IF(VLOOKUP($E88,武器奇术!$A:$R,17,FALSE)="裂石",$D$9,0)+IF(VLOOKUP($E88,武器奇术!$A:$R,17,FALSE)="牵丝",$D$11,0)+IF(VLOOKUP($E88,武器奇术!$A:$R,17,FALSE)="破竹",$D$13,0)+$D$15-VLOOKUP($F$7,目标属性!$A:$R,6,FALSE))/200,(IF(VLOOKUP($E88,武器奇术!$A:$R,17,FALSE)="鸣金",$D$7,0)+IF(VLOOKUP($E88,武器奇术!$A:$R,17,FALSE)="裂石",$D$9,0)+IF(VLOOKUP($E88,武器奇术!$A:$R,17,FALSE)="牵丝",$D$11,0)+IF(VLOOKUP($E88,武器奇术!$A:$R,17,FALSE)="破竹",$D$13,0)+$D$15-VLOOKUP($F$7,目标属性!$A:$R,6,FALSE))/100)</f>
        <v>0.028</v>
      </c>
      <c r="DG88" s="111">
        <f>$E$11+IF($G$5="烟柳",IF(VLOOKUP($E88,武器奇术!$A:$T,20,FALSE)=1,0.1,0),0)</f>
        <v>0.248</v>
      </c>
      <c r="DH88" s="102">
        <v>1</v>
      </c>
      <c r="DI88" s="103">
        <f>DC88*IF(VLOOKUP($E88,武器奇术!$A:$R,17,FALSE)="牵丝",VLOOKUP($E88,武器奇术!$A:$R,4,FALSE),VLOOKUP($E88,武器奇术!$A:$R,2,FALSE))*(1+DF88)*(1+DG88)*DH88</f>
        <v>149.227876512</v>
      </c>
      <c r="DJ88" s="104">
        <f>(1-IF(VLOOKUP($E88,武器奇术!$A:$R,18,FALSE)="叶龙",1,$N88))*(1-$M88)</f>
        <v>0</v>
      </c>
      <c r="DK88" s="124">
        <f>DD88*IF(VLOOKUP($E88,武器奇术!$A:$R,17,FALSE)="牵丝",VLOOKUP($E88,武器奇术!$A:$R,4,FALSE),VLOOKUP($E88,武器奇术!$A:$R,2,FALSE))*(1+DF88)*(1+DG88)*DH88*(1+$E$16+VLOOKUP($E88,武器奇术!$A:$R,8,FALSE))</f>
        <v>570.012502998182</v>
      </c>
      <c r="DL88" s="104">
        <f t="shared" si="38"/>
        <v>0.8703</v>
      </c>
      <c r="DM88" s="103">
        <f>DE88*IF(VLOOKUP($E88,武器奇术!$A:$R,17,FALSE)="牵丝",VLOOKUP($E88,武器奇术!$A:$R,4,FALSE),VLOOKUP($E88,武器奇术!$A:$R,2,FALSE))*(1+DF88)*(1+DG88)*DH88*(1+$E$17+VLOOKUP($E88,武器奇术!$A:$R,10,FALSE))</f>
        <v>566.52328392192</v>
      </c>
      <c r="DN88" s="104">
        <f t="shared" si="39"/>
        <v>0.0986</v>
      </c>
      <c r="DO88" s="124">
        <f>DD88*IF(VLOOKUP($E88,武器奇术!$A:$R,17,FALSE)="牵丝",VLOOKUP($E88,武器奇术!$A:$R,4,FALSE),VLOOKUP($E88,武器奇术!$A:$R,2,FALSE))*(1+DF88)*(1+DG88)*DH88</f>
        <v>284.4373767456</v>
      </c>
      <c r="DP88" s="104">
        <f t="shared" si="40"/>
        <v>0.0311</v>
      </c>
      <c r="DQ88" s="112">
        <f t="shared" si="41"/>
        <v>560.787079570808</v>
      </c>
    </row>
    <row r="89" spans="1:121">
      <c r="A89" s="139"/>
      <c r="B89" s="139"/>
      <c r="C89" s="139"/>
      <c r="D89" s="139"/>
      <c r="E89" s="115" t="str">
        <f>期望!E89</f>
        <v>伞Q(连中风墙大纵)</v>
      </c>
      <c r="F89" s="116">
        <f>期望!F89</f>
        <v>1</v>
      </c>
      <c r="G89" s="117"/>
      <c r="H89" s="140">
        <f>IF(VLOOKUP($E89,武器奇术!$A:$R,18,FALSE)="天工",AE89,(AE89+AT89+BI89+BX89+CM89+DB89+DQ89))*(1+J89)*F89*K89*(1+G89)*(1+$G$21*5%)</f>
        <v>101015.434678772</v>
      </c>
      <c r="I89" s="104">
        <f t="shared" si="0"/>
        <v>0.0116420245909924</v>
      </c>
      <c r="J89" s="104">
        <f>$F$3+VLOOKUP($E89,武器奇术!$A:$R,12,FALSE)+VLOOKUP($E89,武器奇术!$A:$R,14,FALSE)*$G$3+$P89</f>
        <v>1.103</v>
      </c>
      <c r="K89" s="105">
        <f>VLOOKUP($E89,武器奇术!$A:$R,11,FALSE)</f>
        <v>1</v>
      </c>
      <c r="L89" s="119">
        <f>IF(VLOOKUP($E89,武器奇术!$A:$R,15,FALSE)="天工",0%,IF($C$17+VLOOKUP($E89,武器奇术!$A:$R,7,FALSE)&gt;80%,80%,$C$17+VLOOKUP($E89,武器奇术!$A:$R,7,FALSE))+IF($C$19&gt;20%,20%,$C$19))</f>
        <v>0.8703</v>
      </c>
      <c r="M89" s="120">
        <f>IF(VLOOKUP($E89,武器奇术!$A:$R,15,FALSE)="天工",0%,IF($C$18+VLOOKUP($E89,武器奇术!$A:$R,9,FALSE)&gt;40%,40%,$C$18+VLOOKUP($E89,武器奇术!$A:$R,9,FALSE))+IF($C$20&gt;10%,10%,$C$20))</f>
        <v>0.0986</v>
      </c>
      <c r="N89" s="121">
        <f>IF(VLOOKUP($E89,武器奇术!$A:$R,15,FALSE)="天工",100%,MIN($C$16,1))</f>
        <v>1</v>
      </c>
      <c r="O89" s="122" t="str">
        <f>VLOOKUP($E89,武器奇术!$A:$R,16,FALSE)</f>
        <v>伞</v>
      </c>
      <c r="P89" s="123">
        <f t="shared" si="1"/>
        <v>0.17</v>
      </c>
      <c r="Q89" s="110">
        <f>$B$5*(1+VLOOKUP($E89,武器奇术!$A:$R,5,FALSE))*(1+VLOOKUP($E89,武器奇术!$A:$S,19,FALSE)+IF($G$5="飞隼",0.1,0)+IF($G$5="撼天",0.05,0))-$F$9+IF($J$5="√",160,0)</f>
        <v>3324.7</v>
      </c>
      <c r="R89" s="102">
        <f>IF(VLOOKUP($E89,武器奇术!$A:$Z,18,FALSE)="叶龙",(S89-(Q89+S89)*0.5)*($G$15-0.5)*2+(Q89+S89)*0.5,(Q89+S89)*0.5)</f>
        <v>3404.7</v>
      </c>
      <c r="S89" s="102">
        <f>MAX($C$5,$B$5)*(1+VLOOKUP($E89,武器奇术!$A:$R,6,FALSE))*(1+VLOOKUP($E89,武器奇术!$A:$S,19,FALSE)+IF($G$5="飞隼",0.1,0)+IF($G$5="撼天",0.05,0))-$F$9+IF($J$5="√",320,0)</f>
        <v>3484.7</v>
      </c>
      <c r="T89" s="104">
        <f>IF(($D$5+VLOOKUP($E89,武器奇术!$A:$R,13,FALSE)+IF($I$3="√",10,0)-VLOOKUP($F$7,目标属性!$A:$R,5,FALSE))&gt;0,($D$5+VLOOKUP($E89,武器奇术!$A:$R,13,FALSE)+IF($I$3="√",10,0)-VLOOKUP($F$7,目标属性!$A:$R,5,FALSE))/200,($D$5+VLOOKUP($E89,武器奇术!$A:$R,13,FALSE)+IF($I$3="√",10,0)-VLOOKUP($F$7,目标属性!$A:$R,5,FALSE))/100)</f>
        <v>0.2925</v>
      </c>
      <c r="U89" s="111">
        <f>$E$5+IF($G$5="烟柳",IF(VLOOKUP($E89,武器奇术!$A:$T,20,FALSE)=1,0.1,0),0)</f>
        <v>0.1</v>
      </c>
      <c r="V89" s="102">
        <v>1</v>
      </c>
      <c r="W89" s="103">
        <f>Q89*VLOOKUP($E89,武器奇术!$A:$R,2,FALSE)*(1+T89)*(1+U89)*V89</f>
        <v>11059.5097388325</v>
      </c>
      <c r="X89" s="104">
        <f>(1-IF(VLOOKUP($E89,武器奇术!$A:$R,18,FALSE)="叶龙",1,$N89))*(1-$M89)</f>
        <v>0</v>
      </c>
      <c r="Y89" s="103">
        <f>R89*VLOOKUP($E89,武器奇术!$A:$R,2,FALSE)*(1+T89)*(1+U89)*V89*(1+$E$16+VLOOKUP($E89,武器奇术!$A:$R,8,FALSE))</f>
        <v>22696.5569425323</v>
      </c>
      <c r="Z89" s="104">
        <f t="shared" si="2"/>
        <v>0.8703</v>
      </c>
      <c r="AA89" s="103">
        <f>S89*VLOOKUP($E89,武器奇术!$A:$R,2,FALSE)*(1+T89)*(1+U89)*V89*(1+$E$17+VLOOKUP($E89,武器奇术!$A:$R,10,FALSE))</f>
        <v>15648.8553380239</v>
      </c>
      <c r="AB89" s="104">
        <f t="shared" si="3"/>
        <v>0.0986</v>
      </c>
      <c r="AC89" s="103">
        <f>R89*VLOOKUP($E89,武器奇术!$A:$R,2,FALSE)*(1+T89)*(1+U89)*V89</f>
        <v>11325.6272168325</v>
      </c>
      <c r="AD89" s="104">
        <f t="shared" si="4"/>
        <v>0.0311</v>
      </c>
      <c r="AE89" s="112">
        <f t="shared" si="5"/>
        <v>21648.0176498585</v>
      </c>
      <c r="AF89" s="113">
        <f>VLOOKUP($E89,武器奇术!$A:$R,3,FALSE)*(1+IF(VLOOKUP($E89,武器奇术!$A:$R,15,FALSE)="武器",$E$15,0))</f>
        <v>842.4</v>
      </c>
      <c r="AG89" s="103">
        <f t="shared" si="6"/>
        <v>842.4</v>
      </c>
      <c r="AH89" s="103">
        <f>VLOOKUP($E89,武器奇术!$A:$R,3,FALSE)*(1+IF(VLOOKUP($E89,武器奇术!$A:$R,15,FALSE)="武器",$E$15,0))</f>
        <v>842.4</v>
      </c>
      <c r="AI89" s="104">
        <f>IF(($D$5+VLOOKUP($E89,武器奇术!$A:$R,13,FALSE)+IF($I$3="√",10,0)-VLOOKUP($F$7,目标属性!$A:$R,5,FALSE))&gt;0,($D$5+VLOOKUP($E89,武器奇术!$A:$R,13,FALSE)+IF($I$3="√",10,0)-VLOOKUP($F$7,目标属性!$A:$R,5,FALSE))/200,($D$5+VLOOKUP($E89,武器奇术!$A:$R,13,FALSE)+IF($I$3="√",10,0)-VLOOKUP($F$7,目标属性!$A:$R,5,FALSE))/100)</f>
        <v>0.2925</v>
      </c>
      <c r="AJ89" s="111">
        <f>$E$5+IF($G$5="烟柳",IF(VLOOKUP($E89,武器奇术!$A:$T,20,FALSE)=1,0.1,0),0)</f>
        <v>0.1</v>
      </c>
      <c r="AK89" s="102">
        <v>1</v>
      </c>
      <c r="AL89" s="103">
        <f t="shared" si="7"/>
        <v>1197.6822</v>
      </c>
      <c r="AM89" s="104">
        <f>(1-IF(VLOOKUP($E89,武器奇术!$A:$R,18,FALSE)="叶龙",1,$N89))*(1-$M89)</f>
        <v>0</v>
      </c>
      <c r="AN89" s="103">
        <f>AG89*(1+AI89)*(1+AJ89)*AK89*(1+$E$16+VLOOKUP($E89,武器奇术!$A:$R,8,FALSE))</f>
        <v>2400.1551288</v>
      </c>
      <c r="AO89" s="104">
        <f t="shared" si="8"/>
        <v>0.8703</v>
      </c>
      <c r="AP89" s="103">
        <f>AH89*(1+AI89)*(1+AJ89)*AK89*(1+$E$17+VLOOKUP($E89,武器奇术!$A:$R,10,FALSE))</f>
        <v>1616.87097</v>
      </c>
      <c r="AQ89" s="104">
        <f t="shared" si="9"/>
        <v>0.0986</v>
      </c>
      <c r="AR89" s="103">
        <f t="shared" si="10"/>
        <v>1197.6822</v>
      </c>
      <c r="AS89" s="104">
        <f t="shared" si="11"/>
        <v>0.0311</v>
      </c>
      <c r="AT89" s="112">
        <f t="shared" si="12"/>
        <v>2285.52640265664</v>
      </c>
      <c r="AU89" s="110">
        <f>$B$7*IF($G$5="撼天",1.05,1)+IF(AND(VLOOKUP($E89,武器奇术!$A:$R,15,FALSE)="武器",VLOOKUP($E89,武器奇术!$A:$R,17,FALSE)="鸣金"),$E$3*(1+$E$15),0)</f>
        <v>0</v>
      </c>
      <c r="AV89" s="102">
        <f t="shared" si="13"/>
        <v>0</v>
      </c>
      <c r="AW89" s="102">
        <f>MAX($C$7*IF($G$5="撼天",1.05,1)+IF(AND(VLOOKUP($E89,武器奇术!$A:$R,15,FALSE)="武器",VLOOKUP($E89,武器奇术!$A:$R,17,FALSE)="鸣金"),$E$3*(1+$E$15),0),AU89)</f>
        <v>0</v>
      </c>
      <c r="AX89" s="104">
        <f>IF(($D$7+IF(VLOOKUP($E89,武器奇术!$A:$R,17,FALSE)="鸣金",$D$15,0)-VLOOKUP($F$7,目标属性!$A:$R,6,FALSE))&gt;0,($D$7+IF(VLOOKUP($E89,武器奇术!$A:$R,17,FALSE)="鸣金",$D$15,0)-VLOOKUP($F$7,目标属性!$A:$R,6,FALSE))/200,($D$7+IF(VLOOKUP($E89,武器奇术!$A:$R,17,FALSE)="鸣金",$D$15,0)-VLOOKUP($F$7,目标属性!$A:$R,6,FALSE))/100)</f>
        <v>-0.24</v>
      </c>
      <c r="AY89" s="111">
        <f t="shared" si="14"/>
        <v>0</v>
      </c>
      <c r="AZ89" s="102">
        <v>1</v>
      </c>
      <c r="BA89" s="103">
        <f>AU89*IF(VLOOKUP($E89,武器奇术!$A:$R,17,FALSE)="鸣金",VLOOKUP($E89,武器奇术!$A:$R,4,FALSE),VLOOKUP($E89,武器奇术!$A:$R,2,FALSE))*(1+AX89)*(1+AY89)*AZ89</f>
        <v>0</v>
      </c>
      <c r="BB89" s="104">
        <f>(1-IF(VLOOKUP($E89,武器奇术!$A:$R,18,FALSE)="叶龙",1,$N89))*(1-$M89)</f>
        <v>0</v>
      </c>
      <c r="BC89" s="103">
        <f>AV89*IF(VLOOKUP($E89,武器奇术!$A:$R,17,FALSE)="鸣金",VLOOKUP($E89,武器奇术!$A:$R,4,FALSE),VLOOKUP($E89,武器奇术!$A:$R,2,FALSE))*(1+AX89)*(1+AY89)*AZ89*(1+$E$16+VLOOKUP($E89,武器奇术!$A:$R,8,FALSE))</f>
        <v>0</v>
      </c>
      <c r="BD89" s="104">
        <f t="shared" si="15"/>
        <v>0.8703</v>
      </c>
      <c r="BE89" s="103">
        <f>AW89*IF(VLOOKUP($E89,武器奇术!$A:$R,17,FALSE)="鸣金",VLOOKUP($E89,武器奇术!$A:$R,4,FALSE),VLOOKUP($E89,武器奇术!$A:$R,2,FALSE))*(1+AX89)*(1+AY89)*AZ89*(1+$E$17+VLOOKUP($E89,武器奇术!$A:$R,10,FALSE))</f>
        <v>0</v>
      </c>
      <c r="BF89" s="104">
        <f t="shared" si="16"/>
        <v>0.0986</v>
      </c>
      <c r="BG89" s="103">
        <f>AV89*IF(VLOOKUP($E89,武器奇术!$A:$R,17,FALSE)="鸣金",VLOOKUP($E89,武器奇术!$A:$R,4,FALSE),VLOOKUP($E89,武器奇术!$A:$R,2,FALSE))*(1+AX89)*(1+AY89)*AZ89</f>
        <v>0</v>
      </c>
      <c r="BH89" s="104">
        <f t="shared" si="17"/>
        <v>0.0311</v>
      </c>
      <c r="BI89" s="112">
        <f t="shared" si="18"/>
        <v>0</v>
      </c>
      <c r="BJ89" s="110">
        <f>$B$9*IF($G$5="撼天",1.05,1)+IF(AND(VLOOKUP($E89,武器奇术!$A:$R,15,FALSE)="武器",VLOOKUP($E89,武器奇术!$A:$R,17,FALSE)="裂石"),$E$3*(1+$E$15),0)</f>
        <v>0</v>
      </c>
      <c r="BK89" s="102">
        <f t="shared" si="19"/>
        <v>0</v>
      </c>
      <c r="BL89" s="102">
        <f>MAX($C$9*IF($G$5="撼天",1.05,1)+IF(AND(VLOOKUP($E89,武器奇术!$A:$R,15,FALSE)="武器",VLOOKUP($E89,武器奇术!$A:$R,17,FALSE)="裂石"),$E$3*(1+$E$15),0),BJ89)</f>
        <v>0</v>
      </c>
      <c r="BM89" s="104">
        <f>IF(($D$9+IF(VLOOKUP($E89,武器奇术!$A:$R,17,FALSE)="裂石",$D$15,0)-VLOOKUP($F$7,目标属性!$A:$R,6,FALSE))&gt;0,($D$9+IF(VLOOKUP($E89,武器奇术!$A:$R,17,FALSE)="裂石",$D$15,0)-VLOOKUP($F$7,目标属性!$A:$R,6,FALSE))/200,($D$9+IF(VLOOKUP($E89,武器奇术!$A:$R,17,FALSE)="裂石",$D$15,0)-VLOOKUP($F$7,目标属性!$A:$R,6,FALSE))/100)</f>
        <v>-0.24</v>
      </c>
      <c r="BN89" s="111">
        <f t="shared" si="20"/>
        <v>0</v>
      </c>
      <c r="BO89" s="102">
        <v>1</v>
      </c>
      <c r="BP89" s="103">
        <f>BJ89*IF(VLOOKUP($E89,武器奇术!$A:$R,17,FALSE)="裂石",VLOOKUP($E89,武器奇术!$A:$R,4,FALSE),VLOOKUP($E89,武器奇术!$A:$R,2,FALSE))*(1+BM89)*(1+BN89)*BO89</f>
        <v>0</v>
      </c>
      <c r="BQ89" s="104">
        <f>(1-IF(VLOOKUP($E89,武器奇术!$A:$R,18,FALSE)="叶龙",1,$N89))*(1-$M89)</f>
        <v>0</v>
      </c>
      <c r="BR89" s="103">
        <f>BK89*IF(VLOOKUP($E89,武器奇术!$A:$R,17,FALSE)="裂石",VLOOKUP($E89,武器奇术!$A:$R,4,FALSE),VLOOKUP($E89,武器奇术!$A:$R,2,FALSE))*(1+BM89)*(1+BN89)*BO89*(1+$E$16+VLOOKUP($E89,武器奇术!$A:$R,8,FALSE))</f>
        <v>0</v>
      </c>
      <c r="BS89" s="104">
        <f t="shared" si="21"/>
        <v>0.8703</v>
      </c>
      <c r="BT89" s="103">
        <f>BL89*IF(VLOOKUP($E89,武器奇术!$A:$R,17,FALSE)="裂石",VLOOKUP($E89,武器奇术!$A:$R,4,FALSE),VLOOKUP($E89,武器奇术!$A:$R,2,FALSE))*(1+BM89)*(1+BN89)*BO89*(1+$E$17+VLOOKUP($E89,武器奇术!$A:$R,10,FALSE))</f>
        <v>0</v>
      </c>
      <c r="BU89" s="104">
        <f t="shared" si="22"/>
        <v>0.0986</v>
      </c>
      <c r="BV89" s="103">
        <f>BK89*IF(VLOOKUP($E89,武器奇术!$A:$R,17,FALSE)="裂石",VLOOKUP($E89,武器奇术!$A:$R,4,FALSE),VLOOKUP($E89,武器奇术!$A:$R,2,FALSE))*(1+BM89)*(1+BN89)*BO89</f>
        <v>0</v>
      </c>
      <c r="BW89" s="104">
        <f t="shared" si="23"/>
        <v>0.0311</v>
      </c>
      <c r="BX89" s="112">
        <f t="shared" si="24"/>
        <v>0</v>
      </c>
      <c r="BY89" s="110">
        <f>$B$11*IF($G$5="撼天",1.05,1)+IF(AND(VLOOKUP($E89,武器奇术!$A:$R,15,FALSE)="武器",VLOOKUP($E89,武器奇术!$A:$R,17,FALSE)="牵丝"),$E$3*(1+$E$15),0)</f>
        <v>686.71</v>
      </c>
      <c r="BZ89" s="102">
        <f>IF(VLOOKUP($E89,武器奇术!$A:$Z,18,FALSE)="叶龙",(CA89-(BY89+CA89)*0.5)*($G$15-0.5)*2+(BY89+CA89)*0.5,(BY89+CA89)*0.5)</f>
        <v>1052.21</v>
      </c>
      <c r="CA89" s="102">
        <f>MAX($C$11*IF($G$5="撼天",1.05,1)+IF(AND(VLOOKUP($E89,武器奇术!$A:$R,15,FALSE)="武器",VLOOKUP($E89,武器奇术!$A:$R,17,FALSE)="牵丝"),$E$3*(1+$E$15),0),BY89)</f>
        <v>1417.71</v>
      </c>
      <c r="CB89" s="104">
        <f>IF(($D$11+IF(VLOOKUP($E89,武器奇术!$A:$R,17,FALSE)="牵丝",$D$15,0)-VLOOKUP($F$7,目标属性!$A:$R,6,FALSE))&gt;0,($D$11+IF(VLOOKUP($E89,武器奇术!$A:$R,17,FALSE)="牵丝",$D$15,0)-VLOOKUP($F$7,目标属性!$A:$R,6,FALSE))/200,($D$11+IF(VLOOKUP($E89,武器奇术!$A:$R,17,FALSE)="牵丝",$D$15,0)-VLOOKUP($F$7,目标属性!$A:$R,6,FALSE))/100)</f>
        <v>0.028</v>
      </c>
      <c r="CC89" s="111">
        <f>$E$11+IF($G$5="烟柳",IF(VLOOKUP($E89,武器奇术!$A:$T,20,FALSE)=1,0.1,0),0)</f>
        <v>0.248</v>
      </c>
      <c r="CD89" s="102">
        <v>1</v>
      </c>
      <c r="CE89" s="103">
        <f>BY89*IF(VLOOKUP($E89,武器奇术!$A:$R,17,FALSE)="牵丝",VLOOKUP($E89,武器奇术!$A:$R,4,FALSE),VLOOKUP($E89,武器奇术!$A:$R,2,FALSE))*(1+CB89)*(1+CC89)*CD89</f>
        <v>3091.90625934528</v>
      </c>
      <c r="CF89" s="104">
        <f>(1-IF(VLOOKUP($E89,武器奇术!$A:$R,18,FALSE)="叶龙",1,$N89))*(1-$M89)</f>
        <v>0</v>
      </c>
      <c r="CG89" s="124">
        <f>BZ89*IF(VLOOKUP($E89,武器奇术!$A:$R,17,FALSE)="牵丝",VLOOKUP($E89,武器奇术!$A:$R,4,FALSE),VLOOKUP($E89,武器奇术!$A:$R,2,FALSE))*(1+CB89)*(1+CC89)*CD89*(1+$E$16+VLOOKUP($E89,武器奇术!$A:$R,8,FALSE))</f>
        <v>9494.08441559316</v>
      </c>
      <c r="CH89" s="104">
        <f t="shared" si="25"/>
        <v>0.8703</v>
      </c>
      <c r="CI89" s="103">
        <f>CA89*IF(VLOOKUP($E89,武器奇术!$A:$R,17,FALSE)="牵丝",VLOOKUP($E89,武器奇术!$A:$R,4,FALSE),VLOOKUP($E89,武器奇术!$A:$R,2,FALSE))*(1+CB89)*(1+CC89)*CD89*(1+$E$17+VLOOKUP($E89,武器奇术!$A:$R,10,FALSE))</f>
        <v>8617.35764873693</v>
      </c>
      <c r="CJ89" s="104">
        <f t="shared" si="26"/>
        <v>0.0986</v>
      </c>
      <c r="CK89" s="124">
        <f>BZ89*IF(VLOOKUP($E89,武器奇术!$A:$R,17,FALSE)="牵丝",VLOOKUP($E89,武器奇术!$A:$R,4,FALSE),VLOOKUP($E89,武器奇术!$A:$R,2,FALSE))*(1+CB89)*(1+CC89)*CD89</f>
        <v>4737.56707364928</v>
      </c>
      <c r="CL89" s="104">
        <f t="shared" si="27"/>
        <v>0.0311</v>
      </c>
      <c r="CM89" s="112">
        <f t="shared" si="28"/>
        <v>9259.71146704668</v>
      </c>
      <c r="CN89" s="110">
        <f>$B$13*IF($G$5="撼天",1.05,1)+IF(AND(VLOOKUP($E89,武器奇术!$A:$R,15,FALSE)="武器",VLOOKUP($E89,武器奇术!$A:$R,17,FALSE)="破竹"),$E$3*(1+$E$15),0)</f>
        <v>0</v>
      </c>
      <c r="CO89" s="102">
        <f t="shared" si="29"/>
        <v>0</v>
      </c>
      <c r="CP89" s="102">
        <f>MAX($C$13*IF($G$5="撼天",1.05,1)+IF(AND(VLOOKUP($E89,武器奇术!$A:$R,15,FALSE)="武器",VLOOKUP($E89,武器奇术!$A:$R,17,FALSE)="破竹"),$E$3*(1+$E$15),0),CN89)</f>
        <v>0</v>
      </c>
      <c r="CQ89" s="104">
        <f>IF(($D$13+IF(VLOOKUP($E89,武器奇术!$A:$R,17,FALSE)="破竹",$D$15,0)-VLOOKUP($F$7,目标属性!$A:$R,6,FALSE))&gt;0,($D$13+IF(VLOOKUP($E89,武器奇术!$A:$R,17,FALSE)="破竹",$D$15,0)-VLOOKUP($F$7,目标属性!$A:$R,6,FALSE))/200,($D$13+IF(VLOOKUP($E89,武器奇术!$A:$R,17,FALSE)="破竹",$D$15,0)-VLOOKUP($F$7,目标属性!$A:$R,6,FALSE))/100)</f>
        <v>-0.24</v>
      </c>
      <c r="CR89" s="111">
        <f t="shared" si="30"/>
        <v>0</v>
      </c>
      <c r="CS89" s="102">
        <v>1</v>
      </c>
      <c r="CT89" s="103">
        <f>CN89*IF(VLOOKUP($E89,武器奇术!$A:$R,17,FALSE)="破竹",VLOOKUP($E89,武器奇术!$A:$R,4,FALSE),VLOOKUP($E89,武器奇术!$A:$R,2,FALSE))*(1+CQ89)*(1+CR89)*CS89</f>
        <v>0</v>
      </c>
      <c r="CU89" s="104">
        <f>(1-IF(VLOOKUP($E89,武器奇术!$A:$R,18,FALSE)="叶龙",1,$N89))*(1-$M89)</f>
        <v>0</v>
      </c>
      <c r="CV89" s="103">
        <f>CO89*IF(VLOOKUP($E89,武器奇术!$A:$R,17,FALSE)="破竹",VLOOKUP($E89,武器奇术!$A:$R,4,FALSE),VLOOKUP($E89,武器奇术!$A:$R,2,FALSE))*(1+CQ89)*(1+CR89)*CS89*(1+$E$16+VLOOKUP($E89,武器奇术!$A:$R,8,FALSE))</f>
        <v>0</v>
      </c>
      <c r="CW89" s="104">
        <f t="shared" si="31"/>
        <v>0.8703</v>
      </c>
      <c r="CX89" s="103">
        <f>CP89*IF(VLOOKUP($E89,武器奇术!$A:$R,17,FALSE)="破竹",VLOOKUP($E89,武器奇术!$A:$R,4,FALSE),VLOOKUP($E89,武器奇术!$A:$R,2,FALSE))*(1+CQ89)*(1+CR89)*CS89*(1+$E$17+VLOOKUP($E89,武器奇术!$A:$R,10,FALSE))</f>
        <v>0</v>
      </c>
      <c r="CY89" s="104">
        <f t="shared" si="32"/>
        <v>0.0986</v>
      </c>
      <c r="CZ89" s="103">
        <f>CO89*IF(VLOOKUP($E89,武器奇术!$A:$R,17,FALSE)="破竹",VLOOKUP($E89,武器奇术!$A:$R,4,FALSE),VLOOKUP($E89,武器奇术!$A:$R,2,FALSE))*(1+CQ89)*(1+CR89)*CS89</f>
        <v>0</v>
      </c>
      <c r="DA89" s="104">
        <f t="shared" si="33"/>
        <v>0.0311</v>
      </c>
      <c r="DB89" s="112">
        <f t="shared" si="34"/>
        <v>0</v>
      </c>
      <c r="DC89" s="110">
        <f t="shared" si="35"/>
        <v>66</v>
      </c>
      <c r="DD89" s="102">
        <f t="shared" si="36"/>
        <v>125.8</v>
      </c>
      <c r="DE89" s="102">
        <f t="shared" si="37"/>
        <v>185.6</v>
      </c>
      <c r="DF89" s="104">
        <f>IF((IF(VLOOKUP($E89,武器奇术!$A:$R,17,FALSE)="鸣金",$D$7,0)+IF(VLOOKUP($E89,武器奇术!$A:$R,17,FALSE)="裂石",$D$9,0)+IF(VLOOKUP($E89,武器奇术!$A:$R,17,FALSE)="牵丝",$D$11,0)+IF(VLOOKUP($E89,武器奇术!$A:$R,17,FALSE)="破竹",$D$13,0)+$D$15-VLOOKUP($F$7,目标属性!$A:$R,6,FALSE))&gt;0,(IF(VLOOKUP($E89,武器奇术!$A:$R,17,FALSE)="鸣金",$D$7,0)+IF(VLOOKUP($E89,武器奇术!$A:$R,17,FALSE)="裂石",$D$9,0)+IF(VLOOKUP($E89,武器奇术!$A:$R,17,FALSE)="牵丝",$D$11,0)+IF(VLOOKUP($E89,武器奇术!$A:$R,17,FALSE)="破竹",$D$13,0)+$D$15-VLOOKUP($F$7,目标属性!$A:$R,6,FALSE))/200,(IF(VLOOKUP($E89,武器奇术!$A:$R,17,FALSE)="鸣金",$D$7,0)+IF(VLOOKUP($E89,武器奇术!$A:$R,17,FALSE)="裂石",$D$9,0)+IF(VLOOKUP($E89,武器奇术!$A:$R,17,FALSE)="牵丝",$D$11,0)+IF(VLOOKUP($E89,武器奇术!$A:$R,17,FALSE)="破竹",$D$13,0)+$D$15-VLOOKUP($F$7,目标属性!$A:$R,6,FALSE))/100)</f>
        <v>0.028</v>
      </c>
      <c r="DG89" s="111">
        <f>$E$11+IF($G$5="烟柳",IF(VLOOKUP($E89,武器奇术!$A:$T,20,FALSE)=1,0.1,0),0)</f>
        <v>0.248</v>
      </c>
      <c r="DH89" s="102">
        <v>1</v>
      </c>
      <c r="DI89" s="103">
        <f>DC89*IF(VLOOKUP($E89,武器奇术!$A:$R,17,FALSE)="牵丝",VLOOKUP($E89,武器奇术!$A:$R,4,FALSE),VLOOKUP($E89,武器奇术!$A:$R,2,FALSE))*(1+DF89)*(1+DG89)*DH89</f>
        <v>297.164469888</v>
      </c>
      <c r="DJ89" s="104">
        <f>(1-IF(VLOOKUP($E89,武器奇术!$A:$R,18,FALSE)="叶龙",1,$N89))*(1-$M89)</f>
        <v>0</v>
      </c>
      <c r="DK89" s="124">
        <f>DD89*IF(VLOOKUP($E89,武器奇术!$A:$R,17,FALSE)="牵丝",VLOOKUP($E89,武器奇术!$A:$R,4,FALSE),VLOOKUP($E89,武器奇术!$A:$R,2,FALSE))*(1+DF89)*(1+DG89)*DH89*(1+$E$16+VLOOKUP($E89,武器奇术!$A:$R,8,FALSE))</f>
        <v>1135.0926331071</v>
      </c>
      <c r="DL89" s="104">
        <f t="shared" si="38"/>
        <v>0.8703</v>
      </c>
      <c r="DM89" s="103">
        <f>DE89*IF(VLOOKUP($E89,武器奇术!$A:$R,17,FALSE)="牵丝",VLOOKUP($E89,武器奇术!$A:$R,4,FALSE),VLOOKUP($E89,武器奇术!$A:$R,2,FALSE))*(1+DF89)*(1+DG89)*DH89*(1+$E$17+VLOOKUP($E89,武器奇术!$A:$R,10,FALSE))</f>
        <v>1128.14438750208</v>
      </c>
      <c r="DN89" s="104">
        <f t="shared" si="39"/>
        <v>0.0986</v>
      </c>
      <c r="DO89" s="124">
        <f>DD89*IF(VLOOKUP($E89,武器奇术!$A:$R,17,FALSE)="牵丝",VLOOKUP($E89,武器奇术!$A:$R,4,FALSE),VLOOKUP($E89,武器奇术!$A:$R,2,FALSE))*(1+DF89)*(1+DG89)*DH89</f>
        <v>566.4134895744</v>
      </c>
      <c r="DP89" s="104">
        <f t="shared" si="40"/>
        <v>0.0311</v>
      </c>
      <c r="DQ89" s="112">
        <f t="shared" si="41"/>
        <v>1116.72161472658</v>
      </c>
    </row>
    <row r="90" spans="1:121">
      <c r="E90" s="115" t="str">
        <f>期望!E90</f>
        <v>伞Q(连中风墙大纵气竭)</v>
      </c>
      <c r="F90" s="116">
        <f>期望!F90</f>
        <v>1</v>
      </c>
      <c r="G90" s="117"/>
      <c r="H90" s="140">
        <f>IF(VLOOKUP($E90,武器奇术!$A:$R,18,FALSE)="天工",AE90,(AE90+AT90+BI90+BX90+CM90+DB90+DQ90))*(1+J90)*F90*K90*(1+G90)*(1+$G$21*5%)</f>
        <v>125733.341444304</v>
      </c>
      <c r="I90" s="104">
        <f t="shared" si="0"/>
        <v>0.0144907623043653</v>
      </c>
      <c r="J90" s="104">
        <f>$F$3+VLOOKUP($E90,武器奇术!$A:$R,12,FALSE)+VLOOKUP($E90,武器奇术!$A:$R,14,FALSE)*$G$3+$P90</f>
        <v>1.203</v>
      </c>
      <c r="K90" s="105">
        <f>VLOOKUP($E90,武器奇术!$A:$R,11,FALSE)</f>
        <v>1</v>
      </c>
      <c r="L90" s="119">
        <f>IF(VLOOKUP($E90,武器奇术!$A:$R,15,FALSE)="天工",0%,IF($C$17+VLOOKUP($E90,武器奇术!$A:$R,7,FALSE)&gt;80%,80%,$C$17+VLOOKUP($E90,武器奇术!$A:$R,7,FALSE))+IF($C$19&gt;20%,20%,$C$19))</f>
        <v>0.8703</v>
      </c>
      <c r="M90" s="120">
        <f>IF(VLOOKUP($E90,武器奇术!$A:$R,15,FALSE)="天工",0%,IF($C$18+VLOOKUP($E90,武器奇术!$A:$R,9,FALSE)&gt;40%,40%,$C$18+VLOOKUP($E90,武器奇术!$A:$R,9,FALSE))+IF($C$20&gt;10%,10%,$C$20))</f>
        <v>0.0986</v>
      </c>
      <c r="N90" s="121">
        <f>IF(VLOOKUP($E90,武器奇术!$A:$R,15,FALSE)="天工",100%,MIN($C$16,1))</f>
        <v>1</v>
      </c>
      <c r="O90" s="122" t="str">
        <f>VLOOKUP($E90,武器奇术!$A:$R,16,FALSE)</f>
        <v>伞</v>
      </c>
      <c r="P90" s="123">
        <f t="shared" si="1"/>
        <v>0.17</v>
      </c>
      <c r="Q90" s="110">
        <f>$B$5*(1+VLOOKUP($E90,武器奇术!$A:$R,5,FALSE))*(1+VLOOKUP($E90,武器奇术!$A:$S,19,FALSE)+IF($G$5="飞隼",0.1,0)+IF($G$5="撼天",0.05,0))-$F$9+IF($J$5="√",160,0)</f>
        <v>3324.7</v>
      </c>
      <c r="R90" s="102">
        <f>IF(VLOOKUP($E90,武器奇术!$A:$Z,18,FALSE)="叶龙",(S90-(Q90+S90)*0.5)*($G$15-0.5)*2+(Q90+S90)*0.5,(Q90+S90)*0.5)</f>
        <v>3404.7</v>
      </c>
      <c r="S90" s="102">
        <f>MAX($C$5,$B$5)*(1+VLOOKUP($E90,武器奇术!$A:$R,6,FALSE))*(1+VLOOKUP($E90,武器奇术!$A:$S,19,FALSE)+IF($G$5="飞隼",0.1,0)+IF($G$5="撼天",0.05,0))-$F$9+IF($J$5="√",320,0)</f>
        <v>3484.7</v>
      </c>
      <c r="T90" s="104">
        <f>IF(($D$5+VLOOKUP($E90,武器奇术!$A:$R,13,FALSE)+IF($I$3="√",10,0)-VLOOKUP($F$7,目标属性!$A:$R,5,FALSE))&gt;0,($D$5+VLOOKUP($E90,武器奇术!$A:$R,13,FALSE)+IF($I$3="√",10,0)-VLOOKUP($F$7,目标属性!$A:$R,5,FALSE))/200,($D$5+VLOOKUP($E90,武器奇术!$A:$R,13,FALSE)+IF($I$3="√",10,0)-VLOOKUP($F$7,目标属性!$A:$R,5,FALSE))/100)</f>
        <v>0.4175</v>
      </c>
      <c r="U90" s="111">
        <f>$E$5+IF($G$5="烟柳",IF(VLOOKUP($E90,武器奇术!$A:$T,20,FALSE)=1,0.1,0),0)</f>
        <v>0.1</v>
      </c>
      <c r="V90" s="102">
        <v>1</v>
      </c>
      <c r="W90" s="103">
        <f>Q90*VLOOKUP($E90,武器奇术!$A:$R,2,FALSE)*(1+T90)*(1+U90)*V90</f>
        <v>12129.0948199575</v>
      </c>
      <c r="X90" s="104">
        <f>(1-IF(VLOOKUP($E90,武器奇术!$A:$R,18,FALSE)="叶龙",1,$N90))*(1-$M90)</f>
        <v>0</v>
      </c>
      <c r="Y90" s="103">
        <f>R90*VLOOKUP($E90,武器奇术!$A:$R,2,FALSE)*(1+T90)*(1+U90)*V90*(1+$E$16+VLOOKUP($E90,武器奇术!$A:$R,8,FALSE))</f>
        <v>27996.8190413962</v>
      </c>
      <c r="Z90" s="104">
        <f t="shared" si="2"/>
        <v>0.8703</v>
      </c>
      <c r="AA90" s="103">
        <f>S90*VLOOKUP($E90,武器奇术!$A:$R,2,FALSE)*(1+T90)*(1+U90)*V90*(1+$E$17+VLOOKUP($E90,武器奇术!$A:$R,10,FALSE))</f>
        <v>17162.2842875426</v>
      </c>
      <c r="AB90" s="104">
        <f t="shared" si="3"/>
        <v>0.0986</v>
      </c>
      <c r="AC90" s="103">
        <f>R90*VLOOKUP($E90,武器奇术!$A:$R,2,FALSE)*(1+T90)*(1+U90)*V90</f>
        <v>12420.9489979575</v>
      </c>
      <c r="AD90" s="104">
        <f t="shared" si="4"/>
        <v>0.0311</v>
      </c>
      <c r="AE90" s="112">
        <f t="shared" si="5"/>
        <v>26444.1243563153</v>
      </c>
      <c r="AF90" s="113">
        <f>VLOOKUP($E90,武器奇术!$A:$R,3,FALSE)*(1+IF(VLOOKUP($E90,武器奇术!$A:$R,15,FALSE)="武器",$E$15,0))</f>
        <v>842.4</v>
      </c>
      <c r="AG90" s="103">
        <f t="shared" si="6"/>
        <v>842.4</v>
      </c>
      <c r="AH90" s="103">
        <f>VLOOKUP($E90,武器奇术!$A:$R,3,FALSE)*(1+IF(VLOOKUP($E90,武器奇术!$A:$R,15,FALSE)="武器",$E$15,0))</f>
        <v>842.4</v>
      </c>
      <c r="AI90" s="104">
        <f>IF(($D$5+VLOOKUP($E90,武器奇术!$A:$R,13,FALSE)+IF($I$3="√",10,0)-VLOOKUP($F$7,目标属性!$A:$R,5,FALSE))&gt;0,($D$5+VLOOKUP($E90,武器奇术!$A:$R,13,FALSE)+IF($I$3="√",10,0)-VLOOKUP($F$7,目标属性!$A:$R,5,FALSE))/200,($D$5+VLOOKUP($E90,武器奇术!$A:$R,13,FALSE)+IF($I$3="√",10,0)-VLOOKUP($F$7,目标属性!$A:$R,5,FALSE))/100)</f>
        <v>0.4175</v>
      </c>
      <c r="AJ90" s="111">
        <f>$E$5+IF($G$5="烟柳",IF(VLOOKUP($E90,武器奇术!$A:$T,20,FALSE)=1,0.1,0),0)</f>
        <v>0.1</v>
      </c>
      <c r="AK90" s="102">
        <v>1</v>
      </c>
      <c r="AL90" s="103">
        <f t="shared" si="7"/>
        <v>1313.5122</v>
      </c>
      <c r="AM90" s="104">
        <f>(1-IF(VLOOKUP($E90,武器奇术!$A:$R,18,FALSE)="叶龙",1,$N90))*(1-$M90)</f>
        <v>0</v>
      </c>
      <c r="AN90" s="103">
        <f>AG90*(1+AI90)*(1+AJ90)*AK90*(1+$E$16+VLOOKUP($E90,武器奇术!$A:$R,8,FALSE))</f>
        <v>2960.6564988</v>
      </c>
      <c r="AO90" s="104">
        <f t="shared" si="8"/>
        <v>0.8703</v>
      </c>
      <c r="AP90" s="103">
        <f>AH90*(1+AI90)*(1+AJ90)*AK90*(1+$E$17+VLOOKUP($E90,武器奇术!$A:$R,10,FALSE))</f>
        <v>1773.24147</v>
      </c>
      <c r="AQ90" s="104">
        <f t="shared" si="9"/>
        <v>0.0986</v>
      </c>
      <c r="AR90" s="103">
        <f t="shared" si="10"/>
        <v>1313.5122</v>
      </c>
      <c r="AS90" s="104">
        <f t="shared" si="11"/>
        <v>0.0311</v>
      </c>
      <c r="AT90" s="112">
        <f t="shared" si="12"/>
        <v>2792.35118926764</v>
      </c>
      <c r="AU90" s="110">
        <f>$B$7*IF($G$5="撼天",1.05,1)+IF(AND(VLOOKUP($E90,武器奇术!$A:$R,15,FALSE)="武器",VLOOKUP($E90,武器奇术!$A:$R,17,FALSE)="鸣金"),$E$3*(1+$E$15),0)</f>
        <v>0</v>
      </c>
      <c r="AV90" s="102">
        <f t="shared" si="13"/>
        <v>0</v>
      </c>
      <c r="AW90" s="102">
        <f>MAX($C$7*IF($G$5="撼天",1.05,1)+IF(AND(VLOOKUP($E90,武器奇术!$A:$R,15,FALSE)="武器",VLOOKUP($E90,武器奇术!$A:$R,17,FALSE)="鸣金"),$E$3*(1+$E$15),0),AU90)</f>
        <v>0</v>
      </c>
      <c r="AX90" s="104">
        <f>IF(($D$7+IF(VLOOKUP($E90,武器奇术!$A:$R,17,FALSE)="鸣金",$D$15,0)-VLOOKUP($F$7,目标属性!$A:$R,6,FALSE))&gt;0,($D$7+IF(VLOOKUP($E90,武器奇术!$A:$R,17,FALSE)="鸣金",$D$15,0)-VLOOKUP($F$7,目标属性!$A:$R,6,FALSE))/200,($D$7+IF(VLOOKUP($E90,武器奇术!$A:$R,17,FALSE)="鸣金",$D$15,0)-VLOOKUP($F$7,目标属性!$A:$R,6,FALSE))/100)</f>
        <v>-0.24</v>
      </c>
      <c r="AY90" s="111">
        <f t="shared" si="14"/>
        <v>0</v>
      </c>
      <c r="AZ90" s="102">
        <v>1</v>
      </c>
      <c r="BA90" s="103">
        <f>AU90*IF(VLOOKUP($E90,武器奇术!$A:$R,17,FALSE)="鸣金",VLOOKUP($E90,武器奇术!$A:$R,4,FALSE),VLOOKUP($E90,武器奇术!$A:$R,2,FALSE))*(1+AX90)*(1+AY90)*AZ90</f>
        <v>0</v>
      </c>
      <c r="BB90" s="104">
        <f>(1-IF(VLOOKUP($E90,武器奇术!$A:$R,18,FALSE)="叶龙",1,$N90))*(1-$M90)</f>
        <v>0</v>
      </c>
      <c r="BC90" s="103">
        <f>AV90*IF(VLOOKUP($E90,武器奇术!$A:$R,17,FALSE)="鸣金",VLOOKUP($E90,武器奇术!$A:$R,4,FALSE),VLOOKUP($E90,武器奇术!$A:$R,2,FALSE))*(1+AX90)*(1+AY90)*AZ90*(1+$E$16+VLOOKUP($E90,武器奇术!$A:$R,8,FALSE))</f>
        <v>0</v>
      </c>
      <c r="BD90" s="104">
        <f t="shared" si="15"/>
        <v>0.8703</v>
      </c>
      <c r="BE90" s="103">
        <f>AW90*IF(VLOOKUP($E90,武器奇术!$A:$R,17,FALSE)="鸣金",VLOOKUP($E90,武器奇术!$A:$R,4,FALSE),VLOOKUP($E90,武器奇术!$A:$R,2,FALSE))*(1+AX90)*(1+AY90)*AZ90*(1+$E$17+VLOOKUP($E90,武器奇术!$A:$R,10,FALSE))</f>
        <v>0</v>
      </c>
      <c r="BF90" s="104">
        <f t="shared" si="16"/>
        <v>0.0986</v>
      </c>
      <c r="BG90" s="103">
        <f>AV90*IF(VLOOKUP($E90,武器奇术!$A:$R,17,FALSE)="鸣金",VLOOKUP($E90,武器奇术!$A:$R,4,FALSE),VLOOKUP($E90,武器奇术!$A:$R,2,FALSE))*(1+AX90)*(1+AY90)*AZ90</f>
        <v>0</v>
      </c>
      <c r="BH90" s="104">
        <f t="shared" si="17"/>
        <v>0.0311</v>
      </c>
      <c r="BI90" s="112">
        <f t="shared" si="18"/>
        <v>0</v>
      </c>
      <c r="BJ90" s="110">
        <f>$B$9*IF($G$5="撼天",1.05,1)+IF(AND(VLOOKUP($E90,武器奇术!$A:$R,15,FALSE)="武器",VLOOKUP($E90,武器奇术!$A:$R,17,FALSE)="裂石"),$E$3*(1+$E$15),0)</f>
        <v>0</v>
      </c>
      <c r="BK90" s="102">
        <f t="shared" si="19"/>
        <v>0</v>
      </c>
      <c r="BL90" s="102">
        <f>MAX($C$9*IF($G$5="撼天",1.05,1)+IF(AND(VLOOKUP($E90,武器奇术!$A:$R,15,FALSE)="武器",VLOOKUP($E90,武器奇术!$A:$R,17,FALSE)="裂石"),$E$3*(1+$E$15),0),BJ90)</f>
        <v>0</v>
      </c>
      <c r="BM90" s="104">
        <f>IF(($D$9+IF(VLOOKUP($E90,武器奇术!$A:$R,17,FALSE)="裂石",$D$15,0)-VLOOKUP($F$7,目标属性!$A:$R,6,FALSE))&gt;0,($D$9+IF(VLOOKUP($E90,武器奇术!$A:$R,17,FALSE)="裂石",$D$15,0)-VLOOKUP($F$7,目标属性!$A:$R,6,FALSE))/200,($D$9+IF(VLOOKUP($E90,武器奇术!$A:$R,17,FALSE)="裂石",$D$15,0)-VLOOKUP($F$7,目标属性!$A:$R,6,FALSE))/100)</f>
        <v>-0.24</v>
      </c>
      <c r="BN90" s="111">
        <f t="shared" si="20"/>
        <v>0</v>
      </c>
      <c r="BO90" s="102">
        <v>1</v>
      </c>
      <c r="BP90" s="103">
        <f>BJ90*IF(VLOOKUP($E90,武器奇术!$A:$R,17,FALSE)="裂石",VLOOKUP($E90,武器奇术!$A:$R,4,FALSE),VLOOKUP($E90,武器奇术!$A:$R,2,FALSE))*(1+BM90)*(1+BN90)*BO90</f>
        <v>0</v>
      </c>
      <c r="BQ90" s="104">
        <f>(1-IF(VLOOKUP($E90,武器奇术!$A:$R,18,FALSE)="叶龙",1,$N90))*(1-$M90)</f>
        <v>0</v>
      </c>
      <c r="BR90" s="103">
        <f>BK90*IF(VLOOKUP($E90,武器奇术!$A:$R,17,FALSE)="裂石",VLOOKUP($E90,武器奇术!$A:$R,4,FALSE),VLOOKUP($E90,武器奇术!$A:$R,2,FALSE))*(1+BM90)*(1+BN90)*BO90*(1+$E$16+VLOOKUP($E90,武器奇术!$A:$R,8,FALSE))</f>
        <v>0</v>
      </c>
      <c r="BS90" s="104">
        <f t="shared" si="21"/>
        <v>0.8703</v>
      </c>
      <c r="BT90" s="103">
        <f>BL90*IF(VLOOKUP($E90,武器奇术!$A:$R,17,FALSE)="裂石",VLOOKUP($E90,武器奇术!$A:$R,4,FALSE),VLOOKUP($E90,武器奇术!$A:$R,2,FALSE))*(1+BM90)*(1+BN90)*BO90*(1+$E$17+VLOOKUP($E90,武器奇术!$A:$R,10,FALSE))</f>
        <v>0</v>
      </c>
      <c r="BU90" s="104">
        <f t="shared" si="22"/>
        <v>0.0986</v>
      </c>
      <c r="BV90" s="103">
        <f>BK90*IF(VLOOKUP($E90,武器奇术!$A:$R,17,FALSE)="裂石",VLOOKUP($E90,武器奇术!$A:$R,4,FALSE),VLOOKUP($E90,武器奇术!$A:$R,2,FALSE))*(1+BM90)*(1+BN90)*BO90</f>
        <v>0</v>
      </c>
      <c r="BW90" s="104">
        <f t="shared" si="23"/>
        <v>0.0311</v>
      </c>
      <c r="BX90" s="112">
        <f t="shared" si="24"/>
        <v>0</v>
      </c>
      <c r="BY90" s="110">
        <f>$B$11*IF($G$5="撼天",1.05,1)+IF(AND(VLOOKUP($E90,武器奇术!$A:$R,15,FALSE)="武器",VLOOKUP($E90,武器奇术!$A:$R,17,FALSE)="牵丝"),$E$3*(1+$E$15),0)</f>
        <v>686.71</v>
      </c>
      <c r="BZ90" s="102">
        <f>IF(VLOOKUP($E90,武器奇术!$A:$Z,18,FALSE)="叶龙",(CA90-(BY90+CA90)*0.5)*($G$15-0.5)*2+(BY90+CA90)*0.5,(BY90+CA90)*0.5)</f>
        <v>1052.21</v>
      </c>
      <c r="CA90" s="102">
        <f>MAX($C$11*IF($G$5="撼天",1.05,1)+IF(AND(VLOOKUP($E90,武器奇术!$A:$R,15,FALSE)="武器",VLOOKUP($E90,武器奇术!$A:$R,17,FALSE)="牵丝"),$E$3*(1+$E$15),0),BY90)</f>
        <v>1417.71</v>
      </c>
      <c r="CB90" s="104">
        <f>IF(($D$11+IF(VLOOKUP($E90,武器奇术!$A:$R,17,FALSE)="牵丝",$D$15,0)-VLOOKUP($F$7,目标属性!$A:$R,6,FALSE))&gt;0,($D$11+IF(VLOOKUP($E90,武器奇术!$A:$R,17,FALSE)="牵丝",$D$15,0)-VLOOKUP($F$7,目标属性!$A:$R,6,FALSE))/200,($D$11+IF(VLOOKUP($E90,武器奇术!$A:$R,17,FALSE)="牵丝",$D$15,0)-VLOOKUP($F$7,目标属性!$A:$R,6,FALSE))/100)</f>
        <v>0.028</v>
      </c>
      <c r="CC90" s="111">
        <f>$E$11+IF($G$5="烟柳",IF(VLOOKUP($E90,武器奇术!$A:$T,20,FALSE)=1,0.1,0),0)</f>
        <v>0.248</v>
      </c>
      <c r="CD90" s="102">
        <v>1</v>
      </c>
      <c r="CE90" s="103">
        <f>BY90*IF(VLOOKUP($E90,武器奇术!$A:$R,17,FALSE)="牵丝",VLOOKUP($E90,武器奇术!$A:$R,4,FALSE),VLOOKUP($E90,武器奇术!$A:$R,2,FALSE))*(1+CB90)*(1+CC90)*CD90</f>
        <v>3091.90625934528</v>
      </c>
      <c r="CF90" s="104">
        <f>(1-IF(VLOOKUP($E90,武器奇术!$A:$R,18,FALSE)="叶龙",1,$N90))*(1-$M90)</f>
        <v>0</v>
      </c>
      <c r="CG90" s="124">
        <f>BZ90*IF(VLOOKUP($E90,武器奇术!$A:$R,17,FALSE)="牵丝",VLOOKUP($E90,武器奇术!$A:$R,4,FALSE),VLOOKUP($E90,武器奇术!$A:$R,2,FALSE))*(1+CB90)*(1+CC90)*CD90*(1+$E$16+VLOOKUP($E90,武器奇术!$A:$R,8,FALSE))</f>
        <v>10678.4761840055</v>
      </c>
      <c r="CH90" s="104">
        <f t="shared" si="25"/>
        <v>0.8703</v>
      </c>
      <c r="CI90" s="103">
        <f>CA90*IF(VLOOKUP($E90,武器奇术!$A:$R,17,FALSE)="牵丝",VLOOKUP($E90,武器奇术!$A:$R,4,FALSE),VLOOKUP($E90,武器奇术!$A:$R,2,FALSE))*(1+CB90)*(1+CC90)*CD90*(1+$E$17+VLOOKUP($E90,武器奇术!$A:$R,10,FALSE))</f>
        <v>8617.35764873693</v>
      </c>
      <c r="CJ90" s="104">
        <f t="shared" si="26"/>
        <v>0.0986</v>
      </c>
      <c r="CK90" s="124">
        <f>BZ90*IF(VLOOKUP($E90,武器奇术!$A:$R,17,FALSE)="牵丝",VLOOKUP($E90,武器奇术!$A:$R,4,FALSE),VLOOKUP($E90,武器奇术!$A:$R,2,FALSE))*(1+CB90)*(1+CC90)*CD90</f>
        <v>4737.56707364928</v>
      </c>
      <c r="CL90" s="104">
        <f t="shared" si="27"/>
        <v>0.0311</v>
      </c>
      <c r="CM90" s="112">
        <f t="shared" si="28"/>
        <v>10290.4876230959</v>
      </c>
      <c r="CN90" s="110">
        <f>$B$13*IF($G$5="撼天",1.05,1)+IF(AND(VLOOKUP($E90,武器奇术!$A:$R,15,FALSE)="武器",VLOOKUP($E90,武器奇术!$A:$R,17,FALSE)="破竹"),$E$3*(1+$E$15),0)</f>
        <v>0</v>
      </c>
      <c r="CO90" s="102">
        <f t="shared" si="29"/>
        <v>0</v>
      </c>
      <c r="CP90" s="102">
        <f>MAX($C$13*IF($G$5="撼天",1.05,1)+IF(AND(VLOOKUP($E90,武器奇术!$A:$R,15,FALSE)="武器",VLOOKUP($E90,武器奇术!$A:$R,17,FALSE)="破竹"),$E$3*(1+$E$15),0),CN90)</f>
        <v>0</v>
      </c>
      <c r="CQ90" s="104">
        <f>IF(($D$13+IF(VLOOKUP($E90,武器奇术!$A:$R,17,FALSE)="破竹",$D$15,0)-VLOOKUP($F$7,目标属性!$A:$R,6,FALSE))&gt;0,($D$13+IF(VLOOKUP($E90,武器奇术!$A:$R,17,FALSE)="破竹",$D$15,0)-VLOOKUP($F$7,目标属性!$A:$R,6,FALSE))/200,($D$13+IF(VLOOKUP($E90,武器奇术!$A:$R,17,FALSE)="破竹",$D$15,0)-VLOOKUP($F$7,目标属性!$A:$R,6,FALSE))/100)</f>
        <v>-0.24</v>
      </c>
      <c r="CR90" s="111">
        <f t="shared" si="30"/>
        <v>0</v>
      </c>
      <c r="CS90" s="102">
        <v>1</v>
      </c>
      <c r="CT90" s="103">
        <f>CN90*IF(VLOOKUP($E90,武器奇术!$A:$R,17,FALSE)="破竹",VLOOKUP($E90,武器奇术!$A:$R,4,FALSE),VLOOKUP($E90,武器奇术!$A:$R,2,FALSE))*(1+CQ90)*(1+CR90)*CS90</f>
        <v>0</v>
      </c>
      <c r="CU90" s="104">
        <f>(1-IF(VLOOKUP($E90,武器奇术!$A:$R,18,FALSE)="叶龙",1,$N90))*(1-$M90)</f>
        <v>0</v>
      </c>
      <c r="CV90" s="103">
        <f>CO90*IF(VLOOKUP($E90,武器奇术!$A:$R,17,FALSE)="破竹",VLOOKUP($E90,武器奇术!$A:$R,4,FALSE),VLOOKUP($E90,武器奇术!$A:$R,2,FALSE))*(1+CQ90)*(1+CR90)*CS90*(1+$E$16+VLOOKUP($E90,武器奇术!$A:$R,8,FALSE))</f>
        <v>0</v>
      </c>
      <c r="CW90" s="104">
        <f t="shared" si="31"/>
        <v>0.8703</v>
      </c>
      <c r="CX90" s="103">
        <f>CP90*IF(VLOOKUP($E90,武器奇术!$A:$R,17,FALSE)="破竹",VLOOKUP($E90,武器奇术!$A:$R,4,FALSE),VLOOKUP($E90,武器奇术!$A:$R,2,FALSE))*(1+CQ90)*(1+CR90)*CS90*(1+$E$17+VLOOKUP($E90,武器奇术!$A:$R,10,FALSE))</f>
        <v>0</v>
      </c>
      <c r="CY90" s="104">
        <f t="shared" si="32"/>
        <v>0.0986</v>
      </c>
      <c r="CZ90" s="103">
        <f>CO90*IF(VLOOKUP($E90,武器奇术!$A:$R,17,FALSE)="破竹",VLOOKUP($E90,武器奇术!$A:$R,4,FALSE),VLOOKUP($E90,武器奇术!$A:$R,2,FALSE))*(1+CQ90)*(1+CR90)*CS90</f>
        <v>0</v>
      </c>
      <c r="DA90" s="104">
        <f t="shared" si="33"/>
        <v>0.0311</v>
      </c>
      <c r="DB90" s="112">
        <f t="shared" si="34"/>
        <v>0</v>
      </c>
      <c r="DC90" s="110">
        <f t="shared" si="35"/>
        <v>66</v>
      </c>
      <c r="DD90" s="102">
        <f t="shared" si="36"/>
        <v>125.8</v>
      </c>
      <c r="DE90" s="102">
        <f t="shared" si="37"/>
        <v>185.6</v>
      </c>
      <c r="DF90" s="104">
        <f>IF((IF(VLOOKUP($E90,武器奇术!$A:$R,17,FALSE)="鸣金",$D$7,0)+IF(VLOOKUP($E90,武器奇术!$A:$R,17,FALSE)="裂石",$D$9,0)+IF(VLOOKUP($E90,武器奇术!$A:$R,17,FALSE)="牵丝",$D$11,0)+IF(VLOOKUP($E90,武器奇术!$A:$R,17,FALSE)="破竹",$D$13,0)+$D$15-VLOOKUP($F$7,目标属性!$A:$R,6,FALSE))&gt;0,(IF(VLOOKUP($E90,武器奇术!$A:$R,17,FALSE)="鸣金",$D$7,0)+IF(VLOOKUP($E90,武器奇术!$A:$R,17,FALSE)="裂石",$D$9,0)+IF(VLOOKUP($E90,武器奇术!$A:$R,17,FALSE)="牵丝",$D$11,0)+IF(VLOOKUP($E90,武器奇术!$A:$R,17,FALSE)="破竹",$D$13,0)+$D$15-VLOOKUP($F$7,目标属性!$A:$R,6,FALSE))/200,(IF(VLOOKUP($E90,武器奇术!$A:$R,17,FALSE)="鸣金",$D$7,0)+IF(VLOOKUP($E90,武器奇术!$A:$R,17,FALSE)="裂石",$D$9,0)+IF(VLOOKUP($E90,武器奇术!$A:$R,17,FALSE)="牵丝",$D$11,0)+IF(VLOOKUP($E90,武器奇术!$A:$R,17,FALSE)="破竹",$D$13,0)+$D$15-VLOOKUP($F$7,目标属性!$A:$R,6,FALSE))/100)</f>
        <v>0.028</v>
      </c>
      <c r="DG90" s="111">
        <f>$E$11+IF($G$5="烟柳",IF(VLOOKUP($E90,武器奇术!$A:$T,20,FALSE)=1,0.1,0),0)</f>
        <v>0.248</v>
      </c>
      <c r="DH90" s="102">
        <v>1</v>
      </c>
      <c r="DI90" s="103">
        <f>DC90*IF(VLOOKUP($E90,武器奇术!$A:$R,17,FALSE)="牵丝",VLOOKUP($E90,武器奇术!$A:$R,4,FALSE),VLOOKUP($E90,武器奇术!$A:$R,2,FALSE))*(1+DF90)*(1+DG90)*DH90</f>
        <v>297.164469888</v>
      </c>
      <c r="DJ90" s="104">
        <f>(1-IF(VLOOKUP($E90,武器奇术!$A:$R,18,FALSE)="叶龙",1,$N90))*(1-$M90)</f>
        <v>0</v>
      </c>
      <c r="DK90" s="124">
        <f>DD90*IF(VLOOKUP($E90,武器奇术!$A:$R,17,FALSE)="牵丝",VLOOKUP($E90,武器奇术!$A:$R,4,FALSE),VLOOKUP($E90,武器奇术!$A:$R,2,FALSE))*(1+DF90)*(1+DG90)*DH90*(1+$E$16+VLOOKUP($E90,武器奇术!$A:$R,8,FALSE))</f>
        <v>1276.6960055007</v>
      </c>
      <c r="DL90" s="104">
        <f t="shared" si="38"/>
        <v>0.8703</v>
      </c>
      <c r="DM90" s="103">
        <f>DE90*IF(VLOOKUP($E90,武器奇术!$A:$R,17,FALSE)="牵丝",VLOOKUP($E90,武器奇术!$A:$R,4,FALSE),VLOOKUP($E90,武器奇术!$A:$R,2,FALSE))*(1+DF90)*(1+DG90)*DH90*(1+$E$17+VLOOKUP($E90,武器奇术!$A:$R,10,FALSE))</f>
        <v>1128.14438750208</v>
      </c>
      <c r="DN90" s="104">
        <f t="shared" si="39"/>
        <v>0.0986</v>
      </c>
      <c r="DO90" s="124">
        <f>DD90*IF(VLOOKUP($E90,武器奇术!$A:$R,17,FALSE)="牵丝",VLOOKUP($E90,武器奇术!$A:$R,4,FALSE),VLOOKUP($E90,武器奇术!$A:$R,2,FALSE))*(1+DF90)*(1+DG90)*DH90</f>
        <v>566.4134895744</v>
      </c>
      <c r="DP90" s="104">
        <f t="shared" si="40"/>
        <v>0.0311</v>
      </c>
      <c r="DQ90" s="112">
        <f t="shared" si="41"/>
        <v>1239.95902972073</v>
      </c>
    </row>
    <row r="91" spans="1:121">
      <c r="E91" s="115" t="str">
        <f>期望!E91</f>
        <v>丢伞(大纵气竭)</v>
      </c>
      <c r="F91" s="116">
        <f>期望!F91</f>
        <v>1</v>
      </c>
      <c r="G91" s="117"/>
      <c r="H91" s="140">
        <f>IF(VLOOKUP($E91,武器奇术!$A:$R,18,FALSE)="天工",AE91,(AE91+AT91+BI91+BX91+CM91+DB91+DQ91))*(1+J91)*F91*K91*(1+G91)*(1+$G$21*5%)</f>
        <v>16022.921406799</v>
      </c>
      <c r="I91" s="104">
        <f t="shared" si="0"/>
        <v>0.00184664101709491</v>
      </c>
      <c r="J91" s="104">
        <f>$F$3+VLOOKUP($E91,武器奇术!$A:$R,12,FALSE)+VLOOKUP($E91,武器奇术!$A:$R,14,FALSE)*$G$3+$P91</f>
        <v>0.603</v>
      </c>
      <c r="K91" s="105">
        <f>VLOOKUP($E91,武器奇术!$A:$R,11,FALSE)</f>
        <v>1</v>
      </c>
      <c r="L91" s="119">
        <f>IF(VLOOKUP($E91,武器奇术!$A:$R,15,FALSE)="天工",0%,IF($C$17+VLOOKUP($E91,武器奇术!$A:$R,7,FALSE)&gt;80%,80%,$C$17+VLOOKUP($E91,武器奇术!$A:$R,7,FALSE))+IF($C$19&gt;20%,20%,$C$19))</f>
        <v>0.8703</v>
      </c>
      <c r="M91" s="120">
        <f>IF(VLOOKUP($E91,武器奇术!$A:$R,15,FALSE)="天工",0%,IF($C$18+VLOOKUP($E91,武器奇术!$A:$R,9,FALSE)&gt;40%,40%,$C$18+VLOOKUP($E91,武器奇术!$A:$R,9,FALSE))+IF($C$20&gt;10%,10%,$C$20))</f>
        <v>0.0986</v>
      </c>
      <c r="N91" s="121">
        <f>IF(VLOOKUP($E91,武器奇术!$A:$R,15,FALSE)="天工",100%,MIN($C$16,1))</f>
        <v>1</v>
      </c>
      <c r="O91" s="122" t="str">
        <f>VLOOKUP($E91,武器奇术!$A:$R,16,FALSE)</f>
        <v>伞</v>
      </c>
      <c r="P91" s="123">
        <f t="shared" si="1"/>
        <v>0.17</v>
      </c>
      <c r="Q91" s="110">
        <f>$B$5*(1+VLOOKUP($E91,武器奇术!$A:$R,5,FALSE))*(1+VLOOKUP($E91,武器奇术!$A:$S,19,FALSE)+IF($G$5="飞隼",0.1,0)+IF($G$5="撼天",0.05,0))-$F$9+IF($J$5="√",160,0)</f>
        <v>3324.7</v>
      </c>
      <c r="R91" s="102">
        <f>IF(VLOOKUP($E91,武器奇术!$A:$Z,18,FALSE)="叶龙",(S91-(Q91+S91)*0.5)*($G$15-0.5)*2+(Q91+S91)*0.5,(Q91+S91)*0.5)</f>
        <v>3404.7</v>
      </c>
      <c r="S91" s="102">
        <f>MAX($C$5,$B$5)*(1+VLOOKUP($E91,武器奇术!$A:$R,6,FALSE))*(1+VLOOKUP($E91,武器奇术!$A:$S,19,FALSE)+IF($G$5="飞隼",0.1,0)+IF($G$5="撼天",0.05,0))-$F$9+IF($J$5="√",320,0)</f>
        <v>3484.7</v>
      </c>
      <c r="T91" s="104">
        <f>IF(($D$5+VLOOKUP($E91,武器奇术!$A:$R,13,FALSE)+IF($I$3="√",10,0)-VLOOKUP($F$7,目标属性!$A:$R,5,FALSE))&gt;0,($D$5+VLOOKUP($E91,武器奇术!$A:$R,13,FALSE)+IF($I$3="√",10,0)-VLOOKUP($F$7,目标属性!$A:$R,5,FALSE))/200,($D$5+VLOOKUP($E91,武器奇术!$A:$R,13,FALSE)+IF($I$3="√",10,0)-VLOOKUP($F$7,目标属性!$A:$R,5,FALSE))/100)</f>
        <v>0.3925</v>
      </c>
      <c r="U91" s="111">
        <f>$E$5+IF($G$5="烟柳",IF(VLOOKUP($E91,武器奇术!$A:$T,20,FALSE)=1,0.1,0),0)</f>
        <v>0</v>
      </c>
      <c r="V91" s="102">
        <v>1</v>
      </c>
      <c r="W91" s="103">
        <f>Q91*VLOOKUP($E91,武器奇术!$A:$R,2,FALSE)*(1+T91)*(1+U91)*V91</f>
        <v>2495.37852025</v>
      </c>
      <c r="X91" s="104">
        <f>(1-IF(VLOOKUP($E91,武器奇术!$A:$R,18,FALSE)="叶龙",1,$N91))*(1-$M91)</f>
        <v>0</v>
      </c>
      <c r="Y91" s="103">
        <f>R91*VLOOKUP($E91,武器奇术!$A:$R,2,FALSE)*(1+T91)*(1+U91)*V91*(1+$E$16+VLOOKUP($E91,武器奇术!$A:$R,8,FALSE))</f>
        <v>4839.9713897535</v>
      </c>
      <c r="Z91" s="104">
        <f t="shared" si="2"/>
        <v>0.8703</v>
      </c>
      <c r="AA91" s="103">
        <f>S91*VLOOKUP($E91,武器奇术!$A:$R,2,FALSE)*(1+T91)*(1+U91)*V91*(1+$E$17+VLOOKUP($E91,武器奇术!$A:$R,10,FALSE))</f>
        <v>3530.8814223375</v>
      </c>
      <c r="AB91" s="104">
        <f t="shared" si="3"/>
        <v>0.0986</v>
      </c>
      <c r="AC91" s="103">
        <f>R91*VLOOKUP($E91,武器奇术!$A:$R,2,FALSE)*(1+T91)*(1+U91)*V91</f>
        <v>2555.42312025</v>
      </c>
      <c r="AD91" s="104">
        <f t="shared" si="4"/>
        <v>0.0311</v>
      </c>
      <c r="AE91" s="112">
        <f t="shared" si="5"/>
        <v>4639.84566778472</v>
      </c>
      <c r="AF91" s="113">
        <f>VLOOKUP($E91,武器奇术!$A:$R,3,FALSE)*(1+IF(VLOOKUP($E91,武器奇术!$A:$R,15,FALSE)="武器",$E$15,0))</f>
        <v>161.8617</v>
      </c>
      <c r="AG91" s="103">
        <f t="shared" si="6"/>
        <v>161.8617</v>
      </c>
      <c r="AH91" s="103">
        <f>VLOOKUP($E91,武器奇术!$A:$R,3,FALSE)*(1+IF(VLOOKUP($E91,武器奇术!$A:$R,15,FALSE)="武器",$E$15,0))</f>
        <v>161.8617</v>
      </c>
      <c r="AI91" s="104">
        <f>IF(($D$5+VLOOKUP($E91,武器奇术!$A:$R,13,FALSE)+IF($I$3="√",10,0)-VLOOKUP($F$7,目标属性!$A:$R,5,FALSE))&gt;0,($D$5+VLOOKUP($E91,武器奇术!$A:$R,13,FALSE)+IF($I$3="√",10,0)-VLOOKUP($F$7,目标属性!$A:$R,5,FALSE))/200,($D$5+VLOOKUP($E91,武器奇术!$A:$R,13,FALSE)+IF($I$3="√",10,0)-VLOOKUP($F$7,目标属性!$A:$R,5,FALSE))/100)</f>
        <v>0.3925</v>
      </c>
      <c r="AJ91" s="111">
        <f>$E$5+IF($G$5="烟柳",IF(VLOOKUP($E91,武器奇术!$A:$T,20,FALSE)=1,0.1,0),0)</f>
        <v>0</v>
      </c>
      <c r="AK91" s="102">
        <v>1</v>
      </c>
      <c r="AL91" s="103">
        <f t="shared" si="7"/>
        <v>225.39241725</v>
      </c>
      <c r="AM91" s="104">
        <f>(1-IF(VLOOKUP($E91,武器奇术!$A:$R,18,FALSE)="叶龙",1,$N91))*(1-$M91)</f>
        <v>0</v>
      </c>
      <c r="AN91" s="103">
        <f>AG91*(1+AI91)*(1+AJ91)*AK91*(1+$E$16+VLOOKUP($E91,武器奇术!$A:$R,8,FALSE))</f>
        <v>426.8932382715</v>
      </c>
      <c r="AO91" s="104">
        <f t="shared" si="8"/>
        <v>0.8703</v>
      </c>
      <c r="AP91" s="103">
        <f>AH91*(1+AI91)*(1+AJ91)*AK91*(1+$E$17+VLOOKUP($E91,武器奇术!$A:$R,10,FALSE))</f>
        <v>304.2797632875</v>
      </c>
      <c r="AQ91" s="104">
        <f t="shared" si="9"/>
        <v>0.0986</v>
      </c>
      <c r="AR91" s="103">
        <f t="shared" si="10"/>
        <v>225.39241725</v>
      </c>
      <c r="AS91" s="104">
        <f t="shared" si="11"/>
        <v>0.0311</v>
      </c>
      <c r="AT91" s="112">
        <f t="shared" si="12"/>
        <v>408.536874104309</v>
      </c>
      <c r="AU91" s="110">
        <f>$B$7*IF($G$5="撼天",1.05,1)+IF(AND(VLOOKUP($E91,武器奇术!$A:$R,15,FALSE)="武器",VLOOKUP($E91,武器奇术!$A:$R,17,FALSE)="鸣金"),$E$3*(1+$E$15),0)</f>
        <v>0</v>
      </c>
      <c r="AV91" s="102">
        <f t="shared" si="13"/>
        <v>0</v>
      </c>
      <c r="AW91" s="102">
        <f>MAX($C$7*IF($G$5="撼天",1.05,1)+IF(AND(VLOOKUP($E91,武器奇术!$A:$R,15,FALSE)="武器",VLOOKUP($E91,武器奇术!$A:$R,17,FALSE)="鸣金"),$E$3*(1+$E$15),0),AU91)</f>
        <v>0</v>
      </c>
      <c r="AX91" s="104">
        <f>IF(($D$7+IF(VLOOKUP($E91,武器奇术!$A:$R,17,FALSE)="鸣金",$D$15,0)-VLOOKUP($F$7,目标属性!$A:$R,6,FALSE))&gt;0,($D$7+IF(VLOOKUP($E91,武器奇术!$A:$R,17,FALSE)="鸣金",$D$15,0)-VLOOKUP($F$7,目标属性!$A:$R,6,FALSE))/200,($D$7+IF(VLOOKUP($E91,武器奇术!$A:$R,17,FALSE)="鸣金",$D$15,0)-VLOOKUP($F$7,目标属性!$A:$R,6,FALSE))/100)</f>
        <v>-0.24</v>
      </c>
      <c r="AY91" s="111">
        <f t="shared" si="14"/>
        <v>0</v>
      </c>
      <c r="AZ91" s="102">
        <v>1</v>
      </c>
      <c r="BA91" s="103">
        <f>AU91*IF(VLOOKUP($E91,武器奇术!$A:$R,17,FALSE)="鸣金",VLOOKUP($E91,武器奇术!$A:$R,4,FALSE),VLOOKUP($E91,武器奇术!$A:$R,2,FALSE))*(1+AX91)*(1+AY91)*AZ91</f>
        <v>0</v>
      </c>
      <c r="BB91" s="104">
        <f>(1-IF(VLOOKUP($E91,武器奇术!$A:$R,18,FALSE)="叶龙",1,$N91))*(1-$M91)</f>
        <v>0</v>
      </c>
      <c r="BC91" s="103">
        <f>AV91*IF(VLOOKUP($E91,武器奇术!$A:$R,17,FALSE)="鸣金",VLOOKUP($E91,武器奇术!$A:$R,4,FALSE),VLOOKUP($E91,武器奇术!$A:$R,2,FALSE))*(1+AX91)*(1+AY91)*AZ91*(1+$E$16+VLOOKUP($E91,武器奇术!$A:$R,8,FALSE))</f>
        <v>0</v>
      </c>
      <c r="BD91" s="104">
        <f t="shared" si="15"/>
        <v>0.8703</v>
      </c>
      <c r="BE91" s="103">
        <f>AW91*IF(VLOOKUP($E91,武器奇术!$A:$R,17,FALSE)="鸣金",VLOOKUP($E91,武器奇术!$A:$R,4,FALSE),VLOOKUP($E91,武器奇术!$A:$R,2,FALSE))*(1+AX91)*(1+AY91)*AZ91*(1+$E$17+VLOOKUP($E91,武器奇术!$A:$R,10,FALSE))</f>
        <v>0</v>
      </c>
      <c r="BF91" s="104">
        <f t="shared" si="16"/>
        <v>0.0986</v>
      </c>
      <c r="BG91" s="103">
        <f>AV91*IF(VLOOKUP($E91,武器奇术!$A:$R,17,FALSE)="鸣金",VLOOKUP($E91,武器奇术!$A:$R,4,FALSE),VLOOKUP($E91,武器奇术!$A:$R,2,FALSE))*(1+AX91)*(1+AY91)*AZ91</f>
        <v>0</v>
      </c>
      <c r="BH91" s="104">
        <f t="shared" si="17"/>
        <v>0.0311</v>
      </c>
      <c r="BI91" s="112">
        <f t="shared" si="18"/>
        <v>0</v>
      </c>
      <c r="BJ91" s="110">
        <f>$B$9*IF($G$5="撼天",1.05,1)+IF(AND(VLOOKUP($E91,武器奇术!$A:$R,15,FALSE)="武器",VLOOKUP($E91,武器奇术!$A:$R,17,FALSE)="裂石"),$E$3*(1+$E$15),0)</f>
        <v>0</v>
      </c>
      <c r="BK91" s="102">
        <f t="shared" si="19"/>
        <v>0</v>
      </c>
      <c r="BL91" s="102">
        <f>MAX($C$9*IF($G$5="撼天",1.05,1)+IF(AND(VLOOKUP($E91,武器奇术!$A:$R,15,FALSE)="武器",VLOOKUP($E91,武器奇术!$A:$R,17,FALSE)="裂石"),$E$3*(1+$E$15),0),BJ91)</f>
        <v>0</v>
      </c>
      <c r="BM91" s="104">
        <f>IF(($D$9+IF(VLOOKUP($E91,武器奇术!$A:$R,17,FALSE)="裂石",$D$15,0)-VLOOKUP($F$7,目标属性!$A:$R,6,FALSE))&gt;0,($D$9+IF(VLOOKUP($E91,武器奇术!$A:$R,17,FALSE)="裂石",$D$15,0)-VLOOKUP($F$7,目标属性!$A:$R,6,FALSE))/200,($D$9+IF(VLOOKUP($E91,武器奇术!$A:$R,17,FALSE)="裂石",$D$15,0)-VLOOKUP($F$7,目标属性!$A:$R,6,FALSE))/100)</f>
        <v>-0.24</v>
      </c>
      <c r="BN91" s="111">
        <f t="shared" si="20"/>
        <v>0</v>
      </c>
      <c r="BO91" s="102">
        <v>1</v>
      </c>
      <c r="BP91" s="103">
        <f>BJ91*IF(VLOOKUP($E91,武器奇术!$A:$R,17,FALSE)="裂石",VLOOKUP($E91,武器奇术!$A:$R,4,FALSE),VLOOKUP($E91,武器奇术!$A:$R,2,FALSE))*(1+BM91)*(1+BN91)*BO91</f>
        <v>0</v>
      </c>
      <c r="BQ91" s="104">
        <f>(1-IF(VLOOKUP($E91,武器奇术!$A:$R,18,FALSE)="叶龙",1,$N91))*(1-$M91)</f>
        <v>0</v>
      </c>
      <c r="BR91" s="103">
        <f>BK91*IF(VLOOKUP($E91,武器奇术!$A:$R,17,FALSE)="裂石",VLOOKUP($E91,武器奇术!$A:$R,4,FALSE),VLOOKUP($E91,武器奇术!$A:$R,2,FALSE))*(1+BM91)*(1+BN91)*BO91*(1+$E$16+VLOOKUP($E91,武器奇术!$A:$R,8,FALSE))</f>
        <v>0</v>
      </c>
      <c r="BS91" s="104">
        <f t="shared" si="21"/>
        <v>0.8703</v>
      </c>
      <c r="BT91" s="103">
        <f>BL91*IF(VLOOKUP($E91,武器奇术!$A:$R,17,FALSE)="裂石",VLOOKUP($E91,武器奇术!$A:$R,4,FALSE),VLOOKUP($E91,武器奇术!$A:$R,2,FALSE))*(1+BM91)*(1+BN91)*BO91*(1+$E$17+VLOOKUP($E91,武器奇术!$A:$R,10,FALSE))</f>
        <v>0</v>
      </c>
      <c r="BU91" s="104">
        <f t="shared" si="22"/>
        <v>0.0986</v>
      </c>
      <c r="BV91" s="103">
        <f>BK91*IF(VLOOKUP($E91,武器奇术!$A:$R,17,FALSE)="裂石",VLOOKUP($E91,武器奇术!$A:$R,4,FALSE),VLOOKUP($E91,武器奇术!$A:$R,2,FALSE))*(1+BM91)*(1+BN91)*BO91</f>
        <v>0</v>
      </c>
      <c r="BW91" s="104">
        <f t="shared" si="23"/>
        <v>0.0311</v>
      </c>
      <c r="BX91" s="112">
        <f t="shared" si="24"/>
        <v>0</v>
      </c>
      <c r="BY91" s="110">
        <f>$B$11*IF($G$5="撼天",1.05,1)+IF(AND(VLOOKUP($E91,武器奇术!$A:$R,15,FALSE)="武器",VLOOKUP($E91,武器奇术!$A:$R,17,FALSE)="牵丝"),$E$3*(1+$E$15),0)</f>
        <v>686.71</v>
      </c>
      <c r="BZ91" s="102">
        <f>IF(VLOOKUP($E91,武器奇术!$A:$Z,18,FALSE)="叶龙",(CA91-(BY91+CA91)*0.5)*($G$15-0.5)*2+(BY91+CA91)*0.5,(BY91+CA91)*0.5)</f>
        <v>1052.21</v>
      </c>
      <c r="CA91" s="102">
        <f>MAX($C$11*IF($G$5="撼天",1.05,1)+IF(AND(VLOOKUP($E91,武器奇术!$A:$R,15,FALSE)="武器",VLOOKUP($E91,武器奇术!$A:$R,17,FALSE)="牵丝"),$E$3*(1+$E$15),0),BY91)</f>
        <v>1417.71</v>
      </c>
      <c r="CB91" s="104">
        <f>IF(($D$11+IF(VLOOKUP($E91,武器奇术!$A:$R,17,FALSE)="牵丝",$D$15,0)-VLOOKUP($F$7,目标属性!$A:$R,6,FALSE))&gt;0,($D$11+IF(VLOOKUP($E91,武器奇术!$A:$R,17,FALSE)="牵丝",$D$15,0)-VLOOKUP($F$7,目标属性!$A:$R,6,FALSE))/200,($D$11+IF(VLOOKUP($E91,武器奇术!$A:$R,17,FALSE)="牵丝",$D$15,0)-VLOOKUP($F$7,目标属性!$A:$R,6,FALSE))/100)</f>
        <v>0.028</v>
      </c>
      <c r="CC91" s="111">
        <f>$E$11+IF($G$5="烟柳",IF(VLOOKUP($E91,武器奇术!$A:$T,20,FALSE)=1,0.1,0),0)</f>
        <v>0.148</v>
      </c>
      <c r="CD91" s="102">
        <v>1</v>
      </c>
      <c r="CE91" s="103">
        <f>BY91*IF(VLOOKUP($E91,武器奇术!$A:$R,17,FALSE)="牵丝",VLOOKUP($E91,武器奇术!$A:$R,4,FALSE),VLOOKUP($E91,武器奇术!$A:$R,2,FALSE))*(1+CB91)*(1+CC91)*CD91</f>
        <v>655.22189082504</v>
      </c>
      <c r="CF91" s="104">
        <f>(1-IF(VLOOKUP($E91,武器奇术!$A:$R,18,FALSE)="叶龙",1,$N91))*(1-$M91)</f>
        <v>0</v>
      </c>
      <c r="CG91" s="124">
        <f>BZ91*IF(VLOOKUP($E91,武器奇术!$A:$R,17,FALSE)="牵丝",VLOOKUP($E91,武器奇术!$A:$R,4,FALSE),VLOOKUP($E91,武器奇术!$A:$R,2,FALSE))*(1+CB91)*(1+CC91)*CD91*(1+$E$16+VLOOKUP($E91,武器奇术!$A:$R,8,FALSE))</f>
        <v>1901.50480226159</v>
      </c>
      <c r="CH91" s="104">
        <f t="shared" si="25"/>
        <v>0.8703</v>
      </c>
      <c r="CI91" s="103">
        <f>CA91*IF(VLOOKUP($E91,武器奇术!$A:$R,17,FALSE)="牵丝",VLOOKUP($E91,武器奇术!$A:$R,4,FALSE),VLOOKUP($E91,武器奇术!$A:$R,2,FALSE))*(1+CB91)*(1+CC91)*CD91*(1+$E$17+VLOOKUP($E91,武器奇术!$A:$R,10,FALSE))</f>
        <v>1826.1489511382</v>
      </c>
      <c r="CJ91" s="104">
        <f t="shared" si="26"/>
        <v>0.0986</v>
      </c>
      <c r="CK91" s="124">
        <f>BZ91*IF(VLOOKUP($E91,武器奇术!$A:$R,17,FALSE)="牵丝",VLOOKUP($E91,武器奇术!$A:$R,4,FALSE),VLOOKUP($E91,武器奇术!$A:$R,2,FALSE))*(1+CB91)*(1+CC91)*CD91</f>
        <v>1003.96240879704</v>
      </c>
      <c r="CL91" s="104">
        <f t="shared" si="27"/>
        <v>0.0311</v>
      </c>
      <c r="CM91" s="112">
        <f t="shared" si="28"/>
        <v>1866.16114690408</v>
      </c>
      <c r="CN91" s="110">
        <f>$B$13*IF($G$5="撼天",1.05,1)+IF(AND(VLOOKUP($E91,武器奇术!$A:$R,15,FALSE)="武器",VLOOKUP($E91,武器奇术!$A:$R,17,FALSE)="破竹"),$E$3*(1+$E$15),0)</f>
        <v>0</v>
      </c>
      <c r="CO91" s="102">
        <f t="shared" si="29"/>
        <v>0</v>
      </c>
      <c r="CP91" s="102">
        <f>MAX($C$13*IF($G$5="撼天",1.05,1)+IF(AND(VLOOKUP($E91,武器奇术!$A:$R,15,FALSE)="武器",VLOOKUP($E91,武器奇术!$A:$R,17,FALSE)="破竹"),$E$3*(1+$E$15),0),CN91)</f>
        <v>0</v>
      </c>
      <c r="CQ91" s="104">
        <f>IF(($D$13+IF(VLOOKUP($E91,武器奇术!$A:$R,17,FALSE)="破竹",$D$15,0)-VLOOKUP($F$7,目标属性!$A:$R,6,FALSE))&gt;0,($D$13+IF(VLOOKUP($E91,武器奇术!$A:$R,17,FALSE)="破竹",$D$15,0)-VLOOKUP($F$7,目标属性!$A:$R,6,FALSE))/200,($D$13+IF(VLOOKUP($E91,武器奇术!$A:$R,17,FALSE)="破竹",$D$15,0)-VLOOKUP($F$7,目标属性!$A:$R,6,FALSE))/100)</f>
        <v>-0.24</v>
      </c>
      <c r="CR91" s="111">
        <f t="shared" si="30"/>
        <v>0</v>
      </c>
      <c r="CS91" s="102">
        <v>1</v>
      </c>
      <c r="CT91" s="103">
        <f>CN91*IF(VLOOKUP($E91,武器奇术!$A:$R,17,FALSE)="破竹",VLOOKUP($E91,武器奇术!$A:$R,4,FALSE),VLOOKUP($E91,武器奇术!$A:$R,2,FALSE))*(1+CQ91)*(1+CR91)*CS91</f>
        <v>0</v>
      </c>
      <c r="CU91" s="104">
        <f>(1-IF(VLOOKUP($E91,武器奇术!$A:$R,18,FALSE)="叶龙",1,$N91))*(1-$M91)</f>
        <v>0</v>
      </c>
      <c r="CV91" s="103">
        <f>CO91*IF(VLOOKUP($E91,武器奇术!$A:$R,17,FALSE)="破竹",VLOOKUP($E91,武器奇术!$A:$R,4,FALSE),VLOOKUP($E91,武器奇术!$A:$R,2,FALSE))*(1+CQ91)*(1+CR91)*CS91*(1+$E$16+VLOOKUP($E91,武器奇术!$A:$R,8,FALSE))</f>
        <v>0</v>
      </c>
      <c r="CW91" s="104">
        <f t="shared" si="31"/>
        <v>0.8703</v>
      </c>
      <c r="CX91" s="103">
        <f>CP91*IF(VLOOKUP($E91,武器奇术!$A:$R,17,FALSE)="破竹",VLOOKUP($E91,武器奇术!$A:$R,4,FALSE),VLOOKUP($E91,武器奇术!$A:$R,2,FALSE))*(1+CQ91)*(1+CR91)*CS91*(1+$E$17+VLOOKUP($E91,武器奇术!$A:$R,10,FALSE))</f>
        <v>0</v>
      </c>
      <c r="CY91" s="104">
        <f t="shared" si="32"/>
        <v>0.0986</v>
      </c>
      <c r="CZ91" s="103">
        <f>CO91*IF(VLOOKUP($E91,武器奇术!$A:$R,17,FALSE)="破竹",VLOOKUP($E91,武器奇术!$A:$R,4,FALSE),VLOOKUP($E91,武器奇术!$A:$R,2,FALSE))*(1+CQ91)*(1+CR91)*CS91</f>
        <v>0</v>
      </c>
      <c r="DA91" s="104">
        <f t="shared" si="33"/>
        <v>0.0311</v>
      </c>
      <c r="DB91" s="112">
        <f t="shared" si="34"/>
        <v>0</v>
      </c>
      <c r="DC91" s="110">
        <f t="shared" si="35"/>
        <v>66</v>
      </c>
      <c r="DD91" s="102">
        <f t="shared" si="36"/>
        <v>125.8</v>
      </c>
      <c r="DE91" s="102">
        <f t="shared" si="37"/>
        <v>185.6</v>
      </c>
      <c r="DF91" s="104">
        <f>IF((IF(VLOOKUP($E91,武器奇术!$A:$R,17,FALSE)="鸣金",$D$7,0)+IF(VLOOKUP($E91,武器奇术!$A:$R,17,FALSE)="裂石",$D$9,0)+IF(VLOOKUP($E91,武器奇术!$A:$R,17,FALSE)="牵丝",$D$11,0)+IF(VLOOKUP($E91,武器奇术!$A:$R,17,FALSE)="破竹",$D$13,0)+$D$15-VLOOKUP($F$7,目标属性!$A:$R,6,FALSE))&gt;0,(IF(VLOOKUP($E91,武器奇术!$A:$R,17,FALSE)="鸣金",$D$7,0)+IF(VLOOKUP($E91,武器奇术!$A:$R,17,FALSE)="裂石",$D$9,0)+IF(VLOOKUP($E91,武器奇术!$A:$R,17,FALSE)="牵丝",$D$11,0)+IF(VLOOKUP($E91,武器奇术!$A:$R,17,FALSE)="破竹",$D$13,0)+$D$15-VLOOKUP($F$7,目标属性!$A:$R,6,FALSE))/200,(IF(VLOOKUP($E91,武器奇术!$A:$R,17,FALSE)="鸣金",$D$7,0)+IF(VLOOKUP($E91,武器奇术!$A:$R,17,FALSE)="裂石",$D$9,0)+IF(VLOOKUP($E91,武器奇术!$A:$R,17,FALSE)="牵丝",$D$11,0)+IF(VLOOKUP($E91,武器奇术!$A:$R,17,FALSE)="破竹",$D$13,0)+$D$15-VLOOKUP($F$7,目标属性!$A:$R,6,FALSE))/100)</f>
        <v>0.028</v>
      </c>
      <c r="DG91" s="111">
        <f>$E$11+IF($G$5="烟柳",IF(VLOOKUP($E91,武器奇术!$A:$T,20,FALSE)=1,0.1,0),0)</f>
        <v>0.148</v>
      </c>
      <c r="DH91" s="102">
        <v>1</v>
      </c>
      <c r="DI91" s="103">
        <f>DC91*IF(VLOOKUP($E91,武器奇术!$A:$R,17,FALSE)="牵丝",VLOOKUP($E91,武器奇术!$A:$R,4,FALSE),VLOOKUP($E91,武器奇术!$A:$R,2,FALSE))*(1+DF91)*(1+DG91)*DH91</f>
        <v>62.973663984</v>
      </c>
      <c r="DJ91" s="104">
        <f>(1-IF(VLOOKUP($E91,武器奇术!$A:$R,18,FALSE)="叶龙",1,$N91))*(1-$M91)</f>
        <v>0</v>
      </c>
      <c r="DK91" s="124">
        <f>DD91*IF(VLOOKUP($E91,武器奇术!$A:$R,17,FALSE)="牵丝",VLOOKUP($E91,武器奇术!$A:$R,4,FALSE),VLOOKUP($E91,武器奇术!$A:$R,2,FALSE))*(1+DF91)*(1+DG91)*DH91*(1+$E$16+VLOOKUP($E91,武器奇术!$A:$R,8,FALSE))</f>
        <v>227.339888543645</v>
      </c>
      <c r="DL91" s="104">
        <f t="shared" si="38"/>
        <v>0.8703</v>
      </c>
      <c r="DM91" s="103">
        <f>DE91*IF(VLOOKUP($E91,武器奇术!$A:$R,17,FALSE)="牵丝",VLOOKUP($E91,武器奇术!$A:$R,4,FALSE),VLOOKUP($E91,武器奇术!$A:$R,2,FALSE))*(1+DF91)*(1+DG91)*DH91*(1+$E$17+VLOOKUP($E91,武器奇术!$A:$R,10,FALSE))</f>
        <v>239.07092799744</v>
      </c>
      <c r="DN91" s="104">
        <f t="shared" si="39"/>
        <v>0.0986</v>
      </c>
      <c r="DO91" s="124">
        <f>DD91*IF(VLOOKUP($E91,武器奇术!$A:$R,17,FALSE)="牵丝",VLOOKUP($E91,武器奇术!$A:$R,4,FALSE),VLOOKUP($E91,武器奇术!$A:$R,2,FALSE))*(1+DF91)*(1+DG91)*DH91</f>
        <v>120.0316201392</v>
      </c>
      <c r="DP91" s="104">
        <f t="shared" si="40"/>
        <v>0.0311</v>
      </c>
      <c r="DQ91" s="112">
        <f t="shared" si="41"/>
        <v>225.159281886411</v>
      </c>
    </row>
    <row r="92" spans="1:121">
      <c r="E92" s="115" t="str">
        <f>期望!E92</f>
        <v>伞～(连中风墙大纵气竭)</v>
      </c>
      <c r="F92" s="116">
        <f>期望!F92</f>
        <v>10</v>
      </c>
      <c r="G92" s="117">
        <f>$E$23</f>
        <v>0.32</v>
      </c>
      <c r="H92" s="140">
        <f>IF(VLOOKUP($E92,武器奇术!$A:$R,18,FALSE)="天工",AE92,(AE92+AT92+BI92+BX92+CM92+DB92+DQ92))*(1+J92)*F92*K92*(1+G92)*(1+$G$21*5%)</f>
        <v>833261.572843392</v>
      </c>
      <c r="I92" s="104">
        <f t="shared" si="0"/>
        <v>0.096033361165255</v>
      </c>
      <c r="J92" s="104">
        <f>$F$3+VLOOKUP($E92,武器奇术!$A:$R,12,FALSE)+VLOOKUP($E92,武器奇术!$A:$R,14,FALSE)*$G$3+$P92</f>
        <v>1.203</v>
      </c>
      <c r="K92" s="105">
        <f>VLOOKUP($E92,武器奇术!$A:$R,11,FALSE)</f>
        <v>1</v>
      </c>
      <c r="L92" s="119">
        <f>IF(VLOOKUP($E92,武器奇术!$A:$R,15,FALSE)="天工",0%,IF($C$17+VLOOKUP($E92,武器奇术!$A:$R,7,FALSE)&gt;80%,80%,$C$17+VLOOKUP($E92,武器奇术!$A:$R,7,FALSE))+IF($C$19&gt;20%,20%,$C$19))</f>
        <v>0.8703</v>
      </c>
      <c r="M92" s="120">
        <f>IF(VLOOKUP($E92,武器奇术!$A:$R,15,FALSE)="天工",0%,IF($C$18+VLOOKUP($E92,武器奇术!$A:$R,9,FALSE)&gt;40%,40%,$C$18+VLOOKUP($E92,武器奇术!$A:$R,9,FALSE))+IF($C$20&gt;10%,10%,$C$20))</f>
        <v>0.0986</v>
      </c>
      <c r="N92" s="121">
        <f>IF(VLOOKUP($E92,武器奇术!$A:$R,15,FALSE)="天工",100%,MIN($C$16,1))</f>
        <v>1</v>
      </c>
      <c r="O92" s="122" t="str">
        <f>VLOOKUP($E92,武器奇术!$A:$R,16,FALSE)</f>
        <v>伞</v>
      </c>
      <c r="P92" s="123">
        <f t="shared" si="1"/>
        <v>0.17</v>
      </c>
      <c r="Q92" s="110">
        <f>$B$5*(1+VLOOKUP($E92,武器奇术!$A:$R,5,FALSE))*(1+VLOOKUP($E92,武器奇术!$A:$S,19,FALSE)+IF($G$5="飞隼",0.1,0)+IF($G$5="撼天",0.05,0))-$F$9+IF($J$5="√",160,0)</f>
        <v>3324.7</v>
      </c>
      <c r="R92" s="102">
        <f>IF(VLOOKUP($E92,武器奇术!$A:$Z,18,FALSE)="叶龙",(S92-(Q92+S92)*0.5)*($G$15-0.5)*2+(Q92+S92)*0.5,(Q92+S92)*0.5)</f>
        <v>3404.7</v>
      </c>
      <c r="S92" s="102">
        <f>MAX($C$5,$B$5)*(1+VLOOKUP($E92,武器奇术!$A:$R,6,FALSE))*(1+VLOOKUP($E92,武器奇术!$A:$S,19,FALSE)+IF($G$5="飞隼",0.1,0)+IF($G$5="撼天",0.05,0))-$F$9+IF($J$5="√",320,0)</f>
        <v>3484.7</v>
      </c>
      <c r="T92" s="104">
        <f>IF(($D$5+VLOOKUP($E92,武器奇术!$A:$R,13,FALSE)+IF($I$3="√",10,0)-VLOOKUP($F$7,目标属性!$A:$R,5,FALSE))&gt;0,($D$5+VLOOKUP($E92,武器奇术!$A:$R,13,FALSE)+IF($I$3="√",10,0)-VLOOKUP($F$7,目标属性!$A:$R,5,FALSE))/200,($D$5+VLOOKUP($E92,武器奇术!$A:$R,13,FALSE)+IF($I$3="√",10,0)-VLOOKUP($F$7,目标属性!$A:$R,5,FALSE))/100)</f>
        <v>0.4175</v>
      </c>
      <c r="U92" s="111">
        <f>$E$5+IF($G$5="烟柳",IF(VLOOKUP($E92,武器奇术!$A:$T,20,FALSE)=1,0.1,0),0)</f>
        <v>0.1</v>
      </c>
      <c r="V92" s="102">
        <v>1</v>
      </c>
      <c r="W92" s="103">
        <f>Q92*VLOOKUP($E92,武器奇术!$A:$R,2,FALSE)*(1+T92)*(1+U92)*V92</f>
        <v>6091.01192639362</v>
      </c>
      <c r="X92" s="104">
        <f>(1-IF(VLOOKUP($E92,武器奇术!$A:$R,18,FALSE)="叶龙",1,$N92))*(1-$M92)</f>
        <v>0</v>
      </c>
      <c r="Y92" s="103">
        <f>R92*VLOOKUP($E92,武器奇术!$A:$R,2,FALSE)*(1+T92)*(1+U92)*V92*(1+$E$16+VLOOKUP($E92,武器奇术!$A:$R,8,FALSE))</f>
        <v>14059.495882713</v>
      </c>
      <c r="Z92" s="104">
        <f t="shared" si="2"/>
        <v>0.8703</v>
      </c>
      <c r="AA92" s="103">
        <f>S92*VLOOKUP($E92,武器奇术!$A:$R,2,FALSE)*(1+T92)*(1+U92)*V92*(1+$E$17+VLOOKUP($E92,武器奇术!$A:$R,10,FALSE))</f>
        <v>8618.58859472139</v>
      </c>
      <c r="AB92" s="104">
        <f t="shared" si="3"/>
        <v>0.0986</v>
      </c>
      <c r="AC92" s="103">
        <f>R92*VLOOKUP($E92,武器奇术!$A:$R,2,FALSE)*(1+T92)*(1+U92)*V92</f>
        <v>6237.57581309363</v>
      </c>
      <c r="AD92" s="104">
        <f t="shared" si="4"/>
        <v>0.0311</v>
      </c>
      <c r="AE92" s="112">
        <f t="shared" si="5"/>
        <v>13279.7607099519</v>
      </c>
      <c r="AF92" s="113">
        <f>VLOOKUP($E92,武器奇术!$A:$R,3,FALSE)*(1+IF(VLOOKUP($E92,武器奇术!$A:$R,15,FALSE)="武器",$E$15,0))</f>
        <v>421.59</v>
      </c>
      <c r="AG92" s="103">
        <f t="shared" si="6"/>
        <v>421.59</v>
      </c>
      <c r="AH92" s="103">
        <f>VLOOKUP($E92,武器奇术!$A:$R,3,FALSE)*(1+IF(VLOOKUP($E92,武器奇术!$A:$R,15,FALSE)="武器",$E$15,0))</f>
        <v>421.59</v>
      </c>
      <c r="AI92" s="104">
        <f>IF(($D$5+VLOOKUP($E92,武器奇术!$A:$R,13,FALSE)+IF($I$3="√",10,0)-VLOOKUP($F$7,目标属性!$A:$R,5,FALSE))&gt;0,($D$5+VLOOKUP($E92,武器奇术!$A:$R,13,FALSE)+IF($I$3="√",10,0)-VLOOKUP($F$7,目标属性!$A:$R,5,FALSE))/200,($D$5+VLOOKUP($E92,武器奇术!$A:$R,13,FALSE)+IF($I$3="√",10,0)-VLOOKUP($F$7,目标属性!$A:$R,5,FALSE))/100)</f>
        <v>0.4175</v>
      </c>
      <c r="AJ92" s="111">
        <f>$E$5+IF($G$5="烟柳",IF(VLOOKUP($E92,武器奇术!$A:$T,20,FALSE)=1,0.1,0),0)</f>
        <v>0.1</v>
      </c>
      <c r="AK92" s="102">
        <v>1</v>
      </c>
      <c r="AL92" s="103">
        <f t="shared" si="7"/>
        <v>657.3642075</v>
      </c>
      <c r="AM92" s="104">
        <f>(1-IF(VLOOKUP($E92,武器奇术!$A:$R,18,FALSE)="叶龙",1,$N92))*(1-$M92)</f>
        <v>0</v>
      </c>
      <c r="AN92" s="103">
        <f>AG92*(1+AI92)*(1+AJ92)*AK92*(1+$E$16+VLOOKUP($E92,武器奇术!$A:$R,8,FALSE))</f>
        <v>1481.698923705</v>
      </c>
      <c r="AO92" s="104">
        <f t="shared" si="8"/>
        <v>0.8703</v>
      </c>
      <c r="AP92" s="103">
        <f>AH92*(1+AI92)*(1+AJ92)*AK92*(1+$E$17+VLOOKUP($E92,武器奇术!$A:$R,10,FALSE))</f>
        <v>887.441680125</v>
      </c>
      <c r="AQ92" s="104">
        <f t="shared" si="9"/>
        <v>0.0986</v>
      </c>
      <c r="AR92" s="103">
        <f t="shared" si="10"/>
        <v>657.3642075</v>
      </c>
      <c r="AS92" s="104">
        <f t="shared" si="11"/>
        <v>0.0311</v>
      </c>
      <c r="AT92" s="112">
        <f t="shared" si="12"/>
        <v>1397.46834981404</v>
      </c>
      <c r="AU92" s="110">
        <f>$B$7*IF($G$5="撼天",1.05,1)+IF(AND(VLOOKUP($E92,武器奇术!$A:$R,15,FALSE)="武器",VLOOKUP($E92,武器奇术!$A:$R,17,FALSE)="鸣金"),$E$3*(1+$E$15),0)</f>
        <v>0</v>
      </c>
      <c r="AV92" s="102">
        <f t="shared" si="13"/>
        <v>0</v>
      </c>
      <c r="AW92" s="102">
        <f>MAX($C$7*IF($G$5="撼天",1.05,1)+IF(AND(VLOOKUP($E92,武器奇术!$A:$R,15,FALSE)="武器",VLOOKUP($E92,武器奇术!$A:$R,17,FALSE)="鸣金"),$E$3*(1+$E$15),0),AU92)</f>
        <v>0</v>
      </c>
      <c r="AX92" s="104">
        <f>IF(($D$7+IF(VLOOKUP($E92,武器奇术!$A:$R,17,FALSE)="鸣金",$D$15,0)-VLOOKUP($F$7,目标属性!$A:$R,6,FALSE))&gt;0,($D$7+IF(VLOOKUP($E92,武器奇术!$A:$R,17,FALSE)="鸣金",$D$15,0)-VLOOKUP($F$7,目标属性!$A:$R,6,FALSE))/200,($D$7+IF(VLOOKUP($E92,武器奇术!$A:$R,17,FALSE)="鸣金",$D$15,0)-VLOOKUP($F$7,目标属性!$A:$R,6,FALSE))/100)</f>
        <v>-0.24</v>
      </c>
      <c r="AY92" s="111">
        <f t="shared" si="14"/>
        <v>0</v>
      </c>
      <c r="AZ92" s="102">
        <v>1</v>
      </c>
      <c r="BA92" s="103">
        <f>AU92*IF(VLOOKUP($E92,武器奇术!$A:$R,17,FALSE)="鸣金",VLOOKUP($E92,武器奇术!$A:$R,4,FALSE),VLOOKUP($E92,武器奇术!$A:$R,2,FALSE))*(1+AX92)*(1+AY92)*AZ92</f>
        <v>0</v>
      </c>
      <c r="BB92" s="104">
        <f>(1-IF(VLOOKUP($E92,武器奇术!$A:$R,18,FALSE)="叶龙",1,$N92))*(1-$M92)</f>
        <v>0</v>
      </c>
      <c r="BC92" s="103">
        <f>AV92*IF(VLOOKUP($E92,武器奇术!$A:$R,17,FALSE)="鸣金",VLOOKUP($E92,武器奇术!$A:$R,4,FALSE),VLOOKUP($E92,武器奇术!$A:$R,2,FALSE))*(1+AX92)*(1+AY92)*AZ92*(1+$E$16+VLOOKUP($E92,武器奇术!$A:$R,8,FALSE))</f>
        <v>0</v>
      </c>
      <c r="BD92" s="104">
        <f t="shared" si="15"/>
        <v>0.8703</v>
      </c>
      <c r="BE92" s="103">
        <f>AW92*IF(VLOOKUP($E92,武器奇术!$A:$R,17,FALSE)="鸣金",VLOOKUP($E92,武器奇术!$A:$R,4,FALSE),VLOOKUP($E92,武器奇术!$A:$R,2,FALSE))*(1+AX92)*(1+AY92)*AZ92*(1+$E$17+VLOOKUP($E92,武器奇术!$A:$R,10,FALSE))</f>
        <v>0</v>
      </c>
      <c r="BF92" s="104">
        <f t="shared" si="16"/>
        <v>0.0986</v>
      </c>
      <c r="BG92" s="103">
        <f>AV92*IF(VLOOKUP($E92,武器奇术!$A:$R,17,FALSE)="鸣金",VLOOKUP($E92,武器奇术!$A:$R,4,FALSE),VLOOKUP($E92,武器奇术!$A:$R,2,FALSE))*(1+AX92)*(1+AY92)*AZ92</f>
        <v>0</v>
      </c>
      <c r="BH92" s="104">
        <f t="shared" si="17"/>
        <v>0.0311</v>
      </c>
      <c r="BI92" s="112">
        <f t="shared" si="18"/>
        <v>0</v>
      </c>
      <c r="BJ92" s="110">
        <f>$B$9*IF($G$5="撼天",1.05,1)+IF(AND(VLOOKUP($E92,武器奇术!$A:$R,15,FALSE)="武器",VLOOKUP($E92,武器奇术!$A:$R,17,FALSE)="裂石"),$E$3*(1+$E$15),0)</f>
        <v>0</v>
      </c>
      <c r="BK92" s="102">
        <f t="shared" si="19"/>
        <v>0</v>
      </c>
      <c r="BL92" s="102">
        <f>MAX($C$9*IF($G$5="撼天",1.05,1)+IF(AND(VLOOKUP($E92,武器奇术!$A:$R,15,FALSE)="武器",VLOOKUP($E92,武器奇术!$A:$R,17,FALSE)="裂石"),$E$3*(1+$E$15),0),BJ92)</f>
        <v>0</v>
      </c>
      <c r="BM92" s="104">
        <f>IF(($D$9+IF(VLOOKUP($E92,武器奇术!$A:$R,17,FALSE)="裂石",$D$15,0)-VLOOKUP($F$7,目标属性!$A:$R,6,FALSE))&gt;0,($D$9+IF(VLOOKUP($E92,武器奇术!$A:$R,17,FALSE)="裂石",$D$15,0)-VLOOKUP($F$7,目标属性!$A:$R,6,FALSE))/200,($D$9+IF(VLOOKUP($E92,武器奇术!$A:$R,17,FALSE)="裂石",$D$15,0)-VLOOKUP($F$7,目标属性!$A:$R,6,FALSE))/100)</f>
        <v>-0.24</v>
      </c>
      <c r="BN92" s="111">
        <f t="shared" si="20"/>
        <v>0</v>
      </c>
      <c r="BO92" s="102">
        <v>1</v>
      </c>
      <c r="BP92" s="103">
        <f>BJ92*IF(VLOOKUP($E92,武器奇术!$A:$R,17,FALSE)="裂石",VLOOKUP($E92,武器奇术!$A:$R,4,FALSE),VLOOKUP($E92,武器奇术!$A:$R,2,FALSE))*(1+BM92)*(1+BN92)*BO92</f>
        <v>0</v>
      </c>
      <c r="BQ92" s="104">
        <f>(1-IF(VLOOKUP($E92,武器奇术!$A:$R,18,FALSE)="叶龙",1,$N92))*(1-$M92)</f>
        <v>0</v>
      </c>
      <c r="BR92" s="103">
        <f>BK92*IF(VLOOKUP($E92,武器奇术!$A:$R,17,FALSE)="裂石",VLOOKUP($E92,武器奇术!$A:$R,4,FALSE),VLOOKUP($E92,武器奇术!$A:$R,2,FALSE))*(1+BM92)*(1+BN92)*BO92*(1+$E$16+VLOOKUP($E92,武器奇术!$A:$R,8,FALSE))</f>
        <v>0</v>
      </c>
      <c r="BS92" s="104">
        <f t="shared" si="21"/>
        <v>0.8703</v>
      </c>
      <c r="BT92" s="103">
        <f>BL92*IF(VLOOKUP($E92,武器奇术!$A:$R,17,FALSE)="裂石",VLOOKUP($E92,武器奇术!$A:$R,4,FALSE),VLOOKUP($E92,武器奇术!$A:$R,2,FALSE))*(1+BM92)*(1+BN92)*BO92*(1+$E$17+VLOOKUP($E92,武器奇术!$A:$R,10,FALSE))</f>
        <v>0</v>
      </c>
      <c r="BU92" s="104">
        <f t="shared" si="22"/>
        <v>0.0986</v>
      </c>
      <c r="BV92" s="103">
        <f>BK92*IF(VLOOKUP($E92,武器奇术!$A:$R,17,FALSE)="裂石",VLOOKUP($E92,武器奇术!$A:$R,4,FALSE),VLOOKUP($E92,武器奇术!$A:$R,2,FALSE))*(1+BM92)*(1+BN92)*BO92</f>
        <v>0</v>
      </c>
      <c r="BW92" s="104">
        <f t="shared" si="23"/>
        <v>0.0311</v>
      </c>
      <c r="BX92" s="112">
        <f t="shared" si="24"/>
        <v>0</v>
      </c>
      <c r="BY92" s="110">
        <f>$B$11*IF($G$5="撼天",1.05,1)+IF(AND(VLOOKUP($E92,武器奇术!$A:$R,15,FALSE)="武器",VLOOKUP($E92,武器奇术!$A:$R,17,FALSE)="牵丝"),$E$3*(1+$E$15),0)</f>
        <v>686.71</v>
      </c>
      <c r="BZ92" s="102">
        <f>IF(VLOOKUP($E92,武器奇术!$A:$Z,18,FALSE)="叶龙",(CA92-(BY92+CA92)*0.5)*($G$15-0.5)*2+(BY92+CA92)*0.5,(BY92+CA92)*0.5)</f>
        <v>1052.21</v>
      </c>
      <c r="CA92" s="102">
        <f>MAX($C$11*IF($G$5="撼天",1.05,1)+IF(AND(VLOOKUP($E92,武器奇术!$A:$R,15,FALSE)="武器",VLOOKUP($E92,武器奇术!$A:$R,17,FALSE)="牵丝"),$E$3*(1+$E$15),0),BY92)</f>
        <v>1417.71</v>
      </c>
      <c r="CB92" s="104">
        <f>IF(($D$11+IF(VLOOKUP($E92,武器奇术!$A:$R,17,FALSE)="牵丝",$D$15,0)-VLOOKUP($F$7,目标属性!$A:$R,6,FALSE))&gt;0,($D$11+IF(VLOOKUP($E92,武器奇术!$A:$R,17,FALSE)="牵丝",$D$15,0)-VLOOKUP($F$7,目标属性!$A:$R,6,FALSE))/200,($D$11+IF(VLOOKUP($E92,武器奇术!$A:$R,17,FALSE)="牵丝",$D$15,0)-VLOOKUP($F$7,目标属性!$A:$R,6,FALSE))/100)</f>
        <v>0.028</v>
      </c>
      <c r="CC92" s="111">
        <f>$E$11+IF($G$5="烟柳",IF(VLOOKUP($E92,武器奇术!$A:$T,20,FALSE)=1,0.1,0),0)</f>
        <v>0.248</v>
      </c>
      <c r="CD92" s="102">
        <v>1</v>
      </c>
      <c r="CE92" s="103">
        <f>BY92*IF(VLOOKUP($E92,武器奇术!$A:$R,17,FALSE)="牵丝",VLOOKUP($E92,武器奇术!$A:$R,4,FALSE),VLOOKUP($E92,武器奇术!$A:$R,2,FALSE))*(1+CB92)*(1+CC92)*CD92</f>
        <v>1552.67083453872</v>
      </c>
      <c r="CF92" s="104">
        <f>(1-IF(VLOOKUP($E92,武器奇术!$A:$R,18,FALSE)="叶龙",1,$N92))*(1-$M92)</f>
        <v>0</v>
      </c>
      <c r="CG92" s="124">
        <f>BZ92*IF(VLOOKUP($E92,武器奇术!$A:$R,17,FALSE)="牵丝",VLOOKUP($E92,武器奇术!$A:$R,4,FALSE),VLOOKUP($E92,武器奇术!$A:$R,2,FALSE))*(1+CB92)*(1+CC92)*CD92*(1+$E$16+VLOOKUP($E92,武器奇术!$A:$R,8,FALSE))</f>
        <v>5362.43894138386</v>
      </c>
      <c r="CH92" s="104">
        <f t="shared" si="25"/>
        <v>0.8703</v>
      </c>
      <c r="CI92" s="103">
        <f>CA92*IF(VLOOKUP($E92,武器奇术!$A:$R,17,FALSE)="牵丝",VLOOKUP($E92,武器奇术!$A:$R,4,FALSE),VLOOKUP($E92,武器奇术!$A:$R,2,FALSE))*(1+CB92)*(1+CC92)*CD92*(1+$E$17+VLOOKUP($E92,武器奇术!$A:$R,10,FALSE))</f>
        <v>4327.40153474647</v>
      </c>
      <c r="CJ92" s="104">
        <f t="shared" si="26"/>
        <v>0.0986</v>
      </c>
      <c r="CK92" s="124">
        <f>BZ92*IF(VLOOKUP($E92,武器奇术!$A:$R,17,FALSE)="牵丝",VLOOKUP($E92,武器奇术!$A:$R,4,FALSE),VLOOKUP($E92,武器奇术!$A:$R,2,FALSE))*(1+CB92)*(1+CC92)*CD92</f>
        <v>2379.07672643472</v>
      </c>
      <c r="CL92" s="104">
        <f t="shared" si="27"/>
        <v>0.0311</v>
      </c>
      <c r="CM92" s="112">
        <f t="shared" si="28"/>
        <v>5167.60168820449</v>
      </c>
      <c r="CN92" s="110">
        <f>$B$13*IF($G$5="撼天",1.05,1)+IF(AND(VLOOKUP($E92,武器奇术!$A:$R,15,FALSE)="武器",VLOOKUP($E92,武器奇术!$A:$R,17,FALSE)="破竹"),$E$3*(1+$E$15),0)</f>
        <v>0</v>
      </c>
      <c r="CO92" s="102">
        <f t="shared" si="29"/>
        <v>0</v>
      </c>
      <c r="CP92" s="102">
        <f>MAX($C$13*IF($G$5="撼天",1.05,1)+IF(AND(VLOOKUP($E92,武器奇术!$A:$R,15,FALSE)="武器",VLOOKUP($E92,武器奇术!$A:$R,17,FALSE)="破竹"),$E$3*(1+$E$15),0),CN92)</f>
        <v>0</v>
      </c>
      <c r="CQ92" s="104">
        <f>IF(($D$13+IF(VLOOKUP($E92,武器奇术!$A:$R,17,FALSE)="破竹",$D$15,0)-VLOOKUP($F$7,目标属性!$A:$R,6,FALSE))&gt;0,($D$13+IF(VLOOKUP($E92,武器奇术!$A:$R,17,FALSE)="破竹",$D$15,0)-VLOOKUP($F$7,目标属性!$A:$R,6,FALSE))/200,($D$13+IF(VLOOKUP($E92,武器奇术!$A:$R,17,FALSE)="破竹",$D$15,0)-VLOOKUP($F$7,目标属性!$A:$R,6,FALSE))/100)</f>
        <v>-0.24</v>
      </c>
      <c r="CR92" s="111">
        <f t="shared" si="30"/>
        <v>0</v>
      </c>
      <c r="CS92" s="102">
        <v>1</v>
      </c>
      <c r="CT92" s="103">
        <f>CN92*IF(VLOOKUP($E92,武器奇术!$A:$R,17,FALSE)="破竹",VLOOKUP($E92,武器奇术!$A:$R,4,FALSE),VLOOKUP($E92,武器奇术!$A:$R,2,FALSE))*(1+CQ92)*(1+CR92)*CS92</f>
        <v>0</v>
      </c>
      <c r="CU92" s="104">
        <f>(1-IF(VLOOKUP($E92,武器奇术!$A:$R,18,FALSE)="叶龙",1,$N92))*(1-$M92)</f>
        <v>0</v>
      </c>
      <c r="CV92" s="103">
        <f>CO92*IF(VLOOKUP($E92,武器奇术!$A:$R,17,FALSE)="破竹",VLOOKUP($E92,武器奇术!$A:$R,4,FALSE),VLOOKUP($E92,武器奇术!$A:$R,2,FALSE))*(1+CQ92)*(1+CR92)*CS92*(1+$E$16+VLOOKUP($E92,武器奇术!$A:$R,8,FALSE))</f>
        <v>0</v>
      </c>
      <c r="CW92" s="104">
        <f t="shared" si="31"/>
        <v>0.8703</v>
      </c>
      <c r="CX92" s="103">
        <f>CP92*IF(VLOOKUP($E92,武器奇术!$A:$R,17,FALSE)="破竹",VLOOKUP($E92,武器奇术!$A:$R,4,FALSE),VLOOKUP($E92,武器奇术!$A:$R,2,FALSE))*(1+CQ92)*(1+CR92)*CS92*(1+$E$17+VLOOKUP($E92,武器奇术!$A:$R,10,FALSE))</f>
        <v>0</v>
      </c>
      <c r="CY92" s="104">
        <f t="shared" si="32"/>
        <v>0.0986</v>
      </c>
      <c r="CZ92" s="103">
        <f>CO92*IF(VLOOKUP($E92,武器奇术!$A:$R,17,FALSE)="破竹",VLOOKUP($E92,武器奇术!$A:$R,4,FALSE),VLOOKUP($E92,武器奇术!$A:$R,2,FALSE))*(1+CQ92)*(1+CR92)*CS92</f>
        <v>0</v>
      </c>
      <c r="DA92" s="104">
        <f t="shared" si="33"/>
        <v>0.0311</v>
      </c>
      <c r="DB92" s="112">
        <f t="shared" si="34"/>
        <v>0</v>
      </c>
      <c r="DC92" s="110">
        <f t="shared" si="35"/>
        <v>66</v>
      </c>
      <c r="DD92" s="102">
        <f t="shared" si="36"/>
        <v>125.8</v>
      </c>
      <c r="DE92" s="102">
        <f t="shared" si="37"/>
        <v>185.6</v>
      </c>
      <c r="DF92" s="104">
        <f>IF((IF(VLOOKUP($E92,武器奇术!$A:$R,17,FALSE)="鸣金",$D$7,0)+IF(VLOOKUP($E92,武器奇术!$A:$R,17,FALSE)="裂石",$D$9,0)+IF(VLOOKUP($E92,武器奇术!$A:$R,17,FALSE)="牵丝",$D$11,0)+IF(VLOOKUP($E92,武器奇术!$A:$R,17,FALSE)="破竹",$D$13,0)+$D$15-VLOOKUP($F$7,目标属性!$A:$R,6,FALSE))&gt;0,(IF(VLOOKUP($E92,武器奇术!$A:$R,17,FALSE)="鸣金",$D$7,0)+IF(VLOOKUP($E92,武器奇术!$A:$R,17,FALSE)="裂石",$D$9,0)+IF(VLOOKUP($E92,武器奇术!$A:$R,17,FALSE)="牵丝",$D$11,0)+IF(VLOOKUP($E92,武器奇术!$A:$R,17,FALSE)="破竹",$D$13,0)+$D$15-VLOOKUP($F$7,目标属性!$A:$R,6,FALSE))/200,(IF(VLOOKUP($E92,武器奇术!$A:$R,17,FALSE)="鸣金",$D$7,0)+IF(VLOOKUP($E92,武器奇术!$A:$R,17,FALSE)="裂石",$D$9,0)+IF(VLOOKUP($E92,武器奇术!$A:$R,17,FALSE)="牵丝",$D$11,0)+IF(VLOOKUP($E92,武器奇术!$A:$R,17,FALSE)="破竹",$D$13,0)+$D$15-VLOOKUP($F$7,目标属性!$A:$R,6,FALSE))/100)</f>
        <v>0.028</v>
      </c>
      <c r="DG92" s="111">
        <f>$E$11+IF($G$5="烟柳",IF(VLOOKUP($E92,武器奇术!$A:$T,20,FALSE)=1,0.1,0),0)</f>
        <v>0.248</v>
      </c>
      <c r="DH92" s="102">
        <v>1</v>
      </c>
      <c r="DI92" s="103">
        <f>DC92*IF(VLOOKUP($E92,武器奇术!$A:$R,17,FALSE)="牵丝",VLOOKUP($E92,武器奇术!$A:$R,4,FALSE),VLOOKUP($E92,武器奇术!$A:$R,2,FALSE))*(1+DF92)*(1+DG92)*DH92</f>
        <v>149.227876512</v>
      </c>
      <c r="DJ92" s="104">
        <f>(1-IF(VLOOKUP($E92,武器奇术!$A:$R,18,FALSE)="叶龙",1,$N92))*(1-$M92)</f>
        <v>0</v>
      </c>
      <c r="DK92" s="124">
        <f>DD92*IF(VLOOKUP($E92,武器奇术!$A:$R,17,FALSE)="牵丝",VLOOKUP($E92,武器奇术!$A:$R,4,FALSE),VLOOKUP($E92,武器奇术!$A:$R,2,FALSE))*(1+DF92)*(1+DG92)*DH92*(1+$E$16+VLOOKUP($E92,武器奇术!$A:$R,8,FALSE))</f>
        <v>641.121847184582</v>
      </c>
      <c r="DL92" s="104">
        <f t="shared" si="38"/>
        <v>0.8703</v>
      </c>
      <c r="DM92" s="103">
        <f>DE92*IF(VLOOKUP($E92,武器奇术!$A:$R,17,FALSE)="牵丝",VLOOKUP($E92,武器奇术!$A:$R,4,FALSE),VLOOKUP($E92,武器奇术!$A:$R,2,FALSE))*(1+DF92)*(1+DG92)*DH92*(1+$E$17+VLOOKUP($E92,武器奇术!$A:$R,10,FALSE))</f>
        <v>566.52328392192</v>
      </c>
      <c r="DN92" s="104">
        <f t="shared" si="39"/>
        <v>0.0986</v>
      </c>
      <c r="DO92" s="124">
        <f>DD92*IF(VLOOKUP($E92,武器奇术!$A:$R,17,FALSE)="牵丝",VLOOKUP($E92,武器奇术!$A:$R,4,FALSE),VLOOKUP($E92,武器奇术!$A:$R,2,FALSE))*(1+DF92)*(1+DG92)*DH92</f>
        <v>284.4373767456</v>
      </c>
      <c r="DP92" s="104">
        <f t="shared" si="40"/>
        <v>0.0311</v>
      </c>
      <c r="DQ92" s="112">
        <f t="shared" si="41"/>
        <v>622.673541816231</v>
      </c>
    </row>
    <row r="93" spans="1:121">
      <c r="E93" s="115" t="str">
        <f>期望!E93</f>
        <v>叶龙骧首(大纵气竭75%HP)</v>
      </c>
      <c r="F93" s="116">
        <f>期望!F93</f>
        <v>1</v>
      </c>
      <c r="G93" s="117"/>
      <c r="H93" s="140">
        <f>IF(VLOOKUP($E93,武器奇术!$A:$R,18,FALSE)="天工",AE93,(AE93+AT93+BI93+BX93+CM93+DB93+DQ93))*(1+J93)*F93*K93*(1+G93)*(1+$G$21*5%)</f>
        <v>893926.12903659</v>
      </c>
      <c r="I93" s="104">
        <f t="shared" si="0"/>
        <v>0.10302494871075</v>
      </c>
      <c r="J93" s="104">
        <f>$F$3+VLOOKUP($E93,武器奇术!$A:$R,12,FALSE)+VLOOKUP($E93,武器奇术!$A:$R,14,FALSE)*$G$3+$P93</f>
        <v>1.058</v>
      </c>
      <c r="K93" s="105">
        <f>VLOOKUP($E93,武器奇术!$A:$R,11,FALSE)</f>
        <v>1</v>
      </c>
      <c r="L93" s="119">
        <f>IF(VLOOKUP($E93,武器奇术!$A:$R,15,FALSE)="天工",0%,IF($C$17+VLOOKUP($E93,武器奇术!$A:$R,7,FALSE)&gt;80%,80%,$C$17+VLOOKUP($E93,武器奇术!$A:$R,7,FALSE))+IF($C$19&gt;20%,20%,$C$19))</f>
        <v>0.8703</v>
      </c>
      <c r="M93" s="120">
        <f>IF(VLOOKUP($E93,武器奇术!$A:$R,15,FALSE)="天工",0%,IF($C$18+VLOOKUP($E93,武器奇术!$A:$R,9,FALSE)&gt;40%,40%,$C$18+VLOOKUP($E93,武器奇术!$A:$R,9,FALSE))+IF($C$20&gt;10%,10%,$C$20))</f>
        <v>0.0986</v>
      </c>
      <c r="N93" s="121">
        <f>IF(VLOOKUP($E93,武器奇术!$A:$R,15,FALSE)="天工",100%,MIN($C$16,1))</f>
        <v>1</v>
      </c>
      <c r="O93" s="122" t="str">
        <f>VLOOKUP($E93,武器奇术!$A:$R,16,FALSE)</f>
        <v>单体奇术</v>
      </c>
      <c r="P93" s="123">
        <f t="shared" si="1"/>
        <v>0</v>
      </c>
      <c r="Q93" s="110">
        <f>$B$5*(1+VLOOKUP($E93,武器奇术!$A:$R,5,FALSE))*(1+VLOOKUP($E93,武器奇术!$A:$S,19,FALSE)+IF($G$5="飞隼",0.1,0)+IF($G$5="撼天",0.05,0))-$F$9+IF($J$5="√",160,0)</f>
        <v>3324.7</v>
      </c>
      <c r="R93" s="102">
        <f>IF(VLOOKUP($E93,武器奇术!$A:$Z,18,FALSE)="叶龙",(S93-(Q93+S93)*0.5)*($G$15-0.5)*2+(Q93+S93)*0.5,(Q93+S93)*0.5)</f>
        <v>3404.7</v>
      </c>
      <c r="S93" s="102">
        <f>MAX($C$5,$B$5)*(1+VLOOKUP($E93,武器奇术!$A:$R,6,FALSE))*(1+VLOOKUP($E93,武器奇术!$A:$S,19,FALSE)+IF($G$5="飞隼",0.1,0)+IF($G$5="撼天",0.05,0))-$F$9+IF($J$5="√",320,0)</f>
        <v>3484.7</v>
      </c>
      <c r="T93" s="104">
        <f>IF(($D$5+VLOOKUP($E93,武器奇术!$A:$R,13,FALSE)+IF($I$3="√",10,0)-VLOOKUP($F$7,目标属性!$A:$R,5,FALSE))&gt;0,($D$5+VLOOKUP($E93,武器奇术!$A:$R,13,FALSE)+IF($I$3="√",10,0)-VLOOKUP($F$7,目标属性!$A:$R,5,FALSE))/200,($D$5+VLOOKUP($E93,武器奇术!$A:$R,13,FALSE)+IF($I$3="√",10,0)-VLOOKUP($F$7,目标属性!$A:$R,5,FALSE))/100)</f>
        <v>0.3925</v>
      </c>
      <c r="U93" s="111">
        <f>$E$5+IF($G$5="烟柳",IF(VLOOKUP($E93,武器奇术!$A:$T,20,FALSE)=1,0.1,0),0)</f>
        <v>0</v>
      </c>
      <c r="V93" s="102">
        <v>1</v>
      </c>
      <c r="W93" s="103">
        <f>Q93*VLOOKUP($E93,武器奇术!$A:$R,2,FALSE)*(1+T93)*(1+U93)*V93</f>
        <v>116661.797682853</v>
      </c>
      <c r="X93" s="104">
        <f>(1-IF(VLOOKUP($E93,武器奇术!$A:$R,18,FALSE)="叶龙",1,$N93))*(1-$M93)</f>
        <v>0</v>
      </c>
      <c r="Y93" s="103">
        <f>R93*VLOOKUP($E93,武器奇术!$A:$R,2,FALSE)*(1+T93)*(1+U93)*V93*(1+$E$16+VLOOKUP($E93,武器奇术!$A:$R,8,FALSE))</f>
        <v>226274.19386685</v>
      </c>
      <c r="Z93" s="104">
        <f t="shared" si="2"/>
        <v>0.8703</v>
      </c>
      <c r="AA93" s="103">
        <f>S93*VLOOKUP($E93,武器奇术!$A:$R,2,FALSE)*(1+T93)*(1+U93)*V93*(1+$E$17+VLOOKUP($E93,武器奇术!$A:$R,10,FALSE))</f>
        <v>165072.741787332</v>
      </c>
      <c r="AB93" s="104">
        <f t="shared" si="3"/>
        <v>0.0986</v>
      </c>
      <c r="AC93" s="103">
        <f>R93*VLOOKUP($E93,武器奇术!$A:$R,2,FALSE)*(1+T93)*(1+U93)*V93</f>
        <v>119468.951355253</v>
      </c>
      <c r="AD93" s="104">
        <f t="shared" si="4"/>
        <v>0.0311</v>
      </c>
      <c r="AE93" s="112">
        <f t="shared" si="5"/>
        <v>216918.087649699</v>
      </c>
      <c r="AF93" s="113">
        <f>VLOOKUP($E93,武器奇术!$A:$R,3,FALSE)*(1+IF(VLOOKUP($E93,武器奇术!$A:$R,15,FALSE)="武器",$E$15,0))</f>
        <v>4521.44</v>
      </c>
      <c r="AG93" s="103">
        <f t="shared" si="6"/>
        <v>4521.44</v>
      </c>
      <c r="AH93" s="103">
        <f>VLOOKUP($E93,武器奇术!$A:$R,3,FALSE)*(1+IF(VLOOKUP($E93,武器奇术!$A:$R,15,FALSE)="武器",$E$15,0))</f>
        <v>4521.44</v>
      </c>
      <c r="AI93" s="104">
        <f>IF(($D$5+VLOOKUP($E93,武器奇术!$A:$R,13,FALSE)+IF($I$3="√",10,0)-VLOOKUP($F$7,目标属性!$A:$R,5,FALSE))&gt;0,($D$5+VLOOKUP($E93,武器奇术!$A:$R,13,FALSE)+IF($I$3="√",10,0)-VLOOKUP($F$7,目标属性!$A:$R,5,FALSE))/200,($D$5+VLOOKUP($E93,武器奇术!$A:$R,13,FALSE)+IF($I$3="√",10,0)-VLOOKUP($F$7,目标属性!$A:$R,5,FALSE))/100)</f>
        <v>0.3925</v>
      </c>
      <c r="AJ93" s="111">
        <f>$E$5+IF($G$5="烟柳",IF(VLOOKUP($E93,武器奇术!$A:$T,20,FALSE)=1,0.1,0),0)</f>
        <v>0</v>
      </c>
      <c r="AK93" s="102">
        <v>1</v>
      </c>
      <c r="AL93" s="103">
        <f t="shared" si="7"/>
        <v>6296.1052</v>
      </c>
      <c r="AM93" s="104">
        <f>(1-IF(VLOOKUP($E93,武器奇术!$A:$R,18,FALSE)="叶龙",1,$N93))*(1-$M93)</f>
        <v>0</v>
      </c>
      <c r="AN93" s="103">
        <f>AG93*(1+AI93)*(1+AJ93)*AK93*(1+$E$16+VLOOKUP($E93,武器奇术!$A:$R,8,FALSE))</f>
        <v>11924.8232488</v>
      </c>
      <c r="AO93" s="104">
        <f t="shared" si="8"/>
        <v>0.8703</v>
      </c>
      <c r="AP93" s="103">
        <f>AH93*(1+AI93)*(1+AJ93)*AK93*(1+$E$17+VLOOKUP($E93,武器奇术!$A:$R,10,FALSE))</f>
        <v>8499.74202</v>
      </c>
      <c r="AQ93" s="104">
        <f t="shared" si="9"/>
        <v>0.0986</v>
      </c>
      <c r="AR93" s="103">
        <f t="shared" si="10"/>
        <v>6296.1052</v>
      </c>
      <c r="AS93" s="104">
        <f t="shared" si="11"/>
        <v>0.0311</v>
      </c>
      <c r="AT93" s="112">
        <f t="shared" si="12"/>
        <v>11412.0571083226</v>
      </c>
      <c r="AU93" s="110">
        <f>$B$7*IF($G$5="撼天",1.05,1)+IF(AND(VLOOKUP($E93,武器奇术!$A:$R,15,FALSE)="武器",VLOOKUP($E93,武器奇术!$A:$R,17,FALSE)="鸣金"),$E$3*(1+$E$15),0)</f>
        <v>0</v>
      </c>
      <c r="AV93" s="102">
        <f t="shared" si="13"/>
        <v>0</v>
      </c>
      <c r="AW93" s="102">
        <f>MAX($C$7*IF($G$5="撼天",1.05,1)+IF(AND(VLOOKUP($E93,武器奇术!$A:$R,15,FALSE)="武器",VLOOKUP($E93,武器奇术!$A:$R,17,FALSE)="鸣金"),$E$3*(1+$E$15),0),AU93)</f>
        <v>0</v>
      </c>
      <c r="AX93" s="104">
        <f>IF(($D$7+IF(VLOOKUP($E93,武器奇术!$A:$R,17,FALSE)="鸣金",$D$15,0)-VLOOKUP($F$7,目标属性!$A:$R,6,FALSE))&gt;0,($D$7+IF(VLOOKUP($E93,武器奇术!$A:$R,17,FALSE)="鸣金",$D$15,0)-VLOOKUP($F$7,目标属性!$A:$R,6,FALSE))/200,($D$7+IF(VLOOKUP($E93,武器奇术!$A:$R,17,FALSE)="鸣金",$D$15,0)-VLOOKUP($F$7,目标属性!$A:$R,6,FALSE))/100)</f>
        <v>-0.24</v>
      </c>
      <c r="AY93" s="111">
        <f t="shared" si="14"/>
        <v>0</v>
      </c>
      <c r="AZ93" s="102">
        <v>1</v>
      </c>
      <c r="BA93" s="103">
        <f>AU93*IF(VLOOKUP($E93,武器奇术!$A:$R,17,FALSE)="鸣金",VLOOKUP($E93,武器奇术!$A:$R,4,FALSE),VLOOKUP($E93,武器奇术!$A:$R,2,FALSE))*(1+AX93)*(1+AY93)*AZ93</f>
        <v>0</v>
      </c>
      <c r="BB93" s="104">
        <f>(1-IF(VLOOKUP($E93,武器奇术!$A:$R,18,FALSE)="叶龙",1,$N93))*(1-$M93)</f>
        <v>0</v>
      </c>
      <c r="BC93" s="103">
        <f>AV93*IF(VLOOKUP($E93,武器奇术!$A:$R,17,FALSE)="鸣金",VLOOKUP($E93,武器奇术!$A:$R,4,FALSE),VLOOKUP($E93,武器奇术!$A:$R,2,FALSE))*(1+AX93)*(1+AY93)*AZ93*(1+$E$16+VLOOKUP($E93,武器奇术!$A:$R,8,FALSE))</f>
        <v>0</v>
      </c>
      <c r="BD93" s="104">
        <f t="shared" si="15"/>
        <v>0.8703</v>
      </c>
      <c r="BE93" s="103">
        <f>AW93*IF(VLOOKUP($E93,武器奇术!$A:$R,17,FALSE)="鸣金",VLOOKUP($E93,武器奇术!$A:$R,4,FALSE),VLOOKUP($E93,武器奇术!$A:$R,2,FALSE))*(1+AX93)*(1+AY93)*AZ93*(1+$E$17+VLOOKUP($E93,武器奇术!$A:$R,10,FALSE))</f>
        <v>0</v>
      </c>
      <c r="BF93" s="104">
        <f t="shared" si="16"/>
        <v>0.0986</v>
      </c>
      <c r="BG93" s="103">
        <f>AV93*IF(VLOOKUP($E93,武器奇术!$A:$R,17,FALSE)="鸣金",VLOOKUP($E93,武器奇术!$A:$R,4,FALSE),VLOOKUP($E93,武器奇术!$A:$R,2,FALSE))*(1+AX93)*(1+AY93)*AZ93</f>
        <v>0</v>
      </c>
      <c r="BH93" s="104">
        <f t="shared" si="17"/>
        <v>0.0311</v>
      </c>
      <c r="BI93" s="112">
        <f t="shared" si="18"/>
        <v>0</v>
      </c>
      <c r="BJ93" s="110">
        <f>$B$9*IF($G$5="撼天",1.05,1)+IF(AND(VLOOKUP($E93,武器奇术!$A:$R,15,FALSE)="武器",VLOOKUP($E93,武器奇术!$A:$R,17,FALSE)="裂石"),$E$3*(1+$E$15),0)</f>
        <v>0</v>
      </c>
      <c r="BK93" s="102">
        <f t="shared" si="19"/>
        <v>0</v>
      </c>
      <c r="BL93" s="102">
        <f>MAX($C$9*IF($G$5="撼天",1.05,1)+IF(AND(VLOOKUP($E93,武器奇术!$A:$R,15,FALSE)="武器",VLOOKUP($E93,武器奇术!$A:$R,17,FALSE)="裂石"),$E$3*(1+$E$15),0),BJ93)</f>
        <v>0</v>
      </c>
      <c r="BM93" s="104">
        <f>IF(($D$9+IF(VLOOKUP($E93,武器奇术!$A:$R,17,FALSE)="裂石",$D$15,0)-VLOOKUP($F$7,目标属性!$A:$R,6,FALSE))&gt;0,($D$9+IF(VLOOKUP($E93,武器奇术!$A:$R,17,FALSE)="裂石",$D$15,0)-VLOOKUP($F$7,目标属性!$A:$R,6,FALSE))/200,($D$9+IF(VLOOKUP($E93,武器奇术!$A:$R,17,FALSE)="裂石",$D$15,0)-VLOOKUP($F$7,目标属性!$A:$R,6,FALSE))/100)</f>
        <v>-0.24</v>
      </c>
      <c r="BN93" s="111">
        <f t="shared" si="20"/>
        <v>0</v>
      </c>
      <c r="BO93" s="102">
        <v>1</v>
      </c>
      <c r="BP93" s="103">
        <f>BJ93*IF(VLOOKUP($E93,武器奇术!$A:$R,17,FALSE)="裂石",VLOOKUP($E93,武器奇术!$A:$R,4,FALSE),VLOOKUP($E93,武器奇术!$A:$R,2,FALSE))*(1+BM93)*(1+BN93)*BO93</f>
        <v>0</v>
      </c>
      <c r="BQ93" s="104">
        <f>(1-IF(VLOOKUP($E93,武器奇术!$A:$R,18,FALSE)="叶龙",1,$N93))*(1-$M93)</f>
        <v>0</v>
      </c>
      <c r="BR93" s="103">
        <f>BK93*IF(VLOOKUP($E93,武器奇术!$A:$R,17,FALSE)="裂石",VLOOKUP($E93,武器奇术!$A:$R,4,FALSE),VLOOKUP($E93,武器奇术!$A:$R,2,FALSE))*(1+BM93)*(1+BN93)*BO93*(1+$E$16+VLOOKUP($E93,武器奇术!$A:$R,8,FALSE))</f>
        <v>0</v>
      </c>
      <c r="BS93" s="104">
        <f t="shared" si="21"/>
        <v>0.8703</v>
      </c>
      <c r="BT93" s="103">
        <f>BL93*IF(VLOOKUP($E93,武器奇术!$A:$R,17,FALSE)="裂石",VLOOKUP($E93,武器奇术!$A:$R,4,FALSE),VLOOKUP($E93,武器奇术!$A:$R,2,FALSE))*(1+BM93)*(1+BN93)*BO93*(1+$E$17+VLOOKUP($E93,武器奇术!$A:$R,10,FALSE))</f>
        <v>0</v>
      </c>
      <c r="BU93" s="104">
        <f t="shared" si="22"/>
        <v>0.0986</v>
      </c>
      <c r="BV93" s="103">
        <f>BK93*IF(VLOOKUP($E93,武器奇术!$A:$R,17,FALSE)="裂石",VLOOKUP($E93,武器奇术!$A:$R,4,FALSE),VLOOKUP($E93,武器奇术!$A:$R,2,FALSE))*(1+BM93)*(1+BN93)*BO93</f>
        <v>0</v>
      </c>
      <c r="BW93" s="104">
        <f t="shared" si="23"/>
        <v>0.0311</v>
      </c>
      <c r="BX93" s="112">
        <f t="shared" si="24"/>
        <v>0</v>
      </c>
      <c r="BY93" s="110">
        <f>$B$11*IF($G$5="撼天",1.05,1)+IF(AND(VLOOKUP($E93,武器奇术!$A:$R,15,FALSE)="武器",VLOOKUP($E93,武器奇术!$A:$R,17,FALSE)="牵丝"),$E$3*(1+$E$15),0)</f>
        <v>490.8</v>
      </c>
      <c r="BZ93" s="102">
        <f>IF(VLOOKUP($E93,武器奇术!$A:$Z,18,FALSE)="叶龙",(CA93-(BY93+CA93)*0.5)*($G$15-0.5)*2+(BY93+CA93)*0.5,(BY93+CA93)*0.5)</f>
        <v>856.3</v>
      </c>
      <c r="CA93" s="102">
        <f>MAX($C$11*IF($G$5="撼天",1.05,1)+IF(AND(VLOOKUP($E93,武器奇术!$A:$R,15,FALSE)="武器",VLOOKUP($E93,武器奇术!$A:$R,17,FALSE)="牵丝"),$E$3*(1+$E$15),0),BY93)</f>
        <v>1221.8</v>
      </c>
      <c r="CB93" s="104">
        <f>IF(($D$11+IF(VLOOKUP($E93,武器奇术!$A:$R,17,FALSE)="牵丝",$D$15,0)-VLOOKUP($F$7,目标属性!$A:$R,6,FALSE))&gt;0,($D$11+IF(VLOOKUP($E93,武器奇术!$A:$R,17,FALSE)="牵丝",$D$15,0)-VLOOKUP($F$7,目标属性!$A:$R,6,FALSE))/200,($D$11+IF(VLOOKUP($E93,武器奇术!$A:$R,17,FALSE)="牵丝",$D$15,0)-VLOOKUP($F$7,目标属性!$A:$R,6,FALSE))/100)</f>
        <v>0.028</v>
      </c>
      <c r="CC93" s="111">
        <f>$E$11+IF($G$5="烟柳",IF(VLOOKUP($E93,武器奇术!$A:$T,20,FALSE)=1,0.1,0),0)</f>
        <v>0.148</v>
      </c>
      <c r="CD93" s="102">
        <v>1</v>
      </c>
      <c r="CE93" s="103">
        <f>BY93*IF(VLOOKUP($E93,武器奇术!$A:$R,17,FALSE)="牵丝",VLOOKUP($E93,武器奇术!$A:$R,4,FALSE),VLOOKUP($E93,武器奇术!$A:$R,2,FALSE))*(1+CB93)*(1+CC93)*CD93</f>
        <v>21893.3294783975</v>
      </c>
      <c r="CF93" s="104">
        <f>(1-IF(VLOOKUP($E93,武器奇术!$A:$R,18,FALSE)="叶龙",1,$N93))*(1-$M93)</f>
        <v>0</v>
      </c>
      <c r="CG93" s="124">
        <f>BZ93*IF(VLOOKUP($E93,武器奇术!$A:$R,17,FALSE)="牵丝",VLOOKUP($E93,武器奇术!$A:$R,4,FALSE),VLOOKUP($E93,武器奇术!$A:$R,2,FALSE))*(1+CB93)*(1+CC93)*CD93*(1+$E$16+VLOOKUP($E93,武器奇术!$A:$R,8,FALSE))</f>
        <v>72345.7756994178</v>
      </c>
      <c r="CH93" s="104">
        <f t="shared" si="25"/>
        <v>0.8703</v>
      </c>
      <c r="CI93" s="103">
        <f>CA93*IF(VLOOKUP($E93,武器奇术!$A:$R,17,FALSE)="牵丝",VLOOKUP($E93,武器奇术!$A:$R,4,FALSE),VLOOKUP($E93,武器奇术!$A:$R,2,FALSE))*(1+CB93)*(1+CC93)*CD93*(1+$E$17+VLOOKUP($E93,武器奇术!$A:$R,10,FALSE))</f>
        <v>73576.8427904506</v>
      </c>
      <c r="CJ93" s="104">
        <f t="shared" si="26"/>
        <v>0.0986</v>
      </c>
      <c r="CK93" s="124">
        <f>BZ93*IF(VLOOKUP($E93,武器奇术!$A:$R,17,FALSE)="牵丝",VLOOKUP($E93,武器奇术!$A:$R,4,FALSE),VLOOKUP($E93,武器奇术!$A:$R,2,FALSE))*(1+CB93)*(1+CC93)*CD93</f>
        <v>38197.3472541805</v>
      </c>
      <c r="CL93" s="104">
        <f t="shared" si="27"/>
        <v>0.0311</v>
      </c>
      <c r="CM93" s="112">
        <f t="shared" si="28"/>
        <v>71405.1427899468</v>
      </c>
      <c r="CN93" s="110">
        <f>$B$13*IF($G$5="撼天",1.05,1)+IF(AND(VLOOKUP($E93,武器奇术!$A:$R,15,FALSE)="武器",VLOOKUP($E93,武器奇术!$A:$R,17,FALSE)="破竹"),$E$3*(1+$E$15),0)</f>
        <v>0</v>
      </c>
      <c r="CO93" s="102">
        <f t="shared" si="29"/>
        <v>0</v>
      </c>
      <c r="CP93" s="102">
        <f>MAX($C$13*IF($G$5="撼天",1.05,1)+IF(AND(VLOOKUP($E93,武器奇术!$A:$R,15,FALSE)="武器",VLOOKUP($E93,武器奇术!$A:$R,17,FALSE)="破竹"),$E$3*(1+$E$15),0),CN93)</f>
        <v>0</v>
      </c>
      <c r="CQ93" s="104">
        <f>IF(($D$13+IF(VLOOKUP($E93,武器奇术!$A:$R,17,FALSE)="破竹",$D$15,0)-VLOOKUP($F$7,目标属性!$A:$R,6,FALSE))&gt;0,($D$13+IF(VLOOKUP($E93,武器奇术!$A:$R,17,FALSE)="破竹",$D$15,0)-VLOOKUP($F$7,目标属性!$A:$R,6,FALSE))/200,($D$13+IF(VLOOKUP($E93,武器奇术!$A:$R,17,FALSE)="破竹",$D$15,0)-VLOOKUP($F$7,目标属性!$A:$R,6,FALSE))/100)</f>
        <v>-0.24</v>
      </c>
      <c r="CR93" s="111">
        <f t="shared" si="30"/>
        <v>0</v>
      </c>
      <c r="CS93" s="102">
        <v>1</v>
      </c>
      <c r="CT93" s="103">
        <f>CN93*IF(VLOOKUP($E93,武器奇术!$A:$R,17,FALSE)="破竹",VLOOKUP($E93,武器奇术!$A:$R,4,FALSE),VLOOKUP($E93,武器奇术!$A:$R,2,FALSE))*(1+CQ93)*(1+CR93)*CS93</f>
        <v>0</v>
      </c>
      <c r="CU93" s="104">
        <f>(1-IF(VLOOKUP($E93,武器奇术!$A:$R,18,FALSE)="叶龙",1,$N93))*(1-$M93)</f>
        <v>0</v>
      </c>
      <c r="CV93" s="103">
        <f>CO93*IF(VLOOKUP($E93,武器奇术!$A:$R,17,FALSE)="破竹",VLOOKUP($E93,武器奇术!$A:$R,4,FALSE),VLOOKUP($E93,武器奇术!$A:$R,2,FALSE))*(1+CQ93)*(1+CR93)*CS93*(1+$E$16+VLOOKUP($E93,武器奇术!$A:$R,8,FALSE))</f>
        <v>0</v>
      </c>
      <c r="CW93" s="104">
        <f t="shared" si="31"/>
        <v>0.8703</v>
      </c>
      <c r="CX93" s="103">
        <f>CP93*IF(VLOOKUP($E93,武器奇术!$A:$R,17,FALSE)="破竹",VLOOKUP($E93,武器奇术!$A:$R,4,FALSE),VLOOKUP($E93,武器奇术!$A:$R,2,FALSE))*(1+CQ93)*(1+CR93)*CS93*(1+$E$17+VLOOKUP($E93,武器奇术!$A:$R,10,FALSE))</f>
        <v>0</v>
      </c>
      <c r="CY93" s="104">
        <f t="shared" si="32"/>
        <v>0.0986</v>
      </c>
      <c r="CZ93" s="103">
        <f>CO93*IF(VLOOKUP($E93,武器奇术!$A:$R,17,FALSE)="破竹",VLOOKUP($E93,武器奇术!$A:$R,4,FALSE),VLOOKUP($E93,武器奇术!$A:$R,2,FALSE))*(1+CQ93)*(1+CR93)*CS93</f>
        <v>0</v>
      </c>
      <c r="DA93" s="104">
        <f t="shared" si="33"/>
        <v>0.0311</v>
      </c>
      <c r="DB93" s="112">
        <f t="shared" si="34"/>
        <v>0</v>
      </c>
      <c r="DC93" s="110">
        <f t="shared" si="35"/>
        <v>66</v>
      </c>
      <c r="DD93" s="102">
        <f t="shared" si="36"/>
        <v>125.8</v>
      </c>
      <c r="DE93" s="102">
        <f t="shared" si="37"/>
        <v>185.6</v>
      </c>
      <c r="DF93" s="104">
        <f>IF((IF(VLOOKUP($E93,武器奇术!$A:$R,17,FALSE)="鸣金",$D$7,0)+IF(VLOOKUP($E93,武器奇术!$A:$R,17,FALSE)="裂石",$D$9,0)+IF(VLOOKUP($E93,武器奇术!$A:$R,17,FALSE)="牵丝",$D$11,0)+IF(VLOOKUP($E93,武器奇术!$A:$R,17,FALSE)="破竹",$D$13,0)+$D$15-VLOOKUP($F$7,目标属性!$A:$R,6,FALSE))&gt;0,(IF(VLOOKUP($E93,武器奇术!$A:$R,17,FALSE)="鸣金",$D$7,0)+IF(VLOOKUP($E93,武器奇术!$A:$R,17,FALSE)="裂石",$D$9,0)+IF(VLOOKUP($E93,武器奇术!$A:$R,17,FALSE)="牵丝",$D$11,0)+IF(VLOOKUP($E93,武器奇术!$A:$R,17,FALSE)="破竹",$D$13,0)+$D$15-VLOOKUP($F$7,目标属性!$A:$R,6,FALSE))/200,(IF(VLOOKUP($E93,武器奇术!$A:$R,17,FALSE)="鸣金",$D$7,0)+IF(VLOOKUP($E93,武器奇术!$A:$R,17,FALSE)="裂石",$D$9,0)+IF(VLOOKUP($E93,武器奇术!$A:$R,17,FALSE)="牵丝",$D$11,0)+IF(VLOOKUP($E93,武器奇术!$A:$R,17,FALSE)="破竹",$D$13,0)+$D$15-VLOOKUP($F$7,目标属性!$A:$R,6,FALSE))/100)</f>
        <v>0.028</v>
      </c>
      <c r="DG93" s="111">
        <f>$E$11+IF($G$5="烟柳",IF(VLOOKUP($E93,武器奇术!$A:$T,20,FALSE)=1,0.1,0),0)</f>
        <v>0.148</v>
      </c>
      <c r="DH93" s="102">
        <v>1</v>
      </c>
      <c r="DI93" s="103">
        <f>DC93*IF(VLOOKUP($E93,武器奇术!$A:$R,17,FALSE)="牵丝",VLOOKUP($E93,武器奇术!$A:$R,4,FALSE),VLOOKUP($E93,武器奇术!$A:$R,2,FALSE))*(1+DF93)*(1+DG93)*DH93</f>
        <v>2944.0907611537</v>
      </c>
      <c r="DJ93" s="104">
        <f>(1-IF(VLOOKUP($E93,武器奇术!$A:$R,18,FALSE)="叶龙",1,$N93))*(1-$M93)</f>
        <v>0</v>
      </c>
      <c r="DK93" s="124">
        <f>DD93*IF(VLOOKUP($E93,武器奇术!$A:$R,17,FALSE)="牵丝",VLOOKUP($E93,武器奇术!$A:$R,4,FALSE),VLOOKUP($E93,武器奇术!$A:$R,2,FALSE))*(1+DF93)*(1+DG93)*DH93*(1+$E$16+VLOOKUP($E93,武器奇术!$A:$R,8,FALSE))</f>
        <v>10628.3996064309</v>
      </c>
      <c r="DL93" s="104">
        <f t="shared" si="38"/>
        <v>0.8703</v>
      </c>
      <c r="DM93" s="103">
        <f>DE93*IF(VLOOKUP($E93,武器奇术!$A:$R,17,FALSE)="牵丝",VLOOKUP($E93,武器奇术!$A:$R,4,FALSE),VLOOKUP($E93,武器奇术!$A:$R,2,FALSE))*(1+DF93)*(1+DG93)*DH93*(1+$E$17+VLOOKUP($E93,武器奇术!$A:$R,10,FALSE))</f>
        <v>11176.839107798</v>
      </c>
      <c r="DN93" s="104">
        <f t="shared" si="39"/>
        <v>0.0986</v>
      </c>
      <c r="DO93" s="124">
        <f>DD93*IF(VLOOKUP($E93,武器奇术!$A:$R,17,FALSE)="牵丝",VLOOKUP($E93,武器奇术!$A:$R,4,FALSE),VLOOKUP($E93,武器奇术!$A:$R,2,FALSE))*(1+DF93)*(1+DG93)*DH93</f>
        <v>5611.61542050205</v>
      </c>
      <c r="DP93" s="104">
        <f t="shared" si="40"/>
        <v>0.0311</v>
      </c>
      <c r="DQ93" s="112">
        <f t="shared" si="41"/>
        <v>10526.4537530833</v>
      </c>
    </row>
    <row r="94" spans="1:121">
      <c r="E94" s="115" t="str">
        <f>期望!E94</f>
        <v>N/A</v>
      </c>
      <c r="F94" s="116">
        <f>期望!F94</f>
        <v>1</v>
      </c>
      <c r="G94" s="117"/>
      <c r="H94" s="103">
        <f>IF(VLOOKUP($E94,武器奇术!$A:$R,18,FALSE)="天工",AE94,(AE94+AT94+BI94+BX94+CM94+DB94+DQ94))*(1+J94)*F94*K94*(1+G94)</f>
        <v>0</v>
      </c>
      <c r="I94" s="104">
        <f t="shared" ref="I94:I103" si="45">H94/$C$30</f>
        <v>0</v>
      </c>
      <c r="J94" s="104">
        <f>$F$3+VLOOKUP($E94,武器奇术!$A:$R,12,FALSE)+VLOOKUP($E94,武器奇术!$A:$R,14,FALSE)*$G$3+$P94</f>
        <v>0.303</v>
      </c>
      <c r="K94" s="105">
        <f>VLOOKUP($E94,武器奇术!$A:$R,11,FALSE)</f>
        <v>1</v>
      </c>
      <c r="L94" s="119">
        <f>IF(VLOOKUP($E94,武器奇术!$A:$R,15,FALSE)="天工",0%,IF($C$17+VLOOKUP($E94,武器奇术!$A:$R,7,FALSE)&gt;80%,80%,$C$17+VLOOKUP($E94,武器奇术!$A:$R,7,FALSE))+IF($C$19&gt;20%,20%,$C$19))</f>
        <v>0.8703</v>
      </c>
      <c r="M94" s="120">
        <f>IF(VLOOKUP($E94,武器奇术!$A:$R,15,FALSE)="天工",0%,IF($C$18+VLOOKUP($E94,武器奇术!$A:$R,9,FALSE)&gt;40%,40%,$C$18+VLOOKUP($E94,武器奇术!$A:$R,9,FALSE))+IF($C$20&gt;10%,10%,$C$20))</f>
        <v>0.0986</v>
      </c>
      <c r="N94" s="121">
        <f>IF(VLOOKUP($E94,武器奇术!$A:$R,15,FALSE)="天工",100%,MIN($C$16,1))</f>
        <v>1</v>
      </c>
      <c r="O94" s="122" t="str">
        <f>VLOOKUP($E94,武器奇术!$A:$R,16,FALSE)</f>
        <v>N/A</v>
      </c>
      <c r="P94" s="123">
        <f t="shared" ref="P94:P103" si="46">VLOOKUP($O94,$B$22:$C$27,2,FALSE)+IF(OR($O94="伞",$O94="扇"),$C$24,0)</f>
        <v>0</v>
      </c>
      <c r="Q94" s="110">
        <f>$B$5*(1+VLOOKUP($E94,武器奇术!$A:$R,5,FALSE))*(1+VLOOKUP($E94,武器奇术!$A:$S,19,FALSE)+IF($G$5="飞隼",0.1,0)+IF($G$5="撼天",0.05,0))-$F$9+IF($J$5="√",160,0)</f>
        <v>2839</v>
      </c>
      <c r="R94" s="102">
        <f>IF(VLOOKUP($E94,武器奇术!$A:$Z,18,FALSE)="叶龙",(S94-(Q94+S94)*0.5)*($G$15-0.5)*2+(Q94+S94)*0.5,(Q94+S94)*0.5)</f>
        <v>2919</v>
      </c>
      <c r="S94" s="102">
        <f>MAX($C$5,$B$5)*(1+VLOOKUP($E94,武器奇术!$A:$R,6,FALSE))*(1+VLOOKUP($E94,武器奇术!$A:$S,19,FALSE)+IF($G$5="飞隼",0.1,0)+IF($G$5="撼天",0.05,0))-$F$9+IF($J$5="√",320,0)</f>
        <v>2999</v>
      </c>
      <c r="T94" s="104">
        <f>IF(($D$5+VLOOKUP($E94,武器奇术!$A:$R,13,FALSE)+IF($I$3="√",10,0)-VLOOKUP($F$7,目标属性!$A:$R,5,FALSE))&gt;0,($D$5+VLOOKUP($E94,武器奇术!$A:$R,13,FALSE)+IF($I$3="√",10,0)-VLOOKUP($F$7,目标属性!$A:$R,5,FALSE))/200,($D$5+VLOOKUP($E94,武器奇术!$A:$R,13,FALSE)+IF($I$3="√",10,0)-VLOOKUP($F$7,目标属性!$A:$R,5,FALSE))/100)</f>
        <v>0.2675</v>
      </c>
      <c r="U94" s="111">
        <f>$E$5+IF($G$5="烟柳",IF(VLOOKUP($E94,武器奇术!$A:$T,20,FALSE)=1,0.1,0),0)</f>
        <v>0</v>
      </c>
      <c r="V94" s="102">
        <v>1</v>
      </c>
      <c r="W94" s="103">
        <f>Q94*VLOOKUP($E94,武器奇术!$A:$R,2,FALSE)*(1+T94)*(1+U94)*V94</f>
        <v>0</v>
      </c>
      <c r="X94" s="104">
        <f>(1-IF(VLOOKUP($E94,武器奇术!$A:$R,18,FALSE)="叶龙",1,$N94))*(1-$M94)</f>
        <v>0</v>
      </c>
      <c r="Y94" s="103">
        <f>R94*VLOOKUP($E94,武器奇术!$A:$R,2,FALSE)*(1+T94)*(1+U94)*V94*(1+$E$16+VLOOKUP($E94,武器奇术!$A:$R,8,FALSE))</f>
        <v>0</v>
      </c>
      <c r="Z94" s="104">
        <f t="shared" ref="Z94:Z103" si="47">IF($L94+$M94&lt;=100%,$N94*$L94,$N94*(1-$M94))</f>
        <v>0.8703</v>
      </c>
      <c r="AA94" s="103">
        <f>S94*VLOOKUP($E94,武器奇术!$A:$R,2,FALSE)*(1+T94)*(1+U94)*V94*(1+$E$17+VLOOKUP($E94,武器奇术!$A:$R,10,FALSE))</f>
        <v>0</v>
      </c>
      <c r="AB94" s="104">
        <f t="shared" ref="AB94:AB103" si="48">$M94</f>
        <v>0.0986</v>
      </c>
      <c r="AC94" s="103">
        <f>R94*VLOOKUP($E94,武器奇术!$A:$R,2,FALSE)*(1+T94)*(1+U94)*V94</f>
        <v>0</v>
      </c>
      <c r="AD94" s="104">
        <f t="shared" ref="AD94:AD103" si="49">MAX((1-X94-Z94-AB94),0)</f>
        <v>0.0311</v>
      </c>
      <c r="AE94" s="112">
        <f t="shared" ref="AE94:AE103" si="50">W94*X94+Y94*Z94+AA94*AB94+AC94*AD94</f>
        <v>0</v>
      </c>
      <c r="AF94" s="113">
        <f>VLOOKUP($E94,武器奇术!$A:$R,3,FALSE)*(1+IF(VLOOKUP($E94,武器奇术!$A:$R,15,FALSE)="武器",$E$15,0))</f>
        <v>0</v>
      </c>
      <c r="AG94" s="103">
        <f t="shared" ref="AG94:AG103" si="51">(AF94+AH94)/2</f>
        <v>0</v>
      </c>
      <c r="AH94" s="103">
        <f>VLOOKUP($E94,武器奇术!$A:$R,3,FALSE)*(1+IF(VLOOKUP($E94,武器奇术!$A:$R,15,FALSE)="武器",$E$15,0))</f>
        <v>0</v>
      </c>
      <c r="AI94" s="104">
        <f>IF(($D$5+VLOOKUP($E94,武器奇术!$A:$R,13,FALSE)+IF($I$3="√",10,0)-VLOOKUP($F$7,目标属性!$A:$R,5,FALSE))&gt;0,($D$5+VLOOKUP($E94,武器奇术!$A:$R,13,FALSE)+IF($I$3="√",10,0)-VLOOKUP($F$7,目标属性!$A:$R,5,FALSE))/200,($D$5+VLOOKUP($E94,武器奇术!$A:$R,13,FALSE)+IF($I$3="√",10,0)-VLOOKUP($F$7,目标属性!$A:$R,5,FALSE))/100)</f>
        <v>0.2675</v>
      </c>
      <c r="AJ94" s="111">
        <f>$E$5+IF($G$5="烟柳",IF(VLOOKUP($E94,武器奇术!$A:$T,20,FALSE)=1,0.1,0),0)</f>
        <v>0</v>
      </c>
      <c r="AK94" s="102">
        <v>1</v>
      </c>
      <c r="AL94" s="103">
        <f t="shared" ref="AL94:AL103" si="52">AF94*(1+AI94)*(1+AJ94)*AK94</f>
        <v>0</v>
      </c>
      <c r="AM94" s="104">
        <f>(1-IF(VLOOKUP($E94,武器奇术!$A:$R,18,FALSE)="叶龙",1,$N94))*(1-$M94)</f>
        <v>0</v>
      </c>
      <c r="AN94" s="103">
        <f>AG94*(1+AI94)*(1+AJ94)*AK94*(1+$E$16+VLOOKUP($E94,武器奇术!$A:$R,8,FALSE))</f>
        <v>0</v>
      </c>
      <c r="AO94" s="104">
        <f t="shared" ref="AO94:AO103" si="53">IF($L94+$M94&lt;=100%,$N94*$L94,$N94*(1-$M94))</f>
        <v>0.8703</v>
      </c>
      <c r="AP94" s="103">
        <f>AH94*(1+AI94)*(1+AJ94)*AK94*(1+$E$17+VLOOKUP($E94,武器奇术!$A:$R,10,FALSE))</f>
        <v>0</v>
      </c>
      <c r="AQ94" s="104">
        <f t="shared" ref="AQ94:AQ103" si="54">$M94</f>
        <v>0.0986</v>
      </c>
      <c r="AR94" s="103">
        <f t="shared" ref="AR94:AR103" si="55">AG94*(1+AI94)*(1+AJ94)*AK94</f>
        <v>0</v>
      </c>
      <c r="AS94" s="104">
        <f t="shared" ref="AS94:AS103" si="56">MAX((1-AM94-AO94-AQ94),0)</f>
        <v>0.0311</v>
      </c>
      <c r="AT94" s="112">
        <f t="shared" ref="AT94:AT103" si="57">AL94*AM94+AN94*AO94+AP94*AQ94+AR94*AS94</f>
        <v>0</v>
      </c>
      <c r="AU94" s="110">
        <f>$B$7*IF($G$5="撼天",1.05,1)+IF(AND(VLOOKUP($E94,武器奇术!$A:$R,15,FALSE)="武器",VLOOKUP($E94,武器奇术!$A:$R,17,FALSE)="鸣金"),$E$3*(1+$E$15),0)</f>
        <v>0</v>
      </c>
      <c r="AV94" s="102">
        <f t="shared" ref="AV94:AV103" si="58">(AU94+AW94)/2</f>
        <v>0</v>
      </c>
      <c r="AW94" s="102">
        <f>MAX($C$7*IF($G$5="撼天",1.05,1)+IF(AND(VLOOKUP($E94,武器奇术!$A:$R,15,FALSE)="武器",VLOOKUP($E94,武器奇术!$A:$R,17,FALSE)="鸣金"),$E$3*(1+$E$15),0),AU94)</f>
        <v>0</v>
      </c>
      <c r="AX94" s="104">
        <f>IF(($D$7+IF(VLOOKUP($E94,武器奇术!$A:$R,17,FALSE)="鸣金",$D$15,0)-VLOOKUP($F$7,目标属性!$A:$R,6,FALSE))&gt;0,($D$7+IF(VLOOKUP($E94,武器奇术!$A:$R,17,FALSE)="鸣金",$D$15,0)-VLOOKUP($F$7,目标属性!$A:$R,6,FALSE))/200,($D$7+IF(VLOOKUP($E94,武器奇术!$A:$R,17,FALSE)="鸣金",$D$15,0)-VLOOKUP($F$7,目标属性!$A:$R,6,FALSE))/100)</f>
        <v>-0.24</v>
      </c>
      <c r="AY94" s="111">
        <f t="shared" ref="AY94:AY103" si="59">$E$7</f>
        <v>0</v>
      </c>
      <c r="AZ94" s="102">
        <v>1</v>
      </c>
      <c r="BA94" s="103">
        <f>AU94*IF(VLOOKUP($E94,武器奇术!$A:$R,17,FALSE)="鸣金",VLOOKUP($E94,武器奇术!$A:$R,4,FALSE),VLOOKUP($E94,武器奇术!$A:$R,2,FALSE))*(1+AX94)*(1+AY94)*AZ94</f>
        <v>0</v>
      </c>
      <c r="BB94" s="104">
        <f>(1-IF(VLOOKUP($E94,武器奇术!$A:$R,18,FALSE)="叶龙",1,$N94))*(1-$M94)</f>
        <v>0</v>
      </c>
      <c r="BC94" s="103">
        <f>AV94*IF(VLOOKUP($E94,武器奇术!$A:$R,17,FALSE)="鸣金",VLOOKUP($E94,武器奇术!$A:$R,4,FALSE),VLOOKUP($E94,武器奇术!$A:$R,2,FALSE))*(1+AX94)*(1+AY94)*AZ94*(1+$E$16+VLOOKUP($E94,武器奇术!$A:$R,8,FALSE))</f>
        <v>0</v>
      </c>
      <c r="BD94" s="104">
        <f t="shared" ref="BD94:BD103" si="60">IF($L94+$M94&lt;=100%,$N94*$L94,$N94*(1-$M94))</f>
        <v>0.8703</v>
      </c>
      <c r="BE94" s="103">
        <f>AW94*IF(VLOOKUP($E94,武器奇术!$A:$R,17,FALSE)="鸣金",VLOOKUP($E94,武器奇术!$A:$R,4,FALSE),VLOOKUP($E94,武器奇术!$A:$R,2,FALSE))*(1+AX94)*(1+AY94)*AZ94*(1+$E$17+VLOOKUP($E94,武器奇术!$A:$R,10,FALSE))</f>
        <v>0</v>
      </c>
      <c r="BF94" s="104">
        <f t="shared" ref="BF94:BF103" si="61">$M94</f>
        <v>0.0986</v>
      </c>
      <c r="BG94" s="103">
        <f>AV94*IF(VLOOKUP($E94,武器奇术!$A:$R,17,FALSE)="鸣金",VLOOKUP($E94,武器奇术!$A:$R,4,FALSE),VLOOKUP($E94,武器奇术!$A:$R,2,FALSE))*(1+AX94)*(1+AY94)*AZ94</f>
        <v>0</v>
      </c>
      <c r="BH94" s="104">
        <f t="shared" ref="BH94:BH103" si="62">MAX((1-BB94-BD94-BF94),0)</f>
        <v>0.0311</v>
      </c>
      <c r="BI94" s="112">
        <f t="shared" ref="BI94:BI103" si="63">BA94*BB94+BC94*BD94+BE94*BF94+BG94*BH94</f>
        <v>0</v>
      </c>
      <c r="BJ94" s="110">
        <f>$B$9*IF($G$5="撼天",1.05,1)+IF(AND(VLOOKUP($E94,武器奇术!$A:$R,15,FALSE)="武器",VLOOKUP($E94,武器奇术!$A:$R,17,FALSE)="裂石"),$E$3*(1+$E$15),0)</f>
        <v>0</v>
      </c>
      <c r="BK94" s="102">
        <f t="shared" ref="BK94:BK103" si="64">(BJ94+BL94)/2</f>
        <v>0</v>
      </c>
      <c r="BL94" s="102">
        <f>MAX($C$9*IF($G$5="撼天",1.05,1)+IF(AND(VLOOKUP($E94,武器奇术!$A:$R,15,FALSE)="武器",VLOOKUP($E94,武器奇术!$A:$R,17,FALSE)="裂石"),$E$3*(1+$E$15),0),BJ94)</f>
        <v>0</v>
      </c>
      <c r="BM94" s="104">
        <f>IF(($D$9+IF(VLOOKUP($E94,武器奇术!$A:$R,17,FALSE)="裂石",$D$15,0)-VLOOKUP($F$7,目标属性!$A:$R,6,FALSE))&gt;0,($D$9+IF(VLOOKUP($E94,武器奇术!$A:$R,17,FALSE)="裂石",$D$15,0)-VLOOKUP($F$7,目标属性!$A:$R,6,FALSE))/200,($D$9+IF(VLOOKUP($E94,武器奇术!$A:$R,17,FALSE)="裂石",$D$15,0)-VLOOKUP($F$7,目标属性!$A:$R,6,FALSE))/100)</f>
        <v>-0.24</v>
      </c>
      <c r="BN94" s="111">
        <f t="shared" ref="BN94:BN103" si="65">$E$9</f>
        <v>0</v>
      </c>
      <c r="BO94" s="102">
        <v>1</v>
      </c>
      <c r="BP94" s="103">
        <f>BJ94*IF(VLOOKUP($E94,武器奇术!$A:$R,17,FALSE)="裂石",VLOOKUP($E94,武器奇术!$A:$R,4,FALSE),VLOOKUP($E94,武器奇术!$A:$R,2,FALSE))*(1+BM94)*(1+BN94)*BO94</f>
        <v>0</v>
      </c>
      <c r="BQ94" s="104">
        <f>(1-IF(VLOOKUP($E94,武器奇术!$A:$R,18,FALSE)="叶龙",1,$N94))*(1-$M94)</f>
        <v>0</v>
      </c>
      <c r="BR94" s="103">
        <f>BK94*IF(VLOOKUP($E94,武器奇术!$A:$R,17,FALSE)="裂石",VLOOKUP($E94,武器奇术!$A:$R,4,FALSE),VLOOKUP($E94,武器奇术!$A:$R,2,FALSE))*(1+BM94)*(1+BN94)*BO94*(1+$E$16+VLOOKUP($E94,武器奇术!$A:$R,8,FALSE))</f>
        <v>0</v>
      </c>
      <c r="BS94" s="104">
        <f t="shared" ref="BS94:BS103" si="66">IF($L94+$M94&lt;=100%,$N94*$L94,$N94*(1-$M94))</f>
        <v>0.8703</v>
      </c>
      <c r="BT94" s="103">
        <f>BL94*IF(VLOOKUP($E94,武器奇术!$A:$R,17,FALSE)="裂石",VLOOKUP($E94,武器奇术!$A:$R,4,FALSE),VLOOKUP($E94,武器奇术!$A:$R,2,FALSE))*(1+BM94)*(1+BN94)*BO94*(1+$E$17+VLOOKUP($E94,武器奇术!$A:$R,10,FALSE))</f>
        <v>0</v>
      </c>
      <c r="BU94" s="104">
        <f t="shared" ref="BU94:BU103" si="67">$M94</f>
        <v>0.0986</v>
      </c>
      <c r="BV94" s="103">
        <f>BK94*IF(VLOOKUP($E94,武器奇术!$A:$R,17,FALSE)="裂石",VLOOKUP($E94,武器奇术!$A:$R,4,FALSE),VLOOKUP($E94,武器奇术!$A:$R,2,FALSE))*(1+BM94)*(1+BN94)*BO94</f>
        <v>0</v>
      </c>
      <c r="BW94" s="104">
        <f t="shared" ref="BW94:BW103" si="68">MAX((1-BQ94-BS94-BU94),0)</f>
        <v>0.0311</v>
      </c>
      <c r="BX94" s="112">
        <f t="shared" ref="BX94:BX103" si="69">BP94*BQ94+BR94*BS94+BT94*BU94+BV94*BW94</f>
        <v>0</v>
      </c>
      <c r="BY94" s="110">
        <f>$B$11*IF($G$5="撼天",1.05,1)+IF(AND(VLOOKUP($E94,武器奇术!$A:$R,15,FALSE)="武器",VLOOKUP($E94,武器奇术!$A:$R,17,FALSE)="牵丝"),$E$3*(1+$E$15),0)</f>
        <v>490.8</v>
      </c>
      <c r="BZ94" s="102">
        <f>IF(VLOOKUP($E94,武器奇术!$A:$Z,18,FALSE)="叶龙",(CA94-(BY94+CA94)*0.5)*($G$15-0.5)*2+(BY94+CA94)*0.5,(BY94+CA94)*0.5)</f>
        <v>856.3</v>
      </c>
      <c r="CA94" s="102">
        <f>MAX($C$11*IF($G$5="撼天",1.05,1)+IF(AND(VLOOKUP($E94,武器奇术!$A:$R,15,FALSE)="武器",VLOOKUP($E94,武器奇术!$A:$R,17,FALSE)="牵丝"),$E$3*(1+$E$15),0),BY94)</f>
        <v>1221.8</v>
      </c>
      <c r="CB94" s="104">
        <f>IF(($D$11+IF(VLOOKUP($E94,武器奇术!$A:$R,17,FALSE)="牵丝",$D$15,0)-VLOOKUP($F$7,目标属性!$A:$R,6,FALSE))&gt;0,($D$11+IF(VLOOKUP($E94,武器奇术!$A:$R,17,FALSE)="牵丝",$D$15,0)-VLOOKUP($F$7,目标属性!$A:$R,6,FALSE))/200,($D$11+IF(VLOOKUP($E94,武器奇术!$A:$R,17,FALSE)="牵丝",$D$15,0)-VLOOKUP($F$7,目标属性!$A:$R,6,FALSE))/100)</f>
        <v>0.028</v>
      </c>
      <c r="CC94" s="111">
        <f>$E$11+IF($G$5="烟柳",IF(VLOOKUP($E94,武器奇术!$A:$T,20,FALSE)=1,0.1,0),0)</f>
        <v>0.148</v>
      </c>
      <c r="CD94" s="102">
        <v>1</v>
      </c>
      <c r="CE94" s="103">
        <f>BY94*IF(VLOOKUP($E94,武器奇术!$A:$R,17,FALSE)="牵丝",VLOOKUP($E94,武器奇术!$A:$R,4,FALSE),VLOOKUP($E94,武器奇术!$A:$R,2,FALSE))*(1+CB94)*(1+CC94)*CD94</f>
        <v>0</v>
      </c>
      <c r="CF94" s="104">
        <f>(1-IF(VLOOKUP($E94,武器奇术!$A:$R,18,FALSE)="叶龙",1,$N94))*(1-$M94)</f>
        <v>0</v>
      </c>
      <c r="CG94" s="124">
        <f>BZ94*IF(VLOOKUP($E94,武器奇术!$A:$R,17,FALSE)="牵丝",VLOOKUP($E94,武器奇术!$A:$R,4,FALSE),VLOOKUP($E94,武器奇术!$A:$R,2,FALSE))*(1+CB94)*(1+CC94)*CD94*(1+$E$16+VLOOKUP($E94,武器奇术!$A:$R,8,FALSE))</f>
        <v>0</v>
      </c>
      <c r="CH94" s="104">
        <f t="shared" ref="CH94:CH103" si="70">IF($L94+$M94&lt;=100%,$N94*$L94,$N94*(1-$M94))</f>
        <v>0.8703</v>
      </c>
      <c r="CI94" s="103">
        <f>CA94*IF(VLOOKUP($E94,武器奇术!$A:$R,17,FALSE)="牵丝",VLOOKUP($E94,武器奇术!$A:$R,4,FALSE),VLOOKUP($E94,武器奇术!$A:$R,2,FALSE))*(1+CB94)*(1+CC94)*CD94*(1+$E$17+VLOOKUP($E94,武器奇术!$A:$R,10,FALSE))</f>
        <v>0</v>
      </c>
      <c r="CJ94" s="104">
        <f t="shared" ref="CJ94:CJ103" si="71">$M94</f>
        <v>0.0986</v>
      </c>
      <c r="CK94" s="124">
        <f>BZ94*IF(VLOOKUP($E94,武器奇术!$A:$R,17,FALSE)="牵丝",VLOOKUP($E94,武器奇术!$A:$R,4,FALSE),VLOOKUP($E94,武器奇术!$A:$R,2,FALSE))*(1+CB94)*(1+CC94)*CD94</f>
        <v>0</v>
      </c>
      <c r="CL94" s="104">
        <f t="shared" ref="CL94:CL103" si="72">MAX((1-CF94-CH94-CJ94),0)</f>
        <v>0.0311</v>
      </c>
      <c r="CM94" s="112">
        <f t="shared" ref="CM94:CM103" si="73">CE94*CF94+CG94*CH94+CI94*CJ94+CK94*CL94</f>
        <v>0</v>
      </c>
      <c r="CN94" s="110">
        <f>$B$13*IF($G$5="撼天",1.05,1)+IF(AND(VLOOKUP($E94,武器奇术!$A:$R,15,FALSE)="武器",VLOOKUP($E94,武器奇术!$A:$R,17,FALSE)="破竹"),$E$3*(1+$E$15),0)</f>
        <v>0</v>
      </c>
      <c r="CO94" s="102">
        <f t="shared" ref="CO94:CO103" si="74">(CN94+CP94)/2</f>
        <v>0</v>
      </c>
      <c r="CP94" s="102">
        <f>MAX($C$13*IF($G$5="撼天",1.05,1)+IF(AND(VLOOKUP($E94,武器奇术!$A:$R,15,FALSE)="武器",VLOOKUP($E94,武器奇术!$A:$R,17,FALSE)="破竹"),$E$3*(1+$E$15),0),CN94)</f>
        <v>0</v>
      </c>
      <c r="CQ94" s="104">
        <f>IF(($D$13+IF(VLOOKUP($E94,武器奇术!$A:$R,17,FALSE)="破竹",$D$15,0)-VLOOKUP($F$7,目标属性!$A:$R,6,FALSE))&gt;0,($D$13+IF(VLOOKUP($E94,武器奇术!$A:$R,17,FALSE)="破竹",$D$15,0)-VLOOKUP($F$7,目标属性!$A:$R,6,FALSE))/200,($D$13+IF(VLOOKUP($E94,武器奇术!$A:$R,17,FALSE)="破竹",$D$15,0)-VLOOKUP($F$7,目标属性!$A:$R,6,FALSE))/100)</f>
        <v>-0.24</v>
      </c>
      <c r="CR94" s="111">
        <f t="shared" ref="CR94:CR103" si="75">$E$13</f>
        <v>0</v>
      </c>
      <c r="CS94" s="102">
        <v>1</v>
      </c>
      <c r="CT94" s="103">
        <f>CN94*IF(VLOOKUP($E94,武器奇术!$A:$R,17,FALSE)="破竹",VLOOKUP($E94,武器奇术!$A:$R,4,FALSE),VLOOKUP($E94,武器奇术!$A:$R,2,FALSE))*(1+CQ94)*(1+CR94)*CS94</f>
        <v>0</v>
      </c>
      <c r="CU94" s="104">
        <f>(1-IF(VLOOKUP($E94,武器奇术!$A:$R,18,FALSE)="叶龙",1,$N94))*(1-$M94)</f>
        <v>0</v>
      </c>
      <c r="CV94" s="103">
        <f>CO94*IF(VLOOKUP($E94,武器奇术!$A:$R,17,FALSE)="破竹",VLOOKUP($E94,武器奇术!$A:$R,4,FALSE),VLOOKUP($E94,武器奇术!$A:$R,2,FALSE))*(1+CQ94)*(1+CR94)*CS94*(1+$E$16+VLOOKUP($E94,武器奇术!$A:$R,8,FALSE))</f>
        <v>0</v>
      </c>
      <c r="CW94" s="104">
        <f t="shared" ref="CW94:CW103" si="76">IF($L94+$M94&lt;=100%,$N94*$L94,$N94*(1-$M94))</f>
        <v>0.8703</v>
      </c>
      <c r="CX94" s="103">
        <f>CP94*IF(VLOOKUP($E94,武器奇术!$A:$R,17,FALSE)="破竹",VLOOKUP($E94,武器奇术!$A:$R,4,FALSE),VLOOKUP($E94,武器奇术!$A:$R,2,FALSE))*(1+CQ94)*(1+CR94)*CS94*(1+$E$17+VLOOKUP($E94,武器奇术!$A:$R,10,FALSE))</f>
        <v>0</v>
      </c>
      <c r="CY94" s="104">
        <f t="shared" ref="CY94:CY103" si="77">$M94</f>
        <v>0.0986</v>
      </c>
      <c r="CZ94" s="103">
        <f>CO94*IF(VLOOKUP($E94,武器奇术!$A:$R,17,FALSE)="破竹",VLOOKUP($E94,武器奇术!$A:$R,4,FALSE),VLOOKUP($E94,武器奇术!$A:$R,2,FALSE))*(1+CQ94)*(1+CR94)*CS94</f>
        <v>0</v>
      </c>
      <c r="DA94" s="104">
        <f t="shared" ref="DA94:DA103" si="78">MAX((1-CU94-CW94-CY94),0)</f>
        <v>0.0311</v>
      </c>
      <c r="DB94" s="112">
        <f t="shared" ref="DB94:DB103" si="79">CT94*CU94+CV94*CW94+CX94*CY94+CZ94*DA94</f>
        <v>0</v>
      </c>
      <c r="DC94" s="110">
        <f t="shared" ref="DC94:DC103" si="80">$B$15*IF($G$5="撼天",1.05,1)</f>
        <v>66</v>
      </c>
      <c r="DD94" s="102">
        <f t="shared" ref="DD94:DD103" si="81">(DC94+DE94)/2</f>
        <v>125.8</v>
      </c>
      <c r="DE94" s="102">
        <f t="shared" ref="DE94:DE103" si="82">$C$15*IF($G$5="撼天",1.05,1)</f>
        <v>185.6</v>
      </c>
      <c r="DF94" s="104">
        <f>IF((IF(VLOOKUP($E94,武器奇术!$A:$R,17,FALSE)="鸣金",$D$7,0)+IF(VLOOKUP($E94,武器奇术!$A:$R,17,FALSE)="裂石",$D$9,0)+IF(VLOOKUP($E94,武器奇术!$A:$R,17,FALSE)="牵丝",$D$11,0)+IF(VLOOKUP($E94,武器奇术!$A:$R,17,FALSE)="破竹",$D$13,0)+$D$15-VLOOKUP($F$7,目标属性!$A:$R,6,FALSE))&gt;0,(IF(VLOOKUP($E94,武器奇术!$A:$R,17,FALSE)="鸣金",$D$7,0)+IF(VLOOKUP($E94,武器奇术!$A:$R,17,FALSE)="裂石",$D$9,0)+IF(VLOOKUP($E94,武器奇术!$A:$R,17,FALSE)="牵丝",$D$11,0)+IF(VLOOKUP($E94,武器奇术!$A:$R,17,FALSE)="破竹",$D$13,0)+$D$15-VLOOKUP($F$7,目标属性!$A:$R,6,FALSE))/200,(IF(VLOOKUP($E94,武器奇术!$A:$R,17,FALSE)="鸣金",$D$7,0)+IF(VLOOKUP($E94,武器奇术!$A:$R,17,FALSE)="裂石",$D$9,0)+IF(VLOOKUP($E94,武器奇术!$A:$R,17,FALSE)="牵丝",$D$11,0)+IF(VLOOKUP($E94,武器奇术!$A:$R,17,FALSE)="破竹",$D$13,0)+$D$15-VLOOKUP($F$7,目标属性!$A:$R,6,FALSE))/100)</f>
        <v>0.028</v>
      </c>
      <c r="DG94" s="111">
        <f>$E$11+IF($G$5="烟柳",IF(VLOOKUP($E94,武器奇术!$A:$T,20,FALSE)=1,0.1,0),0)</f>
        <v>0.148</v>
      </c>
      <c r="DH94" s="102">
        <v>1</v>
      </c>
      <c r="DI94" s="103">
        <f>DC94*IF(VLOOKUP($E94,武器奇术!$A:$R,17,FALSE)="牵丝",VLOOKUP($E94,武器奇术!$A:$R,4,FALSE),VLOOKUP($E94,武器奇术!$A:$R,2,FALSE))*(1+DF94)*(1+DG94)*DH94</f>
        <v>0</v>
      </c>
      <c r="DJ94" s="104">
        <f>(1-IF(VLOOKUP($E94,武器奇术!$A:$R,18,FALSE)="叶龙",1,$N94))*(1-$M94)</f>
        <v>0</v>
      </c>
      <c r="DK94" s="124">
        <f>DD94*IF(VLOOKUP($E94,武器奇术!$A:$R,17,FALSE)="牵丝",VLOOKUP($E94,武器奇术!$A:$R,4,FALSE),VLOOKUP($E94,武器奇术!$A:$R,2,FALSE))*(1+DF94)*(1+DG94)*DH94*(1+$E$16+VLOOKUP($E94,武器奇术!$A:$R,8,FALSE))</f>
        <v>0</v>
      </c>
      <c r="DL94" s="104">
        <f t="shared" ref="DL94:DL103" si="83">IF($L94+$M94&lt;=100%,$N94*$L94,$N94*(1-$M94))</f>
        <v>0.8703</v>
      </c>
      <c r="DM94" s="103">
        <f>DE94*IF(VLOOKUP($E94,武器奇术!$A:$R,17,FALSE)="牵丝",VLOOKUP($E94,武器奇术!$A:$R,4,FALSE),VLOOKUP($E94,武器奇术!$A:$R,2,FALSE))*(1+DF94)*(1+DG94)*DH94*(1+$E$17+VLOOKUP($E94,武器奇术!$A:$R,10,FALSE))</f>
        <v>0</v>
      </c>
      <c r="DN94" s="104">
        <f t="shared" ref="DN94:DN103" si="84">$M94</f>
        <v>0.0986</v>
      </c>
      <c r="DO94" s="124">
        <f>DD94*IF(VLOOKUP($E94,武器奇术!$A:$R,17,FALSE)="牵丝",VLOOKUP($E94,武器奇术!$A:$R,4,FALSE),VLOOKUP($E94,武器奇术!$A:$R,2,FALSE))*(1+DF94)*(1+DG94)*DH94</f>
        <v>0</v>
      </c>
      <c r="DP94" s="104">
        <f t="shared" ref="DP94:DP103" si="85">MAX((1-DJ94-DL94-DN94),0)</f>
        <v>0.0311</v>
      </c>
      <c r="DQ94" s="112">
        <f t="shared" ref="DQ94:DQ103" si="86">DI94*DJ94+DK94*DL94+DM94*DN94+DO94*DP94</f>
        <v>0</v>
      </c>
    </row>
    <row r="95" spans="1:121">
      <c r="E95" s="115" t="str">
        <f>期望!E95</f>
        <v>N/A</v>
      </c>
      <c r="F95" s="116">
        <f>期望!F95</f>
        <v>1</v>
      </c>
      <c r="G95" s="117"/>
      <c r="H95" s="103">
        <f>IF(VLOOKUP($E95,武器奇术!$A:$R,18,FALSE)="天工",AE95,(AE95+AT95+BI95+BX95+CM95+DB95+DQ95))*(1+J95)*F95*K95*(1+G95)</f>
        <v>0</v>
      </c>
      <c r="I95" s="104">
        <f t="shared" si="45"/>
        <v>0</v>
      </c>
      <c r="J95" s="104">
        <f>$F$3+VLOOKUP($E95,武器奇术!$A:$R,12,FALSE)+VLOOKUP($E95,武器奇术!$A:$R,14,FALSE)*$G$3+$P95</f>
        <v>0.303</v>
      </c>
      <c r="K95" s="105">
        <f>VLOOKUP($E95,武器奇术!$A:$R,11,FALSE)</f>
        <v>1</v>
      </c>
      <c r="L95" s="119">
        <f>IF(VLOOKUP($E95,武器奇术!$A:$R,15,FALSE)="天工",0%,IF($C$17+VLOOKUP($E95,武器奇术!$A:$R,7,FALSE)&gt;80%,80%,$C$17+VLOOKUP($E95,武器奇术!$A:$R,7,FALSE))+IF($C$19&gt;20%,20%,$C$19))</f>
        <v>0.8703</v>
      </c>
      <c r="M95" s="120">
        <f>IF(VLOOKUP($E95,武器奇术!$A:$R,15,FALSE)="天工",0%,IF($C$18+VLOOKUP($E95,武器奇术!$A:$R,9,FALSE)&gt;40%,40%,$C$18+VLOOKUP($E95,武器奇术!$A:$R,9,FALSE))+IF($C$20&gt;10%,10%,$C$20))</f>
        <v>0.0986</v>
      </c>
      <c r="N95" s="121">
        <f>IF(VLOOKUP($E95,武器奇术!$A:$R,15,FALSE)="天工",100%,MIN($C$16,1))</f>
        <v>1</v>
      </c>
      <c r="O95" s="122" t="str">
        <f>VLOOKUP($E95,武器奇术!$A:$R,16,FALSE)</f>
        <v>N/A</v>
      </c>
      <c r="P95" s="123">
        <f t="shared" si="46"/>
        <v>0</v>
      </c>
      <c r="Q95" s="110">
        <f>$B$5*(1+VLOOKUP($E95,武器奇术!$A:$R,5,FALSE))*(1+VLOOKUP($E95,武器奇术!$A:$S,19,FALSE)+IF($G$5="飞隼",0.1,0)+IF($G$5="撼天",0.05,0))-$F$9+IF($J$5="√",160,0)</f>
        <v>2839</v>
      </c>
      <c r="R95" s="102">
        <f>IF(VLOOKUP($E95,武器奇术!$A:$Z,18,FALSE)="叶龙",(S95-(Q95+S95)*0.5)*($G$15-0.5)*2+(Q95+S95)*0.5,(Q95+S95)*0.5)</f>
        <v>2919</v>
      </c>
      <c r="S95" s="102">
        <f>MAX($C$5,$B$5)*(1+VLOOKUP($E95,武器奇术!$A:$R,6,FALSE))*(1+VLOOKUP($E95,武器奇术!$A:$S,19,FALSE)+IF($G$5="飞隼",0.1,0)+IF($G$5="撼天",0.05,0))-$F$9+IF($J$5="√",320,0)</f>
        <v>2999</v>
      </c>
      <c r="T95" s="104">
        <f>IF(($D$5+VLOOKUP($E95,武器奇术!$A:$R,13,FALSE)+IF($I$3="√",10,0)-VLOOKUP($F$7,目标属性!$A:$R,5,FALSE))&gt;0,($D$5+VLOOKUP($E95,武器奇术!$A:$R,13,FALSE)+IF($I$3="√",10,0)-VLOOKUP($F$7,目标属性!$A:$R,5,FALSE))/200,($D$5+VLOOKUP($E95,武器奇术!$A:$R,13,FALSE)+IF($I$3="√",10,0)-VLOOKUP($F$7,目标属性!$A:$R,5,FALSE))/100)</f>
        <v>0.2675</v>
      </c>
      <c r="U95" s="111">
        <f>$E$5+IF($G$5="烟柳",IF(VLOOKUP($E95,武器奇术!$A:$T,20,FALSE)=1,0.1,0),0)</f>
        <v>0</v>
      </c>
      <c r="V95" s="102">
        <v>1</v>
      </c>
      <c r="W95" s="103">
        <f>Q95*VLOOKUP($E95,武器奇术!$A:$R,2,FALSE)*(1+T95)*(1+U95)*V95</f>
        <v>0</v>
      </c>
      <c r="X95" s="104">
        <f>(1-IF(VLOOKUP($E95,武器奇术!$A:$R,18,FALSE)="叶龙",1,$N95))*(1-$M95)</f>
        <v>0</v>
      </c>
      <c r="Y95" s="103">
        <f>R95*VLOOKUP($E95,武器奇术!$A:$R,2,FALSE)*(1+T95)*(1+U95)*V95*(1+$E$16+VLOOKUP($E95,武器奇术!$A:$R,8,FALSE))</f>
        <v>0</v>
      </c>
      <c r="Z95" s="104">
        <f t="shared" si="47"/>
        <v>0.8703</v>
      </c>
      <c r="AA95" s="103">
        <f>S95*VLOOKUP($E95,武器奇术!$A:$R,2,FALSE)*(1+T95)*(1+U95)*V95*(1+$E$17+VLOOKUP($E95,武器奇术!$A:$R,10,FALSE))</f>
        <v>0</v>
      </c>
      <c r="AB95" s="104">
        <f t="shared" si="48"/>
        <v>0.0986</v>
      </c>
      <c r="AC95" s="103">
        <f>R95*VLOOKUP($E95,武器奇术!$A:$R,2,FALSE)*(1+T95)*(1+U95)*V95</f>
        <v>0</v>
      </c>
      <c r="AD95" s="104">
        <f t="shared" si="49"/>
        <v>0.0311</v>
      </c>
      <c r="AE95" s="112">
        <f t="shared" si="50"/>
        <v>0</v>
      </c>
      <c r="AF95" s="113">
        <f>VLOOKUP($E95,武器奇术!$A:$R,3,FALSE)*(1+IF(VLOOKUP($E95,武器奇术!$A:$R,15,FALSE)="武器",$E$15,0))</f>
        <v>0</v>
      </c>
      <c r="AG95" s="103">
        <f t="shared" si="51"/>
        <v>0</v>
      </c>
      <c r="AH95" s="103">
        <f>VLOOKUP($E95,武器奇术!$A:$R,3,FALSE)*(1+IF(VLOOKUP($E95,武器奇术!$A:$R,15,FALSE)="武器",$E$15,0))</f>
        <v>0</v>
      </c>
      <c r="AI95" s="104">
        <f>IF(($D$5+VLOOKUP($E95,武器奇术!$A:$R,13,FALSE)+IF($I$3="√",10,0)-VLOOKUP($F$7,目标属性!$A:$R,5,FALSE))&gt;0,($D$5+VLOOKUP($E95,武器奇术!$A:$R,13,FALSE)+IF($I$3="√",10,0)-VLOOKUP($F$7,目标属性!$A:$R,5,FALSE))/200,($D$5+VLOOKUP($E95,武器奇术!$A:$R,13,FALSE)+IF($I$3="√",10,0)-VLOOKUP($F$7,目标属性!$A:$R,5,FALSE))/100)</f>
        <v>0.2675</v>
      </c>
      <c r="AJ95" s="111">
        <f>$E$5+IF($G$5="烟柳",IF(VLOOKUP($E95,武器奇术!$A:$T,20,FALSE)=1,0.1,0),0)</f>
        <v>0</v>
      </c>
      <c r="AK95" s="102">
        <v>1</v>
      </c>
      <c r="AL95" s="103">
        <f t="shared" si="52"/>
        <v>0</v>
      </c>
      <c r="AM95" s="104">
        <f>(1-IF(VLOOKUP($E95,武器奇术!$A:$R,18,FALSE)="叶龙",1,$N95))*(1-$M95)</f>
        <v>0</v>
      </c>
      <c r="AN95" s="103">
        <f>AG95*(1+AI95)*(1+AJ95)*AK95*(1+$E$16+VLOOKUP($E95,武器奇术!$A:$R,8,FALSE))</f>
        <v>0</v>
      </c>
      <c r="AO95" s="104">
        <f t="shared" si="53"/>
        <v>0.8703</v>
      </c>
      <c r="AP95" s="103">
        <f>AH95*(1+AI95)*(1+AJ95)*AK95*(1+$E$17+VLOOKUP($E95,武器奇术!$A:$R,10,FALSE))</f>
        <v>0</v>
      </c>
      <c r="AQ95" s="104">
        <f t="shared" si="54"/>
        <v>0.0986</v>
      </c>
      <c r="AR95" s="103">
        <f t="shared" si="55"/>
        <v>0</v>
      </c>
      <c r="AS95" s="104">
        <f t="shared" si="56"/>
        <v>0.0311</v>
      </c>
      <c r="AT95" s="112">
        <f t="shared" si="57"/>
        <v>0</v>
      </c>
      <c r="AU95" s="110">
        <f>$B$7*IF($G$5="撼天",1.05,1)+IF(AND(VLOOKUP($E95,武器奇术!$A:$R,15,FALSE)="武器",VLOOKUP($E95,武器奇术!$A:$R,17,FALSE)="鸣金"),$E$3*(1+$E$15),0)</f>
        <v>0</v>
      </c>
      <c r="AV95" s="102">
        <f t="shared" si="58"/>
        <v>0</v>
      </c>
      <c r="AW95" s="102">
        <f>MAX($C$7*IF($G$5="撼天",1.05,1)+IF(AND(VLOOKUP($E95,武器奇术!$A:$R,15,FALSE)="武器",VLOOKUP($E95,武器奇术!$A:$R,17,FALSE)="鸣金"),$E$3*(1+$E$15),0),AU95)</f>
        <v>0</v>
      </c>
      <c r="AX95" s="104">
        <f>IF(($D$7+IF(VLOOKUP($E95,武器奇术!$A:$R,17,FALSE)="鸣金",$D$15,0)-VLOOKUP($F$7,目标属性!$A:$R,6,FALSE))&gt;0,($D$7+IF(VLOOKUP($E95,武器奇术!$A:$R,17,FALSE)="鸣金",$D$15,0)-VLOOKUP($F$7,目标属性!$A:$R,6,FALSE))/200,($D$7+IF(VLOOKUP($E95,武器奇术!$A:$R,17,FALSE)="鸣金",$D$15,0)-VLOOKUP($F$7,目标属性!$A:$R,6,FALSE))/100)</f>
        <v>-0.24</v>
      </c>
      <c r="AY95" s="111">
        <f t="shared" si="59"/>
        <v>0</v>
      </c>
      <c r="AZ95" s="102">
        <v>1</v>
      </c>
      <c r="BA95" s="103">
        <f>AU95*IF(VLOOKUP($E95,武器奇术!$A:$R,17,FALSE)="鸣金",VLOOKUP($E95,武器奇术!$A:$R,4,FALSE),VLOOKUP($E95,武器奇术!$A:$R,2,FALSE))*(1+AX95)*(1+AY95)*AZ95</f>
        <v>0</v>
      </c>
      <c r="BB95" s="104">
        <f>(1-IF(VLOOKUP($E95,武器奇术!$A:$R,18,FALSE)="叶龙",1,$N95))*(1-$M95)</f>
        <v>0</v>
      </c>
      <c r="BC95" s="103">
        <f>AV95*IF(VLOOKUP($E95,武器奇术!$A:$R,17,FALSE)="鸣金",VLOOKUP($E95,武器奇术!$A:$R,4,FALSE),VLOOKUP($E95,武器奇术!$A:$R,2,FALSE))*(1+AX95)*(1+AY95)*AZ95*(1+$E$16+VLOOKUP($E95,武器奇术!$A:$R,8,FALSE))</f>
        <v>0</v>
      </c>
      <c r="BD95" s="104">
        <f t="shared" si="60"/>
        <v>0.8703</v>
      </c>
      <c r="BE95" s="103">
        <f>AW95*IF(VLOOKUP($E95,武器奇术!$A:$R,17,FALSE)="鸣金",VLOOKUP($E95,武器奇术!$A:$R,4,FALSE),VLOOKUP($E95,武器奇术!$A:$R,2,FALSE))*(1+AX95)*(1+AY95)*AZ95*(1+$E$17+VLOOKUP($E95,武器奇术!$A:$R,10,FALSE))</f>
        <v>0</v>
      </c>
      <c r="BF95" s="104">
        <f t="shared" si="61"/>
        <v>0.0986</v>
      </c>
      <c r="BG95" s="103">
        <f>AV95*IF(VLOOKUP($E95,武器奇术!$A:$R,17,FALSE)="鸣金",VLOOKUP($E95,武器奇术!$A:$R,4,FALSE),VLOOKUP($E95,武器奇术!$A:$R,2,FALSE))*(1+AX95)*(1+AY95)*AZ95</f>
        <v>0</v>
      </c>
      <c r="BH95" s="104">
        <f t="shared" si="62"/>
        <v>0.0311</v>
      </c>
      <c r="BI95" s="112">
        <f t="shared" si="63"/>
        <v>0</v>
      </c>
      <c r="BJ95" s="110">
        <f>$B$9*IF($G$5="撼天",1.05,1)+IF(AND(VLOOKUP($E95,武器奇术!$A:$R,15,FALSE)="武器",VLOOKUP($E95,武器奇术!$A:$R,17,FALSE)="裂石"),$E$3*(1+$E$15),0)</f>
        <v>0</v>
      </c>
      <c r="BK95" s="102">
        <f t="shared" si="64"/>
        <v>0</v>
      </c>
      <c r="BL95" s="102">
        <f>MAX($C$9*IF($G$5="撼天",1.05,1)+IF(AND(VLOOKUP($E95,武器奇术!$A:$R,15,FALSE)="武器",VLOOKUP($E95,武器奇术!$A:$R,17,FALSE)="裂石"),$E$3*(1+$E$15),0),BJ95)</f>
        <v>0</v>
      </c>
      <c r="BM95" s="104">
        <f>IF(($D$9+IF(VLOOKUP($E95,武器奇术!$A:$R,17,FALSE)="裂石",$D$15,0)-VLOOKUP($F$7,目标属性!$A:$R,6,FALSE))&gt;0,($D$9+IF(VLOOKUP($E95,武器奇术!$A:$R,17,FALSE)="裂石",$D$15,0)-VLOOKUP($F$7,目标属性!$A:$R,6,FALSE))/200,($D$9+IF(VLOOKUP($E95,武器奇术!$A:$R,17,FALSE)="裂石",$D$15,0)-VLOOKUP($F$7,目标属性!$A:$R,6,FALSE))/100)</f>
        <v>-0.24</v>
      </c>
      <c r="BN95" s="111">
        <f t="shared" si="65"/>
        <v>0</v>
      </c>
      <c r="BO95" s="102">
        <v>1</v>
      </c>
      <c r="BP95" s="103">
        <f>BJ95*IF(VLOOKUP($E95,武器奇术!$A:$R,17,FALSE)="裂石",VLOOKUP($E95,武器奇术!$A:$R,4,FALSE),VLOOKUP($E95,武器奇术!$A:$R,2,FALSE))*(1+BM95)*(1+BN95)*BO95</f>
        <v>0</v>
      </c>
      <c r="BQ95" s="104">
        <f>(1-IF(VLOOKUP($E95,武器奇术!$A:$R,18,FALSE)="叶龙",1,$N95))*(1-$M95)</f>
        <v>0</v>
      </c>
      <c r="BR95" s="103">
        <f>BK95*IF(VLOOKUP($E95,武器奇术!$A:$R,17,FALSE)="裂石",VLOOKUP($E95,武器奇术!$A:$R,4,FALSE),VLOOKUP($E95,武器奇术!$A:$R,2,FALSE))*(1+BM95)*(1+BN95)*BO95*(1+$E$16+VLOOKUP($E95,武器奇术!$A:$R,8,FALSE))</f>
        <v>0</v>
      </c>
      <c r="BS95" s="104">
        <f t="shared" si="66"/>
        <v>0.8703</v>
      </c>
      <c r="BT95" s="103">
        <f>BL95*IF(VLOOKUP($E95,武器奇术!$A:$R,17,FALSE)="裂石",VLOOKUP($E95,武器奇术!$A:$R,4,FALSE),VLOOKUP($E95,武器奇术!$A:$R,2,FALSE))*(1+BM95)*(1+BN95)*BO95*(1+$E$17+VLOOKUP($E95,武器奇术!$A:$R,10,FALSE))</f>
        <v>0</v>
      </c>
      <c r="BU95" s="104">
        <f t="shared" si="67"/>
        <v>0.0986</v>
      </c>
      <c r="BV95" s="103">
        <f>BK95*IF(VLOOKUP($E95,武器奇术!$A:$R,17,FALSE)="裂石",VLOOKUP($E95,武器奇术!$A:$R,4,FALSE),VLOOKUP($E95,武器奇术!$A:$R,2,FALSE))*(1+BM95)*(1+BN95)*BO95</f>
        <v>0</v>
      </c>
      <c r="BW95" s="104">
        <f t="shared" si="68"/>
        <v>0.0311</v>
      </c>
      <c r="BX95" s="112">
        <f t="shared" si="69"/>
        <v>0</v>
      </c>
      <c r="BY95" s="110">
        <f>$B$11*IF($G$5="撼天",1.05,1)+IF(AND(VLOOKUP($E95,武器奇术!$A:$R,15,FALSE)="武器",VLOOKUP($E95,武器奇术!$A:$R,17,FALSE)="牵丝"),$E$3*(1+$E$15),0)</f>
        <v>490.8</v>
      </c>
      <c r="BZ95" s="102">
        <f>IF(VLOOKUP($E95,武器奇术!$A:$Z,18,FALSE)="叶龙",(CA95-(BY95+CA95)*0.5)*($G$15-0.5)*2+(BY95+CA95)*0.5,(BY95+CA95)*0.5)</f>
        <v>856.3</v>
      </c>
      <c r="CA95" s="102">
        <f>MAX($C$11*IF($G$5="撼天",1.05,1)+IF(AND(VLOOKUP($E95,武器奇术!$A:$R,15,FALSE)="武器",VLOOKUP($E95,武器奇术!$A:$R,17,FALSE)="牵丝"),$E$3*(1+$E$15),0),BY95)</f>
        <v>1221.8</v>
      </c>
      <c r="CB95" s="104">
        <f>IF(($D$11+IF(VLOOKUP($E95,武器奇术!$A:$R,17,FALSE)="牵丝",$D$15,0)-VLOOKUP($F$7,目标属性!$A:$R,6,FALSE))&gt;0,($D$11+IF(VLOOKUP($E95,武器奇术!$A:$R,17,FALSE)="牵丝",$D$15,0)-VLOOKUP($F$7,目标属性!$A:$R,6,FALSE))/200,($D$11+IF(VLOOKUP($E95,武器奇术!$A:$R,17,FALSE)="牵丝",$D$15,0)-VLOOKUP($F$7,目标属性!$A:$R,6,FALSE))/100)</f>
        <v>0.028</v>
      </c>
      <c r="CC95" s="111">
        <f>$E$11+IF($G$5="烟柳",IF(VLOOKUP($E95,武器奇术!$A:$T,20,FALSE)=1,0.1,0),0)</f>
        <v>0.148</v>
      </c>
      <c r="CD95" s="102">
        <v>1</v>
      </c>
      <c r="CE95" s="103">
        <f>BY95*IF(VLOOKUP($E95,武器奇术!$A:$R,17,FALSE)="牵丝",VLOOKUP($E95,武器奇术!$A:$R,4,FALSE),VLOOKUP($E95,武器奇术!$A:$R,2,FALSE))*(1+CB95)*(1+CC95)*CD95</f>
        <v>0</v>
      </c>
      <c r="CF95" s="104">
        <f>(1-IF(VLOOKUP($E95,武器奇术!$A:$R,18,FALSE)="叶龙",1,$N95))*(1-$M95)</f>
        <v>0</v>
      </c>
      <c r="CG95" s="124">
        <f>BZ95*IF(VLOOKUP($E95,武器奇术!$A:$R,17,FALSE)="牵丝",VLOOKUP($E95,武器奇术!$A:$R,4,FALSE),VLOOKUP($E95,武器奇术!$A:$R,2,FALSE))*(1+CB95)*(1+CC95)*CD95*(1+$E$16+VLOOKUP($E95,武器奇术!$A:$R,8,FALSE))</f>
        <v>0</v>
      </c>
      <c r="CH95" s="104">
        <f t="shared" si="70"/>
        <v>0.8703</v>
      </c>
      <c r="CI95" s="103">
        <f>CA95*IF(VLOOKUP($E95,武器奇术!$A:$R,17,FALSE)="牵丝",VLOOKUP($E95,武器奇术!$A:$R,4,FALSE),VLOOKUP($E95,武器奇术!$A:$R,2,FALSE))*(1+CB95)*(1+CC95)*CD95*(1+$E$17+VLOOKUP($E95,武器奇术!$A:$R,10,FALSE))</f>
        <v>0</v>
      </c>
      <c r="CJ95" s="104">
        <f t="shared" si="71"/>
        <v>0.0986</v>
      </c>
      <c r="CK95" s="124">
        <f>BZ95*IF(VLOOKUP($E95,武器奇术!$A:$R,17,FALSE)="牵丝",VLOOKUP($E95,武器奇术!$A:$R,4,FALSE),VLOOKUP($E95,武器奇术!$A:$R,2,FALSE))*(1+CB95)*(1+CC95)*CD95</f>
        <v>0</v>
      </c>
      <c r="CL95" s="104">
        <f t="shared" si="72"/>
        <v>0.0311</v>
      </c>
      <c r="CM95" s="112">
        <f t="shared" si="73"/>
        <v>0</v>
      </c>
      <c r="CN95" s="110">
        <f>$B$13*IF($G$5="撼天",1.05,1)+IF(AND(VLOOKUP($E95,武器奇术!$A:$R,15,FALSE)="武器",VLOOKUP($E95,武器奇术!$A:$R,17,FALSE)="破竹"),$E$3*(1+$E$15),0)</f>
        <v>0</v>
      </c>
      <c r="CO95" s="102">
        <f t="shared" si="74"/>
        <v>0</v>
      </c>
      <c r="CP95" s="102">
        <f>MAX($C$13*IF($G$5="撼天",1.05,1)+IF(AND(VLOOKUP($E95,武器奇术!$A:$R,15,FALSE)="武器",VLOOKUP($E95,武器奇术!$A:$R,17,FALSE)="破竹"),$E$3*(1+$E$15),0),CN95)</f>
        <v>0</v>
      </c>
      <c r="CQ95" s="104">
        <f>IF(($D$13+IF(VLOOKUP($E95,武器奇术!$A:$R,17,FALSE)="破竹",$D$15,0)-VLOOKUP($F$7,目标属性!$A:$R,6,FALSE))&gt;0,($D$13+IF(VLOOKUP($E95,武器奇术!$A:$R,17,FALSE)="破竹",$D$15,0)-VLOOKUP($F$7,目标属性!$A:$R,6,FALSE))/200,($D$13+IF(VLOOKUP($E95,武器奇术!$A:$R,17,FALSE)="破竹",$D$15,0)-VLOOKUP($F$7,目标属性!$A:$R,6,FALSE))/100)</f>
        <v>-0.24</v>
      </c>
      <c r="CR95" s="111">
        <f t="shared" si="75"/>
        <v>0</v>
      </c>
      <c r="CS95" s="102">
        <v>1</v>
      </c>
      <c r="CT95" s="103">
        <f>CN95*IF(VLOOKUP($E95,武器奇术!$A:$R,17,FALSE)="破竹",VLOOKUP($E95,武器奇术!$A:$R,4,FALSE),VLOOKUP($E95,武器奇术!$A:$R,2,FALSE))*(1+CQ95)*(1+CR95)*CS95</f>
        <v>0</v>
      </c>
      <c r="CU95" s="104">
        <f>(1-IF(VLOOKUP($E95,武器奇术!$A:$R,18,FALSE)="叶龙",1,$N95))*(1-$M95)</f>
        <v>0</v>
      </c>
      <c r="CV95" s="103">
        <f>CO95*IF(VLOOKUP($E95,武器奇术!$A:$R,17,FALSE)="破竹",VLOOKUP($E95,武器奇术!$A:$R,4,FALSE),VLOOKUP($E95,武器奇术!$A:$R,2,FALSE))*(1+CQ95)*(1+CR95)*CS95*(1+$E$16+VLOOKUP($E95,武器奇术!$A:$R,8,FALSE))</f>
        <v>0</v>
      </c>
      <c r="CW95" s="104">
        <f t="shared" si="76"/>
        <v>0.8703</v>
      </c>
      <c r="CX95" s="103">
        <f>CP95*IF(VLOOKUP($E95,武器奇术!$A:$R,17,FALSE)="破竹",VLOOKUP($E95,武器奇术!$A:$R,4,FALSE),VLOOKUP($E95,武器奇术!$A:$R,2,FALSE))*(1+CQ95)*(1+CR95)*CS95*(1+$E$17+VLOOKUP($E95,武器奇术!$A:$R,10,FALSE))</f>
        <v>0</v>
      </c>
      <c r="CY95" s="104">
        <f t="shared" si="77"/>
        <v>0.0986</v>
      </c>
      <c r="CZ95" s="103">
        <f>CO95*IF(VLOOKUP($E95,武器奇术!$A:$R,17,FALSE)="破竹",VLOOKUP($E95,武器奇术!$A:$R,4,FALSE),VLOOKUP($E95,武器奇术!$A:$R,2,FALSE))*(1+CQ95)*(1+CR95)*CS95</f>
        <v>0</v>
      </c>
      <c r="DA95" s="104">
        <f t="shared" si="78"/>
        <v>0.0311</v>
      </c>
      <c r="DB95" s="112">
        <f t="shared" si="79"/>
        <v>0</v>
      </c>
      <c r="DC95" s="110">
        <f t="shared" si="80"/>
        <v>66</v>
      </c>
      <c r="DD95" s="102">
        <f t="shared" si="81"/>
        <v>125.8</v>
      </c>
      <c r="DE95" s="102">
        <f t="shared" si="82"/>
        <v>185.6</v>
      </c>
      <c r="DF95" s="104">
        <f>IF((IF(VLOOKUP($E95,武器奇术!$A:$R,17,FALSE)="鸣金",$D$7,0)+IF(VLOOKUP($E95,武器奇术!$A:$R,17,FALSE)="裂石",$D$9,0)+IF(VLOOKUP($E95,武器奇术!$A:$R,17,FALSE)="牵丝",$D$11,0)+IF(VLOOKUP($E95,武器奇术!$A:$R,17,FALSE)="破竹",$D$13,0)+$D$15-VLOOKUP($F$7,目标属性!$A:$R,6,FALSE))&gt;0,(IF(VLOOKUP($E95,武器奇术!$A:$R,17,FALSE)="鸣金",$D$7,0)+IF(VLOOKUP($E95,武器奇术!$A:$R,17,FALSE)="裂石",$D$9,0)+IF(VLOOKUP($E95,武器奇术!$A:$R,17,FALSE)="牵丝",$D$11,0)+IF(VLOOKUP($E95,武器奇术!$A:$R,17,FALSE)="破竹",$D$13,0)+$D$15-VLOOKUP($F$7,目标属性!$A:$R,6,FALSE))/200,(IF(VLOOKUP($E95,武器奇术!$A:$R,17,FALSE)="鸣金",$D$7,0)+IF(VLOOKUP($E95,武器奇术!$A:$R,17,FALSE)="裂石",$D$9,0)+IF(VLOOKUP($E95,武器奇术!$A:$R,17,FALSE)="牵丝",$D$11,0)+IF(VLOOKUP($E95,武器奇术!$A:$R,17,FALSE)="破竹",$D$13,0)+$D$15-VLOOKUP($F$7,目标属性!$A:$R,6,FALSE))/100)</f>
        <v>0.028</v>
      </c>
      <c r="DG95" s="111">
        <f>$E$11+IF($G$5="烟柳",IF(VLOOKUP($E95,武器奇术!$A:$T,20,FALSE)=1,0.1,0),0)</f>
        <v>0.148</v>
      </c>
      <c r="DH95" s="102">
        <v>1</v>
      </c>
      <c r="DI95" s="103">
        <f>DC95*IF(VLOOKUP($E95,武器奇术!$A:$R,17,FALSE)="牵丝",VLOOKUP($E95,武器奇术!$A:$R,4,FALSE),VLOOKUP($E95,武器奇术!$A:$R,2,FALSE))*(1+DF95)*(1+DG95)*DH95</f>
        <v>0</v>
      </c>
      <c r="DJ95" s="104">
        <f>(1-IF(VLOOKUP($E95,武器奇术!$A:$R,18,FALSE)="叶龙",1,$N95))*(1-$M95)</f>
        <v>0</v>
      </c>
      <c r="DK95" s="124">
        <f>DD95*IF(VLOOKUP($E95,武器奇术!$A:$R,17,FALSE)="牵丝",VLOOKUP($E95,武器奇术!$A:$R,4,FALSE),VLOOKUP($E95,武器奇术!$A:$R,2,FALSE))*(1+DF95)*(1+DG95)*DH95*(1+$E$16+VLOOKUP($E95,武器奇术!$A:$R,8,FALSE))</f>
        <v>0</v>
      </c>
      <c r="DL95" s="104">
        <f t="shared" si="83"/>
        <v>0.8703</v>
      </c>
      <c r="DM95" s="103">
        <f>DE95*IF(VLOOKUP($E95,武器奇术!$A:$R,17,FALSE)="牵丝",VLOOKUP($E95,武器奇术!$A:$R,4,FALSE),VLOOKUP($E95,武器奇术!$A:$R,2,FALSE))*(1+DF95)*(1+DG95)*DH95*(1+$E$17+VLOOKUP($E95,武器奇术!$A:$R,10,FALSE))</f>
        <v>0</v>
      </c>
      <c r="DN95" s="104">
        <f t="shared" si="84"/>
        <v>0.0986</v>
      </c>
      <c r="DO95" s="124">
        <f>DD95*IF(VLOOKUP($E95,武器奇术!$A:$R,17,FALSE)="牵丝",VLOOKUP($E95,武器奇术!$A:$R,4,FALSE),VLOOKUP($E95,武器奇术!$A:$R,2,FALSE))*(1+DF95)*(1+DG95)*DH95</f>
        <v>0</v>
      </c>
      <c r="DP95" s="104">
        <f t="shared" si="85"/>
        <v>0.0311</v>
      </c>
      <c r="DQ95" s="112">
        <f t="shared" si="86"/>
        <v>0</v>
      </c>
    </row>
    <row r="96" spans="1:121">
      <c r="E96" s="115" t="str">
        <f>期望!E96</f>
        <v>易水歌6重</v>
      </c>
      <c r="F96" s="116">
        <f>期望!F96</f>
        <v>1</v>
      </c>
      <c r="G96" s="117"/>
      <c r="H96" s="103">
        <f>IF(VLOOKUP($E96,武器奇术!$A:$R,18,FALSE)="天工",AE96,(AE96+AT96+BI96+BX96+CM96+DB96+DQ96))*(1+J96)*F96*K96*(1+G96)</f>
        <v>10594.117830815</v>
      </c>
      <c r="I96" s="104">
        <f t="shared" si="45"/>
        <v>0.00122097163367587</v>
      </c>
      <c r="J96" s="118">
        <f>$F$3+VLOOKUP($E96,武器奇术!$A:$R,12,FALSE)+VLOOKUP($E96,武器奇术!$A:$R,14,FALSE)*$G$3+$P96+IF($F$21="√",5%,0)</f>
        <v>0.353</v>
      </c>
      <c r="K96" s="105">
        <f>VLOOKUP($E96,武器奇术!$A:$R,11,FALSE)</f>
        <v>1</v>
      </c>
      <c r="L96" s="119">
        <f>IF(VLOOKUP($E96,武器奇术!$A:$R,15,FALSE)="天工",0%,IF($C$17+VLOOKUP($E96,武器奇术!$A:$R,7,FALSE)&gt;80%,80%,$C$17+VLOOKUP($E96,武器奇术!$A:$R,7,FALSE))+IF($C$19&gt;20%,20%,$C$19))</f>
        <v>0.8703</v>
      </c>
      <c r="M96" s="120">
        <f>IF(VLOOKUP($E96,武器奇术!$A:$R,15,FALSE)="天工",0%,IF($C$18+VLOOKUP($E96,武器奇术!$A:$R,9,FALSE)&gt;40%,40%,$C$18+VLOOKUP($E96,武器奇术!$A:$R,9,FALSE))+IF($C$20&gt;10%,10%,$C$20))</f>
        <v>0.0986</v>
      </c>
      <c r="N96" s="121">
        <f>IF(VLOOKUP($E96,武器奇术!$A:$R,15,FALSE)="天工",100%,MIN($C$16,1))</f>
        <v>1</v>
      </c>
      <c r="O96" s="122" t="str">
        <f>VLOOKUP($E96,武器奇术!$A:$R,16,FALSE)</f>
        <v>N/A</v>
      </c>
      <c r="P96" s="123">
        <f t="shared" si="46"/>
        <v>0</v>
      </c>
      <c r="Q96" s="110">
        <f>$B$5*(1+VLOOKUP($E96,武器奇术!$A:$R,5,FALSE))*(1+VLOOKUP($E96,武器奇术!$A:$S,19,FALSE)+IF($G$5="飞隼",0.1,0)+IF($G$5="撼天",0.05,0))-$F$9+IF($J$5="√",160,0)</f>
        <v>2839</v>
      </c>
      <c r="R96" s="102">
        <f>IF(VLOOKUP($E96,武器奇术!$A:$Z,18,FALSE)="叶龙",(S96-(Q96+S96)*0.5)*($G$15-0.5)*2+(Q96+S96)*0.5,(Q96+S96)*0.5)</f>
        <v>2919</v>
      </c>
      <c r="S96" s="102">
        <f>MAX($C$5,$B$5)*(1+VLOOKUP($E96,武器奇术!$A:$R,6,FALSE))*(1+VLOOKUP($E96,武器奇术!$A:$S,19,FALSE)+IF($G$5="飞隼",0.1,0)+IF($G$5="撼天",0.05,0))-$F$9+IF($J$5="√",320,0)</f>
        <v>2999</v>
      </c>
      <c r="T96" s="104">
        <f>IF(($D$5+VLOOKUP($E96,武器奇术!$A:$R,13,FALSE)+IF($I$3="√",10,0)-VLOOKUP($F$7,目标属性!$A:$R,5,FALSE))&gt;0,($D$5+VLOOKUP($E96,武器奇术!$A:$R,13,FALSE)+IF($I$3="√",10,0)-VLOOKUP($F$7,目标属性!$A:$R,5,FALSE))/200,($D$5+VLOOKUP($E96,武器奇术!$A:$R,13,FALSE)+IF($I$3="√",10,0)-VLOOKUP($F$7,目标属性!$A:$R,5,FALSE))/100)</f>
        <v>0.2675</v>
      </c>
      <c r="U96" s="111">
        <f>$E$5+IF($G$5="烟柳",IF(VLOOKUP($E96,武器奇术!$A:$T,20,FALSE)=1,0.1,0),0)</f>
        <v>0</v>
      </c>
      <c r="V96" s="102">
        <v>1</v>
      </c>
      <c r="W96" s="103">
        <f>Q96*VLOOKUP($E96,武器奇术!$A:$R,2,FALSE)*(1+T96)*(1+U96)*V96</f>
        <v>3598.4325</v>
      </c>
      <c r="X96" s="104">
        <f>(1-IF(VLOOKUP($E96,武器奇术!$A:$R,18,FALSE)="叶龙",1,$N96))*(1-$M96)</f>
        <v>0</v>
      </c>
      <c r="Y96" s="103">
        <f>R96*VLOOKUP($E96,武器奇术!$A:$R,2,FALSE)*(1+T96)*(1+U96)*V96*(1+$E$16+VLOOKUP($E96,武器奇术!$A:$R,8,FALSE))</f>
        <v>6082.52463</v>
      </c>
      <c r="Z96" s="104">
        <f t="shared" si="47"/>
        <v>0.8703</v>
      </c>
      <c r="AA96" s="103">
        <f>S96*VLOOKUP($E96,武器奇术!$A:$R,2,FALSE)*(1+T96)*(1+U96)*V96*(1+$E$17+VLOOKUP($E96,武器奇术!$A:$R,10,FALSE))</f>
        <v>5131.663875</v>
      </c>
      <c r="AB96" s="104">
        <f t="shared" si="48"/>
        <v>0.0986</v>
      </c>
      <c r="AC96" s="103">
        <f>R96*VLOOKUP($E96,武器奇术!$A:$R,2,FALSE)*(1+T96)*(1+U96)*V96</f>
        <v>3699.8325</v>
      </c>
      <c r="AD96" s="104">
        <f t="shared" si="49"/>
        <v>0.0311</v>
      </c>
      <c r="AE96" s="112">
        <f t="shared" si="50"/>
        <v>5914.668034314</v>
      </c>
      <c r="AF96" s="113">
        <f>VLOOKUP($E96,武器奇术!$A:$R,3,FALSE)*(1+IF(VLOOKUP($E96,武器奇术!$A:$R,15,FALSE)="武器",$E$15,0))</f>
        <v>0</v>
      </c>
      <c r="AG96" s="103">
        <f t="shared" si="51"/>
        <v>0</v>
      </c>
      <c r="AH96" s="103">
        <f>VLOOKUP($E96,武器奇术!$A:$R,3,FALSE)*(1+IF(VLOOKUP($E96,武器奇术!$A:$R,15,FALSE)="武器",$E$15,0))</f>
        <v>0</v>
      </c>
      <c r="AI96" s="104">
        <f>IF(($D$5+VLOOKUP($E96,武器奇术!$A:$R,13,FALSE)+IF($I$3="√",10,0)-VLOOKUP($F$7,目标属性!$A:$R,5,FALSE))&gt;0,($D$5+VLOOKUP($E96,武器奇术!$A:$R,13,FALSE)+IF($I$3="√",10,0)-VLOOKUP($F$7,目标属性!$A:$R,5,FALSE))/200,($D$5+VLOOKUP($E96,武器奇术!$A:$R,13,FALSE)+IF($I$3="√",10,0)-VLOOKUP($F$7,目标属性!$A:$R,5,FALSE))/100)</f>
        <v>0.2675</v>
      </c>
      <c r="AJ96" s="111">
        <f>$E$5+IF($G$5="烟柳",IF(VLOOKUP($E96,武器奇术!$A:$T,20,FALSE)=1,0.1,0),0)</f>
        <v>0</v>
      </c>
      <c r="AK96" s="102">
        <v>1</v>
      </c>
      <c r="AL96" s="103">
        <f t="shared" si="52"/>
        <v>0</v>
      </c>
      <c r="AM96" s="104">
        <f>(1-IF(VLOOKUP($E96,武器奇术!$A:$R,18,FALSE)="叶龙",1,$N96))*(1-$M96)</f>
        <v>0</v>
      </c>
      <c r="AN96" s="103">
        <f>AG96*(1+AI96)*(1+AJ96)*AK96*(1+$E$16+VLOOKUP($E96,武器奇术!$A:$R,8,FALSE))</f>
        <v>0</v>
      </c>
      <c r="AO96" s="104">
        <f t="shared" si="53"/>
        <v>0.8703</v>
      </c>
      <c r="AP96" s="103">
        <f>AH96*(1+AI96)*(1+AJ96)*AK96*(1+$E$17+VLOOKUP($E96,武器奇术!$A:$R,10,FALSE))</f>
        <v>0</v>
      </c>
      <c r="AQ96" s="104">
        <f t="shared" si="54"/>
        <v>0.0986</v>
      </c>
      <c r="AR96" s="103">
        <f t="shared" si="55"/>
        <v>0</v>
      </c>
      <c r="AS96" s="104">
        <f t="shared" si="56"/>
        <v>0.0311</v>
      </c>
      <c r="AT96" s="112">
        <f t="shared" si="57"/>
        <v>0</v>
      </c>
      <c r="AU96" s="110">
        <f>$B$7*IF($G$5="撼天",1.05,1)+IF(AND(VLOOKUP($E96,武器奇术!$A:$R,15,FALSE)="武器",VLOOKUP($E96,武器奇术!$A:$R,17,FALSE)="鸣金"),$E$3*(1+$E$15),0)</f>
        <v>0</v>
      </c>
      <c r="AV96" s="102">
        <f t="shared" si="58"/>
        <v>0</v>
      </c>
      <c r="AW96" s="102">
        <f>MAX($C$7*IF($G$5="撼天",1.05,1)+IF(AND(VLOOKUP($E96,武器奇术!$A:$R,15,FALSE)="武器",VLOOKUP($E96,武器奇术!$A:$R,17,FALSE)="鸣金"),$E$3*(1+$E$15),0),AU96)</f>
        <v>0</v>
      </c>
      <c r="AX96" s="104">
        <f>IF(($D$7+IF(VLOOKUP($E96,武器奇术!$A:$R,17,FALSE)="鸣金",$D$15,0)-VLOOKUP($F$7,目标属性!$A:$R,6,FALSE))&gt;0,($D$7+IF(VLOOKUP($E96,武器奇术!$A:$R,17,FALSE)="鸣金",$D$15,0)-VLOOKUP($F$7,目标属性!$A:$R,6,FALSE))/200,($D$7+IF(VLOOKUP($E96,武器奇术!$A:$R,17,FALSE)="鸣金",$D$15,0)-VLOOKUP($F$7,目标属性!$A:$R,6,FALSE))/100)</f>
        <v>-0.24</v>
      </c>
      <c r="AY96" s="111">
        <f t="shared" si="59"/>
        <v>0</v>
      </c>
      <c r="AZ96" s="102">
        <v>1</v>
      </c>
      <c r="BA96" s="103">
        <f>AU96*IF(VLOOKUP($E96,武器奇术!$A:$R,17,FALSE)="鸣金",VLOOKUP($E96,武器奇术!$A:$R,4,FALSE),VLOOKUP($E96,武器奇术!$A:$R,2,FALSE))*(1+AX96)*(1+AY96)*AZ96</f>
        <v>0</v>
      </c>
      <c r="BB96" s="104">
        <f>(1-IF(VLOOKUP($E96,武器奇术!$A:$R,18,FALSE)="叶龙",1,$N96))*(1-$M96)</f>
        <v>0</v>
      </c>
      <c r="BC96" s="103">
        <f>AV96*IF(VLOOKUP($E96,武器奇术!$A:$R,17,FALSE)="鸣金",VLOOKUP($E96,武器奇术!$A:$R,4,FALSE),VLOOKUP($E96,武器奇术!$A:$R,2,FALSE))*(1+AX96)*(1+AY96)*AZ96*(1+$E$16+VLOOKUP($E96,武器奇术!$A:$R,8,FALSE))</f>
        <v>0</v>
      </c>
      <c r="BD96" s="104">
        <f t="shared" si="60"/>
        <v>0.8703</v>
      </c>
      <c r="BE96" s="103">
        <f>AW96*IF(VLOOKUP($E96,武器奇术!$A:$R,17,FALSE)="鸣金",VLOOKUP($E96,武器奇术!$A:$R,4,FALSE),VLOOKUP($E96,武器奇术!$A:$R,2,FALSE))*(1+AX96)*(1+AY96)*AZ96*(1+$E$17+VLOOKUP($E96,武器奇术!$A:$R,10,FALSE))</f>
        <v>0</v>
      </c>
      <c r="BF96" s="104">
        <f t="shared" si="61"/>
        <v>0.0986</v>
      </c>
      <c r="BG96" s="103">
        <f>AV96*IF(VLOOKUP($E96,武器奇术!$A:$R,17,FALSE)="鸣金",VLOOKUP($E96,武器奇术!$A:$R,4,FALSE),VLOOKUP($E96,武器奇术!$A:$R,2,FALSE))*(1+AX96)*(1+AY96)*AZ96</f>
        <v>0</v>
      </c>
      <c r="BH96" s="104">
        <f t="shared" si="62"/>
        <v>0.0311</v>
      </c>
      <c r="BI96" s="112">
        <f t="shared" si="63"/>
        <v>0</v>
      </c>
      <c r="BJ96" s="110">
        <f>$B$9*IF($G$5="撼天",1.05,1)+IF(AND(VLOOKUP($E96,武器奇术!$A:$R,15,FALSE)="武器",VLOOKUP($E96,武器奇术!$A:$R,17,FALSE)="裂石"),$E$3*(1+$E$15),0)</f>
        <v>0</v>
      </c>
      <c r="BK96" s="102">
        <f t="shared" si="64"/>
        <v>0</v>
      </c>
      <c r="BL96" s="102">
        <f>MAX($C$9*IF($G$5="撼天",1.05,1)+IF(AND(VLOOKUP($E96,武器奇术!$A:$R,15,FALSE)="武器",VLOOKUP($E96,武器奇术!$A:$R,17,FALSE)="裂石"),$E$3*(1+$E$15),0),BJ96)</f>
        <v>0</v>
      </c>
      <c r="BM96" s="104">
        <f>IF(($D$9+IF(VLOOKUP($E96,武器奇术!$A:$R,17,FALSE)="裂石",$D$15,0)-VLOOKUP($F$7,目标属性!$A:$R,6,FALSE))&gt;0,($D$9+IF(VLOOKUP($E96,武器奇术!$A:$R,17,FALSE)="裂石",$D$15,0)-VLOOKUP($F$7,目标属性!$A:$R,6,FALSE))/200,($D$9+IF(VLOOKUP($E96,武器奇术!$A:$R,17,FALSE)="裂石",$D$15,0)-VLOOKUP($F$7,目标属性!$A:$R,6,FALSE))/100)</f>
        <v>-0.24</v>
      </c>
      <c r="BN96" s="111">
        <f t="shared" si="65"/>
        <v>0</v>
      </c>
      <c r="BO96" s="102">
        <v>1</v>
      </c>
      <c r="BP96" s="103">
        <f>BJ96*IF(VLOOKUP($E96,武器奇术!$A:$R,17,FALSE)="裂石",VLOOKUP($E96,武器奇术!$A:$R,4,FALSE),VLOOKUP($E96,武器奇术!$A:$R,2,FALSE))*(1+BM96)*(1+BN96)*BO96</f>
        <v>0</v>
      </c>
      <c r="BQ96" s="104">
        <f>(1-IF(VLOOKUP($E96,武器奇术!$A:$R,18,FALSE)="叶龙",1,$N96))*(1-$M96)</f>
        <v>0</v>
      </c>
      <c r="BR96" s="103">
        <f>BK96*IF(VLOOKUP($E96,武器奇术!$A:$R,17,FALSE)="裂石",VLOOKUP($E96,武器奇术!$A:$R,4,FALSE),VLOOKUP($E96,武器奇术!$A:$R,2,FALSE))*(1+BM96)*(1+BN96)*BO96*(1+$E$16+VLOOKUP($E96,武器奇术!$A:$R,8,FALSE))</f>
        <v>0</v>
      </c>
      <c r="BS96" s="104">
        <f t="shared" si="66"/>
        <v>0.8703</v>
      </c>
      <c r="BT96" s="103">
        <f>BL96*IF(VLOOKUP($E96,武器奇术!$A:$R,17,FALSE)="裂石",VLOOKUP($E96,武器奇术!$A:$R,4,FALSE),VLOOKUP($E96,武器奇术!$A:$R,2,FALSE))*(1+BM96)*(1+BN96)*BO96*(1+$E$17+VLOOKUP($E96,武器奇术!$A:$R,10,FALSE))</f>
        <v>0</v>
      </c>
      <c r="BU96" s="104">
        <f t="shared" si="67"/>
        <v>0.0986</v>
      </c>
      <c r="BV96" s="103">
        <f>BK96*IF(VLOOKUP($E96,武器奇术!$A:$R,17,FALSE)="裂石",VLOOKUP($E96,武器奇术!$A:$R,4,FALSE),VLOOKUP($E96,武器奇术!$A:$R,2,FALSE))*(1+BM96)*(1+BN96)*BO96</f>
        <v>0</v>
      </c>
      <c r="BW96" s="104">
        <f t="shared" si="68"/>
        <v>0.0311</v>
      </c>
      <c r="BX96" s="112">
        <f t="shared" si="69"/>
        <v>0</v>
      </c>
      <c r="BY96" s="110">
        <f>$B$11*IF($G$5="撼天",1.05,1)+IF(AND(VLOOKUP($E96,武器奇术!$A:$R,15,FALSE)="武器",VLOOKUP($E96,武器奇术!$A:$R,17,FALSE)="牵丝"),$E$3*(1+$E$15),0)</f>
        <v>490.8</v>
      </c>
      <c r="BZ96" s="102">
        <f>IF(VLOOKUP($E96,武器奇术!$A:$Z,18,FALSE)="叶龙",(CA96-(BY96+CA96)*0.5)*($G$15-0.5)*2+(BY96+CA96)*0.5,(BY96+CA96)*0.5)</f>
        <v>856.3</v>
      </c>
      <c r="CA96" s="102">
        <f>MAX($C$11*IF($G$5="撼天",1.05,1)+IF(AND(VLOOKUP($E96,武器奇术!$A:$R,15,FALSE)="武器",VLOOKUP($E96,武器奇术!$A:$R,17,FALSE)="牵丝"),$E$3*(1+$E$15),0),BY96)</f>
        <v>1221.8</v>
      </c>
      <c r="CB96" s="104">
        <f>IF(($D$11+IF(VLOOKUP($E96,武器奇术!$A:$R,17,FALSE)="牵丝",$D$15,0)-VLOOKUP($F$7,目标属性!$A:$R,6,FALSE))&gt;0,($D$11+IF(VLOOKUP($E96,武器奇术!$A:$R,17,FALSE)="牵丝",$D$15,0)-VLOOKUP($F$7,目标属性!$A:$R,6,FALSE))/200,($D$11+IF(VLOOKUP($E96,武器奇术!$A:$R,17,FALSE)="牵丝",$D$15,0)-VLOOKUP($F$7,目标属性!$A:$R,6,FALSE))/100)</f>
        <v>0.028</v>
      </c>
      <c r="CC96" s="111">
        <f>$E$11+IF($G$5="烟柳",IF(VLOOKUP($E96,武器奇术!$A:$T,20,FALSE)=1,0.1,0),0)</f>
        <v>0.148</v>
      </c>
      <c r="CD96" s="102">
        <v>1</v>
      </c>
      <c r="CE96" s="103">
        <f>BY96*IF(VLOOKUP($E96,武器奇术!$A:$R,17,FALSE)="牵丝",VLOOKUP($E96,武器奇术!$A:$R,4,FALSE),VLOOKUP($E96,武器奇术!$A:$R,2,FALSE))*(1+CB96)*(1+CC96)*CD96</f>
        <v>579.2146752</v>
      </c>
      <c r="CF96" s="104">
        <f>(1-IF(VLOOKUP($E96,武器奇术!$A:$R,18,FALSE)="叶龙",1,$N96))*(1-$M96)</f>
        <v>0</v>
      </c>
      <c r="CG96" s="124">
        <f>BZ96*IF(VLOOKUP($E96,武器奇术!$A:$R,17,FALSE)="牵丝",VLOOKUP($E96,武器奇术!$A:$R,4,FALSE),VLOOKUP($E96,武器奇术!$A:$R,2,FALSE))*(1+CB96)*(1+CC96)*CD96*(1+$E$16+VLOOKUP($E96,武器奇术!$A:$R,8,FALSE))</f>
        <v>1661.3562130368</v>
      </c>
      <c r="CH96" s="104">
        <f t="shared" si="70"/>
        <v>0.8703</v>
      </c>
      <c r="CI96" s="103">
        <f>CA96*IF(VLOOKUP($E96,武器奇术!$A:$R,17,FALSE)="牵丝",VLOOKUP($E96,武器奇术!$A:$R,4,FALSE),VLOOKUP($E96,武器奇术!$A:$R,2,FALSE))*(1+CB96)*(1+CC96)*CD96*(1+$E$17+VLOOKUP($E96,武器奇术!$A:$R,10,FALSE))</f>
        <v>1946.56491792</v>
      </c>
      <c r="CJ96" s="104">
        <f t="shared" si="71"/>
        <v>0.0986</v>
      </c>
      <c r="CK96" s="124">
        <f>BZ96*IF(VLOOKUP($E96,武器奇术!$A:$R,17,FALSE)="牵丝",VLOOKUP($E96,武器奇术!$A:$R,4,FALSE),VLOOKUP($E96,武器奇术!$A:$R,2,FALSE))*(1+CB96)*(1+CC96)*CD96</f>
        <v>1010.5573072</v>
      </c>
      <c r="CL96" s="104">
        <f t="shared" si="72"/>
        <v>0.0311</v>
      </c>
      <c r="CM96" s="112">
        <f t="shared" si="73"/>
        <v>1669.23794536676</v>
      </c>
      <c r="CN96" s="110">
        <f>$B$13*IF($G$5="撼天",1.05,1)+IF(AND(VLOOKUP($E96,武器奇术!$A:$R,15,FALSE)="武器",VLOOKUP($E96,武器奇术!$A:$R,17,FALSE)="破竹"),$E$3*(1+$E$15),0)</f>
        <v>0</v>
      </c>
      <c r="CO96" s="102">
        <f t="shared" si="74"/>
        <v>0</v>
      </c>
      <c r="CP96" s="102">
        <f>MAX($C$13*IF($G$5="撼天",1.05,1)+IF(AND(VLOOKUP($E96,武器奇术!$A:$R,15,FALSE)="武器",VLOOKUP($E96,武器奇术!$A:$R,17,FALSE)="破竹"),$E$3*(1+$E$15),0),CN96)</f>
        <v>0</v>
      </c>
      <c r="CQ96" s="104">
        <f>IF(($D$13+IF(VLOOKUP($E96,武器奇术!$A:$R,17,FALSE)="破竹",$D$15,0)-VLOOKUP($F$7,目标属性!$A:$R,6,FALSE))&gt;0,($D$13+IF(VLOOKUP($E96,武器奇术!$A:$R,17,FALSE)="破竹",$D$15,0)-VLOOKUP($F$7,目标属性!$A:$R,6,FALSE))/200,($D$13+IF(VLOOKUP($E96,武器奇术!$A:$R,17,FALSE)="破竹",$D$15,0)-VLOOKUP($F$7,目标属性!$A:$R,6,FALSE))/100)</f>
        <v>-0.24</v>
      </c>
      <c r="CR96" s="111">
        <f t="shared" si="75"/>
        <v>0</v>
      </c>
      <c r="CS96" s="102">
        <v>1</v>
      </c>
      <c r="CT96" s="103">
        <f>CN96*IF(VLOOKUP($E96,武器奇术!$A:$R,17,FALSE)="破竹",VLOOKUP($E96,武器奇术!$A:$R,4,FALSE),VLOOKUP($E96,武器奇术!$A:$R,2,FALSE))*(1+CQ96)*(1+CR96)*CS96</f>
        <v>0</v>
      </c>
      <c r="CU96" s="104">
        <f>(1-IF(VLOOKUP($E96,武器奇术!$A:$R,18,FALSE)="叶龙",1,$N96))*(1-$M96)</f>
        <v>0</v>
      </c>
      <c r="CV96" s="103">
        <f>CO96*IF(VLOOKUP($E96,武器奇术!$A:$R,17,FALSE)="破竹",VLOOKUP($E96,武器奇术!$A:$R,4,FALSE),VLOOKUP($E96,武器奇术!$A:$R,2,FALSE))*(1+CQ96)*(1+CR96)*CS96*(1+$E$16+VLOOKUP($E96,武器奇术!$A:$R,8,FALSE))</f>
        <v>0</v>
      </c>
      <c r="CW96" s="104">
        <f t="shared" si="76"/>
        <v>0.8703</v>
      </c>
      <c r="CX96" s="103">
        <f>CP96*IF(VLOOKUP($E96,武器奇术!$A:$R,17,FALSE)="破竹",VLOOKUP($E96,武器奇术!$A:$R,4,FALSE),VLOOKUP($E96,武器奇术!$A:$R,2,FALSE))*(1+CQ96)*(1+CR96)*CS96*(1+$E$17+VLOOKUP($E96,武器奇术!$A:$R,10,FALSE))</f>
        <v>0</v>
      </c>
      <c r="CY96" s="104">
        <f t="shared" si="77"/>
        <v>0.0986</v>
      </c>
      <c r="CZ96" s="103">
        <f>CO96*IF(VLOOKUP($E96,武器奇术!$A:$R,17,FALSE)="破竹",VLOOKUP($E96,武器奇术!$A:$R,4,FALSE),VLOOKUP($E96,武器奇术!$A:$R,2,FALSE))*(1+CQ96)*(1+CR96)*CS96</f>
        <v>0</v>
      </c>
      <c r="DA96" s="104">
        <f t="shared" si="78"/>
        <v>0.0311</v>
      </c>
      <c r="DB96" s="112">
        <f t="shared" si="79"/>
        <v>0</v>
      </c>
      <c r="DC96" s="110">
        <f t="shared" si="80"/>
        <v>66</v>
      </c>
      <c r="DD96" s="102">
        <f t="shared" si="81"/>
        <v>125.8</v>
      </c>
      <c r="DE96" s="102">
        <f t="shared" si="82"/>
        <v>185.6</v>
      </c>
      <c r="DF96" s="104">
        <f>IF((IF(VLOOKUP($E96,武器奇术!$A:$R,17,FALSE)="鸣金",$D$7,0)+IF(VLOOKUP($E96,武器奇术!$A:$R,17,FALSE)="裂石",$D$9,0)+IF(VLOOKUP($E96,武器奇术!$A:$R,17,FALSE)="牵丝",$D$11,0)+IF(VLOOKUP($E96,武器奇术!$A:$R,17,FALSE)="破竹",$D$13,0)+$D$15-VLOOKUP($F$7,目标属性!$A:$R,6,FALSE))&gt;0,(IF(VLOOKUP($E96,武器奇术!$A:$R,17,FALSE)="鸣金",$D$7,0)+IF(VLOOKUP($E96,武器奇术!$A:$R,17,FALSE)="裂石",$D$9,0)+IF(VLOOKUP($E96,武器奇术!$A:$R,17,FALSE)="牵丝",$D$11,0)+IF(VLOOKUP($E96,武器奇术!$A:$R,17,FALSE)="破竹",$D$13,0)+$D$15-VLOOKUP($F$7,目标属性!$A:$R,6,FALSE))/200,(IF(VLOOKUP($E96,武器奇术!$A:$R,17,FALSE)="鸣金",$D$7,0)+IF(VLOOKUP($E96,武器奇术!$A:$R,17,FALSE)="裂石",$D$9,0)+IF(VLOOKUP($E96,武器奇术!$A:$R,17,FALSE)="牵丝",$D$11,0)+IF(VLOOKUP($E96,武器奇术!$A:$R,17,FALSE)="破竹",$D$13,0)+$D$15-VLOOKUP($F$7,目标属性!$A:$R,6,FALSE))/100)</f>
        <v>0.028</v>
      </c>
      <c r="DG96" s="111">
        <f>$E$11+IF($G$5="烟柳",IF(VLOOKUP($E96,武器奇术!$A:$T,20,FALSE)=1,0.1,0),0)</f>
        <v>0.148</v>
      </c>
      <c r="DH96" s="102">
        <v>1</v>
      </c>
      <c r="DI96" s="103">
        <f>DC96*IF(VLOOKUP($E96,武器奇术!$A:$R,17,FALSE)="牵丝",VLOOKUP($E96,武器奇术!$A:$R,4,FALSE),VLOOKUP($E96,武器奇术!$A:$R,2,FALSE))*(1+DF96)*(1+DG96)*DH96</f>
        <v>77.889504</v>
      </c>
      <c r="DJ96" s="104">
        <f>(1-IF(VLOOKUP($E96,武器奇术!$A:$R,18,FALSE)="叶龙",1,$N96))*(1-$M96)</f>
        <v>0</v>
      </c>
      <c r="DK96" s="124">
        <f>DD96*IF(VLOOKUP($E96,武器奇术!$A:$R,17,FALSE)="牵丝",VLOOKUP($E96,武器奇术!$A:$R,4,FALSE),VLOOKUP($E96,武器奇术!$A:$R,2,FALSE))*(1+DF96)*(1+DG96)*DH96*(1+$E$16+VLOOKUP($E96,武器奇术!$A:$R,8,FALSE))</f>
        <v>244.0717173888</v>
      </c>
      <c r="DL96" s="104">
        <f t="shared" si="83"/>
        <v>0.8703</v>
      </c>
      <c r="DM96" s="103">
        <f>DE96*IF(VLOOKUP($E96,武器奇术!$A:$R,17,FALSE)="牵丝",VLOOKUP($E96,武器奇术!$A:$R,4,FALSE),VLOOKUP($E96,武器奇术!$A:$R,2,FALSE))*(1+DF96)*(1+DG96)*DH96*(1+$E$17+VLOOKUP($E96,武器奇术!$A:$R,10,FALSE))</f>
        <v>295.69688064</v>
      </c>
      <c r="DN96" s="104">
        <f t="shared" si="84"/>
        <v>0.0986</v>
      </c>
      <c r="DO96" s="124">
        <f>DD96*IF(VLOOKUP($E96,武器奇术!$A:$R,17,FALSE)="牵丝",VLOOKUP($E96,武器奇术!$A:$R,4,FALSE),VLOOKUP($E96,武器奇术!$A:$R,2,FALSE))*(1+DF96)*(1+DG96)*DH96</f>
        <v>148.4621152</v>
      </c>
      <c r="DP96" s="104">
        <f t="shared" si="85"/>
        <v>0.0311</v>
      </c>
      <c r="DQ96" s="112">
        <f t="shared" si="86"/>
        <v>246.188499857297</v>
      </c>
    </row>
    <row r="97" spans="3:121">
      <c r="C97" s="141"/>
      <c r="E97" s="115" t="str">
        <f>期望!E97</f>
        <v>易水歌6重(小纵)</v>
      </c>
      <c r="F97" s="116">
        <f>期望!F97</f>
        <v>1</v>
      </c>
      <c r="G97" s="117"/>
      <c r="H97" s="103">
        <f>IF(VLOOKUP($E97,武器奇术!$A:$R,18,FALSE)="天工",AE97,(AE97+AT97+BI97+BX97+CM97+DB97+DQ97))*(1+J97)*F97*K97*(1+G97)</f>
        <v>11508.0122141922</v>
      </c>
      <c r="I97" s="104">
        <f t="shared" si="45"/>
        <v>0.00132629792285812</v>
      </c>
      <c r="J97" s="118">
        <f>$F$3+VLOOKUP($E97,武器奇术!$A:$R,12,FALSE)+VLOOKUP($E97,武器奇术!$A:$R,14,FALSE)*$G$3+$P97+IF($F$21="√",5%,0)</f>
        <v>0.383</v>
      </c>
      <c r="K97" s="105">
        <f>VLOOKUP($E97,武器奇术!$A:$R,11,FALSE)</f>
        <v>1</v>
      </c>
      <c r="L97" s="119">
        <f>IF(VLOOKUP($E97,武器奇术!$A:$R,15,FALSE)="天工",0%,IF($C$17+VLOOKUP($E97,武器奇术!$A:$R,7,FALSE)&gt;80%,80%,$C$17+VLOOKUP($E97,武器奇术!$A:$R,7,FALSE))+IF($C$19&gt;20%,20%,$C$19))</f>
        <v>0.8703</v>
      </c>
      <c r="M97" s="120">
        <f>IF(VLOOKUP($E97,武器奇术!$A:$R,15,FALSE)="天工",0%,IF($C$18+VLOOKUP($E97,武器奇术!$A:$R,9,FALSE)&gt;40%,40%,$C$18+VLOOKUP($E97,武器奇术!$A:$R,9,FALSE))+IF($C$20&gt;10%,10%,$C$20))</f>
        <v>0.0986</v>
      </c>
      <c r="N97" s="121">
        <f>IF(VLOOKUP($E97,武器奇术!$A:$R,15,FALSE)="天工",100%,MIN($C$16,1))</f>
        <v>1</v>
      </c>
      <c r="O97" s="122" t="str">
        <f>VLOOKUP($E97,武器奇术!$A:$R,16,FALSE)</f>
        <v>N/A</v>
      </c>
      <c r="P97" s="123">
        <f t="shared" si="46"/>
        <v>0</v>
      </c>
      <c r="Q97" s="110">
        <f>$B$5*(1+VLOOKUP($E97,武器奇术!$A:$R,5,FALSE))*(1+VLOOKUP($E97,武器奇术!$A:$S,19,FALSE)+IF($G$5="飞隼",0.1,0)+IF($G$5="撼天",0.05,0))-$F$9+IF($J$5="√",160,0)</f>
        <v>3081.85</v>
      </c>
      <c r="R97" s="102">
        <f>IF(VLOOKUP($E97,武器奇术!$A:$Z,18,FALSE)="叶龙",(S97-(Q97+S97)*0.5)*($G$15-0.5)*2+(Q97+S97)*0.5,(Q97+S97)*0.5)</f>
        <v>3161.85</v>
      </c>
      <c r="S97" s="102">
        <f>MAX($C$5,$B$5)*(1+VLOOKUP($E97,武器奇术!$A:$R,6,FALSE))*(1+VLOOKUP($E97,武器奇术!$A:$S,19,FALSE)+IF($G$5="飞隼",0.1,0)+IF($G$5="撼天",0.05,0))-$F$9+IF($J$5="√",320,0)</f>
        <v>3241.85</v>
      </c>
      <c r="T97" s="104">
        <f>IF(($D$5+VLOOKUP($E97,武器奇术!$A:$R,13,FALSE)+IF($I$3="√",10,0)-VLOOKUP($F$7,目标属性!$A:$R,5,FALSE))&gt;0,($D$5+VLOOKUP($E97,武器奇术!$A:$R,13,FALSE)+IF($I$3="√",10,0)-VLOOKUP($F$7,目标属性!$A:$R,5,FALSE))/200,($D$5+VLOOKUP($E97,武器奇术!$A:$R,13,FALSE)+IF($I$3="√",10,0)-VLOOKUP($F$7,目标属性!$A:$R,5,FALSE))/100)</f>
        <v>0.2675</v>
      </c>
      <c r="U97" s="111">
        <f>$E$5+IF($G$5="烟柳",IF(VLOOKUP($E97,武器奇术!$A:$T,20,FALSE)=1,0.1,0),0)</f>
        <v>0</v>
      </c>
      <c r="V97" s="102">
        <v>1</v>
      </c>
      <c r="W97" s="103">
        <f>Q97*VLOOKUP($E97,武器奇术!$A:$R,2,FALSE)*(1+T97)*(1+U97)*V97</f>
        <v>3906.244875</v>
      </c>
      <c r="X97" s="104">
        <f>(1-IF(VLOOKUP($E97,武器奇术!$A:$R,18,FALSE)="叶龙",1,$N97))*(1-$M97)</f>
        <v>0</v>
      </c>
      <c r="Y97" s="103">
        <f>R97*VLOOKUP($E97,武器奇术!$A:$R,2,FALSE)*(1+T97)*(1+U97)*V97*(1+$E$16+VLOOKUP($E97,武器奇术!$A:$R,8,FALSE))</f>
        <v>6588.5681745</v>
      </c>
      <c r="Z97" s="104">
        <f t="shared" si="47"/>
        <v>0.8703</v>
      </c>
      <c r="AA97" s="103">
        <f>S97*VLOOKUP($E97,武器奇术!$A:$R,2,FALSE)*(1+T97)*(1+U97)*V97*(1+$E$17+VLOOKUP($E97,武器奇术!$A:$R,10,FALSE))</f>
        <v>5547.21058125</v>
      </c>
      <c r="AB97" s="104">
        <f t="shared" si="48"/>
        <v>0.0986</v>
      </c>
      <c r="AC97" s="103">
        <f>R97*VLOOKUP($E97,武器奇术!$A:$R,2,FALSE)*(1+T97)*(1+U97)*V97</f>
        <v>4007.644875</v>
      </c>
      <c r="AD97" s="104">
        <f t="shared" si="49"/>
        <v>0.0311</v>
      </c>
      <c r="AE97" s="112">
        <f t="shared" si="50"/>
        <v>6405.6236011911</v>
      </c>
      <c r="AF97" s="113">
        <f>VLOOKUP($E97,武器奇术!$A:$R,3,FALSE)*(1+IF(VLOOKUP($E97,武器奇术!$A:$R,15,FALSE)="武器",$E$15,0))</f>
        <v>0</v>
      </c>
      <c r="AG97" s="103">
        <f t="shared" si="51"/>
        <v>0</v>
      </c>
      <c r="AH97" s="103">
        <f>VLOOKUP($E97,武器奇术!$A:$R,3,FALSE)*(1+IF(VLOOKUP($E97,武器奇术!$A:$R,15,FALSE)="武器",$E$15,0))</f>
        <v>0</v>
      </c>
      <c r="AI97" s="104">
        <f>IF(($D$5+VLOOKUP($E97,武器奇术!$A:$R,13,FALSE)+IF($I$3="√",10,0)-VLOOKUP($F$7,目标属性!$A:$R,5,FALSE))&gt;0,($D$5+VLOOKUP($E97,武器奇术!$A:$R,13,FALSE)+IF($I$3="√",10,0)-VLOOKUP($F$7,目标属性!$A:$R,5,FALSE))/200,($D$5+VLOOKUP($E97,武器奇术!$A:$R,13,FALSE)+IF($I$3="√",10,0)-VLOOKUP($F$7,目标属性!$A:$R,5,FALSE))/100)</f>
        <v>0.2675</v>
      </c>
      <c r="AJ97" s="111">
        <f>$E$5+IF($G$5="烟柳",IF(VLOOKUP($E97,武器奇术!$A:$T,20,FALSE)=1,0.1,0),0)</f>
        <v>0</v>
      </c>
      <c r="AK97" s="102">
        <v>1</v>
      </c>
      <c r="AL97" s="103">
        <f t="shared" si="52"/>
        <v>0</v>
      </c>
      <c r="AM97" s="104">
        <f>(1-IF(VLOOKUP($E97,武器奇术!$A:$R,18,FALSE)="叶龙",1,$N97))*(1-$M97)</f>
        <v>0</v>
      </c>
      <c r="AN97" s="103">
        <f>AG97*(1+AI97)*(1+AJ97)*AK97*(1+$E$16+VLOOKUP($E97,武器奇术!$A:$R,8,FALSE))</f>
        <v>0</v>
      </c>
      <c r="AO97" s="104">
        <f t="shared" si="53"/>
        <v>0.8703</v>
      </c>
      <c r="AP97" s="103">
        <f>AH97*(1+AI97)*(1+AJ97)*AK97*(1+$E$17+VLOOKUP($E97,武器奇术!$A:$R,10,FALSE))</f>
        <v>0</v>
      </c>
      <c r="AQ97" s="104">
        <f t="shared" si="54"/>
        <v>0.0986</v>
      </c>
      <c r="AR97" s="103">
        <f t="shared" si="55"/>
        <v>0</v>
      </c>
      <c r="AS97" s="104">
        <f t="shared" si="56"/>
        <v>0.0311</v>
      </c>
      <c r="AT97" s="112">
        <f t="shared" si="57"/>
        <v>0</v>
      </c>
      <c r="AU97" s="110">
        <f>$B$7*IF($G$5="撼天",1.05,1)+IF(AND(VLOOKUP($E97,武器奇术!$A:$R,15,FALSE)="武器",VLOOKUP($E97,武器奇术!$A:$R,17,FALSE)="鸣金"),$E$3*(1+$E$15),0)</f>
        <v>0</v>
      </c>
      <c r="AV97" s="102">
        <f t="shared" si="58"/>
        <v>0</v>
      </c>
      <c r="AW97" s="102">
        <f>MAX($C$7*IF($G$5="撼天",1.05,1)+IF(AND(VLOOKUP($E97,武器奇术!$A:$R,15,FALSE)="武器",VLOOKUP($E97,武器奇术!$A:$R,17,FALSE)="鸣金"),$E$3*(1+$E$15),0),AU97)</f>
        <v>0</v>
      </c>
      <c r="AX97" s="104">
        <f>IF(($D$7+IF(VLOOKUP($E97,武器奇术!$A:$R,17,FALSE)="鸣金",$D$15,0)-VLOOKUP($F$7,目标属性!$A:$R,6,FALSE))&gt;0,($D$7+IF(VLOOKUP($E97,武器奇术!$A:$R,17,FALSE)="鸣金",$D$15,0)-VLOOKUP($F$7,目标属性!$A:$R,6,FALSE))/200,($D$7+IF(VLOOKUP($E97,武器奇术!$A:$R,17,FALSE)="鸣金",$D$15,0)-VLOOKUP($F$7,目标属性!$A:$R,6,FALSE))/100)</f>
        <v>-0.24</v>
      </c>
      <c r="AY97" s="111">
        <f t="shared" si="59"/>
        <v>0</v>
      </c>
      <c r="AZ97" s="102">
        <v>1</v>
      </c>
      <c r="BA97" s="103">
        <f>AU97*IF(VLOOKUP($E97,武器奇术!$A:$R,17,FALSE)="鸣金",VLOOKUP($E97,武器奇术!$A:$R,4,FALSE),VLOOKUP($E97,武器奇术!$A:$R,2,FALSE))*(1+AX97)*(1+AY97)*AZ97</f>
        <v>0</v>
      </c>
      <c r="BB97" s="104">
        <f>(1-IF(VLOOKUP($E97,武器奇术!$A:$R,18,FALSE)="叶龙",1,$N97))*(1-$M97)</f>
        <v>0</v>
      </c>
      <c r="BC97" s="103">
        <f>AV97*IF(VLOOKUP($E97,武器奇术!$A:$R,17,FALSE)="鸣金",VLOOKUP($E97,武器奇术!$A:$R,4,FALSE),VLOOKUP($E97,武器奇术!$A:$R,2,FALSE))*(1+AX97)*(1+AY97)*AZ97*(1+$E$16+VLOOKUP($E97,武器奇术!$A:$R,8,FALSE))</f>
        <v>0</v>
      </c>
      <c r="BD97" s="104">
        <f t="shared" si="60"/>
        <v>0.8703</v>
      </c>
      <c r="BE97" s="103">
        <f>AW97*IF(VLOOKUP($E97,武器奇术!$A:$R,17,FALSE)="鸣金",VLOOKUP($E97,武器奇术!$A:$R,4,FALSE),VLOOKUP($E97,武器奇术!$A:$R,2,FALSE))*(1+AX97)*(1+AY97)*AZ97*(1+$E$17+VLOOKUP($E97,武器奇术!$A:$R,10,FALSE))</f>
        <v>0</v>
      </c>
      <c r="BF97" s="104">
        <f t="shared" si="61"/>
        <v>0.0986</v>
      </c>
      <c r="BG97" s="103">
        <f>AV97*IF(VLOOKUP($E97,武器奇术!$A:$R,17,FALSE)="鸣金",VLOOKUP($E97,武器奇术!$A:$R,4,FALSE),VLOOKUP($E97,武器奇术!$A:$R,2,FALSE))*(1+AX97)*(1+AY97)*AZ97</f>
        <v>0</v>
      </c>
      <c r="BH97" s="104">
        <f t="shared" si="62"/>
        <v>0.0311</v>
      </c>
      <c r="BI97" s="112">
        <f t="shared" si="63"/>
        <v>0</v>
      </c>
      <c r="BJ97" s="110">
        <f>$B$9*IF($G$5="撼天",1.05,1)+IF(AND(VLOOKUP($E97,武器奇术!$A:$R,15,FALSE)="武器",VLOOKUP($E97,武器奇术!$A:$R,17,FALSE)="裂石"),$E$3*(1+$E$15),0)</f>
        <v>0</v>
      </c>
      <c r="BK97" s="102">
        <f t="shared" si="64"/>
        <v>0</v>
      </c>
      <c r="BL97" s="102">
        <f>MAX($C$9*IF($G$5="撼天",1.05,1)+IF(AND(VLOOKUP($E97,武器奇术!$A:$R,15,FALSE)="武器",VLOOKUP($E97,武器奇术!$A:$R,17,FALSE)="裂石"),$E$3*(1+$E$15),0),BJ97)</f>
        <v>0</v>
      </c>
      <c r="BM97" s="104">
        <f>IF(($D$9+IF(VLOOKUP($E97,武器奇术!$A:$R,17,FALSE)="裂石",$D$15,0)-VLOOKUP($F$7,目标属性!$A:$R,6,FALSE))&gt;0,($D$9+IF(VLOOKUP($E97,武器奇术!$A:$R,17,FALSE)="裂石",$D$15,0)-VLOOKUP($F$7,目标属性!$A:$R,6,FALSE))/200,($D$9+IF(VLOOKUP($E97,武器奇术!$A:$R,17,FALSE)="裂石",$D$15,0)-VLOOKUP($F$7,目标属性!$A:$R,6,FALSE))/100)</f>
        <v>-0.24</v>
      </c>
      <c r="BN97" s="111">
        <f t="shared" si="65"/>
        <v>0</v>
      </c>
      <c r="BO97" s="102">
        <v>1</v>
      </c>
      <c r="BP97" s="103">
        <f>BJ97*IF(VLOOKUP($E97,武器奇术!$A:$R,17,FALSE)="裂石",VLOOKUP($E97,武器奇术!$A:$R,4,FALSE),VLOOKUP($E97,武器奇术!$A:$R,2,FALSE))*(1+BM97)*(1+BN97)*BO97</f>
        <v>0</v>
      </c>
      <c r="BQ97" s="104">
        <f>(1-IF(VLOOKUP($E97,武器奇术!$A:$R,18,FALSE)="叶龙",1,$N97))*(1-$M97)</f>
        <v>0</v>
      </c>
      <c r="BR97" s="103">
        <f>BK97*IF(VLOOKUP($E97,武器奇术!$A:$R,17,FALSE)="裂石",VLOOKUP($E97,武器奇术!$A:$R,4,FALSE),VLOOKUP($E97,武器奇术!$A:$R,2,FALSE))*(1+BM97)*(1+BN97)*BO97*(1+$E$16+VLOOKUP($E97,武器奇术!$A:$R,8,FALSE))</f>
        <v>0</v>
      </c>
      <c r="BS97" s="104">
        <f t="shared" si="66"/>
        <v>0.8703</v>
      </c>
      <c r="BT97" s="103">
        <f>BL97*IF(VLOOKUP($E97,武器奇术!$A:$R,17,FALSE)="裂石",VLOOKUP($E97,武器奇术!$A:$R,4,FALSE),VLOOKUP($E97,武器奇术!$A:$R,2,FALSE))*(1+BM97)*(1+BN97)*BO97*(1+$E$17+VLOOKUP($E97,武器奇术!$A:$R,10,FALSE))</f>
        <v>0</v>
      </c>
      <c r="BU97" s="104">
        <f t="shared" si="67"/>
        <v>0.0986</v>
      </c>
      <c r="BV97" s="103">
        <f>BK97*IF(VLOOKUP($E97,武器奇术!$A:$R,17,FALSE)="裂石",VLOOKUP($E97,武器奇术!$A:$R,4,FALSE),VLOOKUP($E97,武器奇术!$A:$R,2,FALSE))*(1+BM97)*(1+BN97)*BO97</f>
        <v>0</v>
      </c>
      <c r="BW97" s="104">
        <f t="shared" si="68"/>
        <v>0.0311</v>
      </c>
      <c r="BX97" s="112">
        <f t="shared" si="69"/>
        <v>0</v>
      </c>
      <c r="BY97" s="110">
        <f>$B$11*IF($G$5="撼天",1.05,1)+IF(AND(VLOOKUP($E97,武器奇术!$A:$R,15,FALSE)="武器",VLOOKUP($E97,武器奇术!$A:$R,17,FALSE)="牵丝"),$E$3*(1+$E$15),0)</f>
        <v>490.8</v>
      </c>
      <c r="BZ97" s="102">
        <f>IF(VLOOKUP($E97,武器奇术!$A:$Z,18,FALSE)="叶龙",(CA97-(BY97+CA97)*0.5)*($G$15-0.5)*2+(BY97+CA97)*0.5,(BY97+CA97)*0.5)</f>
        <v>856.3</v>
      </c>
      <c r="CA97" s="102">
        <f>MAX($C$11*IF($G$5="撼天",1.05,1)+IF(AND(VLOOKUP($E97,武器奇术!$A:$R,15,FALSE)="武器",VLOOKUP($E97,武器奇术!$A:$R,17,FALSE)="牵丝"),$E$3*(1+$E$15),0),BY97)</f>
        <v>1221.8</v>
      </c>
      <c r="CB97" s="104">
        <f>IF(($D$11+IF(VLOOKUP($E97,武器奇术!$A:$R,17,FALSE)="牵丝",$D$15,0)-VLOOKUP($F$7,目标属性!$A:$R,6,FALSE))&gt;0,($D$11+IF(VLOOKUP($E97,武器奇术!$A:$R,17,FALSE)="牵丝",$D$15,0)-VLOOKUP($F$7,目标属性!$A:$R,6,FALSE))/200,($D$11+IF(VLOOKUP($E97,武器奇术!$A:$R,17,FALSE)="牵丝",$D$15,0)-VLOOKUP($F$7,目标属性!$A:$R,6,FALSE))/100)</f>
        <v>0.028</v>
      </c>
      <c r="CC97" s="111">
        <f>$E$11+IF($G$5="烟柳",IF(VLOOKUP($E97,武器奇术!$A:$T,20,FALSE)=1,0.1,0),0)</f>
        <v>0.148</v>
      </c>
      <c r="CD97" s="102">
        <v>1</v>
      </c>
      <c r="CE97" s="103">
        <f>BY97*IF(VLOOKUP($E97,武器奇术!$A:$R,17,FALSE)="牵丝",VLOOKUP($E97,武器奇术!$A:$R,4,FALSE),VLOOKUP($E97,武器奇术!$A:$R,2,FALSE))*(1+CB97)*(1+CC97)*CD97</f>
        <v>579.2146752</v>
      </c>
      <c r="CF97" s="104">
        <f>(1-IF(VLOOKUP($E97,武器奇术!$A:$R,18,FALSE)="叶龙",1,$N97))*(1-$M97)</f>
        <v>0</v>
      </c>
      <c r="CG97" s="124">
        <f>BZ97*IF(VLOOKUP($E97,武器奇术!$A:$R,17,FALSE)="牵丝",VLOOKUP($E97,武器奇术!$A:$R,4,FALSE),VLOOKUP($E97,武器奇术!$A:$R,2,FALSE))*(1+CB97)*(1+CC97)*CD97*(1+$E$16+VLOOKUP($E97,武器奇术!$A:$R,8,FALSE))</f>
        <v>1661.3562130368</v>
      </c>
      <c r="CH97" s="104">
        <f t="shared" si="70"/>
        <v>0.8703</v>
      </c>
      <c r="CI97" s="103">
        <f>CA97*IF(VLOOKUP($E97,武器奇术!$A:$R,17,FALSE)="牵丝",VLOOKUP($E97,武器奇术!$A:$R,4,FALSE),VLOOKUP($E97,武器奇术!$A:$R,2,FALSE))*(1+CB97)*(1+CC97)*CD97*(1+$E$17+VLOOKUP($E97,武器奇术!$A:$R,10,FALSE))</f>
        <v>1946.56491792</v>
      </c>
      <c r="CJ97" s="104">
        <f t="shared" si="71"/>
        <v>0.0986</v>
      </c>
      <c r="CK97" s="124">
        <f>BZ97*IF(VLOOKUP($E97,武器奇术!$A:$R,17,FALSE)="牵丝",VLOOKUP($E97,武器奇术!$A:$R,4,FALSE),VLOOKUP($E97,武器奇术!$A:$R,2,FALSE))*(1+CB97)*(1+CC97)*CD97</f>
        <v>1010.5573072</v>
      </c>
      <c r="CL97" s="104">
        <f t="shared" si="72"/>
        <v>0.0311</v>
      </c>
      <c r="CM97" s="112">
        <f t="shared" si="73"/>
        <v>1669.23794536676</v>
      </c>
      <c r="CN97" s="110">
        <f>$B$13*IF($G$5="撼天",1.05,1)+IF(AND(VLOOKUP($E97,武器奇术!$A:$R,15,FALSE)="武器",VLOOKUP($E97,武器奇术!$A:$R,17,FALSE)="破竹"),$E$3*(1+$E$15),0)</f>
        <v>0</v>
      </c>
      <c r="CO97" s="102">
        <f t="shared" si="74"/>
        <v>0</v>
      </c>
      <c r="CP97" s="102">
        <f>MAX($C$13*IF($G$5="撼天",1.05,1)+IF(AND(VLOOKUP($E97,武器奇术!$A:$R,15,FALSE)="武器",VLOOKUP($E97,武器奇术!$A:$R,17,FALSE)="破竹"),$E$3*(1+$E$15),0),CN97)</f>
        <v>0</v>
      </c>
      <c r="CQ97" s="104">
        <f>IF(($D$13+IF(VLOOKUP($E97,武器奇术!$A:$R,17,FALSE)="破竹",$D$15,0)-VLOOKUP($F$7,目标属性!$A:$R,6,FALSE))&gt;0,($D$13+IF(VLOOKUP($E97,武器奇术!$A:$R,17,FALSE)="破竹",$D$15,0)-VLOOKUP($F$7,目标属性!$A:$R,6,FALSE))/200,($D$13+IF(VLOOKUP($E97,武器奇术!$A:$R,17,FALSE)="破竹",$D$15,0)-VLOOKUP($F$7,目标属性!$A:$R,6,FALSE))/100)</f>
        <v>-0.24</v>
      </c>
      <c r="CR97" s="111">
        <f t="shared" si="75"/>
        <v>0</v>
      </c>
      <c r="CS97" s="102">
        <v>1</v>
      </c>
      <c r="CT97" s="103">
        <f>CN97*IF(VLOOKUP($E97,武器奇术!$A:$R,17,FALSE)="破竹",VLOOKUP($E97,武器奇术!$A:$R,4,FALSE),VLOOKUP($E97,武器奇术!$A:$R,2,FALSE))*(1+CQ97)*(1+CR97)*CS97</f>
        <v>0</v>
      </c>
      <c r="CU97" s="104">
        <f>(1-IF(VLOOKUP($E97,武器奇术!$A:$R,18,FALSE)="叶龙",1,$N97))*(1-$M97)</f>
        <v>0</v>
      </c>
      <c r="CV97" s="103">
        <f>CO97*IF(VLOOKUP($E97,武器奇术!$A:$R,17,FALSE)="破竹",VLOOKUP($E97,武器奇术!$A:$R,4,FALSE),VLOOKUP($E97,武器奇术!$A:$R,2,FALSE))*(1+CQ97)*(1+CR97)*CS97*(1+$E$16+VLOOKUP($E97,武器奇术!$A:$R,8,FALSE))</f>
        <v>0</v>
      </c>
      <c r="CW97" s="104">
        <f t="shared" si="76"/>
        <v>0.8703</v>
      </c>
      <c r="CX97" s="103">
        <f>CP97*IF(VLOOKUP($E97,武器奇术!$A:$R,17,FALSE)="破竹",VLOOKUP($E97,武器奇术!$A:$R,4,FALSE),VLOOKUP($E97,武器奇术!$A:$R,2,FALSE))*(1+CQ97)*(1+CR97)*CS97*(1+$E$17+VLOOKUP($E97,武器奇术!$A:$R,10,FALSE))</f>
        <v>0</v>
      </c>
      <c r="CY97" s="104">
        <f t="shared" si="77"/>
        <v>0.0986</v>
      </c>
      <c r="CZ97" s="103">
        <f>CO97*IF(VLOOKUP($E97,武器奇术!$A:$R,17,FALSE)="破竹",VLOOKUP($E97,武器奇术!$A:$R,4,FALSE),VLOOKUP($E97,武器奇术!$A:$R,2,FALSE))*(1+CQ97)*(1+CR97)*CS97</f>
        <v>0</v>
      </c>
      <c r="DA97" s="104">
        <f t="shared" si="78"/>
        <v>0.0311</v>
      </c>
      <c r="DB97" s="112">
        <f t="shared" si="79"/>
        <v>0</v>
      </c>
      <c r="DC97" s="110">
        <f t="shared" si="80"/>
        <v>66</v>
      </c>
      <c r="DD97" s="102">
        <f t="shared" si="81"/>
        <v>125.8</v>
      </c>
      <c r="DE97" s="102">
        <f t="shared" si="82"/>
        <v>185.6</v>
      </c>
      <c r="DF97" s="104">
        <f>IF((IF(VLOOKUP($E97,武器奇术!$A:$R,17,FALSE)="鸣金",$D$7,0)+IF(VLOOKUP($E97,武器奇术!$A:$R,17,FALSE)="裂石",$D$9,0)+IF(VLOOKUP($E97,武器奇术!$A:$R,17,FALSE)="牵丝",$D$11,0)+IF(VLOOKUP($E97,武器奇术!$A:$R,17,FALSE)="破竹",$D$13,0)+$D$15-VLOOKUP($F$7,目标属性!$A:$R,6,FALSE))&gt;0,(IF(VLOOKUP($E97,武器奇术!$A:$R,17,FALSE)="鸣金",$D$7,0)+IF(VLOOKUP($E97,武器奇术!$A:$R,17,FALSE)="裂石",$D$9,0)+IF(VLOOKUP($E97,武器奇术!$A:$R,17,FALSE)="牵丝",$D$11,0)+IF(VLOOKUP($E97,武器奇术!$A:$R,17,FALSE)="破竹",$D$13,0)+$D$15-VLOOKUP($F$7,目标属性!$A:$R,6,FALSE))/200,(IF(VLOOKUP($E97,武器奇术!$A:$R,17,FALSE)="鸣金",$D$7,0)+IF(VLOOKUP($E97,武器奇术!$A:$R,17,FALSE)="裂石",$D$9,0)+IF(VLOOKUP($E97,武器奇术!$A:$R,17,FALSE)="牵丝",$D$11,0)+IF(VLOOKUP($E97,武器奇术!$A:$R,17,FALSE)="破竹",$D$13,0)+$D$15-VLOOKUP($F$7,目标属性!$A:$R,6,FALSE))/100)</f>
        <v>0.028</v>
      </c>
      <c r="DG97" s="111">
        <f>$E$11+IF($G$5="烟柳",IF(VLOOKUP($E97,武器奇术!$A:$T,20,FALSE)=1,0.1,0),0)</f>
        <v>0.148</v>
      </c>
      <c r="DH97" s="102">
        <v>1</v>
      </c>
      <c r="DI97" s="103">
        <f>DC97*IF(VLOOKUP($E97,武器奇术!$A:$R,17,FALSE)="牵丝",VLOOKUP($E97,武器奇术!$A:$R,4,FALSE),VLOOKUP($E97,武器奇术!$A:$R,2,FALSE))*(1+DF97)*(1+DG97)*DH97</f>
        <v>77.889504</v>
      </c>
      <c r="DJ97" s="104">
        <f>(1-IF(VLOOKUP($E97,武器奇术!$A:$R,18,FALSE)="叶龙",1,$N97))*(1-$M97)</f>
        <v>0</v>
      </c>
      <c r="DK97" s="124">
        <f>DD97*IF(VLOOKUP($E97,武器奇术!$A:$R,17,FALSE)="牵丝",VLOOKUP($E97,武器奇术!$A:$R,4,FALSE),VLOOKUP($E97,武器奇术!$A:$R,2,FALSE))*(1+DF97)*(1+DG97)*DH97*(1+$E$16+VLOOKUP($E97,武器奇术!$A:$R,8,FALSE))</f>
        <v>244.0717173888</v>
      </c>
      <c r="DL97" s="104">
        <f t="shared" si="83"/>
        <v>0.8703</v>
      </c>
      <c r="DM97" s="103">
        <f>DE97*IF(VLOOKUP($E97,武器奇术!$A:$R,17,FALSE)="牵丝",VLOOKUP($E97,武器奇术!$A:$R,4,FALSE),VLOOKUP($E97,武器奇术!$A:$R,2,FALSE))*(1+DF97)*(1+DG97)*DH97*(1+$E$17+VLOOKUP($E97,武器奇术!$A:$R,10,FALSE))</f>
        <v>295.69688064</v>
      </c>
      <c r="DN97" s="104">
        <f t="shared" si="84"/>
        <v>0.0986</v>
      </c>
      <c r="DO97" s="124">
        <f>DD97*IF(VLOOKUP($E97,武器奇术!$A:$R,17,FALSE)="牵丝",VLOOKUP($E97,武器奇术!$A:$R,4,FALSE),VLOOKUP($E97,武器奇术!$A:$R,2,FALSE))*(1+DF97)*(1+DG97)*DH97</f>
        <v>148.4621152</v>
      </c>
      <c r="DP97" s="104">
        <f t="shared" si="85"/>
        <v>0.0311</v>
      </c>
      <c r="DQ97" s="112">
        <f t="shared" si="86"/>
        <v>246.188499857297</v>
      </c>
    </row>
    <row r="98" spans="3:121">
      <c r="E98" s="115" t="str">
        <f>期望!E98</f>
        <v>易水歌6重(大纵断石)</v>
      </c>
      <c r="F98" s="116">
        <f>期望!F98</f>
        <v>1</v>
      </c>
      <c r="G98" s="117"/>
      <c r="H98" s="103">
        <f>IF(VLOOKUP($E98,武器奇术!$A:$R,18,FALSE)="天工",AE98,(AE98+AT98+BI98+BX98+CM98+DB98+DQ98))*(1+J98)*F98*K98*(1+G98)</f>
        <v>14364.2055016135</v>
      </c>
      <c r="I98" s="104">
        <f t="shared" si="45"/>
        <v>0.00165547407890326</v>
      </c>
      <c r="J98" s="104">
        <f>$F$3+VLOOKUP($E98,武器奇术!$A:$R,12,FALSE)+VLOOKUP($E98,武器奇术!$A:$R,14,FALSE)*$G$3+$P98</f>
        <v>0.333</v>
      </c>
      <c r="K98" s="105">
        <f>VLOOKUP($E98,武器奇术!$A:$R,11,FALSE)</f>
        <v>1</v>
      </c>
      <c r="L98" s="119">
        <f>IF(VLOOKUP($E98,武器奇术!$A:$R,15,FALSE)="天工",0%,IF($C$17+VLOOKUP($E98,武器奇术!$A:$R,7,FALSE)&gt;80%,80%,$C$17+VLOOKUP($E98,武器奇术!$A:$R,7,FALSE))+IF($C$19&gt;20%,20%,$C$19))</f>
        <v>0.8703</v>
      </c>
      <c r="M98" s="120">
        <f>IF(VLOOKUP($E98,武器奇术!$A:$R,15,FALSE)="天工",0%,IF($C$18+VLOOKUP($E98,武器奇术!$A:$R,9,FALSE)&gt;40%,40%,$C$18+VLOOKUP($E98,武器奇术!$A:$R,9,FALSE))+IF($C$20&gt;10%,10%,$C$20))</f>
        <v>0.0986</v>
      </c>
      <c r="N98" s="121">
        <f>IF(VLOOKUP($E98,武器奇术!$A:$R,15,FALSE)="天工",100%,MIN($C$16,1))</f>
        <v>1</v>
      </c>
      <c r="O98" s="122" t="str">
        <f>VLOOKUP($E98,武器奇术!$A:$R,16,FALSE)</f>
        <v>N/A</v>
      </c>
      <c r="P98" s="123">
        <f t="shared" si="46"/>
        <v>0</v>
      </c>
      <c r="Q98" s="110">
        <f>$B$5*(1+VLOOKUP($E98,武器奇术!$A:$R,5,FALSE))*(1+VLOOKUP($E98,武器奇术!$A:$S,19,FALSE)+IF($G$5="飞隼",0.1,0)+IF($G$5="撼天",0.05,0))-$F$9+IF($J$5="√",160,0)</f>
        <v>3324.7</v>
      </c>
      <c r="R98" s="102">
        <f>IF(VLOOKUP($E98,武器奇术!$A:$Z,18,FALSE)="叶龙",(S98-(Q98+S98)*0.5)*($G$15-0.5)*2+(Q98+S98)*0.5,(Q98+S98)*0.5)</f>
        <v>3404.7</v>
      </c>
      <c r="S98" s="102">
        <f>MAX($C$5,$B$5)*(1+VLOOKUP($E98,武器奇术!$A:$R,6,FALSE))*(1+VLOOKUP($E98,武器奇术!$A:$S,19,FALSE)+IF($G$5="飞隼",0.1,0)+IF($G$5="撼天",0.05,0))-$F$9+IF($J$5="√",320,0)</f>
        <v>3484.7</v>
      </c>
      <c r="T98" s="104">
        <f>IF(($D$5+VLOOKUP($E98,武器奇术!$A:$R,13,FALSE)+IF($I$3="√",10,0)-VLOOKUP($F$7,目标属性!$A:$R,5,FALSE))&gt;0,($D$5+VLOOKUP($E98,武器奇术!$A:$R,13,FALSE)+IF($I$3="√",10,0)-VLOOKUP($F$7,目标属性!$A:$R,5,FALSE))/200,($D$5+VLOOKUP($E98,武器奇术!$A:$R,13,FALSE)+IF($I$3="√",10,0)-VLOOKUP($F$7,目标属性!$A:$R,5,FALSE))/100)</f>
        <v>0.3925</v>
      </c>
      <c r="U98" s="111">
        <f>$E$5+IF($G$5="烟柳",IF(VLOOKUP($E98,武器奇术!$A:$T,20,FALSE)=1,0.1,0),0)</f>
        <v>0</v>
      </c>
      <c r="V98" s="102">
        <v>1</v>
      </c>
      <c r="W98" s="103">
        <f>Q98*VLOOKUP($E98,武器奇术!$A:$R,2,FALSE)*(1+T98)*(1+U98)*V98</f>
        <v>4629.64475</v>
      </c>
      <c r="X98" s="104">
        <f>(1-IF(VLOOKUP($E98,武器奇术!$A:$R,18,FALSE)="叶龙",1,$N98))*(1-$M98)</f>
        <v>0</v>
      </c>
      <c r="Y98" s="103">
        <f>R98*VLOOKUP($E98,武器奇术!$A:$R,2,FALSE)*(1+T98)*(1+U98)*V98*(1+$E$16+VLOOKUP($E98,武器奇术!$A:$R,8,FALSE))</f>
        <v>8979.5387565</v>
      </c>
      <c r="Z98" s="104">
        <f t="shared" si="47"/>
        <v>0.8703</v>
      </c>
      <c r="AA98" s="103">
        <f>S98*VLOOKUP($E98,武器奇术!$A:$R,2,FALSE)*(1+T98)*(1+U98)*V98*(1+$E$17+VLOOKUP($E98,武器奇术!$A:$R,10,FALSE))</f>
        <v>6550.8004125</v>
      </c>
      <c r="AB98" s="104">
        <f t="shared" si="48"/>
        <v>0.0986</v>
      </c>
      <c r="AC98" s="103">
        <f>R98*VLOOKUP($E98,武器奇术!$A:$R,2,FALSE)*(1+T98)*(1+U98)*V98</f>
        <v>4741.04475</v>
      </c>
      <c r="AD98" s="104">
        <f t="shared" si="49"/>
        <v>0.0311</v>
      </c>
      <c r="AE98" s="112">
        <f t="shared" si="50"/>
        <v>8608.24799217945</v>
      </c>
      <c r="AF98" s="113">
        <f>VLOOKUP($E98,武器奇术!$A:$R,3,FALSE)*(1+IF(VLOOKUP($E98,武器奇术!$A:$R,15,FALSE)="武器",$E$15,0))</f>
        <v>0</v>
      </c>
      <c r="AG98" s="103">
        <f t="shared" si="51"/>
        <v>0</v>
      </c>
      <c r="AH98" s="103">
        <f>VLOOKUP($E98,武器奇术!$A:$R,3,FALSE)*(1+IF(VLOOKUP($E98,武器奇术!$A:$R,15,FALSE)="武器",$E$15,0))</f>
        <v>0</v>
      </c>
      <c r="AI98" s="104">
        <f>IF(($D$5+VLOOKUP($E98,武器奇术!$A:$R,13,FALSE)+IF($I$3="√",10,0)-VLOOKUP($F$7,目标属性!$A:$R,5,FALSE))&gt;0,($D$5+VLOOKUP($E98,武器奇术!$A:$R,13,FALSE)+IF($I$3="√",10,0)-VLOOKUP($F$7,目标属性!$A:$R,5,FALSE))/200,($D$5+VLOOKUP($E98,武器奇术!$A:$R,13,FALSE)+IF($I$3="√",10,0)-VLOOKUP($F$7,目标属性!$A:$R,5,FALSE))/100)</f>
        <v>0.3925</v>
      </c>
      <c r="AJ98" s="111">
        <f>$E$5+IF($G$5="烟柳",IF(VLOOKUP($E98,武器奇术!$A:$T,20,FALSE)=1,0.1,0),0)</f>
        <v>0</v>
      </c>
      <c r="AK98" s="102">
        <v>1</v>
      </c>
      <c r="AL98" s="103">
        <f t="shared" si="52"/>
        <v>0</v>
      </c>
      <c r="AM98" s="104">
        <f>(1-IF(VLOOKUP($E98,武器奇术!$A:$R,18,FALSE)="叶龙",1,$N98))*(1-$M98)</f>
        <v>0</v>
      </c>
      <c r="AN98" s="103">
        <f>AG98*(1+AI98)*(1+AJ98)*AK98*(1+$E$16+VLOOKUP($E98,武器奇术!$A:$R,8,FALSE))</f>
        <v>0</v>
      </c>
      <c r="AO98" s="104">
        <f t="shared" si="53"/>
        <v>0.8703</v>
      </c>
      <c r="AP98" s="103">
        <f>AH98*(1+AI98)*(1+AJ98)*AK98*(1+$E$17+VLOOKUP($E98,武器奇术!$A:$R,10,FALSE))</f>
        <v>0</v>
      </c>
      <c r="AQ98" s="104">
        <f t="shared" si="54"/>
        <v>0.0986</v>
      </c>
      <c r="AR98" s="103">
        <f t="shared" si="55"/>
        <v>0</v>
      </c>
      <c r="AS98" s="104">
        <f t="shared" si="56"/>
        <v>0.0311</v>
      </c>
      <c r="AT98" s="112">
        <f t="shared" si="57"/>
        <v>0</v>
      </c>
      <c r="AU98" s="110">
        <f>$B$7*IF($G$5="撼天",1.05,1)+IF(AND(VLOOKUP($E98,武器奇术!$A:$R,15,FALSE)="武器",VLOOKUP($E98,武器奇术!$A:$R,17,FALSE)="鸣金"),$E$3*(1+$E$15),0)</f>
        <v>0</v>
      </c>
      <c r="AV98" s="102">
        <f t="shared" si="58"/>
        <v>0</v>
      </c>
      <c r="AW98" s="102">
        <f>MAX($C$7*IF($G$5="撼天",1.05,1)+IF(AND(VLOOKUP($E98,武器奇术!$A:$R,15,FALSE)="武器",VLOOKUP($E98,武器奇术!$A:$R,17,FALSE)="鸣金"),$E$3*(1+$E$15),0),AU98)</f>
        <v>0</v>
      </c>
      <c r="AX98" s="104">
        <f>IF(($D$7+IF(VLOOKUP($E98,武器奇术!$A:$R,17,FALSE)="鸣金",$D$15,0)-VLOOKUP($F$7,目标属性!$A:$R,6,FALSE))&gt;0,($D$7+IF(VLOOKUP($E98,武器奇术!$A:$R,17,FALSE)="鸣金",$D$15,0)-VLOOKUP($F$7,目标属性!$A:$R,6,FALSE))/200,($D$7+IF(VLOOKUP($E98,武器奇术!$A:$R,17,FALSE)="鸣金",$D$15,0)-VLOOKUP($F$7,目标属性!$A:$R,6,FALSE))/100)</f>
        <v>-0.24</v>
      </c>
      <c r="AY98" s="111">
        <f t="shared" si="59"/>
        <v>0</v>
      </c>
      <c r="AZ98" s="102">
        <v>1</v>
      </c>
      <c r="BA98" s="103">
        <f>AU98*IF(VLOOKUP($E98,武器奇术!$A:$R,17,FALSE)="鸣金",VLOOKUP($E98,武器奇术!$A:$R,4,FALSE),VLOOKUP($E98,武器奇术!$A:$R,2,FALSE))*(1+AX98)*(1+AY98)*AZ98</f>
        <v>0</v>
      </c>
      <c r="BB98" s="104">
        <f>(1-IF(VLOOKUP($E98,武器奇术!$A:$R,18,FALSE)="叶龙",1,$N98))*(1-$M98)</f>
        <v>0</v>
      </c>
      <c r="BC98" s="103">
        <f>AV98*IF(VLOOKUP($E98,武器奇术!$A:$R,17,FALSE)="鸣金",VLOOKUP($E98,武器奇术!$A:$R,4,FALSE),VLOOKUP($E98,武器奇术!$A:$R,2,FALSE))*(1+AX98)*(1+AY98)*AZ98*(1+$E$16+VLOOKUP($E98,武器奇术!$A:$R,8,FALSE))</f>
        <v>0</v>
      </c>
      <c r="BD98" s="104">
        <f t="shared" si="60"/>
        <v>0.8703</v>
      </c>
      <c r="BE98" s="103">
        <f>AW98*IF(VLOOKUP($E98,武器奇术!$A:$R,17,FALSE)="鸣金",VLOOKUP($E98,武器奇术!$A:$R,4,FALSE),VLOOKUP($E98,武器奇术!$A:$R,2,FALSE))*(1+AX98)*(1+AY98)*AZ98*(1+$E$17+VLOOKUP($E98,武器奇术!$A:$R,10,FALSE))</f>
        <v>0</v>
      </c>
      <c r="BF98" s="104">
        <f t="shared" si="61"/>
        <v>0.0986</v>
      </c>
      <c r="BG98" s="103">
        <f>AV98*IF(VLOOKUP($E98,武器奇术!$A:$R,17,FALSE)="鸣金",VLOOKUP($E98,武器奇术!$A:$R,4,FALSE),VLOOKUP($E98,武器奇术!$A:$R,2,FALSE))*(1+AX98)*(1+AY98)*AZ98</f>
        <v>0</v>
      </c>
      <c r="BH98" s="104">
        <f t="shared" si="62"/>
        <v>0.0311</v>
      </c>
      <c r="BI98" s="112">
        <f t="shared" si="63"/>
        <v>0</v>
      </c>
      <c r="BJ98" s="110">
        <f>$B$9*IF($G$5="撼天",1.05,1)+IF(AND(VLOOKUP($E98,武器奇术!$A:$R,15,FALSE)="武器",VLOOKUP($E98,武器奇术!$A:$R,17,FALSE)="裂石"),$E$3*(1+$E$15),0)</f>
        <v>0</v>
      </c>
      <c r="BK98" s="102">
        <f t="shared" si="64"/>
        <v>0</v>
      </c>
      <c r="BL98" s="102">
        <f>MAX($C$9*IF($G$5="撼天",1.05,1)+IF(AND(VLOOKUP($E98,武器奇术!$A:$R,15,FALSE)="武器",VLOOKUP($E98,武器奇术!$A:$R,17,FALSE)="裂石"),$E$3*(1+$E$15),0),BJ98)</f>
        <v>0</v>
      </c>
      <c r="BM98" s="104">
        <f>IF(($D$9+IF(VLOOKUP($E98,武器奇术!$A:$R,17,FALSE)="裂石",$D$15,0)-VLOOKUP($F$7,目标属性!$A:$R,6,FALSE))&gt;0,($D$9+IF(VLOOKUP($E98,武器奇术!$A:$R,17,FALSE)="裂石",$D$15,0)-VLOOKUP($F$7,目标属性!$A:$R,6,FALSE))/200,($D$9+IF(VLOOKUP($E98,武器奇术!$A:$R,17,FALSE)="裂石",$D$15,0)-VLOOKUP($F$7,目标属性!$A:$R,6,FALSE))/100)</f>
        <v>-0.24</v>
      </c>
      <c r="BN98" s="111">
        <f t="shared" si="65"/>
        <v>0</v>
      </c>
      <c r="BO98" s="102">
        <v>1</v>
      </c>
      <c r="BP98" s="103">
        <f>BJ98*IF(VLOOKUP($E98,武器奇术!$A:$R,17,FALSE)="裂石",VLOOKUP($E98,武器奇术!$A:$R,4,FALSE),VLOOKUP($E98,武器奇术!$A:$R,2,FALSE))*(1+BM98)*(1+BN98)*BO98</f>
        <v>0</v>
      </c>
      <c r="BQ98" s="104">
        <f>(1-IF(VLOOKUP($E98,武器奇术!$A:$R,18,FALSE)="叶龙",1,$N98))*(1-$M98)</f>
        <v>0</v>
      </c>
      <c r="BR98" s="103">
        <f>BK98*IF(VLOOKUP($E98,武器奇术!$A:$R,17,FALSE)="裂石",VLOOKUP($E98,武器奇术!$A:$R,4,FALSE),VLOOKUP($E98,武器奇术!$A:$R,2,FALSE))*(1+BM98)*(1+BN98)*BO98*(1+$E$16+VLOOKUP($E98,武器奇术!$A:$R,8,FALSE))</f>
        <v>0</v>
      </c>
      <c r="BS98" s="104">
        <f t="shared" si="66"/>
        <v>0.8703</v>
      </c>
      <c r="BT98" s="103">
        <f>BL98*IF(VLOOKUP($E98,武器奇术!$A:$R,17,FALSE)="裂石",VLOOKUP($E98,武器奇术!$A:$R,4,FALSE),VLOOKUP($E98,武器奇术!$A:$R,2,FALSE))*(1+BM98)*(1+BN98)*BO98*(1+$E$17+VLOOKUP($E98,武器奇术!$A:$R,10,FALSE))</f>
        <v>0</v>
      </c>
      <c r="BU98" s="104">
        <f t="shared" si="67"/>
        <v>0.0986</v>
      </c>
      <c r="BV98" s="103">
        <f>BK98*IF(VLOOKUP($E98,武器奇术!$A:$R,17,FALSE)="裂石",VLOOKUP($E98,武器奇术!$A:$R,4,FALSE),VLOOKUP($E98,武器奇术!$A:$R,2,FALSE))*(1+BM98)*(1+BN98)*BO98</f>
        <v>0</v>
      </c>
      <c r="BW98" s="104">
        <f t="shared" si="68"/>
        <v>0.0311</v>
      </c>
      <c r="BX98" s="112">
        <f t="shared" si="69"/>
        <v>0</v>
      </c>
      <c r="BY98" s="110">
        <f>$B$11*IF($G$5="撼天",1.05,1)+IF(AND(VLOOKUP($E98,武器奇术!$A:$R,15,FALSE)="武器",VLOOKUP($E98,武器奇术!$A:$R,17,FALSE)="牵丝"),$E$3*(1+$E$15),0)</f>
        <v>490.8</v>
      </c>
      <c r="BZ98" s="102">
        <f>IF(VLOOKUP($E98,武器奇术!$A:$Z,18,FALSE)="叶龙",(CA98-(BY98+CA98)*0.5)*($G$15-0.5)*2+(BY98+CA98)*0.5,(BY98+CA98)*0.5)</f>
        <v>856.3</v>
      </c>
      <c r="CA98" s="102">
        <f>MAX($C$11*IF($G$5="撼天",1.05,1)+IF(AND(VLOOKUP($E98,武器奇术!$A:$R,15,FALSE)="武器",VLOOKUP($E98,武器奇术!$A:$R,17,FALSE)="牵丝"),$E$3*(1+$E$15),0),BY98)</f>
        <v>1221.8</v>
      </c>
      <c r="CB98" s="104">
        <f>IF(($D$11+IF(VLOOKUP($E98,武器奇术!$A:$R,17,FALSE)="牵丝",$D$15,0)-VLOOKUP($F$7,目标属性!$A:$R,6,FALSE))&gt;0,($D$11+IF(VLOOKUP($E98,武器奇术!$A:$R,17,FALSE)="牵丝",$D$15,0)-VLOOKUP($F$7,目标属性!$A:$R,6,FALSE))/200,($D$11+IF(VLOOKUP($E98,武器奇术!$A:$R,17,FALSE)="牵丝",$D$15,0)-VLOOKUP($F$7,目标属性!$A:$R,6,FALSE))/100)</f>
        <v>0.028</v>
      </c>
      <c r="CC98" s="111">
        <f>$E$11+IF($G$5="烟柳",IF(VLOOKUP($E98,武器奇术!$A:$T,20,FALSE)=1,0.1,0),0)</f>
        <v>0.148</v>
      </c>
      <c r="CD98" s="102">
        <v>1</v>
      </c>
      <c r="CE98" s="103">
        <f>BY98*IF(VLOOKUP($E98,武器奇术!$A:$R,17,FALSE)="牵丝",VLOOKUP($E98,武器奇术!$A:$R,4,FALSE),VLOOKUP($E98,武器奇术!$A:$R,2,FALSE))*(1+CB98)*(1+CC98)*CD98</f>
        <v>579.2146752</v>
      </c>
      <c r="CF98" s="104">
        <f>(1-IF(VLOOKUP($E98,武器奇术!$A:$R,18,FALSE)="叶龙",1,$N98))*(1-$M98)</f>
        <v>0</v>
      </c>
      <c r="CG98" s="124">
        <f>BZ98*IF(VLOOKUP($E98,武器奇术!$A:$R,17,FALSE)="牵丝",VLOOKUP($E98,武器奇术!$A:$R,4,FALSE),VLOOKUP($E98,武器奇术!$A:$R,2,FALSE))*(1+CB98)*(1+CC98)*CD98*(1+$E$16+VLOOKUP($E98,武器奇术!$A:$R,8,FALSE))</f>
        <v>1913.9955398368</v>
      </c>
      <c r="CH98" s="104">
        <f t="shared" si="70"/>
        <v>0.8703</v>
      </c>
      <c r="CI98" s="103">
        <f>CA98*IF(VLOOKUP($E98,武器奇术!$A:$R,17,FALSE)="牵丝",VLOOKUP($E98,武器奇术!$A:$R,4,FALSE),VLOOKUP($E98,武器奇术!$A:$R,2,FALSE))*(1+CB98)*(1+CC98)*CD98*(1+$E$17+VLOOKUP($E98,武器奇术!$A:$R,10,FALSE))</f>
        <v>1946.56491792</v>
      </c>
      <c r="CJ98" s="104">
        <f t="shared" si="71"/>
        <v>0.0986</v>
      </c>
      <c r="CK98" s="124">
        <f>BZ98*IF(VLOOKUP($E98,武器奇术!$A:$R,17,FALSE)="牵丝",VLOOKUP($E98,武器奇术!$A:$R,4,FALSE),VLOOKUP($E98,武器奇术!$A:$R,2,FALSE))*(1+CB98)*(1+CC98)*CD98</f>
        <v>1010.5573072</v>
      </c>
      <c r="CL98" s="104">
        <f t="shared" si="72"/>
        <v>0.0311</v>
      </c>
      <c r="CM98" s="112">
        <f t="shared" si="73"/>
        <v>1889.1099514808</v>
      </c>
      <c r="CN98" s="110">
        <f>$B$13*IF($G$5="撼天",1.05,1)+IF(AND(VLOOKUP($E98,武器奇术!$A:$R,15,FALSE)="武器",VLOOKUP($E98,武器奇术!$A:$R,17,FALSE)="破竹"),$E$3*(1+$E$15),0)</f>
        <v>0</v>
      </c>
      <c r="CO98" s="102">
        <f t="shared" si="74"/>
        <v>0</v>
      </c>
      <c r="CP98" s="102">
        <f>MAX($C$13*IF($G$5="撼天",1.05,1)+IF(AND(VLOOKUP($E98,武器奇术!$A:$R,15,FALSE)="武器",VLOOKUP($E98,武器奇术!$A:$R,17,FALSE)="破竹"),$E$3*(1+$E$15),0),CN98)</f>
        <v>0</v>
      </c>
      <c r="CQ98" s="104">
        <f>IF(($D$13+IF(VLOOKUP($E98,武器奇术!$A:$R,17,FALSE)="破竹",$D$15,0)-VLOOKUP($F$7,目标属性!$A:$R,6,FALSE))&gt;0,($D$13+IF(VLOOKUP($E98,武器奇术!$A:$R,17,FALSE)="破竹",$D$15,0)-VLOOKUP($F$7,目标属性!$A:$R,6,FALSE))/200,($D$13+IF(VLOOKUP($E98,武器奇术!$A:$R,17,FALSE)="破竹",$D$15,0)-VLOOKUP($F$7,目标属性!$A:$R,6,FALSE))/100)</f>
        <v>-0.24</v>
      </c>
      <c r="CR98" s="111">
        <f t="shared" si="75"/>
        <v>0</v>
      </c>
      <c r="CS98" s="102">
        <v>1</v>
      </c>
      <c r="CT98" s="103">
        <f>CN98*IF(VLOOKUP($E98,武器奇术!$A:$R,17,FALSE)="破竹",VLOOKUP($E98,武器奇术!$A:$R,4,FALSE),VLOOKUP($E98,武器奇术!$A:$R,2,FALSE))*(1+CQ98)*(1+CR98)*CS98</f>
        <v>0</v>
      </c>
      <c r="CU98" s="104">
        <f>(1-IF(VLOOKUP($E98,武器奇术!$A:$R,18,FALSE)="叶龙",1,$N98))*(1-$M98)</f>
        <v>0</v>
      </c>
      <c r="CV98" s="103">
        <f>CO98*IF(VLOOKUP($E98,武器奇术!$A:$R,17,FALSE)="破竹",VLOOKUP($E98,武器奇术!$A:$R,4,FALSE),VLOOKUP($E98,武器奇术!$A:$R,2,FALSE))*(1+CQ98)*(1+CR98)*CS98*(1+$E$16+VLOOKUP($E98,武器奇术!$A:$R,8,FALSE))</f>
        <v>0</v>
      </c>
      <c r="CW98" s="104">
        <f t="shared" si="76"/>
        <v>0.8703</v>
      </c>
      <c r="CX98" s="103">
        <f>CP98*IF(VLOOKUP($E98,武器奇术!$A:$R,17,FALSE)="破竹",VLOOKUP($E98,武器奇术!$A:$R,4,FALSE),VLOOKUP($E98,武器奇术!$A:$R,2,FALSE))*(1+CQ98)*(1+CR98)*CS98*(1+$E$17+VLOOKUP($E98,武器奇术!$A:$R,10,FALSE))</f>
        <v>0</v>
      </c>
      <c r="CY98" s="104">
        <f t="shared" si="77"/>
        <v>0.0986</v>
      </c>
      <c r="CZ98" s="103">
        <f>CO98*IF(VLOOKUP($E98,武器奇术!$A:$R,17,FALSE)="破竹",VLOOKUP($E98,武器奇术!$A:$R,4,FALSE),VLOOKUP($E98,武器奇术!$A:$R,2,FALSE))*(1+CQ98)*(1+CR98)*CS98</f>
        <v>0</v>
      </c>
      <c r="DA98" s="104">
        <f t="shared" si="78"/>
        <v>0.0311</v>
      </c>
      <c r="DB98" s="112">
        <f t="shared" si="79"/>
        <v>0</v>
      </c>
      <c r="DC98" s="110">
        <f t="shared" si="80"/>
        <v>66</v>
      </c>
      <c r="DD98" s="102">
        <f t="shared" si="81"/>
        <v>125.8</v>
      </c>
      <c r="DE98" s="102">
        <f t="shared" si="82"/>
        <v>185.6</v>
      </c>
      <c r="DF98" s="104">
        <f>IF((IF(VLOOKUP($E98,武器奇术!$A:$R,17,FALSE)="鸣金",$D$7,0)+IF(VLOOKUP($E98,武器奇术!$A:$R,17,FALSE)="裂石",$D$9,0)+IF(VLOOKUP($E98,武器奇术!$A:$R,17,FALSE)="牵丝",$D$11,0)+IF(VLOOKUP($E98,武器奇术!$A:$R,17,FALSE)="破竹",$D$13,0)+$D$15-VLOOKUP($F$7,目标属性!$A:$R,6,FALSE))&gt;0,(IF(VLOOKUP($E98,武器奇术!$A:$R,17,FALSE)="鸣金",$D$7,0)+IF(VLOOKUP($E98,武器奇术!$A:$R,17,FALSE)="裂石",$D$9,0)+IF(VLOOKUP($E98,武器奇术!$A:$R,17,FALSE)="牵丝",$D$11,0)+IF(VLOOKUP($E98,武器奇术!$A:$R,17,FALSE)="破竹",$D$13,0)+$D$15-VLOOKUP($F$7,目标属性!$A:$R,6,FALSE))/200,(IF(VLOOKUP($E98,武器奇术!$A:$R,17,FALSE)="鸣金",$D$7,0)+IF(VLOOKUP($E98,武器奇术!$A:$R,17,FALSE)="裂石",$D$9,0)+IF(VLOOKUP($E98,武器奇术!$A:$R,17,FALSE)="牵丝",$D$11,0)+IF(VLOOKUP($E98,武器奇术!$A:$R,17,FALSE)="破竹",$D$13,0)+$D$15-VLOOKUP($F$7,目标属性!$A:$R,6,FALSE))/100)</f>
        <v>0.028</v>
      </c>
      <c r="DG98" s="111">
        <f>$E$11+IF($G$5="烟柳",IF(VLOOKUP($E98,武器奇术!$A:$T,20,FALSE)=1,0.1,0),0)</f>
        <v>0.148</v>
      </c>
      <c r="DH98" s="102">
        <v>1</v>
      </c>
      <c r="DI98" s="103">
        <f>DC98*IF(VLOOKUP($E98,武器奇术!$A:$R,17,FALSE)="牵丝",VLOOKUP($E98,武器奇术!$A:$R,4,FALSE),VLOOKUP($E98,武器奇术!$A:$R,2,FALSE))*(1+DF98)*(1+DG98)*DH98</f>
        <v>77.889504</v>
      </c>
      <c r="DJ98" s="104">
        <f>(1-IF(VLOOKUP($E98,武器奇术!$A:$R,18,FALSE)="叶龙",1,$N98))*(1-$M98)</f>
        <v>0</v>
      </c>
      <c r="DK98" s="124">
        <f>DD98*IF(VLOOKUP($E98,武器奇术!$A:$R,17,FALSE)="牵丝",VLOOKUP($E98,武器奇术!$A:$R,4,FALSE),VLOOKUP($E98,武器奇术!$A:$R,2,FALSE))*(1+DF98)*(1+DG98)*DH98*(1+$E$16+VLOOKUP($E98,武器奇术!$A:$R,8,FALSE))</f>
        <v>281.1872461888</v>
      </c>
      <c r="DL98" s="104">
        <f t="shared" si="83"/>
        <v>0.8703</v>
      </c>
      <c r="DM98" s="103">
        <f>DE98*IF(VLOOKUP($E98,武器奇术!$A:$R,17,FALSE)="牵丝",VLOOKUP($E98,武器奇术!$A:$R,4,FALSE),VLOOKUP($E98,武器奇术!$A:$R,2,FALSE))*(1+DF98)*(1+DG98)*DH98*(1+$E$17+VLOOKUP($E98,武器奇术!$A:$R,10,FALSE))</f>
        <v>295.69688064</v>
      </c>
      <c r="DN98" s="104">
        <f t="shared" si="84"/>
        <v>0.0986</v>
      </c>
      <c r="DO98" s="124">
        <f>DD98*IF(VLOOKUP($E98,武器奇术!$A:$R,17,FALSE)="牵丝",VLOOKUP($E98,武器奇术!$A:$R,4,FALSE),VLOOKUP($E98,武器奇术!$A:$R,2,FALSE))*(1+DF98)*(1+DG98)*DH98</f>
        <v>148.4621152</v>
      </c>
      <c r="DP98" s="104">
        <f t="shared" si="85"/>
        <v>0.0311</v>
      </c>
      <c r="DQ98" s="112">
        <f t="shared" si="86"/>
        <v>278.490144571937</v>
      </c>
    </row>
    <row r="99" spans="3:121">
      <c r="E99" s="115" t="str">
        <f>期望!E99</f>
        <v>易水歌6重(大纵气竭)</v>
      </c>
      <c r="F99" s="116">
        <f>期望!F99</f>
        <v>1</v>
      </c>
      <c r="G99" s="117"/>
      <c r="H99" s="103">
        <f>IF(VLOOKUP($E99,武器奇术!$A:$R,18,FALSE)="天工",AE99,(AE99+AT99+BI99+BX99+CM99+DB99+DQ99))*(1+J99)*F99*K99*(1+G99)</f>
        <v>15441.7903104367</v>
      </c>
      <c r="I99" s="104">
        <f t="shared" si="45"/>
        <v>0.00177966568272196</v>
      </c>
      <c r="J99" s="104">
        <f>$F$3+VLOOKUP($E99,武器奇术!$A:$R,12,FALSE)+VLOOKUP($E99,武器奇术!$A:$R,14,FALSE)*$G$3+$P99</f>
        <v>0.433</v>
      </c>
      <c r="K99" s="105">
        <f>VLOOKUP($E99,武器奇术!$A:$R,11,FALSE)</f>
        <v>1</v>
      </c>
      <c r="L99" s="119">
        <f>IF(VLOOKUP($E99,武器奇术!$A:$R,15,FALSE)="天工",0%,IF($C$17+VLOOKUP($E99,武器奇术!$A:$R,7,FALSE)&gt;80%,80%,$C$17+VLOOKUP($E99,武器奇术!$A:$R,7,FALSE))+IF($C$19&gt;20%,20%,$C$19))</f>
        <v>0.8703</v>
      </c>
      <c r="M99" s="120">
        <f>IF(VLOOKUP($E99,武器奇术!$A:$R,15,FALSE)="天工",0%,IF($C$18+VLOOKUP($E99,武器奇术!$A:$R,9,FALSE)&gt;40%,40%,$C$18+VLOOKUP($E99,武器奇术!$A:$R,9,FALSE))+IF($C$20&gt;10%,10%,$C$20))</f>
        <v>0.0986</v>
      </c>
      <c r="N99" s="121">
        <f>IF(VLOOKUP($E99,武器奇术!$A:$R,15,FALSE)="天工",100%,MIN($C$16,1))</f>
        <v>1</v>
      </c>
      <c r="O99" s="122" t="str">
        <f>VLOOKUP($E99,武器奇术!$A:$R,16,FALSE)</f>
        <v>N/A</v>
      </c>
      <c r="P99" s="123">
        <f t="shared" si="46"/>
        <v>0</v>
      </c>
      <c r="Q99" s="110">
        <f>$B$5*(1+VLOOKUP($E99,武器奇术!$A:$R,5,FALSE))*(1+VLOOKUP($E99,武器奇术!$A:$S,19,FALSE)+IF($G$5="飞隼",0.1,0)+IF($G$5="撼天",0.05,0))-$F$9+IF($J$5="√",160,0)</f>
        <v>3324.7</v>
      </c>
      <c r="R99" s="102">
        <f>IF(VLOOKUP($E99,武器奇术!$A:$Z,18,FALSE)="叶龙",(S99-(Q99+S99)*0.5)*($G$15-0.5)*2+(Q99+S99)*0.5,(Q99+S99)*0.5)</f>
        <v>3404.7</v>
      </c>
      <c r="S99" s="102">
        <f>MAX($C$5,$B$5)*(1+VLOOKUP($E99,武器奇术!$A:$R,6,FALSE))*(1+VLOOKUP($E99,武器奇术!$A:$S,19,FALSE)+IF($G$5="飞隼",0.1,0)+IF($G$5="撼天",0.05,0))-$F$9+IF($J$5="√",320,0)</f>
        <v>3484.7</v>
      </c>
      <c r="T99" s="104">
        <f>IF(($D$5+VLOOKUP($E99,武器奇术!$A:$R,13,FALSE)+IF($I$3="√",10,0)-VLOOKUP($F$7,目标属性!$A:$R,5,FALSE))&gt;0,($D$5+VLOOKUP($E99,武器奇术!$A:$R,13,FALSE)+IF($I$3="√",10,0)-VLOOKUP($F$7,目标属性!$A:$R,5,FALSE))/200,($D$5+VLOOKUP($E99,武器奇术!$A:$R,13,FALSE)+IF($I$3="√",10,0)-VLOOKUP($F$7,目标属性!$A:$R,5,FALSE))/100)</f>
        <v>0.3925</v>
      </c>
      <c r="U99" s="111">
        <f>$E$5+IF($G$5="烟柳",IF(VLOOKUP($E99,武器奇术!$A:$T,20,FALSE)=1,0.1,0),0)</f>
        <v>0</v>
      </c>
      <c r="V99" s="102">
        <v>1</v>
      </c>
      <c r="W99" s="103">
        <f>Q99*VLOOKUP($E99,武器奇术!$A:$R,2,FALSE)*(1+T99)*(1+U99)*V99</f>
        <v>4629.64475</v>
      </c>
      <c r="X99" s="104">
        <f>(1-IF(VLOOKUP($E99,武器奇术!$A:$R,18,FALSE)="叶龙",1,$N99))*(1-$M99)</f>
        <v>0</v>
      </c>
      <c r="Y99" s="103">
        <f>R99*VLOOKUP($E99,武器奇术!$A:$R,2,FALSE)*(1+T99)*(1+U99)*V99*(1+$E$16+VLOOKUP($E99,武器奇术!$A:$R,8,FALSE))</f>
        <v>8979.5387565</v>
      </c>
      <c r="Z99" s="104">
        <f t="shared" si="47"/>
        <v>0.8703</v>
      </c>
      <c r="AA99" s="103">
        <f>S99*VLOOKUP($E99,武器奇术!$A:$R,2,FALSE)*(1+T99)*(1+U99)*V99*(1+$E$17+VLOOKUP($E99,武器奇术!$A:$R,10,FALSE))</f>
        <v>6550.8004125</v>
      </c>
      <c r="AB99" s="104">
        <f t="shared" si="48"/>
        <v>0.0986</v>
      </c>
      <c r="AC99" s="103">
        <f>R99*VLOOKUP($E99,武器奇术!$A:$R,2,FALSE)*(1+T99)*(1+U99)*V99</f>
        <v>4741.04475</v>
      </c>
      <c r="AD99" s="104">
        <f t="shared" si="49"/>
        <v>0.0311</v>
      </c>
      <c r="AE99" s="112">
        <f t="shared" si="50"/>
        <v>8608.24799217945</v>
      </c>
      <c r="AF99" s="113">
        <f>VLOOKUP($E99,武器奇术!$A:$R,3,FALSE)*(1+IF(VLOOKUP($E99,武器奇术!$A:$R,15,FALSE)="武器",$E$15,0))</f>
        <v>0</v>
      </c>
      <c r="AG99" s="103">
        <f t="shared" si="51"/>
        <v>0</v>
      </c>
      <c r="AH99" s="103">
        <f>VLOOKUP($E99,武器奇术!$A:$R,3,FALSE)*(1+IF(VLOOKUP($E99,武器奇术!$A:$R,15,FALSE)="武器",$E$15,0))</f>
        <v>0</v>
      </c>
      <c r="AI99" s="104">
        <f>IF(($D$5+VLOOKUP($E99,武器奇术!$A:$R,13,FALSE)+IF($I$3="√",10,0)-VLOOKUP($F$7,目标属性!$A:$R,5,FALSE))&gt;0,($D$5+VLOOKUP($E99,武器奇术!$A:$R,13,FALSE)+IF($I$3="√",10,0)-VLOOKUP($F$7,目标属性!$A:$R,5,FALSE))/200,($D$5+VLOOKUP($E99,武器奇术!$A:$R,13,FALSE)+IF($I$3="√",10,0)-VLOOKUP($F$7,目标属性!$A:$R,5,FALSE))/100)</f>
        <v>0.3925</v>
      </c>
      <c r="AJ99" s="111">
        <f>$E$5+IF($G$5="烟柳",IF(VLOOKUP($E99,武器奇术!$A:$T,20,FALSE)=1,0.1,0),0)</f>
        <v>0</v>
      </c>
      <c r="AK99" s="102">
        <v>1</v>
      </c>
      <c r="AL99" s="103">
        <f t="shared" si="52"/>
        <v>0</v>
      </c>
      <c r="AM99" s="104">
        <f>(1-IF(VLOOKUP($E99,武器奇术!$A:$R,18,FALSE)="叶龙",1,$N99))*(1-$M99)</f>
        <v>0</v>
      </c>
      <c r="AN99" s="103">
        <f>AG99*(1+AI99)*(1+AJ99)*AK99*(1+$E$16+VLOOKUP($E99,武器奇术!$A:$R,8,FALSE))</f>
        <v>0</v>
      </c>
      <c r="AO99" s="104">
        <f t="shared" si="53"/>
        <v>0.8703</v>
      </c>
      <c r="AP99" s="103">
        <f>AH99*(1+AI99)*(1+AJ99)*AK99*(1+$E$17+VLOOKUP($E99,武器奇术!$A:$R,10,FALSE))</f>
        <v>0</v>
      </c>
      <c r="AQ99" s="104">
        <f t="shared" si="54"/>
        <v>0.0986</v>
      </c>
      <c r="AR99" s="103">
        <f t="shared" si="55"/>
        <v>0</v>
      </c>
      <c r="AS99" s="104">
        <f t="shared" si="56"/>
        <v>0.0311</v>
      </c>
      <c r="AT99" s="112">
        <f t="shared" si="57"/>
        <v>0</v>
      </c>
      <c r="AU99" s="110">
        <f>$B$7*IF($G$5="撼天",1.05,1)+IF(AND(VLOOKUP($E99,武器奇术!$A:$R,15,FALSE)="武器",VLOOKUP($E99,武器奇术!$A:$R,17,FALSE)="鸣金"),$E$3*(1+$E$15),0)</f>
        <v>0</v>
      </c>
      <c r="AV99" s="102">
        <f t="shared" si="58"/>
        <v>0</v>
      </c>
      <c r="AW99" s="102">
        <f>MAX($C$7*IF($G$5="撼天",1.05,1)+IF(AND(VLOOKUP($E99,武器奇术!$A:$R,15,FALSE)="武器",VLOOKUP($E99,武器奇术!$A:$R,17,FALSE)="鸣金"),$E$3*(1+$E$15),0),AU99)</f>
        <v>0</v>
      </c>
      <c r="AX99" s="104">
        <f>IF(($D$7+IF(VLOOKUP($E99,武器奇术!$A:$R,17,FALSE)="鸣金",$D$15,0)-VLOOKUP($F$7,目标属性!$A:$R,6,FALSE))&gt;0,($D$7+IF(VLOOKUP($E99,武器奇术!$A:$R,17,FALSE)="鸣金",$D$15,0)-VLOOKUP($F$7,目标属性!$A:$R,6,FALSE))/200,($D$7+IF(VLOOKUP($E99,武器奇术!$A:$R,17,FALSE)="鸣金",$D$15,0)-VLOOKUP($F$7,目标属性!$A:$R,6,FALSE))/100)</f>
        <v>-0.24</v>
      </c>
      <c r="AY99" s="111">
        <f t="shared" si="59"/>
        <v>0</v>
      </c>
      <c r="AZ99" s="102">
        <v>1</v>
      </c>
      <c r="BA99" s="103">
        <f>AU99*IF(VLOOKUP($E99,武器奇术!$A:$R,17,FALSE)="鸣金",VLOOKUP($E99,武器奇术!$A:$R,4,FALSE),VLOOKUP($E99,武器奇术!$A:$R,2,FALSE))*(1+AX99)*(1+AY99)*AZ99</f>
        <v>0</v>
      </c>
      <c r="BB99" s="104">
        <f>(1-IF(VLOOKUP($E99,武器奇术!$A:$R,18,FALSE)="叶龙",1,$N99))*(1-$M99)</f>
        <v>0</v>
      </c>
      <c r="BC99" s="103">
        <f>AV99*IF(VLOOKUP($E99,武器奇术!$A:$R,17,FALSE)="鸣金",VLOOKUP($E99,武器奇术!$A:$R,4,FALSE),VLOOKUP($E99,武器奇术!$A:$R,2,FALSE))*(1+AX99)*(1+AY99)*AZ99*(1+$E$16+VLOOKUP($E99,武器奇术!$A:$R,8,FALSE))</f>
        <v>0</v>
      </c>
      <c r="BD99" s="104">
        <f t="shared" si="60"/>
        <v>0.8703</v>
      </c>
      <c r="BE99" s="103">
        <f>AW99*IF(VLOOKUP($E99,武器奇术!$A:$R,17,FALSE)="鸣金",VLOOKUP($E99,武器奇术!$A:$R,4,FALSE),VLOOKUP($E99,武器奇术!$A:$R,2,FALSE))*(1+AX99)*(1+AY99)*AZ99*(1+$E$17+VLOOKUP($E99,武器奇术!$A:$R,10,FALSE))</f>
        <v>0</v>
      </c>
      <c r="BF99" s="104">
        <f t="shared" si="61"/>
        <v>0.0986</v>
      </c>
      <c r="BG99" s="103">
        <f>AV99*IF(VLOOKUP($E99,武器奇术!$A:$R,17,FALSE)="鸣金",VLOOKUP($E99,武器奇术!$A:$R,4,FALSE),VLOOKUP($E99,武器奇术!$A:$R,2,FALSE))*(1+AX99)*(1+AY99)*AZ99</f>
        <v>0</v>
      </c>
      <c r="BH99" s="104">
        <f t="shared" si="62"/>
        <v>0.0311</v>
      </c>
      <c r="BI99" s="112">
        <f t="shared" si="63"/>
        <v>0</v>
      </c>
      <c r="BJ99" s="110">
        <f>$B$9*IF($G$5="撼天",1.05,1)+IF(AND(VLOOKUP($E99,武器奇术!$A:$R,15,FALSE)="武器",VLOOKUP($E99,武器奇术!$A:$R,17,FALSE)="裂石"),$E$3*(1+$E$15),0)</f>
        <v>0</v>
      </c>
      <c r="BK99" s="102">
        <f t="shared" si="64"/>
        <v>0</v>
      </c>
      <c r="BL99" s="102">
        <f>MAX($C$9*IF($G$5="撼天",1.05,1)+IF(AND(VLOOKUP($E99,武器奇术!$A:$R,15,FALSE)="武器",VLOOKUP($E99,武器奇术!$A:$R,17,FALSE)="裂石"),$E$3*(1+$E$15),0),BJ99)</f>
        <v>0</v>
      </c>
      <c r="BM99" s="104">
        <f>IF(($D$9+IF(VLOOKUP($E99,武器奇术!$A:$R,17,FALSE)="裂石",$D$15,0)-VLOOKUP($F$7,目标属性!$A:$R,6,FALSE))&gt;0,($D$9+IF(VLOOKUP($E99,武器奇术!$A:$R,17,FALSE)="裂石",$D$15,0)-VLOOKUP($F$7,目标属性!$A:$R,6,FALSE))/200,($D$9+IF(VLOOKUP($E99,武器奇术!$A:$R,17,FALSE)="裂石",$D$15,0)-VLOOKUP($F$7,目标属性!$A:$R,6,FALSE))/100)</f>
        <v>-0.24</v>
      </c>
      <c r="BN99" s="111">
        <f t="shared" si="65"/>
        <v>0</v>
      </c>
      <c r="BO99" s="102">
        <v>1</v>
      </c>
      <c r="BP99" s="103">
        <f>BJ99*IF(VLOOKUP($E99,武器奇术!$A:$R,17,FALSE)="裂石",VLOOKUP($E99,武器奇术!$A:$R,4,FALSE),VLOOKUP($E99,武器奇术!$A:$R,2,FALSE))*(1+BM99)*(1+BN99)*BO99</f>
        <v>0</v>
      </c>
      <c r="BQ99" s="104">
        <f>(1-IF(VLOOKUP($E99,武器奇术!$A:$R,18,FALSE)="叶龙",1,$N99))*(1-$M99)</f>
        <v>0</v>
      </c>
      <c r="BR99" s="103">
        <f>BK99*IF(VLOOKUP($E99,武器奇术!$A:$R,17,FALSE)="裂石",VLOOKUP($E99,武器奇术!$A:$R,4,FALSE),VLOOKUP($E99,武器奇术!$A:$R,2,FALSE))*(1+BM99)*(1+BN99)*BO99*(1+$E$16+VLOOKUP($E99,武器奇术!$A:$R,8,FALSE))</f>
        <v>0</v>
      </c>
      <c r="BS99" s="104">
        <f t="shared" si="66"/>
        <v>0.8703</v>
      </c>
      <c r="BT99" s="103">
        <f>BL99*IF(VLOOKUP($E99,武器奇术!$A:$R,17,FALSE)="裂石",VLOOKUP($E99,武器奇术!$A:$R,4,FALSE),VLOOKUP($E99,武器奇术!$A:$R,2,FALSE))*(1+BM99)*(1+BN99)*BO99*(1+$E$17+VLOOKUP($E99,武器奇术!$A:$R,10,FALSE))</f>
        <v>0</v>
      </c>
      <c r="BU99" s="104">
        <f t="shared" si="67"/>
        <v>0.0986</v>
      </c>
      <c r="BV99" s="103">
        <f>BK99*IF(VLOOKUP($E99,武器奇术!$A:$R,17,FALSE)="裂石",VLOOKUP($E99,武器奇术!$A:$R,4,FALSE),VLOOKUP($E99,武器奇术!$A:$R,2,FALSE))*(1+BM99)*(1+BN99)*BO99</f>
        <v>0</v>
      </c>
      <c r="BW99" s="104">
        <f t="shared" si="68"/>
        <v>0.0311</v>
      </c>
      <c r="BX99" s="112">
        <f t="shared" si="69"/>
        <v>0</v>
      </c>
      <c r="BY99" s="110">
        <f>$B$11*IF($G$5="撼天",1.05,1)+IF(AND(VLOOKUP($E99,武器奇术!$A:$R,15,FALSE)="武器",VLOOKUP($E99,武器奇术!$A:$R,17,FALSE)="牵丝"),$E$3*(1+$E$15),0)</f>
        <v>490.8</v>
      </c>
      <c r="BZ99" s="102">
        <f>IF(VLOOKUP($E99,武器奇术!$A:$Z,18,FALSE)="叶龙",(CA99-(BY99+CA99)*0.5)*($G$15-0.5)*2+(BY99+CA99)*0.5,(BY99+CA99)*0.5)</f>
        <v>856.3</v>
      </c>
      <c r="CA99" s="102">
        <f>MAX($C$11*IF($G$5="撼天",1.05,1)+IF(AND(VLOOKUP($E99,武器奇术!$A:$R,15,FALSE)="武器",VLOOKUP($E99,武器奇术!$A:$R,17,FALSE)="牵丝"),$E$3*(1+$E$15),0),BY99)</f>
        <v>1221.8</v>
      </c>
      <c r="CB99" s="104">
        <f>IF(($D$11+IF(VLOOKUP($E99,武器奇术!$A:$R,17,FALSE)="牵丝",$D$15,0)-VLOOKUP($F$7,目标属性!$A:$R,6,FALSE))&gt;0,($D$11+IF(VLOOKUP($E99,武器奇术!$A:$R,17,FALSE)="牵丝",$D$15,0)-VLOOKUP($F$7,目标属性!$A:$R,6,FALSE))/200,($D$11+IF(VLOOKUP($E99,武器奇术!$A:$R,17,FALSE)="牵丝",$D$15,0)-VLOOKUP($F$7,目标属性!$A:$R,6,FALSE))/100)</f>
        <v>0.028</v>
      </c>
      <c r="CC99" s="111">
        <f>$E$11+IF($G$5="烟柳",IF(VLOOKUP($E99,武器奇术!$A:$T,20,FALSE)=1,0.1,0),0)</f>
        <v>0.148</v>
      </c>
      <c r="CD99" s="102">
        <v>1</v>
      </c>
      <c r="CE99" s="103">
        <f>BY99*IF(VLOOKUP($E99,武器奇术!$A:$R,17,FALSE)="牵丝",VLOOKUP($E99,武器奇术!$A:$R,4,FALSE),VLOOKUP($E99,武器奇术!$A:$R,2,FALSE))*(1+CB99)*(1+CC99)*CD99</f>
        <v>579.2146752</v>
      </c>
      <c r="CF99" s="104">
        <f>(1-IF(VLOOKUP($E99,武器奇术!$A:$R,18,FALSE)="叶龙",1,$N99))*(1-$M99)</f>
        <v>0</v>
      </c>
      <c r="CG99" s="124">
        <f>BZ99*IF(VLOOKUP($E99,武器奇术!$A:$R,17,FALSE)="牵丝",VLOOKUP($E99,武器奇术!$A:$R,4,FALSE),VLOOKUP($E99,武器奇术!$A:$R,2,FALSE))*(1+CB99)*(1+CC99)*CD99*(1+$E$16+VLOOKUP($E99,武器奇术!$A:$R,8,FALSE))</f>
        <v>1913.9955398368</v>
      </c>
      <c r="CH99" s="104">
        <f t="shared" si="70"/>
        <v>0.8703</v>
      </c>
      <c r="CI99" s="103">
        <f>CA99*IF(VLOOKUP($E99,武器奇术!$A:$R,17,FALSE)="牵丝",VLOOKUP($E99,武器奇术!$A:$R,4,FALSE),VLOOKUP($E99,武器奇术!$A:$R,2,FALSE))*(1+CB99)*(1+CC99)*CD99*(1+$E$17+VLOOKUP($E99,武器奇术!$A:$R,10,FALSE))</f>
        <v>1946.56491792</v>
      </c>
      <c r="CJ99" s="104">
        <f t="shared" si="71"/>
        <v>0.0986</v>
      </c>
      <c r="CK99" s="124">
        <f>BZ99*IF(VLOOKUP($E99,武器奇术!$A:$R,17,FALSE)="牵丝",VLOOKUP($E99,武器奇术!$A:$R,4,FALSE),VLOOKUP($E99,武器奇术!$A:$R,2,FALSE))*(1+CB99)*(1+CC99)*CD99</f>
        <v>1010.5573072</v>
      </c>
      <c r="CL99" s="104">
        <f t="shared" si="72"/>
        <v>0.0311</v>
      </c>
      <c r="CM99" s="112">
        <f t="shared" si="73"/>
        <v>1889.1099514808</v>
      </c>
      <c r="CN99" s="110">
        <f>$B$13*IF($G$5="撼天",1.05,1)+IF(AND(VLOOKUP($E99,武器奇术!$A:$R,15,FALSE)="武器",VLOOKUP($E99,武器奇术!$A:$R,17,FALSE)="破竹"),$E$3*(1+$E$15),0)</f>
        <v>0</v>
      </c>
      <c r="CO99" s="102">
        <f t="shared" si="74"/>
        <v>0</v>
      </c>
      <c r="CP99" s="102">
        <f>MAX($C$13*IF($G$5="撼天",1.05,1)+IF(AND(VLOOKUP($E99,武器奇术!$A:$R,15,FALSE)="武器",VLOOKUP($E99,武器奇术!$A:$R,17,FALSE)="破竹"),$E$3*(1+$E$15),0),CN99)</f>
        <v>0</v>
      </c>
      <c r="CQ99" s="104">
        <f>IF(($D$13+IF(VLOOKUP($E99,武器奇术!$A:$R,17,FALSE)="破竹",$D$15,0)-VLOOKUP($F$7,目标属性!$A:$R,6,FALSE))&gt;0,($D$13+IF(VLOOKUP($E99,武器奇术!$A:$R,17,FALSE)="破竹",$D$15,0)-VLOOKUP($F$7,目标属性!$A:$R,6,FALSE))/200,($D$13+IF(VLOOKUP($E99,武器奇术!$A:$R,17,FALSE)="破竹",$D$15,0)-VLOOKUP($F$7,目标属性!$A:$R,6,FALSE))/100)</f>
        <v>-0.24</v>
      </c>
      <c r="CR99" s="111">
        <f t="shared" si="75"/>
        <v>0</v>
      </c>
      <c r="CS99" s="102">
        <v>1</v>
      </c>
      <c r="CT99" s="103">
        <f>CN99*IF(VLOOKUP($E99,武器奇术!$A:$R,17,FALSE)="破竹",VLOOKUP($E99,武器奇术!$A:$R,4,FALSE),VLOOKUP($E99,武器奇术!$A:$R,2,FALSE))*(1+CQ99)*(1+CR99)*CS99</f>
        <v>0</v>
      </c>
      <c r="CU99" s="104">
        <f>(1-IF(VLOOKUP($E99,武器奇术!$A:$R,18,FALSE)="叶龙",1,$N99))*(1-$M99)</f>
        <v>0</v>
      </c>
      <c r="CV99" s="103">
        <f>CO99*IF(VLOOKUP($E99,武器奇术!$A:$R,17,FALSE)="破竹",VLOOKUP($E99,武器奇术!$A:$R,4,FALSE),VLOOKUP($E99,武器奇术!$A:$R,2,FALSE))*(1+CQ99)*(1+CR99)*CS99*(1+$E$16+VLOOKUP($E99,武器奇术!$A:$R,8,FALSE))</f>
        <v>0</v>
      </c>
      <c r="CW99" s="104">
        <f t="shared" si="76"/>
        <v>0.8703</v>
      </c>
      <c r="CX99" s="103">
        <f>CP99*IF(VLOOKUP($E99,武器奇术!$A:$R,17,FALSE)="破竹",VLOOKUP($E99,武器奇术!$A:$R,4,FALSE),VLOOKUP($E99,武器奇术!$A:$R,2,FALSE))*(1+CQ99)*(1+CR99)*CS99*(1+$E$17+VLOOKUP($E99,武器奇术!$A:$R,10,FALSE))</f>
        <v>0</v>
      </c>
      <c r="CY99" s="104">
        <f t="shared" si="77"/>
        <v>0.0986</v>
      </c>
      <c r="CZ99" s="103">
        <f>CO99*IF(VLOOKUP($E99,武器奇术!$A:$R,17,FALSE)="破竹",VLOOKUP($E99,武器奇术!$A:$R,4,FALSE),VLOOKUP($E99,武器奇术!$A:$R,2,FALSE))*(1+CQ99)*(1+CR99)*CS99</f>
        <v>0</v>
      </c>
      <c r="DA99" s="104">
        <f t="shared" si="78"/>
        <v>0.0311</v>
      </c>
      <c r="DB99" s="112">
        <f t="shared" si="79"/>
        <v>0</v>
      </c>
      <c r="DC99" s="110">
        <f t="shared" si="80"/>
        <v>66</v>
      </c>
      <c r="DD99" s="102">
        <f t="shared" si="81"/>
        <v>125.8</v>
      </c>
      <c r="DE99" s="102">
        <f t="shared" si="82"/>
        <v>185.6</v>
      </c>
      <c r="DF99" s="104">
        <f>IF((IF(VLOOKUP($E99,武器奇术!$A:$R,17,FALSE)="鸣金",$D$7,0)+IF(VLOOKUP($E99,武器奇术!$A:$R,17,FALSE)="裂石",$D$9,0)+IF(VLOOKUP($E99,武器奇术!$A:$R,17,FALSE)="牵丝",$D$11,0)+IF(VLOOKUP($E99,武器奇术!$A:$R,17,FALSE)="破竹",$D$13,0)+$D$15-VLOOKUP($F$7,目标属性!$A:$R,6,FALSE))&gt;0,(IF(VLOOKUP($E99,武器奇术!$A:$R,17,FALSE)="鸣金",$D$7,0)+IF(VLOOKUP($E99,武器奇术!$A:$R,17,FALSE)="裂石",$D$9,0)+IF(VLOOKUP($E99,武器奇术!$A:$R,17,FALSE)="牵丝",$D$11,0)+IF(VLOOKUP($E99,武器奇术!$A:$R,17,FALSE)="破竹",$D$13,0)+$D$15-VLOOKUP($F$7,目标属性!$A:$R,6,FALSE))/200,(IF(VLOOKUP($E99,武器奇术!$A:$R,17,FALSE)="鸣金",$D$7,0)+IF(VLOOKUP($E99,武器奇术!$A:$R,17,FALSE)="裂石",$D$9,0)+IF(VLOOKUP($E99,武器奇术!$A:$R,17,FALSE)="牵丝",$D$11,0)+IF(VLOOKUP($E99,武器奇术!$A:$R,17,FALSE)="破竹",$D$13,0)+$D$15-VLOOKUP($F$7,目标属性!$A:$R,6,FALSE))/100)</f>
        <v>0.028</v>
      </c>
      <c r="DG99" s="111">
        <f>$E$11+IF($G$5="烟柳",IF(VLOOKUP($E99,武器奇术!$A:$T,20,FALSE)=1,0.1,0),0)</f>
        <v>0.148</v>
      </c>
      <c r="DH99" s="102">
        <v>1</v>
      </c>
      <c r="DI99" s="103">
        <f>DC99*IF(VLOOKUP($E99,武器奇术!$A:$R,17,FALSE)="牵丝",VLOOKUP($E99,武器奇术!$A:$R,4,FALSE),VLOOKUP($E99,武器奇术!$A:$R,2,FALSE))*(1+DF99)*(1+DG99)*DH99</f>
        <v>77.889504</v>
      </c>
      <c r="DJ99" s="104">
        <f>(1-IF(VLOOKUP($E99,武器奇术!$A:$R,18,FALSE)="叶龙",1,$N99))*(1-$M99)</f>
        <v>0</v>
      </c>
      <c r="DK99" s="124">
        <f>DD99*IF(VLOOKUP($E99,武器奇术!$A:$R,17,FALSE)="牵丝",VLOOKUP($E99,武器奇术!$A:$R,4,FALSE),VLOOKUP($E99,武器奇术!$A:$R,2,FALSE))*(1+DF99)*(1+DG99)*DH99*(1+$E$16+VLOOKUP($E99,武器奇术!$A:$R,8,FALSE))</f>
        <v>281.1872461888</v>
      </c>
      <c r="DL99" s="104">
        <f t="shared" si="83"/>
        <v>0.8703</v>
      </c>
      <c r="DM99" s="103">
        <f>DE99*IF(VLOOKUP($E99,武器奇术!$A:$R,17,FALSE)="牵丝",VLOOKUP($E99,武器奇术!$A:$R,4,FALSE),VLOOKUP($E99,武器奇术!$A:$R,2,FALSE))*(1+DF99)*(1+DG99)*DH99*(1+$E$17+VLOOKUP($E99,武器奇术!$A:$R,10,FALSE))</f>
        <v>295.69688064</v>
      </c>
      <c r="DN99" s="104">
        <f t="shared" si="84"/>
        <v>0.0986</v>
      </c>
      <c r="DO99" s="124">
        <f>DD99*IF(VLOOKUP($E99,武器奇术!$A:$R,17,FALSE)="牵丝",VLOOKUP($E99,武器奇术!$A:$R,4,FALSE),VLOOKUP($E99,武器奇术!$A:$R,2,FALSE))*(1+DF99)*(1+DG99)*DH99</f>
        <v>148.4621152</v>
      </c>
      <c r="DP99" s="104">
        <f t="shared" si="85"/>
        <v>0.0311</v>
      </c>
      <c r="DQ99" s="112">
        <f t="shared" si="86"/>
        <v>278.490144571937</v>
      </c>
    </row>
    <row r="100" spans="3:121">
      <c r="E100" s="115" t="str">
        <f>期望!E100</f>
        <v>易水歌6重(大纵)</v>
      </c>
      <c r="F100" s="116">
        <f>期望!F100</f>
        <v>1</v>
      </c>
      <c r="G100" s="117"/>
      <c r="H100" s="103">
        <f>IF(VLOOKUP($E100,武器奇术!$A:$R,18,FALSE)="天工",AE100,(AE100+AT100+BI100+BX100+CM100+DB100+DQ100))*(1+J100)*F100*K100*(1+G100)</f>
        <v>11746.4034825186</v>
      </c>
      <c r="I100" s="104">
        <f t="shared" si="45"/>
        <v>0.00135377250648942</v>
      </c>
      <c r="J100" s="104">
        <f>$F$3+VLOOKUP($E100,武器奇术!$A:$R,12,FALSE)+VLOOKUP($E100,武器奇术!$A:$R,14,FALSE)*$G$3+$P100</f>
        <v>0.333</v>
      </c>
      <c r="K100" s="105">
        <f>VLOOKUP($E100,武器奇术!$A:$R,11,FALSE)</f>
        <v>1</v>
      </c>
      <c r="L100" s="119">
        <f>IF(VLOOKUP($E100,武器奇术!$A:$R,15,FALSE)="天工",0%,IF($C$17+VLOOKUP($E100,武器奇术!$A:$R,7,FALSE)&gt;80%,80%,$C$17+VLOOKUP($E100,武器奇术!$A:$R,7,FALSE))+IF($C$19&gt;20%,20%,$C$19))</f>
        <v>0.8703</v>
      </c>
      <c r="M100" s="120">
        <f>IF(VLOOKUP($E100,武器奇术!$A:$R,15,FALSE)="天工",0%,IF($C$18+VLOOKUP($E100,武器奇术!$A:$R,9,FALSE)&gt;40%,40%,$C$18+VLOOKUP($E100,武器奇术!$A:$R,9,FALSE))+IF($C$20&gt;10%,10%,$C$20))</f>
        <v>0.0986</v>
      </c>
      <c r="N100" s="121">
        <f>IF(VLOOKUP($E100,武器奇术!$A:$R,15,FALSE)="天工",100%,MIN($C$16,1))</f>
        <v>1</v>
      </c>
      <c r="O100" s="122" t="str">
        <f>VLOOKUP($E100,武器奇术!$A:$R,16,FALSE)</f>
        <v>N/A</v>
      </c>
      <c r="P100" s="123">
        <f t="shared" si="46"/>
        <v>0</v>
      </c>
      <c r="Q100" s="110">
        <f>$B$5*(1+VLOOKUP($E100,武器奇术!$A:$R,5,FALSE))*(1+VLOOKUP($E100,武器奇术!$A:$S,19,FALSE)+IF($G$5="飞隼",0.1,0)+IF($G$5="撼天",0.05,0))-$F$9+IF($J$5="√",160,0)</f>
        <v>3324.7</v>
      </c>
      <c r="R100" s="102">
        <f>IF(VLOOKUP($E100,武器奇术!$A:$Z,18,FALSE)="叶龙",(S100-(Q100+S100)*0.5)*($G$15-0.5)*2+(Q100+S100)*0.5,(Q100+S100)*0.5)</f>
        <v>3404.7</v>
      </c>
      <c r="S100" s="102">
        <f>MAX($C$5,$B$5)*(1+VLOOKUP($E100,武器奇术!$A:$R,6,FALSE))*(1+VLOOKUP($E100,武器奇术!$A:$S,19,FALSE)+IF($G$5="飞隼",0.1,0)+IF($G$5="撼天",0.05,0))-$F$9+IF($J$5="√",320,0)</f>
        <v>3484.7</v>
      </c>
      <c r="T100" s="104">
        <f>IF(($D$5+VLOOKUP($E100,武器奇术!$A:$R,13,FALSE)+IF($I$3="√",10,0)-VLOOKUP($F$7,目标属性!$A:$R,5,FALSE))&gt;0,($D$5+VLOOKUP($E100,武器奇术!$A:$R,13,FALSE)+IF($I$3="√",10,0)-VLOOKUP($F$7,目标属性!$A:$R,5,FALSE))/200,($D$5+VLOOKUP($E100,武器奇术!$A:$R,13,FALSE)+IF($I$3="√",10,0)-VLOOKUP($F$7,目标属性!$A:$R,5,FALSE))/100)</f>
        <v>0.2675</v>
      </c>
      <c r="U100" s="111">
        <f>$E$5+IF($G$5="烟柳",IF(VLOOKUP($E100,武器奇术!$A:$T,20,FALSE)=1,0.1,0),0)</f>
        <v>0</v>
      </c>
      <c r="V100" s="102">
        <v>1</v>
      </c>
      <c r="W100" s="103">
        <f>Q100*VLOOKUP($E100,武器奇术!$A:$R,2,FALSE)*(1+T100)*(1+U100)*V100</f>
        <v>4214.05725</v>
      </c>
      <c r="X100" s="104">
        <f>(1-IF(VLOOKUP($E100,武器奇术!$A:$R,18,FALSE)="叶龙",1,$N100))*(1-$M100)</f>
        <v>0</v>
      </c>
      <c r="Y100" s="103">
        <f>R100*VLOOKUP($E100,武器奇术!$A:$R,2,FALSE)*(1+T100)*(1+U100)*V100*(1+$E$16+VLOOKUP($E100,武器奇术!$A:$R,8,FALSE))</f>
        <v>7094.611719</v>
      </c>
      <c r="Z100" s="104">
        <f t="shared" si="47"/>
        <v>0.8703</v>
      </c>
      <c r="AA100" s="103">
        <f>S100*VLOOKUP($E100,武器奇术!$A:$R,2,FALSE)*(1+T100)*(1+U100)*V100*(1+$E$17+VLOOKUP($E100,武器奇术!$A:$R,10,FALSE))</f>
        <v>5962.7572875</v>
      </c>
      <c r="AB100" s="104">
        <f t="shared" si="48"/>
        <v>0.0986</v>
      </c>
      <c r="AC100" s="103">
        <f>R100*VLOOKUP($E100,武器奇术!$A:$R,2,FALSE)*(1+T100)*(1+U100)*V100</f>
        <v>4315.45725</v>
      </c>
      <c r="AD100" s="104">
        <f t="shared" si="49"/>
        <v>0.0311</v>
      </c>
      <c r="AE100" s="112">
        <f t="shared" si="50"/>
        <v>6896.5791680682</v>
      </c>
      <c r="AF100" s="113">
        <f>VLOOKUP($E100,武器奇术!$A:$R,3,FALSE)*(1+IF(VLOOKUP($E100,武器奇术!$A:$R,15,FALSE)="武器",$E$15,0))</f>
        <v>0</v>
      </c>
      <c r="AG100" s="103">
        <f t="shared" si="51"/>
        <v>0</v>
      </c>
      <c r="AH100" s="103">
        <f>VLOOKUP($E100,武器奇术!$A:$R,3,FALSE)*(1+IF(VLOOKUP($E100,武器奇术!$A:$R,15,FALSE)="武器",$E$15,0))</f>
        <v>0</v>
      </c>
      <c r="AI100" s="104">
        <f>IF(($D$5+VLOOKUP($E100,武器奇术!$A:$R,13,FALSE)+IF($I$3="√",10,0)-VLOOKUP($F$7,目标属性!$A:$R,5,FALSE))&gt;0,($D$5+VLOOKUP($E100,武器奇术!$A:$R,13,FALSE)+IF($I$3="√",10,0)-VLOOKUP($F$7,目标属性!$A:$R,5,FALSE))/200,($D$5+VLOOKUP($E100,武器奇术!$A:$R,13,FALSE)+IF($I$3="√",10,0)-VLOOKUP($F$7,目标属性!$A:$R,5,FALSE))/100)</f>
        <v>0.2675</v>
      </c>
      <c r="AJ100" s="111">
        <f>$E$5+IF($G$5="烟柳",IF(VLOOKUP($E100,武器奇术!$A:$T,20,FALSE)=1,0.1,0),0)</f>
        <v>0</v>
      </c>
      <c r="AK100" s="102">
        <v>1</v>
      </c>
      <c r="AL100" s="103">
        <f t="shared" si="52"/>
        <v>0</v>
      </c>
      <c r="AM100" s="104">
        <f>(1-IF(VLOOKUP($E100,武器奇术!$A:$R,18,FALSE)="叶龙",1,$N100))*(1-$M100)</f>
        <v>0</v>
      </c>
      <c r="AN100" s="103">
        <f>AG100*(1+AI100)*(1+AJ100)*AK100*(1+$E$16+VLOOKUP($E100,武器奇术!$A:$R,8,FALSE))</f>
        <v>0</v>
      </c>
      <c r="AO100" s="104">
        <f t="shared" si="53"/>
        <v>0.8703</v>
      </c>
      <c r="AP100" s="103">
        <f>AH100*(1+AI100)*(1+AJ100)*AK100*(1+$E$17+VLOOKUP($E100,武器奇术!$A:$R,10,FALSE))</f>
        <v>0</v>
      </c>
      <c r="AQ100" s="104">
        <f t="shared" si="54"/>
        <v>0.0986</v>
      </c>
      <c r="AR100" s="103">
        <f t="shared" si="55"/>
        <v>0</v>
      </c>
      <c r="AS100" s="104">
        <f t="shared" si="56"/>
        <v>0.0311</v>
      </c>
      <c r="AT100" s="112">
        <f t="shared" si="57"/>
        <v>0</v>
      </c>
      <c r="AU100" s="110">
        <f>$B$7*IF($G$5="撼天",1.05,1)+IF(AND(VLOOKUP($E100,武器奇术!$A:$R,15,FALSE)="武器",VLOOKUP($E100,武器奇术!$A:$R,17,FALSE)="鸣金"),$E$3*(1+$E$15),0)</f>
        <v>0</v>
      </c>
      <c r="AV100" s="102">
        <f t="shared" si="58"/>
        <v>0</v>
      </c>
      <c r="AW100" s="102">
        <f>MAX($C$7*IF($G$5="撼天",1.05,1)+IF(AND(VLOOKUP($E100,武器奇术!$A:$R,15,FALSE)="武器",VLOOKUP($E100,武器奇术!$A:$R,17,FALSE)="鸣金"),$E$3*(1+$E$15),0),AU100)</f>
        <v>0</v>
      </c>
      <c r="AX100" s="104">
        <f>IF(($D$7+IF(VLOOKUP($E100,武器奇术!$A:$R,17,FALSE)="鸣金",$D$15,0)-VLOOKUP($F$7,目标属性!$A:$R,6,FALSE))&gt;0,($D$7+IF(VLOOKUP($E100,武器奇术!$A:$R,17,FALSE)="鸣金",$D$15,0)-VLOOKUP($F$7,目标属性!$A:$R,6,FALSE))/200,($D$7+IF(VLOOKUP($E100,武器奇术!$A:$R,17,FALSE)="鸣金",$D$15,0)-VLOOKUP($F$7,目标属性!$A:$R,6,FALSE))/100)</f>
        <v>-0.24</v>
      </c>
      <c r="AY100" s="111">
        <f t="shared" si="59"/>
        <v>0</v>
      </c>
      <c r="AZ100" s="102">
        <v>1</v>
      </c>
      <c r="BA100" s="103">
        <f>AU100*IF(VLOOKUP($E100,武器奇术!$A:$R,17,FALSE)="鸣金",VLOOKUP($E100,武器奇术!$A:$R,4,FALSE),VLOOKUP($E100,武器奇术!$A:$R,2,FALSE))*(1+AX100)*(1+AY100)*AZ100</f>
        <v>0</v>
      </c>
      <c r="BB100" s="104">
        <f>(1-IF(VLOOKUP($E100,武器奇术!$A:$R,18,FALSE)="叶龙",1,$N100))*(1-$M100)</f>
        <v>0</v>
      </c>
      <c r="BC100" s="103">
        <f>AV100*IF(VLOOKUP($E100,武器奇术!$A:$R,17,FALSE)="鸣金",VLOOKUP($E100,武器奇术!$A:$R,4,FALSE),VLOOKUP($E100,武器奇术!$A:$R,2,FALSE))*(1+AX100)*(1+AY100)*AZ100*(1+$E$16+VLOOKUP($E100,武器奇术!$A:$R,8,FALSE))</f>
        <v>0</v>
      </c>
      <c r="BD100" s="104">
        <f t="shared" si="60"/>
        <v>0.8703</v>
      </c>
      <c r="BE100" s="103">
        <f>AW100*IF(VLOOKUP($E100,武器奇术!$A:$R,17,FALSE)="鸣金",VLOOKUP($E100,武器奇术!$A:$R,4,FALSE),VLOOKUP($E100,武器奇术!$A:$R,2,FALSE))*(1+AX100)*(1+AY100)*AZ100*(1+$E$17+VLOOKUP($E100,武器奇术!$A:$R,10,FALSE))</f>
        <v>0</v>
      </c>
      <c r="BF100" s="104">
        <f t="shared" si="61"/>
        <v>0.0986</v>
      </c>
      <c r="BG100" s="103">
        <f>AV100*IF(VLOOKUP($E100,武器奇术!$A:$R,17,FALSE)="鸣金",VLOOKUP($E100,武器奇术!$A:$R,4,FALSE),VLOOKUP($E100,武器奇术!$A:$R,2,FALSE))*(1+AX100)*(1+AY100)*AZ100</f>
        <v>0</v>
      </c>
      <c r="BH100" s="104">
        <f t="shared" si="62"/>
        <v>0.0311</v>
      </c>
      <c r="BI100" s="112">
        <f t="shared" si="63"/>
        <v>0</v>
      </c>
      <c r="BJ100" s="110">
        <f>$B$9*IF($G$5="撼天",1.05,1)+IF(AND(VLOOKUP($E100,武器奇术!$A:$R,15,FALSE)="武器",VLOOKUP($E100,武器奇术!$A:$R,17,FALSE)="裂石"),$E$3*(1+$E$15),0)</f>
        <v>0</v>
      </c>
      <c r="BK100" s="102">
        <f t="shared" si="64"/>
        <v>0</v>
      </c>
      <c r="BL100" s="102">
        <f>MAX($C$9*IF($G$5="撼天",1.05,1)+IF(AND(VLOOKUP($E100,武器奇术!$A:$R,15,FALSE)="武器",VLOOKUP($E100,武器奇术!$A:$R,17,FALSE)="裂石"),$E$3*(1+$E$15),0),BJ100)</f>
        <v>0</v>
      </c>
      <c r="BM100" s="104">
        <f>IF(($D$9+IF(VLOOKUP($E100,武器奇术!$A:$R,17,FALSE)="裂石",$D$15,0)-VLOOKUP($F$7,目标属性!$A:$R,6,FALSE))&gt;0,($D$9+IF(VLOOKUP($E100,武器奇术!$A:$R,17,FALSE)="裂石",$D$15,0)-VLOOKUP($F$7,目标属性!$A:$R,6,FALSE))/200,($D$9+IF(VLOOKUP($E100,武器奇术!$A:$R,17,FALSE)="裂石",$D$15,0)-VLOOKUP($F$7,目标属性!$A:$R,6,FALSE))/100)</f>
        <v>-0.24</v>
      </c>
      <c r="BN100" s="111">
        <f t="shared" si="65"/>
        <v>0</v>
      </c>
      <c r="BO100" s="102">
        <v>1</v>
      </c>
      <c r="BP100" s="103">
        <f>BJ100*IF(VLOOKUP($E100,武器奇术!$A:$R,17,FALSE)="裂石",VLOOKUP($E100,武器奇术!$A:$R,4,FALSE),VLOOKUP($E100,武器奇术!$A:$R,2,FALSE))*(1+BM100)*(1+BN100)*BO100</f>
        <v>0</v>
      </c>
      <c r="BQ100" s="104">
        <f>(1-IF(VLOOKUP($E100,武器奇术!$A:$R,18,FALSE)="叶龙",1,$N100))*(1-$M100)</f>
        <v>0</v>
      </c>
      <c r="BR100" s="103">
        <f>BK100*IF(VLOOKUP($E100,武器奇术!$A:$R,17,FALSE)="裂石",VLOOKUP($E100,武器奇术!$A:$R,4,FALSE),VLOOKUP($E100,武器奇术!$A:$R,2,FALSE))*(1+BM100)*(1+BN100)*BO100*(1+$E$16+VLOOKUP($E100,武器奇术!$A:$R,8,FALSE))</f>
        <v>0</v>
      </c>
      <c r="BS100" s="104">
        <f t="shared" si="66"/>
        <v>0.8703</v>
      </c>
      <c r="BT100" s="103">
        <f>BL100*IF(VLOOKUP($E100,武器奇术!$A:$R,17,FALSE)="裂石",VLOOKUP($E100,武器奇术!$A:$R,4,FALSE),VLOOKUP($E100,武器奇术!$A:$R,2,FALSE))*(1+BM100)*(1+BN100)*BO100*(1+$E$17+VLOOKUP($E100,武器奇术!$A:$R,10,FALSE))</f>
        <v>0</v>
      </c>
      <c r="BU100" s="104">
        <f t="shared" si="67"/>
        <v>0.0986</v>
      </c>
      <c r="BV100" s="103">
        <f>BK100*IF(VLOOKUP($E100,武器奇术!$A:$R,17,FALSE)="裂石",VLOOKUP($E100,武器奇术!$A:$R,4,FALSE),VLOOKUP($E100,武器奇术!$A:$R,2,FALSE))*(1+BM100)*(1+BN100)*BO100</f>
        <v>0</v>
      </c>
      <c r="BW100" s="104">
        <f t="shared" si="68"/>
        <v>0.0311</v>
      </c>
      <c r="BX100" s="112">
        <f t="shared" si="69"/>
        <v>0</v>
      </c>
      <c r="BY100" s="110">
        <f>$B$11*IF($G$5="撼天",1.05,1)+IF(AND(VLOOKUP($E100,武器奇术!$A:$R,15,FALSE)="武器",VLOOKUP($E100,武器奇术!$A:$R,17,FALSE)="牵丝"),$E$3*(1+$E$15),0)</f>
        <v>490.8</v>
      </c>
      <c r="BZ100" s="102">
        <f>IF(VLOOKUP($E100,武器奇术!$A:$Z,18,FALSE)="叶龙",(CA100-(BY100+CA100)*0.5)*($G$15-0.5)*2+(BY100+CA100)*0.5,(BY100+CA100)*0.5)</f>
        <v>856.3</v>
      </c>
      <c r="CA100" s="102">
        <f>MAX($C$11*IF($G$5="撼天",1.05,1)+IF(AND(VLOOKUP($E100,武器奇术!$A:$R,15,FALSE)="武器",VLOOKUP($E100,武器奇术!$A:$R,17,FALSE)="牵丝"),$E$3*(1+$E$15),0),BY100)</f>
        <v>1221.8</v>
      </c>
      <c r="CB100" s="104">
        <f>IF(($D$11+IF(VLOOKUP($E100,武器奇术!$A:$R,17,FALSE)="牵丝",$D$15,0)-VLOOKUP($F$7,目标属性!$A:$R,6,FALSE))&gt;0,($D$11+IF(VLOOKUP($E100,武器奇术!$A:$R,17,FALSE)="牵丝",$D$15,0)-VLOOKUP($F$7,目标属性!$A:$R,6,FALSE))/200,($D$11+IF(VLOOKUP($E100,武器奇术!$A:$R,17,FALSE)="牵丝",$D$15,0)-VLOOKUP($F$7,目标属性!$A:$R,6,FALSE))/100)</f>
        <v>0.028</v>
      </c>
      <c r="CC100" s="111">
        <f>$E$11+IF($G$5="烟柳",IF(VLOOKUP($E100,武器奇术!$A:$T,20,FALSE)=1,0.1,0),0)</f>
        <v>0.148</v>
      </c>
      <c r="CD100" s="102">
        <v>1</v>
      </c>
      <c r="CE100" s="103">
        <f>BY100*IF(VLOOKUP($E100,武器奇术!$A:$R,17,FALSE)="牵丝",VLOOKUP($E100,武器奇术!$A:$R,4,FALSE),VLOOKUP($E100,武器奇术!$A:$R,2,FALSE))*(1+CB100)*(1+CC100)*CD100</f>
        <v>579.2146752</v>
      </c>
      <c r="CF100" s="104">
        <f>(1-IF(VLOOKUP($E100,武器奇术!$A:$R,18,FALSE)="叶龙",1,$N100))*(1-$M100)</f>
        <v>0</v>
      </c>
      <c r="CG100" s="124">
        <f>BZ100*IF(VLOOKUP($E100,武器奇术!$A:$R,17,FALSE)="牵丝",VLOOKUP($E100,武器奇术!$A:$R,4,FALSE),VLOOKUP($E100,武器奇术!$A:$R,2,FALSE))*(1+CB100)*(1+CC100)*CD100*(1+$E$16+VLOOKUP($E100,武器奇术!$A:$R,8,FALSE))</f>
        <v>1661.3562130368</v>
      </c>
      <c r="CH100" s="104">
        <f t="shared" si="70"/>
        <v>0.8703</v>
      </c>
      <c r="CI100" s="103">
        <f>CA100*IF(VLOOKUP($E100,武器奇术!$A:$R,17,FALSE)="牵丝",VLOOKUP($E100,武器奇术!$A:$R,4,FALSE),VLOOKUP($E100,武器奇术!$A:$R,2,FALSE))*(1+CB100)*(1+CC100)*CD100*(1+$E$17+VLOOKUP($E100,武器奇术!$A:$R,10,FALSE))</f>
        <v>1946.56491792</v>
      </c>
      <c r="CJ100" s="104">
        <f t="shared" si="71"/>
        <v>0.0986</v>
      </c>
      <c r="CK100" s="124">
        <f>BZ100*IF(VLOOKUP($E100,武器奇术!$A:$R,17,FALSE)="牵丝",VLOOKUP($E100,武器奇术!$A:$R,4,FALSE),VLOOKUP($E100,武器奇术!$A:$R,2,FALSE))*(1+CB100)*(1+CC100)*CD100</f>
        <v>1010.5573072</v>
      </c>
      <c r="CL100" s="104">
        <f t="shared" si="72"/>
        <v>0.0311</v>
      </c>
      <c r="CM100" s="112">
        <f t="shared" si="73"/>
        <v>1669.23794536676</v>
      </c>
      <c r="CN100" s="110">
        <f>$B$13*IF($G$5="撼天",1.05,1)+IF(AND(VLOOKUP($E100,武器奇术!$A:$R,15,FALSE)="武器",VLOOKUP($E100,武器奇术!$A:$R,17,FALSE)="破竹"),$E$3*(1+$E$15),0)</f>
        <v>0</v>
      </c>
      <c r="CO100" s="102">
        <f t="shared" si="74"/>
        <v>0</v>
      </c>
      <c r="CP100" s="102">
        <f>MAX($C$13*IF($G$5="撼天",1.05,1)+IF(AND(VLOOKUP($E100,武器奇术!$A:$R,15,FALSE)="武器",VLOOKUP($E100,武器奇术!$A:$R,17,FALSE)="破竹"),$E$3*(1+$E$15),0),CN100)</f>
        <v>0</v>
      </c>
      <c r="CQ100" s="104">
        <f>IF(($D$13+IF(VLOOKUP($E100,武器奇术!$A:$R,17,FALSE)="破竹",$D$15,0)-VLOOKUP($F$7,目标属性!$A:$R,6,FALSE))&gt;0,($D$13+IF(VLOOKUP($E100,武器奇术!$A:$R,17,FALSE)="破竹",$D$15,0)-VLOOKUP($F$7,目标属性!$A:$R,6,FALSE))/200,($D$13+IF(VLOOKUP($E100,武器奇术!$A:$R,17,FALSE)="破竹",$D$15,0)-VLOOKUP($F$7,目标属性!$A:$R,6,FALSE))/100)</f>
        <v>-0.24</v>
      </c>
      <c r="CR100" s="111">
        <f t="shared" si="75"/>
        <v>0</v>
      </c>
      <c r="CS100" s="102">
        <v>1</v>
      </c>
      <c r="CT100" s="103">
        <f>CN100*IF(VLOOKUP($E100,武器奇术!$A:$R,17,FALSE)="破竹",VLOOKUP($E100,武器奇术!$A:$R,4,FALSE),VLOOKUP($E100,武器奇术!$A:$R,2,FALSE))*(1+CQ100)*(1+CR100)*CS100</f>
        <v>0</v>
      </c>
      <c r="CU100" s="104">
        <f>(1-IF(VLOOKUP($E100,武器奇术!$A:$R,18,FALSE)="叶龙",1,$N100))*(1-$M100)</f>
        <v>0</v>
      </c>
      <c r="CV100" s="103">
        <f>CO100*IF(VLOOKUP($E100,武器奇术!$A:$R,17,FALSE)="破竹",VLOOKUP($E100,武器奇术!$A:$R,4,FALSE),VLOOKUP($E100,武器奇术!$A:$R,2,FALSE))*(1+CQ100)*(1+CR100)*CS100*(1+$E$16+VLOOKUP($E100,武器奇术!$A:$R,8,FALSE))</f>
        <v>0</v>
      </c>
      <c r="CW100" s="104">
        <f t="shared" si="76"/>
        <v>0.8703</v>
      </c>
      <c r="CX100" s="103">
        <f>CP100*IF(VLOOKUP($E100,武器奇术!$A:$R,17,FALSE)="破竹",VLOOKUP($E100,武器奇术!$A:$R,4,FALSE),VLOOKUP($E100,武器奇术!$A:$R,2,FALSE))*(1+CQ100)*(1+CR100)*CS100*(1+$E$17+VLOOKUP($E100,武器奇术!$A:$R,10,FALSE))</f>
        <v>0</v>
      </c>
      <c r="CY100" s="104">
        <f t="shared" si="77"/>
        <v>0.0986</v>
      </c>
      <c r="CZ100" s="103">
        <f>CO100*IF(VLOOKUP($E100,武器奇术!$A:$R,17,FALSE)="破竹",VLOOKUP($E100,武器奇术!$A:$R,4,FALSE),VLOOKUP($E100,武器奇术!$A:$R,2,FALSE))*(1+CQ100)*(1+CR100)*CS100</f>
        <v>0</v>
      </c>
      <c r="DA100" s="104">
        <f t="shared" si="78"/>
        <v>0.0311</v>
      </c>
      <c r="DB100" s="112">
        <f t="shared" si="79"/>
        <v>0</v>
      </c>
      <c r="DC100" s="110">
        <f t="shared" si="80"/>
        <v>66</v>
      </c>
      <c r="DD100" s="102">
        <f t="shared" si="81"/>
        <v>125.8</v>
      </c>
      <c r="DE100" s="102">
        <f t="shared" si="82"/>
        <v>185.6</v>
      </c>
      <c r="DF100" s="104">
        <f>IF((IF(VLOOKUP($E100,武器奇术!$A:$R,17,FALSE)="鸣金",$D$7,0)+IF(VLOOKUP($E100,武器奇术!$A:$R,17,FALSE)="裂石",$D$9,0)+IF(VLOOKUP($E100,武器奇术!$A:$R,17,FALSE)="牵丝",$D$11,0)+IF(VLOOKUP($E100,武器奇术!$A:$R,17,FALSE)="破竹",$D$13,0)+$D$15-VLOOKUP($F$7,目标属性!$A:$R,6,FALSE))&gt;0,(IF(VLOOKUP($E100,武器奇术!$A:$R,17,FALSE)="鸣金",$D$7,0)+IF(VLOOKUP($E100,武器奇术!$A:$R,17,FALSE)="裂石",$D$9,0)+IF(VLOOKUP($E100,武器奇术!$A:$R,17,FALSE)="牵丝",$D$11,0)+IF(VLOOKUP($E100,武器奇术!$A:$R,17,FALSE)="破竹",$D$13,0)+$D$15-VLOOKUP($F$7,目标属性!$A:$R,6,FALSE))/200,(IF(VLOOKUP($E100,武器奇术!$A:$R,17,FALSE)="鸣金",$D$7,0)+IF(VLOOKUP($E100,武器奇术!$A:$R,17,FALSE)="裂石",$D$9,0)+IF(VLOOKUP($E100,武器奇术!$A:$R,17,FALSE)="牵丝",$D$11,0)+IF(VLOOKUP($E100,武器奇术!$A:$R,17,FALSE)="破竹",$D$13,0)+$D$15-VLOOKUP($F$7,目标属性!$A:$R,6,FALSE))/100)</f>
        <v>0.028</v>
      </c>
      <c r="DG100" s="111">
        <f>$E$11+IF($G$5="烟柳",IF(VLOOKUP($E100,武器奇术!$A:$T,20,FALSE)=1,0.1,0),0)</f>
        <v>0.148</v>
      </c>
      <c r="DH100" s="102">
        <v>1</v>
      </c>
      <c r="DI100" s="103">
        <f>DC100*IF(VLOOKUP($E100,武器奇术!$A:$R,17,FALSE)="牵丝",VLOOKUP($E100,武器奇术!$A:$R,4,FALSE),VLOOKUP($E100,武器奇术!$A:$R,2,FALSE))*(1+DF100)*(1+DG100)*DH100</f>
        <v>77.889504</v>
      </c>
      <c r="DJ100" s="104">
        <f>(1-IF(VLOOKUP($E100,武器奇术!$A:$R,18,FALSE)="叶龙",1,$N100))*(1-$M100)</f>
        <v>0</v>
      </c>
      <c r="DK100" s="124">
        <f>DD100*IF(VLOOKUP($E100,武器奇术!$A:$R,17,FALSE)="牵丝",VLOOKUP($E100,武器奇术!$A:$R,4,FALSE),VLOOKUP($E100,武器奇术!$A:$R,2,FALSE))*(1+DF100)*(1+DG100)*DH100*(1+$E$16+VLOOKUP($E100,武器奇术!$A:$R,8,FALSE))</f>
        <v>244.0717173888</v>
      </c>
      <c r="DL100" s="104">
        <f t="shared" si="83"/>
        <v>0.8703</v>
      </c>
      <c r="DM100" s="103">
        <f>DE100*IF(VLOOKUP($E100,武器奇术!$A:$R,17,FALSE)="牵丝",VLOOKUP($E100,武器奇术!$A:$R,4,FALSE),VLOOKUP($E100,武器奇术!$A:$R,2,FALSE))*(1+DF100)*(1+DG100)*DH100*(1+$E$17+VLOOKUP($E100,武器奇术!$A:$R,10,FALSE))</f>
        <v>295.69688064</v>
      </c>
      <c r="DN100" s="104">
        <f t="shared" si="84"/>
        <v>0.0986</v>
      </c>
      <c r="DO100" s="124">
        <f>DD100*IF(VLOOKUP($E100,武器奇术!$A:$R,17,FALSE)="牵丝",VLOOKUP($E100,武器奇术!$A:$R,4,FALSE),VLOOKUP($E100,武器奇术!$A:$R,2,FALSE))*(1+DF100)*(1+DG100)*DH100</f>
        <v>148.4621152</v>
      </c>
      <c r="DP100" s="104">
        <f t="shared" si="85"/>
        <v>0.0311</v>
      </c>
      <c r="DQ100" s="112">
        <f t="shared" si="86"/>
        <v>246.188499857297</v>
      </c>
    </row>
    <row r="101" spans="3:121">
      <c r="E101" s="115" t="str">
        <f>期望!E101</f>
        <v>易水歌6重(小纵)</v>
      </c>
      <c r="F101" s="116">
        <f>期望!F101</f>
        <v>1</v>
      </c>
      <c r="G101" s="117"/>
      <c r="H101" s="103">
        <f>IF(VLOOKUP($E101,武器奇术!$A:$R,18,FALSE)="天工",AE101,(AE101+AT101+BI101+BX101+CM101+DB101+DQ101))*(1+J101)*F101*K101*(1+G101)</f>
        <v>11091.9597118714</v>
      </c>
      <c r="I101" s="104">
        <f t="shared" si="45"/>
        <v>0.00127834788949376</v>
      </c>
      <c r="J101" s="104">
        <f>$F$3+VLOOKUP($E101,武器奇术!$A:$R,12,FALSE)+VLOOKUP($E101,武器奇术!$A:$R,14,FALSE)*$G$3+$P101</f>
        <v>0.333</v>
      </c>
      <c r="K101" s="105">
        <f>VLOOKUP($E101,武器奇术!$A:$R,11,FALSE)</f>
        <v>1</v>
      </c>
      <c r="L101" s="119">
        <f>IF(VLOOKUP($E101,武器奇术!$A:$R,15,FALSE)="天工",0%,IF($C$17+VLOOKUP($E101,武器奇术!$A:$R,7,FALSE)&gt;80%,80%,$C$17+VLOOKUP($E101,武器奇术!$A:$R,7,FALSE))+IF($C$19&gt;20%,20%,$C$19))</f>
        <v>0.8703</v>
      </c>
      <c r="M101" s="120">
        <f>IF(VLOOKUP($E101,武器奇术!$A:$R,15,FALSE)="天工",0%,IF($C$18+VLOOKUP($E101,武器奇术!$A:$R,9,FALSE)&gt;40%,40%,$C$18+VLOOKUP($E101,武器奇术!$A:$R,9,FALSE))+IF($C$20&gt;10%,10%,$C$20))</f>
        <v>0.0986</v>
      </c>
      <c r="N101" s="121">
        <f>IF(VLOOKUP($E101,武器奇术!$A:$R,15,FALSE)="天工",100%,MIN($C$16,1))</f>
        <v>1</v>
      </c>
      <c r="O101" s="122" t="str">
        <f>VLOOKUP($E101,武器奇术!$A:$R,16,FALSE)</f>
        <v>N/A</v>
      </c>
      <c r="P101" s="123">
        <f t="shared" si="46"/>
        <v>0</v>
      </c>
      <c r="Q101" s="110">
        <f>$B$5*(1+VLOOKUP($E101,武器奇术!$A:$R,5,FALSE))*(1+VLOOKUP($E101,武器奇术!$A:$S,19,FALSE)+IF($G$5="飞隼",0.1,0)+IF($G$5="撼天",0.05,0))-$F$9+IF($J$5="√",160,0)</f>
        <v>3081.85</v>
      </c>
      <c r="R101" s="102">
        <f>IF(VLOOKUP($E101,武器奇术!$A:$Z,18,FALSE)="叶龙",(S101-(Q101+S101)*0.5)*($G$15-0.5)*2+(Q101+S101)*0.5,(Q101+S101)*0.5)</f>
        <v>3161.85</v>
      </c>
      <c r="S101" s="102">
        <f>MAX($C$5,$B$5)*(1+VLOOKUP($E101,武器奇术!$A:$R,6,FALSE))*(1+VLOOKUP($E101,武器奇术!$A:$S,19,FALSE)+IF($G$5="飞隼",0.1,0)+IF($G$5="撼天",0.05,0))-$F$9+IF($J$5="√",320,0)</f>
        <v>3241.85</v>
      </c>
      <c r="T101" s="104">
        <f>IF(($D$5+VLOOKUP($E101,武器奇术!$A:$R,13,FALSE)+IF($I$3="√",10,0)-VLOOKUP($F$7,目标属性!$A:$R,5,FALSE))&gt;0,($D$5+VLOOKUP($E101,武器奇术!$A:$R,13,FALSE)+IF($I$3="√",10,0)-VLOOKUP($F$7,目标属性!$A:$R,5,FALSE))/200,($D$5+VLOOKUP($E101,武器奇术!$A:$R,13,FALSE)+IF($I$3="√",10,0)-VLOOKUP($F$7,目标属性!$A:$R,5,FALSE))/100)</f>
        <v>0.2675</v>
      </c>
      <c r="U101" s="111">
        <f>$E$5+IF($G$5="烟柳",IF(VLOOKUP($E101,武器奇术!$A:$T,20,FALSE)=1,0.1,0),0)</f>
        <v>0</v>
      </c>
      <c r="V101" s="102">
        <v>1</v>
      </c>
      <c r="W101" s="103">
        <f>Q101*VLOOKUP($E101,武器奇术!$A:$R,2,FALSE)*(1+T101)*(1+U101)*V101</f>
        <v>3906.244875</v>
      </c>
      <c r="X101" s="104">
        <f>(1-IF(VLOOKUP($E101,武器奇术!$A:$R,18,FALSE)="叶龙",1,$N101))*(1-$M101)</f>
        <v>0</v>
      </c>
      <c r="Y101" s="103">
        <f>R101*VLOOKUP($E101,武器奇术!$A:$R,2,FALSE)*(1+T101)*(1+U101)*V101*(1+$E$16+VLOOKUP($E101,武器奇术!$A:$R,8,FALSE))</f>
        <v>6588.5681745</v>
      </c>
      <c r="Z101" s="104">
        <f t="shared" si="47"/>
        <v>0.8703</v>
      </c>
      <c r="AA101" s="103">
        <f>S101*VLOOKUP($E101,武器奇术!$A:$R,2,FALSE)*(1+T101)*(1+U101)*V101*(1+$E$17+VLOOKUP($E101,武器奇术!$A:$R,10,FALSE))</f>
        <v>5547.21058125</v>
      </c>
      <c r="AB101" s="104">
        <f t="shared" si="48"/>
        <v>0.0986</v>
      </c>
      <c r="AC101" s="103">
        <f>R101*VLOOKUP($E101,武器奇术!$A:$R,2,FALSE)*(1+T101)*(1+U101)*V101</f>
        <v>4007.644875</v>
      </c>
      <c r="AD101" s="104">
        <f t="shared" si="49"/>
        <v>0.0311</v>
      </c>
      <c r="AE101" s="112">
        <f t="shared" si="50"/>
        <v>6405.6236011911</v>
      </c>
      <c r="AF101" s="113">
        <f>VLOOKUP($E101,武器奇术!$A:$R,3,FALSE)*(1+IF(VLOOKUP($E101,武器奇术!$A:$R,15,FALSE)="武器",$E$15,0))</f>
        <v>0</v>
      </c>
      <c r="AG101" s="103">
        <f t="shared" si="51"/>
        <v>0</v>
      </c>
      <c r="AH101" s="103">
        <f>VLOOKUP($E101,武器奇术!$A:$R,3,FALSE)*(1+IF(VLOOKUP($E101,武器奇术!$A:$R,15,FALSE)="武器",$E$15,0))</f>
        <v>0</v>
      </c>
      <c r="AI101" s="104">
        <f>IF(($D$5+VLOOKUP($E101,武器奇术!$A:$R,13,FALSE)+IF($I$3="√",10,0)-VLOOKUP($F$7,目标属性!$A:$R,5,FALSE))&gt;0,($D$5+VLOOKUP($E101,武器奇术!$A:$R,13,FALSE)+IF($I$3="√",10,0)-VLOOKUP($F$7,目标属性!$A:$R,5,FALSE))/200,($D$5+VLOOKUP($E101,武器奇术!$A:$R,13,FALSE)+IF($I$3="√",10,0)-VLOOKUP($F$7,目标属性!$A:$R,5,FALSE))/100)</f>
        <v>0.2675</v>
      </c>
      <c r="AJ101" s="111">
        <f>$E$5+IF($G$5="烟柳",IF(VLOOKUP($E101,武器奇术!$A:$T,20,FALSE)=1,0.1,0),0)</f>
        <v>0</v>
      </c>
      <c r="AK101" s="102">
        <v>1</v>
      </c>
      <c r="AL101" s="103">
        <f t="shared" si="52"/>
        <v>0</v>
      </c>
      <c r="AM101" s="104">
        <f>(1-IF(VLOOKUP($E101,武器奇术!$A:$R,18,FALSE)="叶龙",1,$N101))*(1-$M101)</f>
        <v>0</v>
      </c>
      <c r="AN101" s="103">
        <f>AG101*(1+AI101)*(1+AJ101)*AK101*(1+$E$16+VLOOKUP($E101,武器奇术!$A:$R,8,FALSE))</f>
        <v>0</v>
      </c>
      <c r="AO101" s="104">
        <f t="shared" si="53"/>
        <v>0.8703</v>
      </c>
      <c r="AP101" s="103">
        <f>AH101*(1+AI101)*(1+AJ101)*AK101*(1+$E$17+VLOOKUP($E101,武器奇术!$A:$R,10,FALSE))</f>
        <v>0</v>
      </c>
      <c r="AQ101" s="104">
        <f t="shared" si="54"/>
        <v>0.0986</v>
      </c>
      <c r="AR101" s="103">
        <f t="shared" si="55"/>
        <v>0</v>
      </c>
      <c r="AS101" s="104">
        <f t="shared" si="56"/>
        <v>0.0311</v>
      </c>
      <c r="AT101" s="112">
        <f t="shared" si="57"/>
        <v>0</v>
      </c>
      <c r="AU101" s="110">
        <f>$B$7*IF($G$5="撼天",1.05,1)+IF(AND(VLOOKUP($E101,武器奇术!$A:$R,15,FALSE)="武器",VLOOKUP($E101,武器奇术!$A:$R,17,FALSE)="鸣金"),$E$3*(1+$E$15),0)</f>
        <v>0</v>
      </c>
      <c r="AV101" s="102">
        <f t="shared" si="58"/>
        <v>0</v>
      </c>
      <c r="AW101" s="102">
        <f>MAX($C$7*IF($G$5="撼天",1.05,1)+IF(AND(VLOOKUP($E101,武器奇术!$A:$R,15,FALSE)="武器",VLOOKUP($E101,武器奇术!$A:$R,17,FALSE)="鸣金"),$E$3*(1+$E$15),0),AU101)</f>
        <v>0</v>
      </c>
      <c r="AX101" s="104">
        <f>IF(($D$7+IF(VLOOKUP($E101,武器奇术!$A:$R,17,FALSE)="鸣金",$D$15,0)-VLOOKUP($F$7,目标属性!$A:$R,6,FALSE))&gt;0,($D$7+IF(VLOOKUP($E101,武器奇术!$A:$R,17,FALSE)="鸣金",$D$15,0)-VLOOKUP($F$7,目标属性!$A:$R,6,FALSE))/200,($D$7+IF(VLOOKUP($E101,武器奇术!$A:$R,17,FALSE)="鸣金",$D$15,0)-VLOOKUP($F$7,目标属性!$A:$R,6,FALSE))/100)</f>
        <v>-0.24</v>
      </c>
      <c r="AY101" s="111">
        <f t="shared" si="59"/>
        <v>0</v>
      </c>
      <c r="AZ101" s="102">
        <v>1</v>
      </c>
      <c r="BA101" s="103">
        <f>AU101*IF(VLOOKUP($E101,武器奇术!$A:$R,17,FALSE)="鸣金",VLOOKUP($E101,武器奇术!$A:$R,4,FALSE),VLOOKUP($E101,武器奇术!$A:$R,2,FALSE))*(1+AX101)*(1+AY101)*AZ101</f>
        <v>0</v>
      </c>
      <c r="BB101" s="104">
        <f>(1-IF(VLOOKUP($E101,武器奇术!$A:$R,18,FALSE)="叶龙",1,$N101))*(1-$M101)</f>
        <v>0</v>
      </c>
      <c r="BC101" s="103">
        <f>AV101*IF(VLOOKUP($E101,武器奇术!$A:$R,17,FALSE)="鸣金",VLOOKUP($E101,武器奇术!$A:$R,4,FALSE),VLOOKUP($E101,武器奇术!$A:$R,2,FALSE))*(1+AX101)*(1+AY101)*AZ101*(1+$E$16+VLOOKUP($E101,武器奇术!$A:$R,8,FALSE))</f>
        <v>0</v>
      </c>
      <c r="BD101" s="104">
        <f t="shared" si="60"/>
        <v>0.8703</v>
      </c>
      <c r="BE101" s="103">
        <f>AW101*IF(VLOOKUP($E101,武器奇术!$A:$R,17,FALSE)="鸣金",VLOOKUP($E101,武器奇术!$A:$R,4,FALSE),VLOOKUP($E101,武器奇术!$A:$R,2,FALSE))*(1+AX101)*(1+AY101)*AZ101*(1+$E$17+VLOOKUP($E101,武器奇术!$A:$R,10,FALSE))</f>
        <v>0</v>
      </c>
      <c r="BF101" s="104">
        <f t="shared" si="61"/>
        <v>0.0986</v>
      </c>
      <c r="BG101" s="103">
        <f>AV101*IF(VLOOKUP($E101,武器奇术!$A:$R,17,FALSE)="鸣金",VLOOKUP($E101,武器奇术!$A:$R,4,FALSE),VLOOKUP($E101,武器奇术!$A:$R,2,FALSE))*(1+AX101)*(1+AY101)*AZ101</f>
        <v>0</v>
      </c>
      <c r="BH101" s="104">
        <f t="shared" si="62"/>
        <v>0.0311</v>
      </c>
      <c r="BI101" s="112">
        <f t="shared" si="63"/>
        <v>0</v>
      </c>
      <c r="BJ101" s="110">
        <f>$B$9*IF($G$5="撼天",1.05,1)+IF(AND(VLOOKUP($E101,武器奇术!$A:$R,15,FALSE)="武器",VLOOKUP($E101,武器奇术!$A:$R,17,FALSE)="裂石"),$E$3*(1+$E$15),0)</f>
        <v>0</v>
      </c>
      <c r="BK101" s="102">
        <f t="shared" si="64"/>
        <v>0</v>
      </c>
      <c r="BL101" s="102">
        <f>MAX($C$9*IF($G$5="撼天",1.05,1)+IF(AND(VLOOKUP($E101,武器奇术!$A:$R,15,FALSE)="武器",VLOOKUP($E101,武器奇术!$A:$R,17,FALSE)="裂石"),$E$3*(1+$E$15),0),BJ101)</f>
        <v>0</v>
      </c>
      <c r="BM101" s="104">
        <f>IF(($D$9+IF(VLOOKUP($E101,武器奇术!$A:$R,17,FALSE)="裂石",$D$15,0)-VLOOKUP($F$7,目标属性!$A:$R,6,FALSE))&gt;0,($D$9+IF(VLOOKUP($E101,武器奇术!$A:$R,17,FALSE)="裂石",$D$15,0)-VLOOKUP($F$7,目标属性!$A:$R,6,FALSE))/200,($D$9+IF(VLOOKUP($E101,武器奇术!$A:$R,17,FALSE)="裂石",$D$15,0)-VLOOKUP($F$7,目标属性!$A:$R,6,FALSE))/100)</f>
        <v>-0.24</v>
      </c>
      <c r="BN101" s="111">
        <f t="shared" si="65"/>
        <v>0</v>
      </c>
      <c r="BO101" s="102">
        <v>1</v>
      </c>
      <c r="BP101" s="103">
        <f>BJ101*IF(VLOOKUP($E101,武器奇术!$A:$R,17,FALSE)="裂石",VLOOKUP($E101,武器奇术!$A:$R,4,FALSE),VLOOKUP($E101,武器奇术!$A:$R,2,FALSE))*(1+BM101)*(1+BN101)*BO101</f>
        <v>0</v>
      </c>
      <c r="BQ101" s="104">
        <f>(1-IF(VLOOKUP($E101,武器奇术!$A:$R,18,FALSE)="叶龙",1,$N101))*(1-$M101)</f>
        <v>0</v>
      </c>
      <c r="BR101" s="103">
        <f>BK101*IF(VLOOKUP($E101,武器奇术!$A:$R,17,FALSE)="裂石",VLOOKUP($E101,武器奇术!$A:$R,4,FALSE),VLOOKUP($E101,武器奇术!$A:$R,2,FALSE))*(1+BM101)*(1+BN101)*BO101*(1+$E$16+VLOOKUP($E101,武器奇术!$A:$R,8,FALSE))</f>
        <v>0</v>
      </c>
      <c r="BS101" s="104">
        <f t="shared" si="66"/>
        <v>0.8703</v>
      </c>
      <c r="BT101" s="103">
        <f>BL101*IF(VLOOKUP($E101,武器奇术!$A:$R,17,FALSE)="裂石",VLOOKUP($E101,武器奇术!$A:$R,4,FALSE),VLOOKUP($E101,武器奇术!$A:$R,2,FALSE))*(1+BM101)*(1+BN101)*BO101*(1+$E$17+VLOOKUP($E101,武器奇术!$A:$R,10,FALSE))</f>
        <v>0</v>
      </c>
      <c r="BU101" s="104">
        <f t="shared" si="67"/>
        <v>0.0986</v>
      </c>
      <c r="BV101" s="103">
        <f>BK101*IF(VLOOKUP($E101,武器奇术!$A:$R,17,FALSE)="裂石",VLOOKUP($E101,武器奇术!$A:$R,4,FALSE),VLOOKUP($E101,武器奇术!$A:$R,2,FALSE))*(1+BM101)*(1+BN101)*BO101</f>
        <v>0</v>
      </c>
      <c r="BW101" s="104">
        <f t="shared" si="68"/>
        <v>0.0311</v>
      </c>
      <c r="BX101" s="112">
        <f t="shared" si="69"/>
        <v>0</v>
      </c>
      <c r="BY101" s="110">
        <f>$B$11*IF($G$5="撼天",1.05,1)+IF(AND(VLOOKUP($E101,武器奇术!$A:$R,15,FALSE)="武器",VLOOKUP($E101,武器奇术!$A:$R,17,FALSE)="牵丝"),$E$3*(1+$E$15),0)</f>
        <v>490.8</v>
      </c>
      <c r="BZ101" s="102">
        <f>IF(VLOOKUP($E101,武器奇术!$A:$Z,18,FALSE)="叶龙",(CA101-(BY101+CA101)*0.5)*($G$15-0.5)*2+(BY101+CA101)*0.5,(BY101+CA101)*0.5)</f>
        <v>856.3</v>
      </c>
      <c r="CA101" s="102">
        <f>MAX($C$11*IF($G$5="撼天",1.05,1)+IF(AND(VLOOKUP($E101,武器奇术!$A:$R,15,FALSE)="武器",VLOOKUP($E101,武器奇术!$A:$R,17,FALSE)="牵丝"),$E$3*(1+$E$15),0),BY101)</f>
        <v>1221.8</v>
      </c>
      <c r="CB101" s="104">
        <f>IF(($D$11+IF(VLOOKUP($E101,武器奇术!$A:$R,17,FALSE)="牵丝",$D$15,0)-VLOOKUP($F$7,目标属性!$A:$R,6,FALSE))&gt;0,($D$11+IF(VLOOKUP($E101,武器奇术!$A:$R,17,FALSE)="牵丝",$D$15,0)-VLOOKUP($F$7,目标属性!$A:$R,6,FALSE))/200,($D$11+IF(VLOOKUP($E101,武器奇术!$A:$R,17,FALSE)="牵丝",$D$15,0)-VLOOKUP($F$7,目标属性!$A:$R,6,FALSE))/100)</f>
        <v>0.028</v>
      </c>
      <c r="CC101" s="111">
        <f>$E$11+IF($G$5="烟柳",IF(VLOOKUP($E101,武器奇术!$A:$T,20,FALSE)=1,0.1,0),0)</f>
        <v>0.148</v>
      </c>
      <c r="CD101" s="102">
        <v>1</v>
      </c>
      <c r="CE101" s="103">
        <f>BY101*IF(VLOOKUP($E101,武器奇术!$A:$R,17,FALSE)="牵丝",VLOOKUP($E101,武器奇术!$A:$R,4,FALSE),VLOOKUP($E101,武器奇术!$A:$R,2,FALSE))*(1+CB101)*(1+CC101)*CD101</f>
        <v>579.2146752</v>
      </c>
      <c r="CF101" s="104">
        <f>(1-IF(VLOOKUP($E101,武器奇术!$A:$R,18,FALSE)="叶龙",1,$N101))*(1-$M101)</f>
        <v>0</v>
      </c>
      <c r="CG101" s="124">
        <f>BZ101*IF(VLOOKUP($E101,武器奇术!$A:$R,17,FALSE)="牵丝",VLOOKUP($E101,武器奇术!$A:$R,4,FALSE),VLOOKUP($E101,武器奇术!$A:$R,2,FALSE))*(1+CB101)*(1+CC101)*CD101*(1+$E$16+VLOOKUP($E101,武器奇术!$A:$R,8,FALSE))</f>
        <v>1661.3562130368</v>
      </c>
      <c r="CH101" s="104">
        <f t="shared" si="70"/>
        <v>0.8703</v>
      </c>
      <c r="CI101" s="103">
        <f>CA101*IF(VLOOKUP($E101,武器奇术!$A:$R,17,FALSE)="牵丝",VLOOKUP($E101,武器奇术!$A:$R,4,FALSE),VLOOKUP($E101,武器奇术!$A:$R,2,FALSE))*(1+CB101)*(1+CC101)*CD101*(1+$E$17+VLOOKUP($E101,武器奇术!$A:$R,10,FALSE))</f>
        <v>1946.56491792</v>
      </c>
      <c r="CJ101" s="104">
        <f t="shared" si="71"/>
        <v>0.0986</v>
      </c>
      <c r="CK101" s="124">
        <f>BZ101*IF(VLOOKUP($E101,武器奇术!$A:$R,17,FALSE)="牵丝",VLOOKUP($E101,武器奇术!$A:$R,4,FALSE),VLOOKUP($E101,武器奇术!$A:$R,2,FALSE))*(1+CB101)*(1+CC101)*CD101</f>
        <v>1010.5573072</v>
      </c>
      <c r="CL101" s="104">
        <f t="shared" si="72"/>
        <v>0.0311</v>
      </c>
      <c r="CM101" s="112">
        <f t="shared" si="73"/>
        <v>1669.23794536676</v>
      </c>
      <c r="CN101" s="110">
        <f>$B$13*IF($G$5="撼天",1.05,1)+IF(AND(VLOOKUP($E101,武器奇术!$A:$R,15,FALSE)="武器",VLOOKUP($E101,武器奇术!$A:$R,17,FALSE)="破竹"),$E$3*(1+$E$15),0)</f>
        <v>0</v>
      </c>
      <c r="CO101" s="102">
        <f t="shared" si="74"/>
        <v>0</v>
      </c>
      <c r="CP101" s="102">
        <f>MAX($C$13*IF($G$5="撼天",1.05,1)+IF(AND(VLOOKUP($E101,武器奇术!$A:$R,15,FALSE)="武器",VLOOKUP($E101,武器奇术!$A:$R,17,FALSE)="破竹"),$E$3*(1+$E$15),0),CN101)</f>
        <v>0</v>
      </c>
      <c r="CQ101" s="104">
        <f>IF(($D$13+IF(VLOOKUP($E101,武器奇术!$A:$R,17,FALSE)="破竹",$D$15,0)-VLOOKUP($F$7,目标属性!$A:$R,6,FALSE))&gt;0,($D$13+IF(VLOOKUP($E101,武器奇术!$A:$R,17,FALSE)="破竹",$D$15,0)-VLOOKUP($F$7,目标属性!$A:$R,6,FALSE))/200,($D$13+IF(VLOOKUP($E101,武器奇术!$A:$R,17,FALSE)="破竹",$D$15,0)-VLOOKUP($F$7,目标属性!$A:$R,6,FALSE))/100)</f>
        <v>-0.24</v>
      </c>
      <c r="CR101" s="111">
        <f t="shared" si="75"/>
        <v>0</v>
      </c>
      <c r="CS101" s="102">
        <v>1</v>
      </c>
      <c r="CT101" s="103">
        <f>CN101*IF(VLOOKUP($E101,武器奇术!$A:$R,17,FALSE)="破竹",VLOOKUP($E101,武器奇术!$A:$R,4,FALSE),VLOOKUP($E101,武器奇术!$A:$R,2,FALSE))*(1+CQ101)*(1+CR101)*CS101</f>
        <v>0</v>
      </c>
      <c r="CU101" s="104">
        <f>(1-IF(VLOOKUP($E101,武器奇术!$A:$R,18,FALSE)="叶龙",1,$N101))*(1-$M101)</f>
        <v>0</v>
      </c>
      <c r="CV101" s="103">
        <f>CO101*IF(VLOOKUP($E101,武器奇术!$A:$R,17,FALSE)="破竹",VLOOKUP($E101,武器奇术!$A:$R,4,FALSE),VLOOKUP($E101,武器奇术!$A:$R,2,FALSE))*(1+CQ101)*(1+CR101)*CS101*(1+$E$16+VLOOKUP($E101,武器奇术!$A:$R,8,FALSE))</f>
        <v>0</v>
      </c>
      <c r="CW101" s="104">
        <f t="shared" si="76"/>
        <v>0.8703</v>
      </c>
      <c r="CX101" s="103">
        <f>CP101*IF(VLOOKUP($E101,武器奇术!$A:$R,17,FALSE)="破竹",VLOOKUP($E101,武器奇术!$A:$R,4,FALSE),VLOOKUP($E101,武器奇术!$A:$R,2,FALSE))*(1+CQ101)*(1+CR101)*CS101*(1+$E$17+VLOOKUP($E101,武器奇术!$A:$R,10,FALSE))</f>
        <v>0</v>
      </c>
      <c r="CY101" s="104">
        <f t="shared" si="77"/>
        <v>0.0986</v>
      </c>
      <c r="CZ101" s="103">
        <f>CO101*IF(VLOOKUP($E101,武器奇术!$A:$R,17,FALSE)="破竹",VLOOKUP($E101,武器奇术!$A:$R,4,FALSE),VLOOKUP($E101,武器奇术!$A:$R,2,FALSE))*(1+CQ101)*(1+CR101)*CS101</f>
        <v>0</v>
      </c>
      <c r="DA101" s="104">
        <f t="shared" si="78"/>
        <v>0.0311</v>
      </c>
      <c r="DB101" s="112">
        <f t="shared" si="79"/>
        <v>0</v>
      </c>
      <c r="DC101" s="110">
        <f t="shared" si="80"/>
        <v>66</v>
      </c>
      <c r="DD101" s="102">
        <f t="shared" si="81"/>
        <v>125.8</v>
      </c>
      <c r="DE101" s="102">
        <f t="shared" si="82"/>
        <v>185.6</v>
      </c>
      <c r="DF101" s="104">
        <f>IF((IF(VLOOKUP($E101,武器奇术!$A:$R,17,FALSE)="鸣金",$D$7,0)+IF(VLOOKUP($E101,武器奇术!$A:$R,17,FALSE)="裂石",$D$9,0)+IF(VLOOKUP($E101,武器奇术!$A:$R,17,FALSE)="牵丝",$D$11,0)+IF(VLOOKUP($E101,武器奇术!$A:$R,17,FALSE)="破竹",$D$13,0)+$D$15-VLOOKUP($F$7,目标属性!$A:$R,6,FALSE))&gt;0,(IF(VLOOKUP($E101,武器奇术!$A:$R,17,FALSE)="鸣金",$D$7,0)+IF(VLOOKUP($E101,武器奇术!$A:$R,17,FALSE)="裂石",$D$9,0)+IF(VLOOKUP($E101,武器奇术!$A:$R,17,FALSE)="牵丝",$D$11,0)+IF(VLOOKUP($E101,武器奇术!$A:$R,17,FALSE)="破竹",$D$13,0)+$D$15-VLOOKUP($F$7,目标属性!$A:$R,6,FALSE))/200,(IF(VLOOKUP($E101,武器奇术!$A:$R,17,FALSE)="鸣金",$D$7,0)+IF(VLOOKUP($E101,武器奇术!$A:$R,17,FALSE)="裂石",$D$9,0)+IF(VLOOKUP($E101,武器奇术!$A:$R,17,FALSE)="牵丝",$D$11,0)+IF(VLOOKUP($E101,武器奇术!$A:$R,17,FALSE)="破竹",$D$13,0)+$D$15-VLOOKUP($F$7,目标属性!$A:$R,6,FALSE))/100)</f>
        <v>0.028</v>
      </c>
      <c r="DG101" s="111">
        <f>$E$11+IF($G$5="烟柳",IF(VLOOKUP($E101,武器奇术!$A:$T,20,FALSE)=1,0.1,0),0)</f>
        <v>0.148</v>
      </c>
      <c r="DH101" s="102">
        <v>1</v>
      </c>
      <c r="DI101" s="103">
        <f>DC101*IF(VLOOKUP($E101,武器奇术!$A:$R,17,FALSE)="牵丝",VLOOKUP($E101,武器奇术!$A:$R,4,FALSE),VLOOKUP($E101,武器奇术!$A:$R,2,FALSE))*(1+DF101)*(1+DG101)*DH101</f>
        <v>77.889504</v>
      </c>
      <c r="DJ101" s="104">
        <f>(1-IF(VLOOKUP($E101,武器奇术!$A:$R,18,FALSE)="叶龙",1,$N101))*(1-$M101)</f>
        <v>0</v>
      </c>
      <c r="DK101" s="124">
        <f>DD101*IF(VLOOKUP($E101,武器奇术!$A:$R,17,FALSE)="牵丝",VLOOKUP($E101,武器奇术!$A:$R,4,FALSE),VLOOKUP($E101,武器奇术!$A:$R,2,FALSE))*(1+DF101)*(1+DG101)*DH101*(1+$E$16+VLOOKUP($E101,武器奇术!$A:$R,8,FALSE))</f>
        <v>244.0717173888</v>
      </c>
      <c r="DL101" s="104">
        <f t="shared" si="83"/>
        <v>0.8703</v>
      </c>
      <c r="DM101" s="103">
        <f>DE101*IF(VLOOKUP($E101,武器奇术!$A:$R,17,FALSE)="牵丝",VLOOKUP($E101,武器奇术!$A:$R,4,FALSE),VLOOKUP($E101,武器奇术!$A:$R,2,FALSE))*(1+DF101)*(1+DG101)*DH101*(1+$E$17+VLOOKUP($E101,武器奇术!$A:$R,10,FALSE))</f>
        <v>295.69688064</v>
      </c>
      <c r="DN101" s="104">
        <f t="shared" si="84"/>
        <v>0.0986</v>
      </c>
      <c r="DO101" s="124">
        <f>DD101*IF(VLOOKUP($E101,武器奇术!$A:$R,17,FALSE)="牵丝",VLOOKUP($E101,武器奇术!$A:$R,4,FALSE),VLOOKUP($E101,武器奇术!$A:$R,2,FALSE))*(1+DF101)*(1+DG101)*DH101</f>
        <v>148.4621152</v>
      </c>
      <c r="DP101" s="104">
        <f t="shared" si="85"/>
        <v>0.0311</v>
      </c>
      <c r="DQ101" s="112">
        <f t="shared" si="86"/>
        <v>246.188499857297</v>
      </c>
    </row>
    <row r="102" spans="3:121">
      <c r="E102" s="115" t="str">
        <f>期望!E102</f>
        <v>易水歌6重(小纵)</v>
      </c>
      <c r="F102" s="116">
        <f>期望!F102</f>
        <v>1</v>
      </c>
      <c r="G102" s="117"/>
      <c r="H102" s="140">
        <f>IF(VLOOKUP($E102,武器奇术!$A:$R,18,FALSE)="天工",AE102,(AE102+AT102+BI102+BX102+CM102+DB102+DQ102))*(1+J102)*F102*K102*(1+G102)*(1+$G$21*5%)</f>
        <v>15528.74359662</v>
      </c>
      <c r="I102" s="104">
        <f t="shared" si="45"/>
        <v>0.00178968704529127</v>
      </c>
      <c r="J102" s="104">
        <f>$F$3+VLOOKUP($E102,武器奇术!$A:$R,12,FALSE)+VLOOKUP($E102,武器奇术!$A:$R,14,FALSE)*$G$3+$P102</f>
        <v>0.333</v>
      </c>
      <c r="K102" s="105">
        <f>VLOOKUP($E102,武器奇术!$A:$R,11,FALSE)</f>
        <v>1</v>
      </c>
      <c r="L102" s="119">
        <f>IF(VLOOKUP($E102,武器奇术!$A:$R,15,FALSE)="天工",0%,IF($C$17+VLOOKUP($E102,武器奇术!$A:$R,7,FALSE)&gt;80%,80%,$C$17+VLOOKUP($E102,武器奇术!$A:$R,7,FALSE))+IF($C$19&gt;20%,20%,$C$19))</f>
        <v>0.8703</v>
      </c>
      <c r="M102" s="120">
        <f>IF(VLOOKUP($E102,武器奇术!$A:$R,15,FALSE)="天工",0%,IF($C$18+VLOOKUP($E102,武器奇术!$A:$R,9,FALSE)&gt;40%,40%,$C$18+VLOOKUP($E102,武器奇术!$A:$R,9,FALSE))+IF($C$20&gt;10%,10%,$C$20))</f>
        <v>0.0986</v>
      </c>
      <c r="N102" s="121">
        <f>IF(VLOOKUP($E102,武器奇术!$A:$R,15,FALSE)="天工",100%,MIN($C$16,1))</f>
        <v>1</v>
      </c>
      <c r="O102" s="122" t="str">
        <f>VLOOKUP($E102,武器奇术!$A:$R,16,FALSE)</f>
        <v>N/A</v>
      </c>
      <c r="P102" s="123">
        <f t="shared" si="46"/>
        <v>0</v>
      </c>
      <c r="Q102" s="110">
        <f>$B$5*(1+VLOOKUP($E102,武器奇术!$A:$R,5,FALSE))*(1+VLOOKUP($E102,武器奇术!$A:$S,19,FALSE)+IF($G$5="飞隼",0.1,0)+IF($G$5="撼天",0.05,0))-$F$9+IF($J$5="√",160,0)</f>
        <v>3081.85</v>
      </c>
      <c r="R102" s="102">
        <f>IF(VLOOKUP($E102,武器奇术!$A:$Z,18,FALSE)="叶龙",(S102-(Q102+S102)*0.5)*($G$15-0.5)*2+(Q102+S102)*0.5,(Q102+S102)*0.5)</f>
        <v>3161.85</v>
      </c>
      <c r="S102" s="102">
        <f>MAX($C$5,$B$5)*(1+VLOOKUP($E102,武器奇术!$A:$R,6,FALSE))*(1+VLOOKUP($E102,武器奇术!$A:$S,19,FALSE)+IF($G$5="飞隼",0.1,0)+IF($G$5="撼天",0.05,0))-$F$9+IF($J$5="√",320,0)</f>
        <v>3241.85</v>
      </c>
      <c r="T102" s="104">
        <f>IF(($D$5+VLOOKUP($E102,武器奇术!$A:$R,13,FALSE)+IF($I$3="√",10,0)-VLOOKUP($F$7,目标属性!$A:$R,5,FALSE))&gt;0,($D$5+VLOOKUP($E102,武器奇术!$A:$R,13,FALSE)+IF($I$3="√",10,0)-VLOOKUP($F$7,目标属性!$A:$R,5,FALSE))/200,($D$5+VLOOKUP($E102,武器奇术!$A:$R,13,FALSE)+IF($I$3="√",10,0)-VLOOKUP($F$7,目标属性!$A:$R,5,FALSE))/100)</f>
        <v>0.2675</v>
      </c>
      <c r="U102" s="111">
        <f>$E$5+IF($G$5="烟柳",IF(VLOOKUP($E102,武器奇术!$A:$T,20,FALSE)=1,0.1,0),0)</f>
        <v>0</v>
      </c>
      <c r="V102" s="102">
        <v>1</v>
      </c>
      <c r="W102" s="103">
        <f>Q102*VLOOKUP($E102,武器奇术!$A:$R,2,FALSE)*(1+T102)*(1+U102)*V102</f>
        <v>3906.244875</v>
      </c>
      <c r="X102" s="104">
        <f>(1-IF(VLOOKUP($E102,武器奇术!$A:$R,18,FALSE)="叶龙",1,$N102))*(1-$M102)</f>
        <v>0</v>
      </c>
      <c r="Y102" s="103">
        <f>R102*VLOOKUP($E102,武器奇术!$A:$R,2,FALSE)*(1+T102)*(1+U102)*V102*(1+$E$16+VLOOKUP($E102,武器奇术!$A:$R,8,FALSE))</f>
        <v>6588.5681745</v>
      </c>
      <c r="Z102" s="104">
        <f t="shared" si="47"/>
        <v>0.8703</v>
      </c>
      <c r="AA102" s="103">
        <f>S102*VLOOKUP($E102,武器奇术!$A:$R,2,FALSE)*(1+T102)*(1+U102)*V102*(1+$E$17+VLOOKUP($E102,武器奇术!$A:$R,10,FALSE))</f>
        <v>5547.21058125</v>
      </c>
      <c r="AB102" s="104">
        <f t="shared" si="48"/>
        <v>0.0986</v>
      </c>
      <c r="AC102" s="103">
        <f>R102*VLOOKUP($E102,武器奇术!$A:$R,2,FALSE)*(1+T102)*(1+U102)*V102</f>
        <v>4007.644875</v>
      </c>
      <c r="AD102" s="104">
        <f t="shared" si="49"/>
        <v>0.0311</v>
      </c>
      <c r="AE102" s="112">
        <f t="shared" si="50"/>
        <v>6405.6236011911</v>
      </c>
      <c r="AF102" s="113">
        <f>VLOOKUP($E102,武器奇术!$A:$R,3,FALSE)*(1+IF(VLOOKUP($E102,武器奇术!$A:$R,15,FALSE)="武器",$E$15,0))</f>
        <v>0</v>
      </c>
      <c r="AG102" s="103">
        <f t="shared" si="51"/>
        <v>0</v>
      </c>
      <c r="AH102" s="103">
        <f>VLOOKUP($E102,武器奇术!$A:$R,3,FALSE)*(1+IF(VLOOKUP($E102,武器奇术!$A:$R,15,FALSE)="武器",$E$15,0))</f>
        <v>0</v>
      </c>
      <c r="AI102" s="104">
        <f>IF(($D$5+VLOOKUP($E102,武器奇术!$A:$R,13,FALSE)+IF($I$3="√",10,0)-VLOOKUP($F$7,目标属性!$A:$R,5,FALSE))&gt;0,($D$5+VLOOKUP($E102,武器奇术!$A:$R,13,FALSE)+IF($I$3="√",10,0)-VLOOKUP($F$7,目标属性!$A:$R,5,FALSE))/200,($D$5+VLOOKUP($E102,武器奇术!$A:$R,13,FALSE)+IF($I$3="√",10,0)-VLOOKUP($F$7,目标属性!$A:$R,5,FALSE))/100)</f>
        <v>0.2675</v>
      </c>
      <c r="AJ102" s="111">
        <f>$E$5+IF($G$5="烟柳",IF(VLOOKUP($E102,武器奇术!$A:$T,20,FALSE)=1,0.1,0),0)</f>
        <v>0</v>
      </c>
      <c r="AK102" s="102">
        <v>1</v>
      </c>
      <c r="AL102" s="103">
        <f t="shared" si="52"/>
        <v>0</v>
      </c>
      <c r="AM102" s="104">
        <f>(1-IF(VLOOKUP($E102,武器奇术!$A:$R,18,FALSE)="叶龙",1,$N102))*(1-$M102)</f>
        <v>0</v>
      </c>
      <c r="AN102" s="103">
        <f>AG102*(1+AI102)*(1+AJ102)*AK102*(1+$E$16+VLOOKUP($E102,武器奇术!$A:$R,8,FALSE))</f>
        <v>0</v>
      </c>
      <c r="AO102" s="104">
        <f t="shared" si="53"/>
        <v>0.8703</v>
      </c>
      <c r="AP102" s="103">
        <f>AH102*(1+AI102)*(1+AJ102)*AK102*(1+$E$17+VLOOKUP($E102,武器奇术!$A:$R,10,FALSE))</f>
        <v>0</v>
      </c>
      <c r="AQ102" s="104">
        <f t="shared" si="54"/>
        <v>0.0986</v>
      </c>
      <c r="AR102" s="103">
        <f t="shared" si="55"/>
        <v>0</v>
      </c>
      <c r="AS102" s="104">
        <f t="shared" si="56"/>
        <v>0.0311</v>
      </c>
      <c r="AT102" s="112">
        <f t="shared" si="57"/>
        <v>0</v>
      </c>
      <c r="AU102" s="110">
        <f>$B$7*IF($G$5="撼天",1.05,1)+IF(AND(VLOOKUP($E102,武器奇术!$A:$R,15,FALSE)="武器",VLOOKUP($E102,武器奇术!$A:$R,17,FALSE)="鸣金"),$E$3*(1+$E$15),0)</f>
        <v>0</v>
      </c>
      <c r="AV102" s="102">
        <f t="shared" si="58"/>
        <v>0</v>
      </c>
      <c r="AW102" s="102">
        <f>MAX($C$7*IF($G$5="撼天",1.05,1)+IF(AND(VLOOKUP($E102,武器奇术!$A:$R,15,FALSE)="武器",VLOOKUP($E102,武器奇术!$A:$R,17,FALSE)="鸣金"),$E$3*(1+$E$15),0),AU102)</f>
        <v>0</v>
      </c>
      <c r="AX102" s="104">
        <f>IF(($D$7+IF(VLOOKUP($E102,武器奇术!$A:$R,17,FALSE)="鸣金",$D$15,0)-VLOOKUP($F$7,目标属性!$A:$R,6,FALSE))&gt;0,($D$7+IF(VLOOKUP($E102,武器奇术!$A:$R,17,FALSE)="鸣金",$D$15,0)-VLOOKUP($F$7,目标属性!$A:$R,6,FALSE))/200,($D$7+IF(VLOOKUP($E102,武器奇术!$A:$R,17,FALSE)="鸣金",$D$15,0)-VLOOKUP($F$7,目标属性!$A:$R,6,FALSE))/100)</f>
        <v>-0.24</v>
      </c>
      <c r="AY102" s="111">
        <f t="shared" si="59"/>
        <v>0</v>
      </c>
      <c r="AZ102" s="102">
        <v>1</v>
      </c>
      <c r="BA102" s="103">
        <f>AU102*IF(VLOOKUP($E102,武器奇术!$A:$R,17,FALSE)="鸣金",VLOOKUP($E102,武器奇术!$A:$R,4,FALSE),VLOOKUP($E102,武器奇术!$A:$R,2,FALSE))*(1+AX102)*(1+AY102)*AZ102</f>
        <v>0</v>
      </c>
      <c r="BB102" s="104">
        <f>(1-IF(VLOOKUP($E102,武器奇术!$A:$R,18,FALSE)="叶龙",1,$N102))*(1-$M102)</f>
        <v>0</v>
      </c>
      <c r="BC102" s="103">
        <f>AV102*IF(VLOOKUP($E102,武器奇术!$A:$R,17,FALSE)="鸣金",VLOOKUP($E102,武器奇术!$A:$R,4,FALSE),VLOOKUP($E102,武器奇术!$A:$R,2,FALSE))*(1+AX102)*(1+AY102)*AZ102*(1+$E$16+VLOOKUP($E102,武器奇术!$A:$R,8,FALSE))</f>
        <v>0</v>
      </c>
      <c r="BD102" s="104">
        <f t="shared" si="60"/>
        <v>0.8703</v>
      </c>
      <c r="BE102" s="103">
        <f>AW102*IF(VLOOKUP($E102,武器奇术!$A:$R,17,FALSE)="鸣金",VLOOKUP($E102,武器奇术!$A:$R,4,FALSE),VLOOKUP($E102,武器奇术!$A:$R,2,FALSE))*(1+AX102)*(1+AY102)*AZ102*(1+$E$17+VLOOKUP($E102,武器奇术!$A:$R,10,FALSE))</f>
        <v>0</v>
      </c>
      <c r="BF102" s="104">
        <f t="shared" si="61"/>
        <v>0.0986</v>
      </c>
      <c r="BG102" s="103">
        <f>AV102*IF(VLOOKUP($E102,武器奇术!$A:$R,17,FALSE)="鸣金",VLOOKUP($E102,武器奇术!$A:$R,4,FALSE),VLOOKUP($E102,武器奇术!$A:$R,2,FALSE))*(1+AX102)*(1+AY102)*AZ102</f>
        <v>0</v>
      </c>
      <c r="BH102" s="104">
        <f t="shared" si="62"/>
        <v>0.0311</v>
      </c>
      <c r="BI102" s="112">
        <f t="shared" si="63"/>
        <v>0</v>
      </c>
      <c r="BJ102" s="110">
        <f>$B$9*IF($G$5="撼天",1.05,1)+IF(AND(VLOOKUP($E102,武器奇术!$A:$R,15,FALSE)="武器",VLOOKUP($E102,武器奇术!$A:$R,17,FALSE)="裂石"),$E$3*(1+$E$15),0)</f>
        <v>0</v>
      </c>
      <c r="BK102" s="102">
        <f t="shared" si="64"/>
        <v>0</v>
      </c>
      <c r="BL102" s="102">
        <f>MAX($C$9*IF($G$5="撼天",1.05,1)+IF(AND(VLOOKUP($E102,武器奇术!$A:$R,15,FALSE)="武器",VLOOKUP($E102,武器奇术!$A:$R,17,FALSE)="裂石"),$E$3*(1+$E$15),0),BJ102)</f>
        <v>0</v>
      </c>
      <c r="BM102" s="104">
        <f>IF(($D$9+IF(VLOOKUP($E102,武器奇术!$A:$R,17,FALSE)="裂石",$D$15,0)-VLOOKUP($F$7,目标属性!$A:$R,6,FALSE))&gt;0,($D$9+IF(VLOOKUP($E102,武器奇术!$A:$R,17,FALSE)="裂石",$D$15,0)-VLOOKUP($F$7,目标属性!$A:$R,6,FALSE))/200,($D$9+IF(VLOOKUP($E102,武器奇术!$A:$R,17,FALSE)="裂石",$D$15,0)-VLOOKUP($F$7,目标属性!$A:$R,6,FALSE))/100)</f>
        <v>-0.24</v>
      </c>
      <c r="BN102" s="111">
        <f t="shared" si="65"/>
        <v>0</v>
      </c>
      <c r="BO102" s="102">
        <v>1</v>
      </c>
      <c r="BP102" s="103">
        <f>BJ102*IF(VLOOKUP($E102,武器奇术!$A:$R,17,FALSE)="裂石",VLOOKUP($E102,武器奇术!$A:$R,4,FALSE),VLOOKUP($E102,武器奇术!$A:$R,2,FALSE))*(1+BM102)*(1+BN102)*BO102</f>
        <v>0</v>
      </c>
      <c r="BQ102" s="104">
        <f>(1-IF(VLOOKUP($E102,武器奇术!$A:$R,18,FALSE)="叶龙",1,$N102))*(1-$M102)</f>
        <v>0</v>
      </c>
      <c r="BR102" s="103">
        <f>BK102*IF(VLOOKUP($E102,武器奇术!$A:$R,17,FALSE)="裂石",VLOOKUP($E102,武器奇术!$A:$R,4,FALSE),VLOOKUP($E102,武器奇术!$A:$R,2,FALSE))*(1+BM102)*(1+BN102)*BO102*(1+$E$16+VLOOKUP($E102,武器奇术!$A:$R,8,FALSE))</f>
        <v>0</v>
      </c>
      <c r="BS102" s="104">
        <f t="shared" si="66"/>
        <v>0.8703</v>
      </c>
      <c r="BT102" s="103">
        <f>BL102*IF(VLOOKUP($E102,武器奇术!$A:$R,17,FALSE)="裂石",VLOOKUP($E102,武器奇术!$A:$R,4,FALSE),VLOOKUP($E102,武器奇术!$A:$R,2,FALSE))*(1+BM102)*(1+BN102)*BO102*(1+$E$17+VLOOKUP($E102,武器奇术!$A:$R,10,FALSE))</f>
        <v>0</v>
      </c>
      <c r="BU102" s="104">
        <f t="shared" si="67"/>
        <v>0.0986</v>
      </c>
      <c r="BV102" s="103">
        <f>BK102*IF(VLOOKUP($E102,武器奇术!$A:$R,17,FALSE)="裂石",VLOOKUP($E102,武器奇术!$A:$R,4,FALSE),VLOOKUP($E102,武器奇术!$A:$R,2,FALSE))*(1+BM102)*(1+BN102)*BO102</f>
        <v>0</v>
      </c>
      <c r="BW102" s="104">
        <f t="shared" si="68"/>
        <v>0.0311</v>
      </c>
      <c r="BX102" s="112">
        <f t="shared" si="69"/>
        <v>0</v>
      </c>
      <c r="BY102" s="110">
        <f>$B$11*IF($G$5="撼天",1.05,1)+IF(AND(VLOOKUP($E102,武器奇术!$A:$R,15,FALSE)="武器",VLOOKUP($E102,武器奇术!$A:$R,17,FALSE)="牵丝"),$E$3*(1+$E$15),0)</f>
        <v>490.8</v>
      </c>
      <c r="BZ102" s="102">
        <f>IF(VLOOKUP($E102,武器奇术!$A:$Z,18,FALSE)="叶龙",(CA102-(BY102+CA102)*0.5)*($G$15-0.5)*2+(BY102+CA102)*0.5,(BY102+CA102)*0.5)</f>
        <v>856.3</v>
      </c>
      <c r="CA102" s="102">
        <f>MAX($C$11*IF($G$5="撼天",1.05,1)+IF(AND(VLOOKUP($E102,武器奇术!$A:$R,15,FALSE)="武器",VLOOKUP($E102,武器奇术!$A:$R,17,FALSE)="牵丝"),$E$3*(1+$E$15),0),BY102)</f>
        <v>1221.8</v>
      </c>
      <c r="CB102" s="104">
        <f>IF(($D$11+IF(VLOOKUP($E102,武器奇术!$A:$R,17,FALSE)="牵丝",$D$15,0)-VLOOKUP($F$7,目标属性!$A:$R,6,FALSE))&gt;0,($D$11+IF(VLOOKUP($E102,武器奇术!$A:$R,17,FALSE)="牵丝",$D$15,0)-VLOOKUP($F$7,目标属性!$A:$R,6,FALSE))/200,($D$11+IF(VLOOKUP($E102,武器奇术!$A:$R,17,FALSE)="牵丝",$D$15,0)-VLOOKUP($F$7,目标属性!$A:$R,6,FALSE))/100)</f>
        <v>0.028</v>
      </c>
      <c r="CC102" s="111">
        <f>$E$11+IF($G$5="烟柳",IF(VLOOKUP($E102,武器奇术!$A:$T,20,FALSE)=1,0.1,0),0)</f>
        <v>0.148</v>
      </c>
      <c r="CD102" s="102">
        <v>1</v>
      </c>
      <c r="CE102" s="103">
        <f>BY102*IF(VLOOKUP($E102,武器奇术!$A:$R,17,FALSE)="牵丝",VLOOKUP($E102,武器奇术!$A:$R,4,FALSE),VLOOKUP($E102,武器奇术!$A:$R,2,FALSE))*(1+CB102)*(1+CC102)*CD102</f>
        <v>579.2146752</v>
      </c>
      <c r="CF102" s="104">
        <f>(1-IF(VLOOKUP($E102,武器奇术!$A:$R,18,FALSE)="叶龙",1,$N102))*(1-$M102)</f>
        <v>0</v>
      </c>
      <c r="CG102" s="124">
        <f>BZ102*IF(VLOOKUP($E102,武器奇术!$A:$R,17,FALSE)="牵丝",VLOOKUP($E102,武器奇术!$A:$R,4,FALSE),VLOOKUP($E102,武器奇术!$A:$R,2,FALSE))*(1+CB102)*(1+CC102)*CD102*(1+$E$16+VLOOKUP($E102,武器奇术!$A:$R,8,FALSE))</f>
        <v>1661.3562130368</v>
      </c>
      <c r="CH102" s="104">
        <f t="shared" si="70"/>
        <v>0.8703</v>
      </c>
      <c r="CI102" s="103">
        <f>CA102*IF(VLOOKUP($E102,武器奇术!$A:$R,17,FALSE)="牵丝",VLOOKUP($E102,武器奇术!$A:$R,4,FALSE),VLOOKUP($E102,武器奇术!$A:$R,2,FALSE))*(1+CB102)*(1+CC102)*CD102*(1+$E$17+VLOOKUP($E102,武器奇术!$A:$R,10,FALSE))</f>
        <v>1946.56491792</v>
      </c>
      <c r="CJ102" s="104">
        <f t="shared" si="71"/>
        <v>0.0986</v>
      </c>
      <c r="CK102" s="124">
        <f>BZ102*IF(VLOOKUP($E102,武器奇术!$A:$R,17,FALSE)="牵丝",VLOOKUP($E102,武器奇术!$A:$R,4,FALSE),VLOOKUP($E102,武器奇术!$A:$R,2,FALSE))*(1+CB102)*(1+CC102)*CD102</f>
        <v>1010.5573072</v>
      </c>
      <c r="CL102" s="104">
        <f t="shared" si="72"/>
        <v>0.0311</v>
      </c>
      <c r="CM102" s="112">
        <f t="shared" si="73"/>
        <v>1669.23794536676</v>
      </c>
      <c r="CN102" s="110">
        <f>$B$13*IF($G$5="撼天",1.05,1)+IF(AND(VLOOKUP($E102,武器奇术!$A:$R,15,FALSE)="武器",VLOOKUP($E102,武器奇术!$A:$R,17,FALSE)="破竹"),$E$3*(1+$E$15),0)</f>
        <v>0</v>
      </c>
      <c r="CO102" s="102">
        <f t="shared" si="74"/>
        <v>0</v>
      </c>
      <c r="CP102" s="102">
        <f>MAX($C$13*IF($G$5="撼天",1.05,1)+IF(AND(VLOOKUP($E102,武器奇术!$A:$R,15,FALSE)="武器",VLOOKUP($E102,武器奇术!$A:$R,17,FALSE)="破竹"),$E$3*(1+$E$15),0),CN102)</f>
        <v>0</v>
      </c>
      <c r="CQ102" s="104">
        <f>IF(($D$13+IF(VLOOKUP($E102,武器奇术!$A:$R,17,FALSE)="破竹",$D$15,0)-VLOOKUP($F$7,目标属性!$A:$R,6,FALSE))&gt;0,($D$13+IF(VLOOKUP($E102,武器奇术!$A:$R,17,FALSE)="破竹",$D$15,0)-VLOOKUP($F$7,目标属性!$A:$R,6,FALSE))/200,($D$13+IF(VLOOKUP($E102,武器奇术!$A:$R,17,FALSE)="破竹",$D$15,0)-VLOOKUP($F$7,目标属性!$A:$R,6,FALSE))/100)</f>
        <v>-0.24</v>
      </c>
      <c r="CR102" s="111">
        <f t="shared" si="75"/>
        <v>0</v>
      </c>
      <c r="CS102" s="102">
        <v>1</v>
      </c>
      <c r="CT102" s="103">
        <f>CN102*IF(VLOOKUP($E102,武器奇术!$A:$R,17,FALSE)="破竹",VLOOKUP($E102,武器奇术!$A:$R,4,FALSE),VLOOKUP($E102,武器奇术!$A:$R,2,FALSE))*(1+CQ102)*(1+CR102)*CS102</f>
        <v>0</v>
      </c>
      <c r="CU102" s="104">
        <f>(1-IF(VLOOKUP($E102,武器奇术!$A:$R,18,FALSE)="叶龙",1,$N102))*(1-$M102)</f>
        <v>0</v>
      </c>
      <c r="CV102" s="103">
        <f>CO102*IF(VLOOKUP($E102,武器奇术!$A:$R,17,FALSE)="破竹",VLOOKUP($E102,武器奇术!$A:$R,4,FALSE),VLOOKUP($E102,武器奇术!$A:$R,2,FALSE))*(1+CQ102)*(1+CR102)*CS102*(1+$E$16+VLOOKUP($E102,武器奇术!$A:$R,8,FALSE))</f>
        <v>0</v>
      </c>
      <c r="CW102" s="104">
        <f t="shared" si="76"/>
        <v>0.8703</v>
      </c>
      <c r="CX102" s="103">
        <f>CP102*IF(VLOOKUP($E102,武器奇术!$A:$R,17,FALSE)="破竹",VLOOKUP($E102,武器奇术!$A:$R,4,FALSE),VLOOKUP($E102,武器奇术!$A:$R,2,FALSE))*(1+CQ102)*(1+CR102)*CS102*(1+$E$17+VLOOKUP($E102,武器奇术!$A:$R,10,FALSE))</f>
        <v>0</v>
      </c>
      <c r="CY102" s="104">
        <f t="shared" si="77"/>
        <v>0.0986</v>
      </c>
      <c r="CZ102" s="103">
        <f>CO102*IF(VLOOKUP($E102,武器奇术!$A:$R,17,FALSE)="破竹",VLOOKUP($E102,武器奇术!$A:$R,4,FALSE),VLOOKUP($E102,武器奇术!$A:$R,2,FALSE))*(1+CQ102)*(1+CR102)*CS102</f>
        <v>0</v>
      </c>
      <c r="DA102" s="104">
        <f t="shared" si="78"/>
        <v>0.0311</v>
      </c>
      <c r="DB102" s="112">
        <f t="shared" si="79"/>
        <v>0</v>
      </c>
      <c r="DC102" s="110">
        <f t="shared" si="80"/>
        <v>66</v>
      </c>
      <c r="DD102" s="102">
        <f t="shared" si="81"/>
        <v>125.8</v>
      </c>
      <c r="DE102" s="102">
        <f t="shared" si="82"/>
        <v>185.6</v>
      </c>
      <c r="DF102" s="104">
        <f>IF((IF(VLOOKUP($E102,武器奇术!$A:$R,17,FALSE)="鸣金",$D$7,0)+IF(VLOOKUP($E102,武器奇术!$A:$R,17,FALSE)="裂石",$D$9,0)+IF(VLOOKUP($E102,武器奇术!$A:$R,17,FALSE)="牵丝",$D$11,0)+IF(VLOOKUP($E102,武器奇术!$A:$R,17,FALSE)="破竹",$D$13,0)+$D$15-VLOOKUP($F$7,目标属性!$A:$R,6,FALSE))&gt;0,(IF(VLOOKUP($E102,武器奇术!$A:$R,17,FALSE)="鸣金",$D$7,0)+IF(VLOOKUP($E102,武器奇术!$A:$R,17,FALSE)="裂石",$D$9,0)+IF(VLOOKUP($E102,武器奇术!$A:$R,17,FALSE)="牵丝",$D$11,0)+IF(VLOOKUP($E102,武器奇术!$A:$R,17,FALSE)="破竹",$D$13,0)+$D$15-VLOOKUP($F$7,目标属性!$A:$R,6,FALSE))/200,(IF(VLOOKUP($E102,武器奇术!$A:$R,17,FALSE)="鸣金",$D$7,0)+IF(VLOOKUP($E102,武器奇术!$A:$R,17,FALSE)="裂石",$D$9,0)+IF(VLOOKUP($E102,武器奇术!$A:$R,17,FALSE)="牵丝",$D$11,0)+IF(VLOOKUP($E102,武器奇术!$A:$R,17,FALSE)="破竹",$D$13,0)+$D$15-VLOOKUP($F$7,目标属性!$A:$R,6,FALSE))/100)</f>
        <v>0.028</v>
      </c>
      <c r="DG102" s="111">
        <f>$E$11+IF($G$5="烟柳",IF(VLOOKUP($E102,武器奇术!$A:$T,20,FALSE)=1,0.1,0),0)</f>
        <v>0.148</v>
      </c>
      <c r="DH102" s="102">
        <v>1</v>
      </c>
      <c r="DI102" s="103">
        <f>DC102*IF(VLOOKUP($E102,武器奇术!$A:$R,17,FALSE)="牵丝",VLOOKUP($E102,武器奇术!$A:$R,4,FALSE),VLOOKUP($E102,武器奇术!$A:$R,2,FALSE))*(1+DF102)*(1+DG102)*DH102</f>
        <v>77.889504</v>
      </c>
      <c r="DJ102" s="104">
        <f>(1-IF(VLOOKUP($E102,武器奇术!$A:$R,18,FALSE)="叶龙",1,$N102))*(1-$M102)</f>
        <v>0</v>
      </c>
      <c r="DK102" s="124">
        <f>DD102*IF(VLOOKUP($E102,武器奇术!$A:$R,17,FALSE)="牵丝",VLOOKUP($E102,武器奇术!$A:$R,4,FALSE),VLOOKUP($E102,武器奇术!$A:$R,2,FALSE))*(1+DF102)*(1+DG102)*DH102*(1+$E$16+VLOOKUP($E102,武器奇术!$A:$R,8,FALSE))</f>
        <v>244.0717173888</v>
      </c>
      <c r="DL102" s="104">
        <f t="shared" si="83"/>
        <v>0.8703</v>
      </c>
      <c r="DM102" s="103">
        <f>DE102*IF(VLOOKUP($E102,武器奇术!$A:$R,17,FALSE)="牵丝",VLOOKUP($E102,武器奇术!$A:$R,4,FALSE),VLOOKUP($E102,武器奇术!$A:$R,2,FALSE))*(1+DF102)*(1+DG102)*DH102*(1+$E$17+VLOOKUP($E102,武器奇术!$A:$R,10,FALSE))</f>
        <v>295.69688064</v>
      </c>
      <c r="DN102" s="104">
        <f t="shared" si="84"/>
        <v>0.0986</v>
      </c>
      <c r="DO102" s="124">
        <f>DD102*IF(VLOOKUP($E102,武器奇术!$A:$R,17,FALSE)="牵丝",VLOOKUP($E102,武器奇术!$A:$R,4,FALSE),VLOOKUP($E102,武器奇术!$A:$R,2,FALSE))*(1+DF102)*(1+DG102)*DH102</f>
        <v>148.4621152</v>
      </c>
      <c r="DP102" s="104">
        <f t="shared" si="85"/>
        <v>0.0311</v>
      </c>
      <c r="DQ102" s="112">
        <f t="shared" si="86"/>
        <v>246.188499857297</v>
      </c>
    </row>
    <row r="103" spans="3:121">
      <c r="C103" s="141"/>
      <c r="E103" s="115" t="str">
        <f>期望!E103</f>
        <v>易水歌6重(大纵气竭)</v>
      </c>
      <c r="F103" s="116">
        <f>期望!F103</f>
        <v>1</v>
      </c>
      <c r="G103" s="117"/>
      <c r="H103" s="140">
        <f>IF(VLOOKUP($E103,武器奇术!$A:$R,18,FALSE)="天工",AE103,(AE103+AT103+BI103+BX103+CM103+DB103+DQ103))*(1+J103)*F103*K103*(1+G103)*(1+$G$21*5%)</f>
        <v>21618.5064346114</v>
      </c>
      <c r="I103" s="104">
        <f t="shared" si="45"/>
        <v>0.00249153195581074</v>
      </c>
      <c r="J103" s="104">
        <f>$F$3+VLOOKUP($E103,武器奇术!$A:$R,12,FALSE)+VLOOKUP($E103,武器奇术!$A:$R,14,FALSE)*$G$3+$P103</f>
        <v>0.433</v>
      </c>
      <c r="K103" s="105">
        <f>VLOOKUP($E103,武器奇术!$A:$R,11,FALSE)</f>
        <v>1</v>
      </c>
      <c r="L103" s="119">
        <f>IF(VLOOKUP($E103,武器奇术!$A:$R,15,FALSE)="天工",0%,IF($C$17+VLOOKUP($E103,武器奇术!$A:$R,7,FALSE)&gt;80%,80%,$C$17+VLOOKUP($E103,武器奇术!$A:$R,7,FALSE))+IF($C$19&gt;20%,20%,$C$19))</f>
        <v>0.8703</v>
      </c>
      <c r="M103" s="120">
        <f>IF(VLOOKUP($E103,武器奇术!$A:$R,15,FALSE)="天工",0%,IF($C$18+VLOOKUP($E103,武器奇术!$A:$R,9,FALSE)&gt;40%,40%,$C$18+VLOOKUP($E103,武器奇术!$A:$R,9,FALSE))+IF($C$20&gt;10%,10%,$C$20))</f>
        <v>0.0986</v>
      </c>
      <c r="N103" s="121">
        <f>IF(VLOOKUP($E103,武器奇术!$A:$R,15,FALSE)="天工",100%,MIN($C$16,1))</f>
        <v>1</v>
      </c>
      <c r="O103" s="122" t="str">
        <f>VLOOKUP($E103,武器奇术!$A:$R,16,FALSE)</f>
        <v>N/A</v>
      </c>
      <c r="P103" s="123">
        <f t="shared" si="46"/>
        <v>0</v>
      </c>
      <c r="Q103" s="110">
        <f>$B$5*(1+VLOOKUP($E103,武器奇术!$A:$R,5,FALSE))*(1+VLOOKUP($E103,武器奇术!$A:$S,19,FALSE)+IF($G$5="飞隼",0.1,0)+IF($G$5="撼天",0.05,0))-$F$9+IF($J$5="√",160,0)</f>
        <v>3324.7</v>
      </c>
      <c r="R103" s="102">
        <f>IF(VLOOKUP($E103,武器奇术!$A:$Z,18,FALSE)="叶龙",(S103-(Q103+S103)*0.5)*($G$15-0.5)*2+(Q103+S103)*0.5,(Q103+S103)*0.5)</f>
        <v>3404.7</v>
      </c>
      <c r="S103" s="102">
        <f>MAX($C$5,$B$5)*(1+VLOOKUP($E103,武器奇术!$A:$R,6,FALSE))*(1+VLOOKUP($E103,武器奇术!$A:$S,19,FALSE)+IF($G$5="飞隼",0.1,0)+IF($G$5="撼天",0.05,0))-$F$9+IF($J$5="√",320,0)</f>
        <v>3484.7</v>
      </c>
      <c r="T103" s="104">
        <f>IF(($D$5+VLOOKUP($E103,武器奇术!$A:$R,13,FALSE)+IF($I$3="√",10,0)-VLOOKUP($F$7,目标属性!$A:$R,5,FALSE))&gt;0,($D$5+VLOOKUP($E103,武器奇术!$A:$R,13,FALSE)+IF($I$3="√",10,0)-VLOOKUP($F$7,目标属性!$A:$R,5,FALSE))/200,($D$5+VLOOKUP($E103,武器奇术!$A:$R,13,FALSE)+IF($I$3="√",10,0)-VLOOKUP($F$7,目标属性!$A:$R,5,FALSE))/100)</f>
        <v>0.3925</v>
      </c>
      <c r="U103" s="111">
        <f>$E$5+IF($G$5="烟柳",IF(VLOOKUP($E103,武器奇术!$A:$T,20,FALSE)=1,0.1,0),0)</f>
        <v>0</v>
      </c>
      <c r="V103" s="102">
        <v>1</v>
      </c>
      <c r="W103" s="103">
        <f>Q103*VLOOKUP($E103,武器奇术!$A:$R,2,FALSE)*(1+T103)*(1+U103)*V103</f>
        <v>4629.64475</v>
      </c>
      <c r="X103" s="104">
        <f>(1-IF(VLOOKUP($E103,武器奇术!$A:$R,18,FALSE)="叶龙",1,$N103))*(1-$M103)</f>
        <v>0</v>
      </c>
      <c r="Y103" s="103">
        <f>R103*VLOOKUP($E103,武器奇术!$A:$R,2,FALSE)*(1+T103)*(1+U103)*V103*(1+$E$16+VLOOKUP($E103,武器奇术!$A:$R,8,FALSE))</f>
        <v>8979.5387565</v>
      </c>
      <c r="Z103" s="104">
        <f t="shared" si="47"/>
        <v>0.8703</v>
      </c>
      <c r="AA103" s="103">
        <f>S103*VLOOKUP($E103,武器奇术!$A:$R,2,FALSE)*(1+T103)*(1+U103)*V103*(1+$E$17+VLOOKUP($E103,武器奇术!$A:$R,10,FALSE))</f>
        <v>6550.8004125</v>
      </c>
      <c r="AB103" s="104">
        <f t="shared" si="48"/>
        <v>0.0986</v>
      </c>
      <c r="AC103" s="103">
        <f>R103*VLOOKUP($E103,武器奇术!$A:$R,2,FALSE)*(1+T103)*(1+U103)*V103</f>
        <v>4741.04475</v>
      </c>
      <c r="AD103" s="104">
        <f t="shared" si="49"/>
        <v>0.0311</v>
      </c>
      <c r="AE103" s="112">
        <f t="shared" si="50"/>
        <v>8608.24799217945</v>
      </c>
      <c r="AF103" s="113">
        <f>VLOOKUP($E103,武器奇术!$A:$R,3,FALSE)*(1+IF(VLOOKUP($E103,武器奇术!$A:$R,15,FALSE)="武器",$E$15,0))</f>
        <v>0</v>
      </c>
      <c r="AG103" s="103">
        <f t="shared" si="51"/>
        <v>0</v>
      </c>
      <c r="AH103" s="103">
        <f>VLOOKUP($E103,武器奇术!$A:$R,3,FALSE)*(1+IF(VLOOKUP($E103,武器奇术!$A:$R,15,FALSE)="武器",$E$15,0))</f>
        <v>0</v>
      </c>
      <c r="AI103" s="104">
        <f>IF(($D$5+VLOOKUP($E103,武器奇术!$A:$R,13,FALSE)+IF($I$3="√",10,0)-VLOOKUP($F$7,目标属性!$A:$R,5,FALSE))&gt;0,($D$5+VLOOKUP($E103,武器奇术!$A:$R,13,FALSE)+IF($I$3="√",10,0)-VLOOKUP($F$7,目标属性!$A:$R,5,FALSE))/200,($D$5+VLOOKUP($E103,武器奇术!$A:$R,13,FALSE)+IF($I$3="√",10,0)-VLOOKUP($F$7,目标属性!$A:$R,5,FALSE))/100)</f>
        <v>0.3925</v>
      </c>
      <c r="AJ103" s="111">
        <f>$E$5+IF($G$5="烟柳",IF(VLOOKUP($E103,武器奇术!$A:$T,20,FALSE)=1,0.1,0),0)</f>
        <v>0</v>
      </c>
      <c r="AK103" s="102">
        <v>1</v>
      </c>
      <c r="AL103" s="103">
        <f t="shared" si="52"/>
        <v>0</v>
      </c>
      <c r="AM103" s="104">
        <f>(1-IF(VLOOKUP($E103,武器奇术!$A:$R,18,FALSE)="叶龙",1,$N103))*(1-$M103)</f>
        <v>0</v>
      </c>
      <c r="AN103" s="103">
        <f>AG103*(1+AI103)*(1+AJ103)*AK103*(1+$E$16+VLOOKUP($E103,武器奇术!$A:$R,8,FALSE))</f>
        <v>0</v>
      </c>
      <c r="AO103" s="104">
        <f t="shared" si="53"/>
        <v>0.8703</v>
      </c>
      <c r="AP103" s="103">
        <f>AH103*(1+AI103)*(1+AJ103)*AK103*(1+$E$17+VLOOKUP($E103,武器奇术!$A:$R,10,FALSE))</f>
        <v>0</v>
      </c>
      <c r="AQ103" s="104">
        <f t="shared" si="54"/>
        <v>0.0986</v>
      </c>
      <c r="AR103" s="103">
        <f t="shared" si="55"/>
        <v>0</v>
      </c>
      <c r="AS103" s="104">
        <f t="shared" si="56"/>
        <v>0.0311</v>
      </c>
      <c r="AT103" s="112">
        <f t="shared" si="57"/>
        <v>0</v>
      </c>
      <c r="AU103" s="110">
        <f>$B$7*IF($G$5="撼天",1.05,1)+IF(AND(VLOOKUP($E103,武器奇术!$A:$R,15,FALSE)="武器",VLOOKUP($E103,武器奇术!$A:$R,17,FALSE)="鸣金"),$E$3*(1+$E$15),0)</f>
        <v>0</v>
      </c>
      <c r="AV103" s="102">
        <f t="shared" si="58"/>
        <v>0</v>
      </c>
      <c r="AW103" s="102">
        <f>MAX($C$7*IF($G$5="撼天",1.05,1)+IF(AND(VLOOKUP($E103,武器奇术!$A:$R,15,FALSE)="武器",VLOOKUP($E103,武器奇术!$A:$R,17,FALSE)="鸣金"),$E$3*(1+$E$15),0),AU103)</f>
        <v>0</v>
      </c>
      <c r="AX103" s="104">
        <f>IF(($D$7+IF(VLOOKUP($E103,武器奇术!$A:$R,17,FALSE)="鸣金",$D$15,0)-VLOOKUP($F$7,目标属性!$A:$R,6,FALSE))&gt;0,($D$7+IF(VLOOKUP($E103,武器奇术!$A:$R,17,FALSE)="鸣金",$D$15,0)-VLOOKUP($F$7,目标属性!$A:$R,6,FALSE))/200,($D$7+IF(VLOOKUP($E103,武器奇术!$A:$R,17,FALSE)="鸣金",$D$15,0)-VLOOKUP($F$7,目标属性!$A:$R,6,FALSE))/100)</f>
        <v>-0.24</v>
      </c>
      <c r="AY103" s="111">
        <f t="shared" si="59"/>
        <v>0</v>
      </c>
      <c r="AZ103" s="102">
        <v>1</v>
      </c>
      <c r="BA103" s="103">
        <f>AU103*IF(VLOOKUP($E103,武器奇术!$A:$R,17,FALSE)="鸣金",VLOOKUP($E103,武器奇术!$A:$R,4,FALSE),VLOOKUP($E103,武器奇术!$A:$R,2,FALSE))*(1+AX103)*(1+AY103)*AZ103</f>
        <v>0</v>
      </c>
      <c r="BB103" s="104">
        <f>(1-IF(VLOOKUP($E103,武器奇术!$A:$R,18,FALSE)="叶龙",1,$N103))*(1-$M103)</f>
        <v>0</v>
      </c>
      <c r="BC103" s="103">
        <f>AV103*IF(VLOOKUP($E103,武器奇术!$A:$R,17,FALSE)="鸣金",VLOOKUP($E103,武器奇术!$A:$R,4,FALSE),VLOOKUP($E103,武器奇术!$A:$R,2,FALSE))*(1+AX103)*(1+AY103)*AZ103*(1+$E$16+VLOOKUP($E103,武器奇术!$A:$R,8,FALSE))</f>
        <v>0</v>
      </c>
      <c r="BD103" s="104">
        <f t="shared" si="60"/>
        <v>0.8703</v>
      </c>
      <c r="BE103" s="103">
        <f>AW103*IF(VLOOKUP($E103,武器奇术!$A:$R,17,FALSE)="鸣金",VLOOKUP($E103,武器奇术!$A:$R,4,FALSE),VLOOKUP($E103,武器奇术!$A:$R,2,FALSE))*(1+AX103)*(1+AY103)*AZ103*(1+$E$17+VLOOKUP($E103,武器奇术!$A:$R,10,FALSE))</f>
        <v>0</v>
      </c>
      <c r="BF103" s="104">
        <f t="shared" si="61"/>
        <v>0.0986</v>
      </c>
      <c r="BG103" s="103">
        <f>AV103*IF(VLOOKUP($E103,武器奇术!$A:$R,17,FALSE)="鸣金",VLOOKUP($E103,武器奇术!$A:$R,4,FALSE),VLOOKUP($E103,武器奇术!$A:$R,2,FALSE))*(1+AX103)*(1+AY103)*AZ103</f>
        <v>0</v>
      </c>
      <c r="BH103" s="104">
        <f t="shared" si="62"/>
        <v>0.0311</v>
      </c>
      <c r="BI103" s="112">
        <f t="shared" si="63"/>
        <v>0</v>
      </c>
      <c r="BJ103" s="110">
        <f>$B$9*IF($G$5="撼天",1.05,1)+IF(AND(VLOOKUP($E103,武器奇术!$A:$R,15,FALSE)="武器",VLOOKUP($E103,武器奇术!$A:$R,17,FALSE)="裂石"),$E$3*(1+$E$15),0)</f>
        <v>0</v>
      </c>
      <c r="BK103" s="102">
        <f t="shared" si="64"/>
        <v>0</v>
      </c>
      <c r="BL103" s="102">
        <f>MAX($C$9*IF($G$5="撼天",1.05,1)+IF(AND(VLOOKUP($E103,武器奇术!$A:$R,15,FALSE)="武器",VLOOKUP($E103,武器奇术!$A:$R,17,FALSE)="裂石"),$E$3*(1+$E$15),0),BJ103)</f>
        <v>0</v>
      </c>
      <c r="BM103" s="104">
        <f>IF(($D$9+IF(VLOOKUP($E103,武器奇术!$A:$R,17,FALSE)="裂石",$D$15,0)-VLOOKUP($F$7,目标属性!$A:$R,6,FALSE))&gt;0,($D$9+IF(VLOOKUP($E103,武器奇术!$A:$R,17,FALSE)="裂石",$D$15,0)-VLOOKUP($F$7,目标属性!$A:$R,6,FALSE))/200,($D$9+IF(VLOOKUP($E103,武器奇术!$A:$R,17,FALSE)="裂石",$D$15,0)-VLOOKUP($F$7,目标属性!$A:$R,6,FALSE))/100)</f>
        <v>-0.24</v>
      </c>
      <c r="BN103" s="111">
        <f t="shared" si="65"/>
        <v>0</v>
      </c>
      <c r="BO103" s="102">
        <v>1</v>
      </c>
      <c r="BP103" s="103">
        <f>BJ103*IF(VLOOKUP($E103,武器奇术!$A:$R,17,FALSE)="裂石",VLOOKUP($E103,武器奇术!$A:$R,4,FALSE),VLOOKUP($E103,武器奇术!$A:$R,2,FALSE))*(1+BM103)*(1+BN103)*BO103</f>
        <v>0</v>
      </c>
      <c r="BQ103" s="104">
        <f>(1-IF(VLOOKUP($E103,武器奇术!$A:$R,18,FALSE)="叶龙",1,$N103))*(1-$M103)</f>
        <v>0</v>
      </c>
      <c r="BR103" s="103">
        <f>BK103*IF(VLOOKUP($E103,武器奇术!$A:$R,17,FALSE)="裂石",VLOOKUP($E103,武器奇术!$A:$R,4,FALSE),VLOOKUP($E103,武器奇术!$A:$R,2,FALSE))*(1+BM103)*(1+BN103)*BO103*(1+$E$16+VLOOKUP($E103,武器奇术!$A:$R,8,FALSE))</f>
        <v>0</v>
      </c>
      <c r="BS103" s="104">
        <f t="shared" si="66"/>
        <v>0.8703</v>
      </c>
      <c r="BT103" s="103">
        <f>BL103*IF(VLOOKUP($E103,武器奇术!$A:$R,17,FALSE)="裂石",VLOOKUP($E103,武器奇术!$A:$R,4,FALSE),VLOOKUP($E103,武器奇术!$A:$R,2,FALSE))*(1+BM103)*(1+BN103)*BO103*(1+$E$17+VLOOKUP($E103,武器奇术!$A:$R,10,FALSE))</f>
        <v>0</v>
      </c>
      <c r="BU103" s="104">
        <f t="shared" si="67"/>
        <v>0.0986</v>
      </c>
      <c r="BV103" s="103">
        <f>BK103*IF(VLOOKUP($E103,武器奇术!$A:$R,17,FALSE)="裂石",VLOOKUP($E103,武器奇术!$A:$R,4,FALSE),VLOOKUP($E103,武器奇术!$A:$R,2,FALSE))*(1+BM103)*(1+BN103)*BO103</f>
        <v>0</v>
      </c>
      <c r="BW103" s="104">
        <f t="shared" si="68"/>
        <v>0.0311</v>
      </c>
      <c r="BX103" s="112">
        <f t="shared" si="69"/>
        <v>0</v>
      </c>
      <c r="BY103" s="110">
        <f>$B$11*IF($G$5="撼天",1.05,1)+IF(AND(VLOOKUP($E103,武器奇术!$A:$R,15,FALSE)="武器",VLOOKUP($E103,武器奇术!$A:$R,17,FALSE)="牵丝"),$E$3*(1+$E$15),0)</f>
        <v>490.8</v>
      </c>
      <c r="BZ103" s="102">
        <f>IF(VLOOKUP($E103,武器奇术!$A:$Z,18,FALSE)="叶龙",(CA103-(BY103+CA103)*0.5)*($G$15-0.5)*2+(BY103+CA103)*0.5,(BY103+CA103)*0.5)</f>
        <v>856.3</v>
      </c>
      <c r="CA103" s="102">
        <f>MAX($C$11*IF($G$5="撼天",1.05,1)+IF(AND(VLOOKUP($E103,武器奇术!$A:$R,15,FALSE)="武器",VLOOKUP($E103,武器奇术!$A:$R,17,FALSE)="牵丝"),$E$3*(1+$E$15),0),BY103)</f>
        <v>1221.8</v>
      </c>
      <c r="CB103" s="104">
        <f>IF(($D$11+IF(VLOOKUP($E103,武器奇术!$A:$R,17,FALSE)="牵丝",$D$15,0)-VLOOKUP($F$7,目标属性!$A:$R,6,FALSE))&gt;0,($D$11+IF(VLOOKUP($E103,武器奇术!$A:$R,17,FALSE)="牵丝",$D$15,0)-VLOOKUP($F$7,目标属性!$A:$R,6,FALSE))/200,($D$11+IF(VLOOKUP($E103,武器奇术!$A:$R,17,FALSE)="牵丝",$D$15,0)-VLOOKUP($F$7,目标属性!$A:$R,6,FALSE))/100)</f>
        <v>0.028</v>
      </c>
      <c r="CC103" s="111">
        <f>$E$11+IF($G$5="烟柳",IF(VLOOKUP($E103,武器奇术!$A:$T,20,FALSE)=1,0.1,0),0)</f>
        <v>0.148</v>
      </c>
      <c r="CD103" s="102">
        <v>1</v>
      </c>
      <c r="CE103" s="103">
        <f>BY103*IF(VLOOKUP($E103,武器奇术!$A:$R,17,FALSE)="牵丝",VLOOKUP($E103,武器奇术!$A:$R,4,FALSE),VLOOKUP($E103,武器奇术!$A:$R,2,FALSE))*(1+CB103)*(1+CC103)*CD103</f>
        <v>579.2146752</v>
      </c>
      <c r="CF103" s="104">
        <f>(1-IF(VLOOKUP($E103,武器奇术!$A:$R,18,FALSE)="叶龙",1,$N103))*(1-$M103)</f>
        <v>0</v>
      </c>
      <c r="CG103" s="124">
        <f>BZ103*IF(VLOOKUP($E103,武器奇术!$A:$R,17,FALSE)="牵丝",VLOOKUP($E103,武器奇术!$A:$R,4,FALSE),VLOOKUP($E103,武器奇术!$A:$R,2,FALSE))*(1+CB103)*(1+CC103)*CD103*(1+$E$16+VLOOKUP($E103,武器奇术!$A:$R,8,FALSE))</f>
        <v>1913.9955398368</v>
      </c>
      <c r="CH103" s="104">
        <f t="shared" si="70"/>
        <v>0.8703</v>
      </c>
      <c r="CI103" s="103">
        <f>CA103*IF(VLOOKUP($E103,武器奇术!$A:$R,17,FALSE)="牵丝",VLOOKUP($E103,武器奇术!$A:$R,4,FALSE),VLOOKUP($E103,武器奇术!$A:$R,2,FALSE))*(1+CB103)*(1+CC103)*CD103*(1+$E$17+VLOOKUP($E103,武器奇术!$A:$R,10,FALSE))</f>
        <v>1946.56491792</v>
      </c>
      <c r="CJ103" s="104">
        <f t="shared" si="71"/>
        <v>0.0986</v>
      </c>
      <c r="CK103" s="124">
        <f>BZ103*IF(VLOOKUP($E103,武器奇术!$A:$R,17,FALSE)="牵丝",VLOOKUP($E103,武器奇术!$A:$R,4,FALSE),VLOOKUP($E103,武器奇术!$A:$R,2,FALSE))*(1+CB103)*(1+CC103)*CD103</f>
        <v>1010.5573072</v>
      </c>
      <c r="CL103" s="104">
        <f t="shared" si="72"/>
        <v>0.0311</v>
      </c>
      <c r="CM103" s="112">
        <f t="shared" si="73"/>
        <v>1889.1099514808</v>
      </c>
      <c r="CN103" s="110">
        <f>$B$13*IF($G$5="撼天",1.05,1)+IF(AND(VLOOKUP($E103,武器奇术!$A:$R,15,FALSE)="武器",VLOOKUP($E103,武器奇术!$A:$R,17,FALSE)="破竹"),$E$3*(1+$E$15),0)</f>
        <v>0</v>
      </c>
      <c r="CO103" s="102">
        <f t="shared" si="74"/>
        <v>0</v>
      </c>
      <c r="CP103" s="102">
        <f>MAX($C$13*IF($G$5="撼天",1.05,1)+IF(AND(VLOOKUP($E103,武器奇术!$A:$R,15,FALSE)="武器",VLOOKUP($E103,武器奇术!$A:$R,17,FALSE)="破竹"),$E$3*(1+$E$15),0),CN103)</f>
        <v>0</v>
      </c>
      <c r="CQ103" s="104">
        <f>IF(($D$13+IF(VLOOKUP($E103,武器奇术!$A:$R,17,FALSE)="破竹",$D$15,0)-VLOOKUP($F$7,目标属性!$A:$R,6,FALSE))&gt;0,($D$13+IF(VLOOKUP($E103,武器奇术!$A:$R,17,FALSE)="破竹",$D$15,0)-VLOOKUP($F$7,目标属性!$A:$R,6,FALSE))/200,($D$13+IF(VLOOKUP($E103,武器奇术!$A:$R,17,FALSE)="破竹",$D$15,0)-VLOOKUP($F$7,目标属性!$A:$R,6,FALSE))/100)</f>
        <v>-0.24</v>
      </c>
      <c r="CR103" s="111">
        <f t="shared" si="75"/>
        <v>0</v>
      </c>
      <c r="CS103" s="102">
        <v>1</v>
      </c>
      <c r="CT103" s="103">
        <f>CN103*IF(VLOOKUP($E103,武器奇术!$A:$R,17,FALSE)="破竹",VLOOKUP($E103,武器奇术!$A:$R,4,FALSE),VLOOKUP($E103,武器奇术!$A:$R,2,FALSE))*(1+CQ103)*(1+CR103)*CS103</f>
        <v>0</v>
      </c>
      <c r="CU103" s="104">
        <f>(1-IF(VLOOKUP($E103,武器奇术!$A:$R,18,FALSE)="叶龙",1,$N103))*(1-$M103)</f>
        <v>0</v>
      </c>
      <c r="CV103" s="103">
        <f>CO103*IF(VLOOKUP($E103,武器奇术!$A:$R,17,FALSE)="破竹",VLOOKUP($E103,武器奇术!$A:$R,4,FALSE),VLOOKUP($E103,武器奇术!$A:$R,2,FALSE))*(1+CQ103)*(1+CR103)*CS103*(1+$E$16+VLOOKUP($E103,武器奇术!$A:$R,8,FALSE))</f>
        <v>0</v>
      </c>
      <c r="CW103" s="104">
        <f t="shared" si="76"/>
        <v>0.8703</v>
      </c>
      <c r="CX103" s="103">
        <f>CP103*IF(VLOOKUP($E103,武器奇术!$A:$R,17,FALSE)="破竹",VLOOKUP($E103,武器奇术!$A:$R,4,FALSE),VLOOKUP($E103,武器奇术!$A:$R,2,FALSE))*(1+CQ103)*(1+CR103)*CS103*(1+$E$17+VLOOKUP($E103,武器奇术!$A:$R,10,FALSE))</f>
        <v>0</v>
      </c>
      <c r="CY103" s="104">
        <f t="shared" si="77"/>
        <v>0.0986</v>
      </c>
      <c r="CZ103" s="103">
        <f>CO103*IF(VLOOKUP($E103,武器奇术!$A:$R,17,FALSE)="破竹",VLOOKUP($E103,武器奇术!$A:$R,4,FALSE),VLOOKUP($E103,武器奇术!$A:$R,2,FALSE))*(1+CQ103)*(1+CR103)*CS103</f>
        <v>0</v>
      </c>
      <c r="DA103" s="104">
        <f t="shared" si="78"/>
        <v>0.0311</v>
      </c>
      <c r="DB103" s="112">
        <f t="shared" si="79"/>
        <v>0</v>
      </c>
      <c r="DC103" s="110">
        <f t="shared" si="80"/>
        <v>66</v>
      </c>
      <c r="DD103" s="102">
        <f t="shared" si="81"/>
        <v>125.8</v>
      </c>
      <c r="DE103" s="102">
        <f t="shared" si="82"/>
        <v>185.6</v>
      </c>
      <c r="DF103" s="104">
        <f>IF((IF(VLOOKUP($E103,武器奇术!$A:$R,17,FALSE)="鸣金",$D$7,0)+IF(VLOOKUP($E103,武器奇术!$A:$R,17,FALSE)="裂石",$D$9,0)+IF(VLOOKUP($E103,武器奇术!$A:$R,17,FALSE)="牵丝",$D$11,0)+IF(VLOOKUP($E103,武器奇术!$A:$R,17,FALSE)="破竹",$D$13,0)+$D$15-VLOOKUP($F$7,目标属性!$A:$R,6,FALSE))&gt;0,(IF(VLOOKUP($E103,武器奇术!$A:$R,17,FALSE)="鸣金",$D$7,0)+IF(VLOOKUP($E103,武器奇术!$A:$R,17,FALSE)="裂石",$D$9,0)+IF(VLOOKUP($E103,武器奇术!$A:$R,17,FALSE)="牵丝",$D$11,0)+IF(VLOOKUP($E103,武器奇术!$A:$R,17,FALSE)="破竹",$D$13,0)+$D$15-VLOOKUP($F$7,目标属性!$A:$R,6,FALSE))/200,(IF(VLOOKUP($E103,武器奇术!$A:$R,17,FALSE)="鸣金",$D$7,0)+IF(VLOOKUP($E103,武器奇术!$A:$R,17,FALSE)="裂石",$D$9,0)+IF(VLOOKUP($E103,武器奇术!$A:$R,17,FALSE)="牵丝",$D$11,0)+IF(VLOOKUP($E103,武器奇术!$A:$R,17,FALSE)="破竹",$D$13,0)+$D$15-VLOOKUP($F$7,目标属性!$A:$R,6,FALSE))/100)</f>
        <v>0.028</v>
      </c>
      <c r="DG103" s="111">
        <f>$E$11+IF($G$5="烟柳",IF(VLOOKUP($E103,武器奇术!$A:$T,20,FALSE)=1,0.1,0),0)</f>
        <v>0.148</v>
      </c>
      <c r="DH103" s="102">
        <v>1</v>
      </c>
      <c r="DI103" s="103">
        <f>DC103*IF(VLOOKUP($E103,武器奇术!$A:$R,17,FALSE)="牵丝",VLOOKUP($E103,武器奇术!$A:$R,4,FALSE),VLOOKUP($E103,武器奇术!$A:$R,2,FALSE))*(1+DF103)*(1+DG103)*DH103</f>
        <v>77.889504</v>
      </c>
      <c r="DJ103" s="104">
        <f>(1-IF(VLOOKUP($E103,武器奇术!$A:$R,18,FALSE)="叶龙",1,$N103))*(1-$M103)</f>
        <v>0</v>
      </c>
      <c r="DK103" s="124">
        <f>DD103*IF(VLOOKUP($E103,武器奇术!$A:$R,17,FALSE)="牵丝",VLOOKUP($E103,武器奇术!$A:$R,4,FALSE),VLOOKUP($E103,武器奇术!$A:$R,2,FALSE))*(1+DF103)*(1+DG103)*DH103*(1+$E$16+VLOOKUP($E103,武器奇术!$A:$R,8,FALSE))</f>
        <v>281.1872461888</v>
      </c>
      <c r="DL103" s="104">
        <f t="shared" si="83"/>
        <v>0.8703</v>
      </c>
      <c r="DM103" s="103">
        <f>DE103*IF(VLOOKUP($E103,武器奇术!$A:$R,17,FALSE)="牵丝",VLOOKUP($E103,武器奇术!$A:$R,4,FALSE),VLOOKUP($E103,武器奇术!$A:$R,2,FALSE))*(1+DF103)*(1+DG103)*DH103*(1+$E$17+VLOOKUP($E103,武器奇术!$A:$R,10,FALSE))</f>
        <v>295.69688064</v>
      </c>
      <c r="DN103" s="104">
        <f t="shared" si="84"/>
        <v>0.0986</v>
      </c>
      <c r="DO103" s="124">
        <f>DD103*IF(VLOOKUP($E103,武器奇术!$A:$R,17,FALSE)="牵丝",VLOOKUP($E103,武器奇术!$A:$R,4,FALSE),VLOOKUP($E103,武器奇术!$A:$R,2,FALSE))*(1+DF103)*(1+DG103)*DH103</f>
        <v>148.4621152</v>
      </c>
      <c r="DP103" s="104">
        <f t="shared" si="85"/>
        <v>0.0311</v>
      </c>
      <c r="DQ103" s="112">
        <f t="shared" si="86"/>
        <v>278.490144571937</v>
      </c>
    </row>
    <row r="111" spans="3:121">
      <c r="C111" s="141"/>
    </row>
    <row r="116" spans="3:3">
      <c r="C116" s="141"/>
    </row>
    <row r="117" spans="3:3">
      <c r="C117" s="141"/>
    </row>
    <row r="123" spans="3:3">
      <c r="C123" s="141"/>
    </row>
    <row r="127" spans="3:3">
      <c r="C127" s="141"/>
    </row>
    <row r="128" spans="3:3">
      <c r="C128" s="141"/>
    </row>
    <row r="134" spans="3:3">
      <c r="C134" s="141"/>
    </row>
    <row r="135" spans="3:3">
      <c r="C135" s="141"/>
    </row>
    <row r="139" spans="3:3">
      <c r="C139" s="141"/>
    </row>
    <row r="143" spans="3:3">
      <c r="C143" s="141"/>
    </row>
    <row r="146" spans="1:3">
      <c r="A146" s="139"/>
    </row>
    <row r="147" spans="1:3">
      <c r="A147" s="139"/>
    </row>
    <row r="148" spans="1:3">
      <c r="A148" s="139"/>
    </row>
    <row r="151" spans="1:3">
      <c r="C151" s="141"/>
    </row>
    <row r="155" spans="1:3">
      <c r="B155" t="s">
        <v>198</v>
      </c>
      <c r="C155">
        <v>1.3</v>
      </c>
    </row>
    <row r="156" spans="1:3">
      <c r="B156" t="s">
        <v>152</v>
      </c>
      <c r="C156">
        <v>1.25</v>
      </c>
    </row>
    <row r="157" spans="1:3">
      <c r="B157" t="s">
        <v>165</v>
      </c>
      <c r="C157" s="141">
        <v>1.5</v>
      </c>
    </row>
    <row r="158" spans="1:3">
      <c r="B158" t="s">
        <v>154</v>
      </c>
      <c r="C158" s="141">
        <v>1.16</v>
      </c>
    </row>
    <row r="159" spans="1:3">
      <c r="B159" t="s">
        <v>158</v>
      </c>
      <c r="C159">
        <v>1</v>
      </c>
    </row>
    <row r="160" spans="1:3">
      <c r="B160" t="s">
        <v>181</v>
      </c>
      <c r="C160">
        <v>2</v>
      </c>
    </row>
    <row r="161" spans="2:3">
      <c r="B161" t="s">
        <v>199</v>
      </c>
      <c r="C161">
        <v>2</v>
      </c>
    </row>
    <row r="162" spans="2:3">
      <c r="B162" t="s">
        <v>152</v>
      </c>
      <c r="C162">
        <v>1.25</v>
      </c>
    </row>
    <row r="163" spans="2:3">
      <c r="B163" t="s">
        <v>165</v>
      </c>
      <c r="C163" s="141">
        <v>1.5</v>
      </c>
    </row>
    <row r="164" spans="2:3">
      <c r="B164" t="s">
        <v>154</v>
      </c>
      <c r="C164" s="141">
        <v>1.16</v>
      </c>
    </row>
    <row r="165" spans="2:3">
      <c r="B165" t="s">
        <v>162</v>
      </c>
      <c r="C165">
        <v>1.7</v>
      </c>
    </row>
    <row r="166" spans="2:3">
      <c r="B166" t="s">
        <v>160</v>
      </c>
      <c r="C166">
        <v>1.93</v>
      </c>
    </row>
    <row r="167" spans="2:3">
      <c r="B167" t="s">
        <v>162</v>
      </c>
      <c r="C167">
        <v>1.7</v>
      </c>
    </row>
  </sheetData>
  <mergeCells count="24">
    <mergeCell ref="D19:E19"/>
    <mergeCell ref="B21:C21"/>
    <mergeCell ref="E28:K28"/>
    <mergeCell ref="L28:M28"/>
    <mergeCell ref="O28:P28"/>
    <mergeCell ref="Q28:AE28"/>
    <mergeCell ref="AF28:AT28"/>
    <mergeCell ref="AU28:BI28"/>
    <mergeCell ref="BJ28:BX28"/>
    <mergeCell ref="BY28:CM28"/>
    <mergeCell ref="CN28:DB28"/>
    <mergeCell ref="DC28:DQ28"/>
    <mergeCell ref="A16:A18"/>
    <mergeCell ref="B28:B29"/>
    <mergeCell ref="B30:B34"/>
    <mergeCell ref="B35:B39"/>
    <mergeCell ref="B40:B44"/>
    <mergeCell ref="B45:B49"/>
    <mergeCell ref="G8:J13"/>
    <mergeCell ref="C28:D29"/>
    <mergeCell ref="C30:D34"/>
    <mergeCell ref="C35:D39"/>
    <mergeCell ref="C40:D44"/>
    <mergeCell ref="C45:D49"/>
  </mergeCells>
  <conditionalFormatting sqref="Q2">
    <cfRule type="cellIs" dxfId="0" priority="2" operator="lessThan">
      <formula>0</formula>
    </cfRule>
    <cfRule type="cellIs" dxfId="1" priority="1" operator="greaterThan">
      <formula>0</formula>
    </cfRule>
  </conditionalFormatting>
  <dataValidations count="6">
    <dataValidation type="list" allowBlank="1" showInputMessage="1" showErrorMessage="1" sqref="C2">
      <formula1>"鸣金,裂石,牵丝,破竹"</formula1>
    </dataValidation>
    <dataValidation type="list" allowBlank="1" showInputMessage="1" showErrorMessage="1" sqref="J3:K3 F19:G19 F21">
      <formula1>"√,×"</formula1>
    </dataValidation>
    <dataValidation type="list" allowBlank="1" showInputMessage="1" showErrorMessage="1" sqref="F7">
      <formula1>目标属性!$A:$A</formula1>
    </dataValidation>
    <dataValidation type="list" allowBlank="1" showInputMessage="1" showErrorMessage="1" sqref="A10 A12">
      <formula1>"主属性,副属性"</formula1>
    </dataValidation>
    <dataValidation type="list" allowBlank="1" showInputMessage="1" showErrorMessage="1" sqref="G15">
      <formula1>"50%,60%,70%,80%,85%,90%"</formula1>
    </dataValidation>
    <dataValidation type="list" allowBlank="1" showInputMessage="1" showErrorMessage="1" sqref="E30:E103">
      <formula1>武器奇术!$A:$A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4"/>
  <sheetViews>
    <sheetView topLeftCell="A16" workbookViewId="0">
      <pane xSplit="1" topLeftCell="B1" activePane="topRight" state="frozen"/>
      <selection/>
      <selection pane="topRight" activeCell="F55" sqref="F55"/>
    </sheetView>
  </sheetViews>
  <sheetFormatPr defaultColWidth="9" defaultRowHeight="13.5"/>
  <cols>
    <col min="1" max="1" width="38" customWidth="1"/>
    <col min="2" max="2" width="11.5" style="31"/>
    <col min="3" max="3" width="9.375" style="32"/>
    <col min="4" max="4" width="10" style="31" customWidth="1"/>
    <col min="5" max="5" width="17.625" style="31" customWidth="1"/>
    <col min="6" max="6" width="16.875" style="31" customWidth="1"/>
    <col min="7" max="7" width="13" style="31" customWidth="1"/>
    <col min="8" max="8" width="15" style="31" customWidth="1"/>
    <col min="9" max="9" width="10.875" style="31" customWidth="1"/>
    <col min="10" max="10" width="13.5" customWidth="1"/>
    <col min="11" max="12" width="9" style="31"/>
    <col min="13" max="13" width="10.75" style="32" customWidth="1"/>
    <col min="19" max="19" width="13.75" style="31" customWidth="1"/>
  </cols>
  <sheetData>
    <row r="1" spans="1:20">
      <c r="B1" s="31" t="s">
        <v>117</v>
      </c>
      <c r="C1" s="32" t="s">
        <v>96</v>
      </c>
      <c r="D1" s="31" t="s">
        <v>205</v>
      </c>
      <c r="E1" s="31" t="s">
        <v>206</v>
      </c>
      <c r="F1" s="31" t="s">
        <v>207</v>
      </c>
      <c r="G1" s="31" t="s">
        <v>208</v>
      </c>
      <c r="H1" s="31" t="s">
        <v>209</v>
      </c>
      <c r="I1" s="31" t="s">
        <v>210</v>
      </c>
      <c r="J1" t="s">
        <v>211</v>
      </c>
      <c r="K1" s="31" t="s">
        <v>106</v>
      </c>
      <c r="L1" s="31" t="s">
        <v>212</v>
      </c>
      <c r="M1" s="32" t="s">
        <v>213</v>
      </c>
      <c r="N1" t="s">
        <v>214</v>
      </c>
      <c r="O1" t="s">
        <v>215</v>
      </c>
      <c r="Q1" t="s">
        <v>216</v>
      </c>
      <c r="R1" t="s">
        <v>217</v>
      </c>
      <c r="S1" s="31" t="s">
        <v>218</v>
      </c>
      <c r="T1" t="s">
        <v>22</v>
      </c>
    </row>
    <row r="2" customFormat="1" spans="1:20">
      <c r="A2" s="33" t="s">
        <v>219</v>
      </c>
      <c r="B2" s="34">
        <f>171.75%*1.15</f>
        <v>1.975125</v>
      </c>
      <c r="C2" s="35">
        <f>474*1.15</f>
        <v>545.1</v>
      </c>
      <c r="D2" s="34">
        <f>257.62%*1.15</f>
        <v>2.96263</v>
      </c>
      <c r="E2" s="31"/>
      <c r="F2" s="31"/>
      <c r="G2" s="31"/>
      <c r="H2" s="31">
        <f t="shared" ref="H2:H6" si="0">36%</f>
        <v>0.36</v>
      </c>
      <c r="I2" s="31"/>
      <c r="J2" s="30"/>
      <c r="K2" s="31">
        <v>1</v>
      </c>
      <c r="L2" s="31">
        <f>50%</f>
        <v>0.5</v>
      </c>
      <c r="M2" s="32">
        <v>5</v>
      </c>
      <c r="N2">
        <v>1</v>
      </c>
      <c r="O2" t="s">
        <v>220</v>
      </c>
      <c r="P2" t="s">
        <v>85</v>
      </c>
      <c r="Q2" t="s">
        <v>3</v>
      </c>
      <c r="S2" s="31">
        <v>0.15</v>
      </c>
      <c r="T2">
        <v>1</v>
      </c>
    </row>
    <row r="3" customFormat="1" spans="1:20">
      <c r="A3" s="33" t="s">
        <v>128</v>
      </c>
      <c r="B3" s="34">
        <v>2.3397</v>
      </c>
      <c r="C3" s="35">
        <v>648</v>
      </c>
      <c r="D3" s="34">
        <v>3.5095</v>
      </c>
      <c r="E3" s="31"/>
      <c r="F3" s="31"/>
      <c r="G3" s="31"/>
      <c r="H3" s="31">
        <f t="shared" si="0"/>
        <v>0.36</v>
      </c>
      <c r="I3" s="31"/>
      <c r="J3" s="30"/>
      <c r="K3" s="31">
        <v>1</v>
      </c>
      <c r="L3" s="31"/>
      <c r="M3" s="32">
        <v>5</v>
      </c>
      <c r="N3">
        <v>0</v>
      </c>
      <c r="O3" t="s">
        <v>220</v>
      </c>
      <c r="P3" t="s">
        <v>85</v>
      </c>
      <c r="Q3" t="s">
        <v>3</v>
      </c>
      <c r="S3" s="31">
        <v>0.075</v>
      </c>
      <c r="T3">
        <v>1</v>
      </c>
    </row>
    <row r="4" customFormat="1" spans="1:20">
      <c r="A4" s="33" t="s">
        <v>138</v>
      </c>
      <c r="B4" s="34">
        <v>2.3397</v>
      </c>
      <c r="C4" s="35">
        <v>648</v>
      </c>
      <c r="D4" s="34">
        <v>3.5095</v>
      </c>
      <c r="E4" s="31"/>
      <c r="F4" s="31"/>
      <c r="G4" s="31"/>
      <c r="H4" s="31">
        <f t="shared" si="0"/>
        <v>0.36</v>
      </c>
      <c r="I4" s="31"/>
      <c r="J4" s="30"/>
      <c r="K4" s="31">
        <v>1</v>
      </c>
      <c r="L4" s="31">
        <f>60%+3%</f>
        <v>0.63</v>
      </c>
      <c r="M4" s="32">
        <v>5</v>
      </c>
      <c r="N4">
        <v>0</v>
      </c>
      <c r="O4" t="s">
        <v>220</v>
      </c>
      <c r="P4" t="s">
        <v>85</v>
      </c>
      <c r="Q4" t="s">
        <v>3</v>
      </c>
      <c r="S4" s="31">
        <v>0.075</v>
      </c>
      <c r="T4">
        <v>1</v>
      </c>
    </row>
    <row r="5" customFormat="1" spans="1:20">
      <c r="A5" s="33" t="s">
        <v>144</v>
      </c>
      <c r="B5" s="34">
        <v>2.3397</v>
      </c>
      <c r="C5" s="35">
        <v>648</v>
      </c>
      <c r="D5" s="34">
        <v>3.5095</v>
      </c>
      <c r="E5" s="31"/>
      <c r="F5" s="31"/>
      <c r="G5" s="31"/>
      <c r="H5" s="31">
        <f t="shared" si="0"/>
        <v>0.36</v>
      </c>
      <c r="I5" s="31"/>
      <c r="J5" s="30"/>
      <c r="K5" s="31">
        <v>1</v>
      </c>
      <c r="L5" s="31">
        <f>60%+3%</f>
        <v>0.63</v>
      </c>
      <c r="M5" s="32">
        <v>5</v>
      </c>
      <c r="N5">
        <v>0</v>
      </c>
      <c r="O5" t="s">
        <v>220</v>
      </c>
      <c r="P5" t="s">
        <v>85</v>
      </c>
      <c r="Q5" t="s">
        <v>3</v>
      </c>
      <c r="S5" s="31">
        <v>0.15</v>
      </c>
      <c r="T5">
        <v>1</v>
      </c>
    </row>
    <row r="6" customFormat="1" spans="1:20">
      <c r="A6" s="33" t="s">
        <v>155</v>
      </c>
      <c r="B6" s="34">
        <v>2.3397</v>
      </c>
      <c r="C6" s="35">
        <v>648</v>
      </c>
      <c r="D6" s="34">
        <v>3.5095</v>
      </c>
      <c r="E6" s="31"/>
      <c r="F6" s="31"/>
      <c r="G6" s="31"/>
      <c r="H6" s="31">
        <f>36%+IF(期望!$H$3="√",0.25,0)</f>
        <v>0.61</v>
      </c>
      <c r="I6" s="31"/>
      <c r="J6" s="30"/>
      <c r="K6" s="31">
        <v>1</v>
      </c>
      <c r="L6" s="31">
        <f>60%+3%+VLOOKUP(期望!$F$7,目标属性!$A:$R,4,FALSE)</f>
        <v>0.73</v>
      </c>
      <c r="M6" s="32">
        <f>IF(期望!$H$3="√",25,0)+5</f>
        <v>30</v>
      </c>
      <c r="N6">
        <v>0</v>
      </c>
      <c r="O6" t="s">
        <v>220</v>
      </c>
      <c r="P6" t="s">
        <v>85</v>
      </c>
      <c r="Q6" t="s">
        <v>3</v>
      </c>
      <c r="S6" s="31">
        <v>0.15</v>
      </c>
      <c r="T6">
        <v>1</v>
      </c>
    </row>
    <row r="7" customFormat="1" spans="1:20">
      <c r="A7" s="33" t="s">
        <v>135</v>
      </c>
      <c r="B7" s="34">
        <f t="shared" ref="B7:B14" si="1">102.17%*1.15</f>
        <v>1.174955</v>
      </c>
      <c r="C7" s="35">
        <f t="shared" ref="C7:C14" si="2">282*1.15</f>
        <v>324.3</v>
      </c>
      <c r="D7" s="34">
        <f t="shared" ref="D7:D14" si="3">153.25%*1.15</f>
        <v>1.762375</v>
      </c>
      <c r="E7" s="31"/>
      <c r="F7" s="31"/>
      <c r="G7" s="31"/>
      <c r="H7" s="31">
        <f t="shared" ref="H7:H10" si="4">36%</f>
        <v>0.36</v>
      </c>
      <c r="I7" s="31"/>
      <c r="J7" s="30"/>
      <c r="K7" s="31">
        <v>1</v>
      </c>
      <c r="L7" s="31">
        <f>20%</f>
        <v>0.2</v>
      </c>
      <c r="M7" s="32">
        <v>5</v>
      </c>
      <c r="N7">
        <v>0</v>
      </c>
      <c r="O7" t="s">
        <v>220</v>
      </c>
      <c r="P7" t="s">
        <v>85</v>
      </c>
      <c r="Q7" t="s">
        <v>3</v>
      </c>
      <c r="S7" s="31">
        <v>0.075</v>
      </c>
      <c r="T7">
        <v>1</v>
      </c>
    </row>
    <row r="8" customFormat="1" spans="1:20">
      <c r="A8" s="33" t="s">
        <v>136</v>
      </c>
      <c r="B8" s="34">
        <f t="shared" si="1"/>
        <v>1.174955</v>
      </c>
      <c r="C8" s="35">
        <f t="shared" si="2"/>
        <v>324.3</v>
      </c>
      <c r="D8" s="34">
        <f t="shared" si="3"/>
        <v>1.762375</v>
      </c>
      <c r="E8" s="31"/>
      <c r="F8" s="31"/>
      <c r="G8" s="31"/>
      <c r="H8" s="31">
        <f t="shared" si="4"/>
        <v>0.36</v>
      </c>
      <c r="I8" s="31"/>
      <c r="J8" s="30"/>
      <c r="K8" s="31">
        <v>1</v>
      </c>
      <c r="L8" s="31">
        <f>20%+3%</f>
        <v>0.23</v>
      </c>
      <c r="M8" s="32">
        <v>5</v>
      </c>
      <c r="N8">
        <v>0</v>
      </c>
      <c r="O8" t="s">
        <v>220</v>
      </c>
      <c r="P8" t="s">
        <v>85</v>
      </c>
      <c r="Q8" t="s">
        <v>3</v>
      </c>
      <c r="S8" s="31">
        <v>0.075</v>
      </c>
      <c r="T8">
        <v>1</v>
      </c>
    </row>
    <row r="9" customFormat="1" spans="1:20">
      <c r="A9" s="33" t="s">
        <v>137</v>
      </c>
      <c r="B9" s="34">
        <f t="shared" si="1"/>
        <v>1.174955</v>
      </c>
      <c r="C9" s="35">
        <f t="shared" si="2"/>
        <v>324.3</v>
      </c>
      <c r="D9" s="34">
        <f t="shared" si="3"/>
        <v>1.762375</v>
      </c>
      <c r="E9" s="31"/>
      <c r="F9" s="31"/>
      <c r="G9" s="31"/>
      <c r="H9" s="31">
        <f t="shared" si="4"/>
        <v>0.36</v>
      </c>
      <c r="I9" s="31"/>
      <c r="J9" s="30"/>
      <c r="K9" s="31">
        <v>1</v>
      </c>
      <c r="L9" s="31">
        <f>60%+3%</f>
        <v>0.63</v>
      </c>
      <c r="M9" s="32">
        <v>5</v>
      </c>
      <c r="N9">
        <v>0</v>
      </c>
      <c r="O9" t="s">
        <v>220</v>
      </c>
      <c r="P9" t="s">
        <v>85</v>
      </c>
      <c r="Q9" t="s">
        <v>3</v>
      </c>
      <c r="S9" s="31">
        <v>0.075</v>
      </c>
      <c r="T9">
        <v>1</v>
      </c>
    </row>
    <row r="10" customFormat="1" spans="1:20">
      <c r="A10" s="33" t="s">
        <v>170</v>
      </c>
      <c r="B10" s="34">
        <f t="shared" si="1"/>
        <v>1.174955</v>
      </c>
      <c r="C10" s="35">
        <f t="shared" si="2"/>
        <v>324.3</v>
      </c>
      <c r="D10" s="34">
        <f t="shared" si="3"/>
        <v>1.762375</v>
      </c>
      <c r="E10" s="31"/>
      <c r="F10" s="31"/>
      <c r="G10" s="31"/>
      <c r="H10" s="31">
        <f t="shared" si="4"/>
        <v>0.36</v>
      </c>
      <c r="I10" s="31"/>
      <c r="J10" s="30"/>
      <c r="K10" s="31">
        <v>1</v>
      </c>
      <c r="L10" s="31">
        <f>60%+3%</f>
        <v>0.63</v>
      </c>
      <c r="M10" s="32">
        <v>5</v>
      </c>
      <c r="N10">
        <v>0</v>
      </c>
      <c r="O10" t="s">
        <v>220</v>
      </c>
      <c r="P10" t="s">
        <v>85</v>
      </c>
      <c r="Q10" t="s">
        <v>3</v>
      </c>
      <c r="S10" s="31">
        <v>0.15</v>
      </c>
      <c r="T10">
        <v>1</v>
      </c>
    </row>
    <row r="11" customFormat="1" spans="1:20">
      <c r="A11" s="33" t="s">
        <v>168</v>
      </c>
      <c r="B11" s="34">
        <f t="shared" si="1"/>
        <v>1.174955</v>
      </c>
      <c r="C11" s="35">
        <f t="shared" si="2"/>
        <v>324.3</v>
      </c>
      <c r="D11" s="34">
        <f t="shared" si="3"/>
        <v>1.762375</v>
      </c>
      <c r="E11" s="31"/>
      <c r="F11" s="31"/>
      <c r="G11" s="31"/>
      <c r="H11" s="31">
        <f>36%+IF(期望!$H$3="√",0.25,0)</f>
        <v>0.61</v>
      </c>
      <c r="I11" s="31"/>
      <c r="J11" s="30"/>
      <c r="K11" s="31">
        <v>1</v>
      </c>
      <c r="L11" s="31">
        <f>20%+3%</f>
        <v>0.23</v>
      </c>
      <c r="M11" s="32">
        <f>IF(期望!$H$3="√",25,0)+5</f>
        <v>30</v>
      </c>
      <c r="N11">
        <v>0</v>
      </c>
      <c r="O11" t="s">
        <v>220</v>
      </c>
      <c r="P11" t="s">
        <v>85</v>
      </c>
      <c r="Q11" t="s">
        <v>3</v>
      </c>
      <c r="S11" s="31">
        <v>0.15</v>
      </c>
      <c r="T11">
        <v>1</v>
      </c>
    </row>
    <row r="12" customFormat="1" spans="1:20">
      <c r="A12" s="33" t="s">
        <v>221</v>
      </c>
      <c r="B12" s="34">
        <f t="shared" si="1"/>
        <v>1.174955</v>
      </c>
      <c r="C12" s="35">
        <f t="shared" si="2"/>
        <v>324.3</v>
      </c>
      <c r="D12" s="34">
        <f t="shared" si="3"/>
        <v>1.762375</v>
      </c>
      <c r="E12" s="31"/>
      <c r="F12" s="31"/>
      <c r="G12" s="31"/>
      <c r="H12" s="31">
        <f>36%+IF(期望!$H$3="√",0.25,0)</f>
        <v>0.61</v>
      </c>
      <c r="I12" s="31"/>
      <c r="J12" s="30"/>
      <c r="K12" s="31">
        <v>1</v>
      </c>
      <c r="L12" s="31">
        <f>60%+3%</f>
        <v>0.63</v>
      </c>
      <c r="M12" s="32">
        <f>IF(期望!$H$3="√",25,0)+5</f>
        <v>30</v>
      </c>
      <c r="N12">
        <v>0</v>
      </c>
      <c r="O12" t="s">
        <v>220</v>
      </c>
      <c r="P12" t="s">
        <v>85</v>
      </c>
      <c r="Q12" t="s">
        <v>3</v>
      </c>
      <c r="S12" s="31">
        <v>0.075</v>
      </c>
      <c r="T12">
        <v>1</v>
      </c>
    </row>
    <row r="13" customFormat="1" spans="1:20">
      <c r="A13" s="33" t="s">
        <v>153</v>
      </c>
      <c r="B13" s="34">
        <f t="shared" si="1"/>
        <v>1.174955</v>
      </c>
      <c r="C13" s="35">
        <f t="shared" si="2"/>
        <v>324.3</v>
      </c>
      <c r="D13" s="34">
        <f t="shared" si="3"/>
        <v>1.762375</v>
      </c>
      <c r="E13" s="31"/>
      <c r="F13" s="31"/>
      <c r="G13" s="31"/>
      <c r="H13" s="31">
        <f>36%+IF(期望!$H$3="√",0.25,0)</f>
        <v>0.61</v>
      </c>
      <c r="I13" s="31"/>
      <c r="J13" s="30"/>
      <c r="K13" s="31">
        <v>1</v>
      </c>
      <c r="L13" s="31">
        <f>60%+3%</f>
        <v>0.63</v>
      </c>
      <c r="M13" s="32">
        <f>IF(期望!$H$3="√",25,0)+5</f>
        <v>30</v>
      </c>
      <c r="N13">
        <v>0</v>
      </c>
      <c r="O13" t="s">
        <v>220</v>
      </c>
      <c r="P13" t="s">
        <v>85</v>
      </c>
      <c r="Q13" t="s">
        <v>3</v>
      </c>
      <c r="S13" s="31">
        <v>0.15</v>
      </c>
      <c r="T13">
        <v>1</v>
      </c>
    </row>
    <row r="14" customFormat="1" spans="1:20">
      <c r="A14" s="33" t="s">
        <v>164</v>
      </c>
      <c r="B14" s="34">
        <f t="shared" si="1"/>
        <v>1.174955</v>
      </c>
      <c r="C14" s="35">
        <f t="shared" si="2"/>
        <v>324.3</v>
      </c>
      <c r="D14" s="34">
        <f t="shared" si="3"/>
        <v>1.762375</v>
      </c>
      <c r="E14" s="31"/>
      <c r="F14" s="31"/>
      <c r="G14" s="31"/>
      <c r="H14" s="31">
        <f>36%+IF(期望!$H$3="√",0.25,0)</f>
        <v>0.61</v>
      </c>
      <c r="I14" s="31"/>
      <c r="J14" s="30"/>
      <c r="K14" s="31">
        <v>1</v>
      </c>
      <c r="L14" s="31">
        <f>60%+3%+VLOOKUP(期望!$F$7,目标属性!$A:$R,4,FALSE)</f>
        <v>0.73</v>
      </c>
      <c r="M14" s="32">
        <f>IF(期望!$H$3="√",25,0)+5</f>
        <v>30</v>
      </c>
      <c r="N14">
        <v>0</v>
      </c>
      <c r="O14" t="s">
        <v>220</v>
      </c>
      <c r="P14" t="s">
        <v>85</v>
      </c>
      <c r="Q14" t="s">
        <v>3</v>
      </c>
      <c r="S14" s="31">
        <v>0.15</v>
      </c>
      <c r="T14">
        <v>1</v>
      </c>
    </row>
    <row r="15" customFormat="1" spans="1:20">
      <c r="A15" s="33" t="s">
        <v>179</v>
      </c>
      <c r="B15" s="34">
        <v>0.5397</v>
      </c>
      <c r="C15" s="35">
        <v>149</v>
      </c>
      <c r="D15" s="34">
        <v>0.8096</v>
      </c>
      <c r="E15" s="31"/>
      <c r="F15" s="31"/>
      <c r="G15" s="31"/>
      <c r="H15" s="31"/>
      <c r="I15" s="31"/>
      <c r="J15" s="30"/>
      <c r="K15" s="31">
        <v>1</v>
      </c>
      <c r="L15" s="31">
        <f>IF(期望!$G$5="烟柳",12%,0)+3%</f>
        <v>0.15</v>
      </c>
      <c r="M15" s="32"/>
      <c r="N15">
        <v>0</v>
      </c>
      <c r="O15" t="s">
        <v>220</v>
      </c>
      <c r="P15" t="s">
        <v>85</v>
      </c>
      <c r="Q15" t="s">
        <v>3</v>
      </c>
      <c r="S15" s="31">
        <v>0.075</v>
      </c>
      <c r="T15">
        <v>1</v>
      </c>
    </row>
    <row r="16" customFormat="1" spans="1:20">
      <c r="A16" s="33" t="s">
        <v>140</v>
      </c>
      <c r="B16" s="34">
        <v>1.6995</v>
      </c>
      <c r="C16" s="35">
        <v>393</v>
      </c>
      <c r="D16" s="34">
        <v>2.5492</v>
      </c>
      <c r="E16" s="31"/>
      <c r="F16" s="31"/>
      <c r="G16" s="31"/>
      <c r="H16" s="31"/>
      <c r="I16" s="31"/>
      <c r="J16" s="30"/>
      <c r="K16" s="31">
        <v>1</v>
      </c>
      <c r="L16" s="31">
        <f>IF(期望!$G$5="烟柳",12%,0)+3%</f>
        <v>0.15</v>
      </c>
      <c r="M16" s="32"/>
      <c r="N16">
        <v>0</v>
      </c>
      <c r="O16" t="s">
        <v>220</v>
      </c>
      <c r="P16" t="s">
        <v>85</v>
      </c>
      <c r="Q16" t="s">
        <v>3</v>
      </c>
      <c r="S16" s="31">
        <v>0.075</v>
      </c>
      <c r="T16">
        <v>1</v>
      </c>
    </row>
    <row r="17" customFormat="1" spans="1:20">
      <c r="A17" s="33" t="s">
        <v>166</v>
      </c>
      <c r="B17" s="34">
        <v>1.6995</v>
      </c>
      <c r="C17" s="35">
        <v>393</v>
      </c>
      <c r="D17" s="34">
        <v>2.5492</v>
      </c>
      <c r="E17" s="31"/>
      <c r="F17" s="31"/>
      <c r="G17" s="31"/>
      <c r="H17" s="31">
        <f>IF(期望!$H$3="√",0.25,0)</f>
        <v>0.25</v>
      </c>
      <c r="I17" s="31"/>
      <c r="J17" s="30"/>
      <c r="K17" s="31">
        <v>1</v>
      </c>
      <c r="L17" s="31">
        <f>IF(期望!$G$5="烟柳",12%,0)+3%</f>
        <v>0.15</v>
      </c>
      <c r="M17" s="32">
        <f>IF(期望!$H$3="√",25,0)</f>
        <v>25</v>
      </c>
      <c r="N17">
        <v>0</v>
      </c>
      <c r="O17" t="s">
        <v>220</v>
      </c>
      <c r="P17" t="s">
        <v>85</v>
      </c>
      <c r="Q17" t="s">
        <v>3</v>
      </c>
      <c r="S17" s="31">
        <v>0.15</v>
      </c>
      <c r="T17">
        <v>1</v>
      </c>
    </row>
    <row r="18" customFormat="1" spans="1:20">
      <c r="A18" s="33" t="s">
        <v>145</v>
      </c>
      <c r="B18" s="34">
        <v>1.6995</v>
      </c>
      <c r="C18" s="35">
        <v>393</v>
      </c>
      <c r="D18" s="34">
        <v>2.5492</v>
      </c>
      <c r="E18" s="31"/>
      <c r="F18" s="31"/>
      <c r="G18" s="31"/>
      <c r="H18" s="31"/>
      <c r="I18" s="31"/>
      <c r="J18" s="30"/>
      <c r="K18" s="31">
        <v>1</v>
      </c>
      <c r="L18" s="31">
        <f>IF(期望!$G$5="烟柳",12%,0)+3%</f>
        <v>0.15</v>
      </c>
      <c r="M18" s="32"/>
      <c r="N18">
        <v>0</v>
      </c>
      <c r="O18" t="s">
        <v>220</v>
      </c>
      <c r="P18" t="s">
        <v>85</v>
      </c>
      <c r="Q18" t="s">
        <v>3</v>
      </c>
      <c r="S18" s="31">
        <v>0.15</v>
      </c>
      <c r="T18">
        <v>1</v>
      </c>
    </row>
    <row r="19" customFormat="1" spans="1:20">
      <c r="A19" s="33" t="s">
        <v>157</v>
      </c>
      <c r="B19" s="34">
        <v>1.6995</v>
      </c>
      <c r="C19" s="35">
        <v>393</v>
      </c>
      <c r="D19" s="34">
        <v>2.5492</v>
      </c>
      <c r="E19" s="31"/>
      <c r="F19" s="31"/>
      <c r="G19" s="31"/>
      <c r="H19" s="31">
        <f>IF(期望!$H$3="√",0.25,0)</f>
        <v>0.25</v>
      </c>
      <c r="I19" s="31"/>
      <c r="J19" s="30"/>
      <c r="K19" s="31">
        <v>1</v>
      </c>
      <c r="L19" s="31">
        <f>3%+VLOOKUP(期望!$F$7,目标属性!$A:$R,4,FALSE)</f>
        <v>0.13</v>
      </c>
      <c r="M19" s="32">
        <f>IF(期望!$H$3="√",25,0)</f>
        <v>25</v>
      </c>
      <c r="N19">
        <v>0</v>
      </c>
      <c r="O19" t="s">
        <v>220</v>
      </c>
      <c r="P19" t="s">
        <v>85</v>
      </c>
      <c r="Q19" t="s">
        <v>3</v>
      </c>
      <c r="S19" s="31">
        <v>0.15</v>
      </c>
      <c r="T19">
        <v>1</v>
      </c>
    </row>
    <row r="20" customFormat="1" spans="1:20">
      <c r="A20" s="33" t="s">
        <v>222</v>
      </c>
      <c r="B20" s="31">
        <v>0.539</v>
      </c>
      <c r="C20" s="32">
        <f t="shared" ref="C20:C26" si="5">B20*231</f>
        <v>124.509</v>
      </c>
      <c r="D20" s="31">
        <f t="shared" ref="D20:D26" si="6">B20*1.5</f>
        <v>0.8085</v>
      </c>
      <c r="E20" s="31"/>
      <c r="F20" s="31"/>
      <c r="G20" s="31"/>
      <c r="H20" s="31"/>
      <c r="I20" s="31"/>
      <c r="J20" s="30"/>
      <c r="K20" s="31">
        <v>1</v>
      </c>
      <c r="L20" s="31"/>
      <c r="M20" s="32"/>
      <c r="N20">
        <v>0</v>
      </c>
      <c r="O20" t="s">
        <v>220</v>
      </c>
      <c r="P20" t="s">
        <v>85</v>
      </c>
      <c r="Q20" t="s">
        <v>3</v>
      </c>
      <c r="S20" s="31"/>
    </row>
    <row r="21" customFormat="1" spans="1:20">
      <c r="A21" s="33" t="s">
        <v>129</v>
      </c>
      <c r="B21" s="31">
        <v>0.539</v>
      </c>
      <c r="C21" s="32">
        <f t="shared" si="5"/>
        <v>124.509</v>
      </c>
      <c r="D21" s="31">
        <f t="shared" si="6"/>
        <v>0.8085</v>
      </c>
      <c r="E21" s="31"/>
      <c r="F21" s="31"/>
      <c r="G21" s="31"/>
      <c r="H21" s="31"/>
      <c r="I21" s="31"/>
      <c r="J21" s="30"/>
      <c r="K21" s="31">
        <v>1</v>
      </c>
      <c r="L21" s="31"/>
      <c r="M21" s="32"/>
      <c r="N21">
        <v>0</v>
      </c>
      <c r="O21" t="s">
        <v>220</v>
      </c>
      <c r="P21" t="s">
        <v>85</v>
      </c>
      <c r="Q21" t="s">
        <v>3</v>
      </c>
      <c r="S21" s="31">
        <v>0.075</v>
      </c>
    </row>
    <row r="22" customFormat="1" spans="1:20">
      <c r="A22" s="33" t="s">
        <v>141</v>
      </c>
      <c r="B22" s="31">
        <v>0.539</v>
      </c>
      <c r="C22" s="32">
        <f t="shared" si="5"/>
        <v>124.509</v>
      </c>
      <c r="D22" s="31">
        <f t="shared" si="6"/>
        <v>0.8085</v>
      </c>
      <c r="E22" s="31"/>
      <c r="F22" s="31"/>
      <c r="G22" s="31"/>
      <c r="H22" s="31"/>
      <c r="I22" s="31"/>
      <c r="J22" s="30"/>
      <c r="K22" s="31">
        <v>1</v>
      </c>
      <c r="L22" s="31">
        <v>0.03</v>
      </c>
      <c r="M22" s="32"/>
      <c r="N22">
        <v>0</v>
      </c>
      <c r="O22" t="s">
        <v>220</v>
      </c>
      <c r="P22" t="s">
        <v>85</v>
      </c>
      <c r="Q22" t="s">
        <v>3</v>
      </c>
      <c r="S22" s="31">
        <v>0.075</v>
      </c>
    </row>
    <row r="23" customFormat="1" spans="1:20">
      <c r="A23" s="33" t="s">
        <v>223</v>
      </c>
      <c r="B23" s="31">
        <v>0.539</v>
      </c>
      <c r="C23" s="32">
        <f t="shared" si="5"/>
        <v>124.509</v>
      </c>
      <c r="D23" s="31">
        <f t="shared" si="6"/>
        <v>0.8085</v>
      </c>
      <c r="E23" s="31"/>
      <c r="F23" s="31"/>
      <c r="G23" s="31"/>
      <c r="H23" s="31">
        <f>IF(期望!$H$3="√",0.25,0)</f>
        <v>0.25</v>
      </c>
      <c r="I23" s="31"/>
      <c r="J23" s="30"/>
      <c r="K23" s="31">
        <v>1</v>
      </c>
      <c r="L23" s="31">
        <v>0.03</v>
      </c>
      <c r="M23" s="32">
        <f>IF(期望!$H$3="√",25,0)</f>
        <v>25</v>
      </c>
      <c r="N23">
        <v>0</v>
      </c>
      <c r="O23" t="s">
        <v>220</v>
      </c>
      <c r="P23" t="s">
        <v>85</v>
      </c>
      <c r="Q23" t="s">
        <v>3</v>
      </c>
      <c r="S23" s="31">
        <v>0.075</v>
      </c>
    </row>
    <row r="24" customFormat="1" spans="1:20">
      <c r="A24" s="33" t="s">
        <v>174</v>
      </c>
      <c r="B24" s="31">
        <v>0.539</v>
      </c>
      <c r="C24" s="32">
        <f t="shared" si="5"/>
        <v>124.509</v>
      </c>
      <c r="D24" s="31">
        <f t="shared" si="6"/>
        <v>0.8085</v>
      </c>
      <c r="E24" s="31"/>
      <c r="F24" s="31"/>
      <c r="G24" s="31"/>
      <c r="H24" s="31"/>
      <c r="I24" s="31"/>
      <c r="J24" s="30"/>
      <c r="K24" s="31">
        <v>1</v>
      </c>
      <c r="L24" s="31">
        <v>0.03</v>
      </c>
      <c r="M24" s="32"/>
      <c r="N24">
        <v>0</v>
      </c>
      <c r="O24" t="s">
        <v>220</v>
      </c>
      <c r="P24" t="s">
        <v>85</v>
      </c>
      <c r="Q24" t="s">
        <v>3</v>
      </c>
      <c r="S24" s="31">
        <v>0.15</v>
      </c>
    </row>
    <row r="25" customFormat="1" spans="1:20">
      <c r="A25" s="33" t="s">
        <v>146</v>
      </c>
      <c r="B25" s="31">
        <v>0.539</v>
      </c>
      <c r="C25" s="32">
        <f t="shared" si="5"/>
        <v>124.509</v>
      </c>
      <c r="D25" s="31">
        <f t="shared" si="6"/>
        <v>0.8085</v>
      </c>
      <c r="E25" s="31"/>
      <c r="F25" s="31"/>
      <c r="G25" s="31"/>
      <c r="H25" s="31">
        <f>IF(期望!$H$3="√",0.25,0)</f>
        <v>0.25</v>
      </c>
      <c r="I25" s="31"/>
      <c r="J25" s="30"/>
      <c r="K25" s="31">
        <v>1</v>
      </c>
      <c r="L25" s="31">
        <v>0.03</v>
      </c>
      <c r="M25" s="32">
        <f>IF(期望!$H$3="√",25,0)</f>
        <v>25</v>
      </c>
      <c r="N25">
        <v>0</v>
      </c>
      <c r="O25" t="s">
        <v>220</v>
      </c>
      <c r="P25" t="s">
        <v>85</v>
      </c>
      <c r="Q25" t="s">
        <v>3</v>
      </c>
      <c r="S25" s="31">
        <v>0.15</v>
      </c>
    </row>
    <row r="26" customFormat="1" spans="1:20">
      <c r="A26" s="33" t="s">
        <v>159</v>
      </c>
      <c r="B26" s="31">
        <v>0.539</v>
      </c>
      <c r="C26" s="32">
        <f t="shared" si="5"/>
        <v>124.509</v>
      </c>
      <c r="D26" s="31">
        <f t="shared" si="6"/>
        <v>0.8085</v>
      </c>
      <c r="E26" s="31"/>
      <c r="F26" s="31"/>
      <c r="G26" s="31"/>
      <c r="H26" s="31">
        <f>IF(期望!$H$3="√",0.25,0)</f>
        <v>0.25</v>
      </c>
      <c r="I26" s="31"/>
      <c r="J26" s="30"/>
      <c r="K26" s="31">
        <v>1</v>
      </c>
      <c r="L26" s="31">
        <f>3%+VLOOKUP(期望!$F$7,目标属性!$A:$R,4,FALSE)</f>
        <v>0.13</v>
      </c>
      <c r="M26" s="32">
        <f>IF(期望!$H$3="√",25,0)</f>
        <v>25</v>
      </c>
      <c r="N26">
        <v>0</v>
      </c>
      <c r="O26" t="s">
        <v>220</v>
      </c>
      <c r="P26" t="s">
        <v>85</v>
      </c>
      <c r="Q26" t="s">
        <v>3</v>
      </c>
      <c r="S26" s="31">
        <v>0.15</v>
      </c>
    </row>
    <row r="27" customFormat="1" spans="1:20">
      <c r="A27" s="33" t="s">
        <v>224</v>
      </c>
      <c r="B27" s="31">
        <f t="shared" ref="B27:B33" si="7">190.44%*1.45</f>
        <v>2.76138</v>
      </c>
      <c r="C27" s="32">
        <f t="shared" ref="C27:C33" si="8">527*1.45</f>
        <v>764.15</v>
      </c>
      <c r="D27" s="31">
        <f t="shared" ref="D27:D33" si="9">285.66%*1.45</f>
        <v>4.14207</v>
      </c>
      <c r="E27" s="31"/>
      <c r="F27" s="31"/>
      <c r="G27" s="31"/>
      <c r="H27" s="31">
        <v>0.36</v>
      </c>
      <c r="I27" s="31"/>
      <c r="J27" s="30"/>
      <c r="K27" s="31">
        <v>1</v>
      </c>
      <c r="L27" s="31">
        <f>40%</f>
        <v>0.4</v>
      </c>
      <c r="M27" s="32">
        <v>5</v>
      </c>
      <c r="N27">
        <v>1</v>
      </c>
      <c r="O27" t="s">
        <v>220</v>
      </c>
      <c r="P27" t="s">
        <v>87</v>
      </c>
      <c r="Q27" t="s">
        <v>3</v>
      </c>
      <c r="S27" s="31">
        <v>0.15</v>
      </c>
      <c r="T27">
        <v>1</v>
      </c>
    </row>
    <row r="28" customFormat="1" spans="1:20">
      <c r="A28" s="33" t="s">
        <v>171</v>
      </c>
      <c r="B28" s="31">
        <f t="shared" si="7"/>
        <v>2.76138</v>
      </c>
      <c r="C28" s="32">
        <f t="shared" si="8"/>
        <v>764.15</v>
      </c>
      <c r="D28" s="31">
        <f t="shared" si="9"/>
        <v>4.14207</v>
      </c>
      <c r="E28" s="31"/>
      <c r="F28" s="31"/>
      <c r="G28" s="31"/>
      <c r="H28" s="31">
        <f t="shared" ref="H28:H32" si="10">36%</f>
        <v>0.36</v>
      </c>
      <c r="I28" s="31"/>
      <c r="J28" s="30"/>
      <c r="K28" s="31">
        <v>1</v>
      </c>
      <c r="L28" s="31">
        <f>40%</f>
        <v>0.4</v>
      </c>
      <c r="M28" s="32">
        <v>5</v>
      </c>
      <c r="N28">
        <v>1</v>
      </c>
      <c r="O28" t="s">
        <v>220</v>
      </c>
      <c r="P28" t="s">
        <v>87</v>
      </c>
      <c r="Q28" t="s">
        <v>3</v>
      </c>
      <c r="S28" s="31">
        <v>0.15</v>
      </c>
      <c r="T28">
        <v>1</v>
      </c>
    </row>
    <row r="29" customFormat="1" spans="1:20">
      <c r="A29" s="33" t="s">
        <v>134</v>
      </c>
      <c r="B29" s="31">
        <f t="shared" si="7"/>
        <v>2.76138</v>
      </c>
      <c r="C29" s="32">
        <f t="shared" si="8"/>
        <v>764.15</v>
      </c>
      <c r="D29" s="31">
        <f t="shared" si="9"/>
        <v>4.14207</v>
      </c>
      <c r="E29" s="31"/>
      <c r="F29" s="31"/>
      <c r="G29" s="31"/>
      <c r="H29" s="31">
        <f t="shared" si="10"/>
        <v>0.36</v>
      </c>
      <c r="I29" s="31"/>
      <c r="J29" s="30"/>
      <c r="K29" s="31">
        <v>1</v>
      </c>
      <c r="L29" s="31">
        <f>40%+12%</f>
        <v>0.52</v>
      </c>
      <c r="M29" s="32">
        <v>5</v>
      </c>
      <c r="N29">
        <v>1</v>
      </c>
      <c r="O29" t="s">
        <v>220</v>
      </c>
      <c r="P29" t="s">
        <v>87</v>
      </c>
      <c r="Q29" t="s">
        <v>3</v>
      </c>
      <c r="S29" s="31">
        <v>0.075</v>
      </c>
      <c r="T29">
        <v>1</v>
      </c>
    </row>
    <row r="30" customFormat="1" spans="1:20">
      <c r="A30" s="33" t="s">
        <v>186</v>
      </c>
      <c r="B30" s="31">
        <f t="shared" si="7"/>
        <v>2.76138</v>
      </c>
      <c r="C30" s="32">
        <f t="shared" si="8"/>
        <v>764.15</v>
      </c>
      <c r="D30" s="31">
        <f t="shared" si="9"/>
        <v>4.14207</v>
      </c>
      <c r="E30" s="31"/>
      <c r="F30" s="31"/>
      <c r="G30" s="31"/>
      <c r="H30" s="31">
        <f t="shared" si="10"/>
        <v>0.36</v>
      </c>
      <c r="I30" s="31"/>
      <c r="J30" s="30"/>
      <c r="K30" s="31">
        <v>1</v>
      </c>
      <c r="L30" s="31">
        <f>40%+12%</f>
        <v>0.52</v>
      </c>
      <c r="M30" s="32">
        <v>5</v>
      </c>
      <c r="N30">
        <v>1</v>
      </c>
      <c r="O30" t="s">
        <v>220</v>
      </c>
      <c r="P30" t="s">
        <v>87</v>
      </c>
      <c r="Q30" t="s">
        <v>3</v>
      </c>
      <c r="S30" s="31">
        <v>0.075</v>
      </c>
      <c r="T30">
        <v>1</v>
      </c>
    </row>
    <row r="31" customFormat="1" spans="1:20">
      <c r="A31" s="33" t="s">
        <v>142</v>
      </c>
      <c r="B31" s="31">
        <f t="shared" si="7"/>
        <v>2.76138</v>
      </c>
      <c r="C31" s="32">
        <f t="shared" si="8"/>
        <v>764.15</v>
      </c>
      <c r="D31" s="31">
        <f t="shared" si="9"/>
        <v>4.14207</v>
      </c>
      <c r="E31" s="31"/>
      <c r="F31" s="31"/>
      <c r="G31" s="31"/>
      <c r="H31" s="31">
        <f t="shared" si="10"/>
        <v>0.36</v>
      </c>
      <c r="I31" s="31"/>
      <c r="J31" s="30"/>
      <c r="K31" s="31">
        <v>1</v>
      </c>
      <c r="L31" s="31">
        <f>40%+20%</f>
        <v>0.6</v>
      </c>
      <c r="M31" s="32">
        <v>5</v>
      </c>
      <c r="N31">
        <v>1</v>
      </c>
      <c r="O31" t="s">
        <v>220</v>
      </c>
      <c r="P31" t="s">
        <v>87</v>
      </c>
      <c r="Q31" t="s">
        <v>3</v>
      </c>
      <c r="S31" s="31">
        <v>0.075</v>
      </c>
      <c r="T31">
        <v>1</v>
      </c>
    </row>
    <row r="32" customFormat="1" spans="1:20">
      <c r="A32" s="33" t="s">
        <v>225</v>
      </c>
      <c r="B32" s="31">
        <f t="shared" si="7"/>
        <v>2.76138</v>
      </c>
      <c r="C32" s="32">
        <f t="shared" si="8"/>
        <v>764.15</v>
      </c>
      <c r="D32" s="31">
        <f t="shared" si="9"/>
        <v>4.14207</v>
      </c>
      <c r="E32" s="31"/>
      <c r="F32" s="31"/>
      <c r="G32" s="31"/>
      <c r="H32" s="31">
        <f t="shared" si="10"/>
        <v>0.36</v>
      </c>
      <c r="I32" s="31"/>
      <c r="J32" s="30"/>
      <c r="K32" s="31">
        <v>1</v>
      </c>
      <c r="L32" s="31">
        <f>40%+20%</f>
        <v>0.6</v>
      </c>
      <c r="M32" s="32">
        <v>5</v>
      </c>
      <c r="N32">
        <v>1</v>
      </c>
      <c r="O32" t="s">
        <v>220</v>
      </c>
      <c r="P32" t="s">
        <v>87</v>
      </c>
      <c r="Q32" t="s">
        <v>3</v>
      </c>
      <c r="S32" s="31">
        <v>0.15</v>
      </c>
      <c r="T32">
        <v>1</v>
      </c>
    </row>
    <row r="33" customFormat="1" spans="1:20">
      <c r="A33" s="33" t="s">
        <v>148</v>
      </c>
      <c r="B33" s="31">
        <f t="shared" si="7"/>
        <v>2.76138</v>
      </c>
      <c r="C33" s="32">
        <f t="shared" si="8"/>
        <v>764.15</v>
      </c>
      <c r="D33" s="31">
        <f t="shared" si="9"/>
        <v>4.14207</v>
      </c>
      <c r="E33" s="31"/>
      <c r="F33" s="31"/>
      <c r="G33" s="31"/>
      <c r="H33" s="31">
        <f>36%+IF(期望!$H$3="√",0.25,0)</f>
        <v>0.61</v>
      </c>
      <c r="I33" s="31"/>
      <c r="J33" s="30"/>
      <c r="K33" s="31">
        <v>1</v>
      </c>
      <c r="L33" s="31">
        <f>40%+20%+3%</f>
        <v>0.63</v>
      </c>
      <c r="M33" s="32">
        <f>IF(期望!$H$3="√",25,0)</f>
        <v>25</v>
      </c>
      <c r="N33">
        <v>1</v>
      </c>
      <c r="O33" t="s">
        <v>220</v>
      </c>
      <c r="P33" t="s">
        <v>87</v>
      </c>
      <c r="Q33" t="s">
        <v>3</v>
      </c>
      <c r="S33" s="31">
        <v>0.15</v>
      </c>
      <c r="T33">
        <v>1</v>
      </c>
    </row>
    <row r="34" customFormat="1" spans="1:20">
      <c r="A34" s="33" t="s">
        <v>131</v>
      </c>
      <c r="B34" s="31">
        <v>0.9266</v>
      </c>
      <c r="C34" s="32">
        <v>215</v>
      </c>
      <c r="D34" s="31">
        <v>1.3899</v>
      </c>
      <c r="E34" s="31"/>
      <c r="F34" s="31"/>
      <c r="G34" s="31"/>
      <c r="H34" s="31"/>
      <c r="I34" s="31"/>
      <c r="J34" s="30"/>
      <c r="K34" s="31">
        <v>1</v>
      </c>
      <c r="L34" s="31">
        <v>0.03</v>
      </c>
      <c r="M34" s="32"/>
      <c r="N34">
        <v>0</v>
      </c>
      <c r="O34" t="s">
        <v>220</v>
      </c>
      <c r="P34" t="s">
        <v>87</v>
      </c>
      <c r="Q34" t="s">
        <v>3</v>
      </c>
      <c r="S34" s="31">
        <v>0.075</v>
      </c>
    </row>
    <row r="35" customFormat="1" spans="1:20">
      <c r="A35" s="33" t="s">
        <v>226</v>
      </c>
      <c r="B35" s="31">
        <v>0.9266</v>
      </c>
      <c r="C35" s="32">
        <v>215</v>
      </c>
      <c r="D35" s="31">
        <v>1.3899</v>
      </c>
      <c r="E35" s="31"/>
      <c r="F35" s="31"/>
      <c r="G35" s="31"/>
      <c r="H35" s="31">
        <f>IF(期望!$H$3="√",0.25,0)</f>
        <v>0.25</v>
      </c>
      <c r="I35" s="31"/>
      <c r="J35" s="30"/>
      <c r="K35" s="31">
        <v>1</v>
      </c>
      <c r="L35" s="31">
        <v>0.03</v>
      </c>
      <c r="M35" s="32">
        <f>IF(期望!$H$3="√",25,0)</f>
        <v>25</v>
      </c>
      <c r="N35">
        <v>0</v>
      </c>
      <c r="O35" t="s">
        <v>220</v>
      </c>
      <c r="P35" t="s">
        <v>87</v>
      </c>
      <c r="Q35" t="s">
        <v>3</v>
      </c>
      <c r="S35" s="31">
        <v>0.075</v>
      </c>
    </row>
    <row r="36" customFormat="1" spans="1:20">
      <c r="A36" s="33" t="s">
        <v>184</v>
      </c>
      <c r="B36" s="31">
        <v>0.9266</v>
      </c>
      <c r="C36" s="32">
        <v>215</v>
      </c>
      <c r="D36" s="31">
        <v>1.3899</v>
      </c>
      <c r="E36" s="31"/>
      <c r="F36" s="31"/>
      <c r="G36" s="31"/>
      <c r="H36" s="31"/>
      <c r="I36" s="31"/>
      <c r="J36" s="30"/>
      <c r="K36" s="31">
        <v>1</v>
      </c>
      <c r="L36" s="31">
        <v>0.03</v>
      </c>
      <c r="M36" s="32"/>
      <c r="N36">
        <v>0</v>
      </c>
      <c r="O36" t="s">
        <v>220</v>
      </c>
      <c r="P36" t="s">
        <v>87</v>
      </c>
      <c r="Q36" t="s">
        <v>3</v>
      </c>
      <c r="S36" s="31">
        <v>0.15</v>
      </c>
    </row>
    <row r="37" customFormat="1" spans="1:20">
      <c r="A37" s="33" t="s">
        <v>147</v>
      </c>
      <c r="B37" s="31">
        <v>0.9266</v>
      </c>
      <c r="C37" s="32">
        <v>215</v>
      </c>
      <c r="D37" s="31">
        <v>1.3899</v>
      </c>
      <c r="E37" s="31"/>
      <c r="F37" s="31"/>
      <c r="G37" s="31"/>
      <c r="H37" s="31">
        <f>IF(期望!$H$3="√",0.25,0)</f>
        <v>0.25</v>
      </c>
      <c r="I37" s="31"/>
      <c r="J37" s="30"/>
      <c r="K37" s="31">
        <v>1</v>
      </c>
      <c r="L37" s="31">
        <v>0.03</v>
      </c>
      <c r="M37" s="32">
        <f>IF(期望!$H$3="√",25,0)</f>
        <v>25</v>
      </c>
      <c r="N37">
        <v>0</v>
      </c>
      <c r="O37" t="s">
        <v>220</v>
      </c>
      <c r="P37" t="s">
        <v>87</v>
      </c>
      <c r="Q37" t="s">
        <v>3</v>
      </c>
      <c r="S37" s="31">
        <v>0.15</v>
      </c>
    </row>
    <row r="38" customFormat="1" spans="1:20">
      <c r="A38" s="33" t="s">
        <v>158</v>
      </c>
      <c r="B38" s="31">
        <v>1.2793</v>
      </c>
      <c r="C38" s="32">
        <v>296</v>
      </c>
      <c r="D38" s="31">
        <v>1.919</v>
      </c>
      <c r="E38" s="31"/>
      <c r="F38" s="31"/>
      <c r="G38" s="31"/>
      <c r="H38" s="31"/>
      <c r="I38" s="31"/>
      <c r="J38" s="30"/>
      <c r="K38" s="31">
        <v>1</v>
      </c>
      <c r="L38" s="31"/>
      <c r="M38" s="32"/>
      <c r="N38">
        <v>0</v>
      </c>
      <c r="O38" t="s">
        <v>220</v>
      </c>
      <c r="P38" t="s">
        <v>87</v>
      </c>
      <c r="Q38" t="s">
        <v>3</v>
      </c>
      <c r="S38" s="31">
        <v>0.15</v>
      </c>
    </row>
    <row r="39" customFormat="1" spans="1:20">
      <c r="A39" s="33" t="s">
        <v>130</v>
      </c>
      <c r="B39" s="31">
        <v>1.2793</v>
      </c>
      <c r="C39" s="32">
        <v>296</v>
      </c>
      <c r="D39" s="31">
        <v>1.919</v>
      </c>
      <c r="E39" s="31"/>
      <c r="F39" s="31"/>
      <c r="G39" s="31"/>
      <c r="H39" s="31"/>
      <c r="I39" s="31"/>
      <c r="J39" s="30"/>
      <c r="K39" s="31">
        <v>1</v>
      </c>
      <c r="L39" s="31">
        <v>0.03</v>
      </c>
      <c r="M39" s="32"/>
      <c r="N39">
        <v>0</v>
      </c>
      <c r="O39" t="s">
        <v>220</v>
      </c>
      <c r="P39" t="s">
        <v>87</v>
      </c>
      <c r="Q39" t="s">
        <v>3</v>
      </c>
      <c r="S39" s="31">
        <v>0.075</v>
      </c>
    </row>
    <row r="40" customFormat="1" spans="1:20">
      <c r="A40" s="33" t="s">
        <v>132</v>
      </c>
      <c r="B40" s="31">
        <f>124.78%*1.45</f>
        <v>1.80931</v>
      </c>
      <c r="C40" s="32">
        <f>346*1.45</f>
        <v>501.7</v>
      </c>
      <c r="D40" s="31">
        <f>187.16%*1.45</f>
        <v>2.71382</v>
      </c>
      <c r="E40" s="31"/>
      <c r="F40" s="31"/>
      <c r="G40" s="31"/>
      <c r="H40" s="31">
        <f>36%</f>
        <v>0.36</v>
      </c>
      <c r="I40" s="31"/>
      <c r="J40" s="30"/>
      <c r="K40" s="31">
        <v>1</v>
      </c>
      <c r="L40" s="31">
        <f>10%+3%</f>
        <v>0.13</v>
      </c>
      <c r="M40" s="32"/>
      <c r="N40">
        <v>0</v>
      </c>
      <c r="O40" t="s">
        <v>220</v>
      </c>
      <c r="P40" t="s">
        <v>87</v>
      </c>
      <c r="Q40" t="s">
        <v>3</v>
      </c>
      <c r="S40" s="31">
        <v>0.075</v>
      </c>
      <c r="T40">
        <v>1</v>
      </c>
    </row>
    <row r="41" customFormat="1" spans="1:20">
      <c r="A41" s="33" t="s">
        <v>185</v>
      </c>
      <c r="B41" s="31">
        <f>124.78%*1.45</f>
        <v>1.80931</v>
      </c>
      <c r="C41" s="32">
        <f>346*1.45</f>
        <v>501.7</v>
      </c>
      <c r="D41" s="31">
        <f>187.16%*1.45</f>
        <v>2.71382</v>
      </c>
      <c r="E41" s="31"/>
      <c r="F41" s="31"/>
      <c r="G41" s="31"/>
      <c r="H41" s="31">
        <f>36%</f>
        <v>0.36</v>
      </c>
      <c r="I41" s="31"/>
      <c r="J41" s="30"/>
      <c r="K41" s="31">
        <v>1</v>
      </c>
      <c r="L41" s="31">
        <f>10%+3%</f>
        <v>0.13</v>
      </c>
      <c r="M41" s="32"/>
      <c r="N41">
        <v>0</v>
      </c>
      <c r="O41" t="s">
        <v>220</v>
      </c>
      <c r="P41" t="s">
        <v>87</v>
      </c>
      <c r="Q41" t="s">
        <v>3</v>
      </c>
      <c r="S41" s="31">
        <v>0.15</v>
      </c>
      <c r="T41">
        <v>1</v>
      </c>
    </row>
    <row r="42" customFormat="1" spans="1:20">
      <c r="A42" s="33" t="s">
        <v>177</v>
      </c>
      <c r="B42" s="31">
        <f>301.85%*1.45</f>
        <v>4.376825</v>
      </c>
      <c r="C42" s="32">
        <f>835*1.45</f>
        <v>1210.75</v>
      </c>
      <c r="D42" s="31">
        <f>452.78%*1.45</f>
        <v>6.56531</v>
      </c>
      <c r="E42" s="31"/>
      <c r="F42" s="31"/>
      <c r="G42" s="31">
        <v>0.3</v>
      </c>
      <c r="H42" s="31">
        <v>0.36</v>
      </c>
      <c r="I42" s="31"/>
      <c r="J42" s="30"/>
      <c r="K42" s="31">
        <v>1</v>
      </c>
      <c r="L42" s="31">
        <f>10%+8%</f>
        <v>0.18</v>
      </c>
      <c r="M42" s="32"/>
      <c r="N42">
        <v>0</v>
      </c>
      <c r="O42" t="s">
        <v>220</v>
      </c>
      <c r="P42" t="s">
        <v>87</v>
      </c>
      <c r="Q42" t="s">
        <v>3</v>
      </c>
      <c r="S42" s="31">
        <v>0.075</v>
      </c>
      <c r="T42">
        <v>1</v>
      </c>
    </row>
    <row r="43" customFormat="1" spans="1:20">
      <c r="A43" s="33" t="s">
        <v>172</v>
      </c>
      <c r="B43" s="31">
        <f>301.85%*1.45</f>
        <v>4.376825</v>
      </c>
      <c r="C43" s="32">
        <f>835*1.45</f>
        <v>1210.75</v>
      </c>
      <c r="D43" s="31">
        <f>452.78%*1.45</f>
        <v>6.56531</v>
      </c>
      <c r="E43" s="31"/>
      <c r="F43" s="31"/>
      <c r="G43" s="31">
        <v>0.3</v>
      </c>
      <c r="H43" s="31">
        <v>0.36</v>
      </c>
      <c r="I43" s="31"/>
      <c r="J43" s="30"/>
      <c r="K43" s="31">
        <v>1</v>
      </c>
      <c r="L43" s="31">
        <f>10%+8%</f>
        <v>0.18</v>
      </c>
      <c r="M43" s="32"/>
      <c r="N43">
        <v>0</v>
      </c>
      <c r="O43" t="s">
        <v>220</v>
      </c>
      <c r="P43" t="s">
        <v>87</v>
      </c>
      <c r="Q43" t="s">
        <v>3</v>
      </c>
      <c r="S43" s="31">
        <v>0.15</v>
      </c>
      <c r="T43">
        <v>1</v>
      </c>
    </row>
    <row r="44" customFormat="1" spans="1:20">
      <c r="A44" s="33" t="s">
        <v>150</v>
      </c>
      <c r="B44" s="31">
        <f>301.85%*1.45</f>
        <v>4.376825</v>
      </c>
      <c r="C44" s="32">
        <f>835*1.45</f>
        <v>1210.75</v>
      </c>
      <c r="D44" s="31">
        <f>452.78%*1.45</f>
        <v>6.56531</v>
      </c>
      <c r="E44" s="31"/>
      <c r="F44" s="31"/>
      <c r="G44" s="31">
        <v>0.3</v>
      </c>
      <c r="H44" s="31">
        <v>0.36</v>
      </c>
      <c r="I44" s="31"/>
      <c r="J44" s="30"/>
      <c r="K44" s="31">
        <v>1</v>
      </c>
      <c r="L44" s="31">
        <f>10%+8%</f>
        <v>0.18</v>
      </c>
      <c r="M44" s="32"/>
      <c r="N44">
        <v>0</v>
      </c>
      <c r="O44" t="s">
        <v>220</v>
      </c>
      <c r="P44" t="s">
        <v>87</v>
      </c>
      <c r="Q44" t="s">
        <v>3</v>
      </c>
      <c r="S44" s="31">
        <v>0.15</v>
      </c>
      <c r="T44">
        <v>1</v>
      </c>
    </row>
    <row r="45" customFormat="1" spans="1:20">
      <c r="A45" s="33" t="s">
        <v>149</v>
      </c>
      <c r="B45" s="31">
        <f>301.85%*1.45</f>
        <v>4.376825</v>
      </c>
      <c r="C45" s="32">
        <f>835*1.45</f>
        <v>1210.75</v>
      </c>
      <c r="D45" s="31">
        <f>452.78%*1.45</f>
        <v>6.56531</v>
      </c>
      <c r="E45" s="31"/>
      <c r="F45" s="31"/>
      <c r="G45" s="31">
        <v>0.3</v>
      </c>
      <c r="H45" s="31">
        <f>36%+IF(期望!$H$3="√",0.25,0)</f>
        <v>0.61</v>
      </c>
      <c r="I45" s="31"/>
      <c r="J45" s="30"/>
      <c r="K45" s="31">
        <v>1</v>
      </c>
      <c r="L45" s="31">
        <f>10%+8%</f>
        <v>0.18</v>
      </c>
      <c r="M45" s="32">
        <f>IF(期望!$H$3="√",25,0)</f>
        <v>25</v>
      </c>
      <c r="N45">
        <v>0</v>
      </c>
      <c r="O45" t="s">
        <v>220</v>
      </c>
      <c r="P45" t="s">
        <v>87</v>
      </c>
      <c r="Q45" t="s">
        <v>3</v>
      </c>
      <c r="S45" s="31">
        <v>0.15</v>
      </c>
      <c r="T45">
        <v>1</v>
      </c>
    </row>
    <row r="46" customFormat="1" spans="1:20">
      <c r="A46" s="33" t="s">
        <v>163</v>
      </c>
      <c r="B46" s="31">
        <v>7.1064</v>
      </c>
      <c r="C46" s="32">
        <v>1269</v>
      </c>
      <c r="D46" s="31">
        <v>10.6596</v>
      </c>
      <c r="E46" s="31"/>
      <c r="F46" s="31"/>
      <c r="G46" s="31"/>
      <c r="H46" s="31">
        <f>IF(期望!$H$3="√",0.25,0)</f>
        <v>0.25</v>
      </c>
      <c r="I46" s="31"/>
      <c r="K46" s="31">
        <v>1</v>
      </c>
      <c r="L46" s="31">
        <f>VLOOKUP(期望!$F$7,目标属性!$A:$R,4,FALSE)+3%</f>
        <v>0.13</v>
      </c>
      <c r="M46" s="32">
        <f>IF(期望!$H$3="√",25,0)</f>
        <v>25</v>
      </c>
      <c r="N46">
        <v>0</v>
      </c>
      <c r="O46" t="s">
        <v>227</v>
      </c>
      <c r="P46" t="s">
        <v>90</v>
      </c>
      <c r="Q46" t="str">
        <f>期望!$C$2</f>
        <v>牵丝</v>
      </c>
      <c r="S46" s="31">
        <v>0.15</v>
      </c>
    </row>
    <row r="47" customFormat="1" spans="1:20">
      <c r="A47" s="33" t="s">
        <v>187</v>
      </c>
      <c r="B47" s="31">
        <v>25.198866</v>
      </c>
      <c r="C47" s="32">
        <v>4521.44</v>
      </c>
      <c r="D47" s="31">
        <v>37.798299</v>
      </c>
      <c r="E47" s="31"/>
      <c r="F47" s="31"/>
      <c r="G47" s="31"/>
      <c r="H47" s="31">
        <f>IF(期望!$G$19="√",10%,0)+IF(期望!$H$3="√",0.25,0)</f>
        <v>0.25</v>
      </c>
      <c r="I47" s="31"/>
      <c r="K47" s="31">
        <v>1</v>
      </c>
      <c r="L47" s="31">
        <f>VLOOKUP(期望!$F$7,目标属性!$A:$R,4,FALSE)+50%+12.5%+3%</f>
        <v>0.755</v>
      </c>
      <c r="M47" s="32">
        <f>IF(期望!$H$3="√",25,0)</f>
        <v>25</v>
      </c>
      <c r="N47">
        <v>0</v>
      </c>
      <c r="O47" t="s">
        <v>227</v>
      </c>
      <c r="P47" t="s">
        <v>90</v>
      </c>
      <c r="Q47" t="str">
        <f>期望!$C$2</f>
        <v>牵丝</v>
      </c>
      <c r="R47" t="s">
        <v>228</v>
      </c>
      <c r="S47" s="31">
        <v>0.15</v>
      </c>
    </row>
    <row r="48" customFormat="1" spans="1:20">
      <c r="A48" s="33" t="s">
        <v>161</v>
      </c>
      <c r="B48" s="31">
        <f>254.68%*2*1.5</f>
        <v>7.6404</v>
      </c>
      <c r="C48" s="32">
        <f>455*3</f>
        <v>1365</v>
      </c>
      <c r="D48" s="31">
        <f>B48*1.5</f>
        <v>11.4606</v>
      </c>
      <c r="E48" s="31"/>
      <c r="F48" s="31"/>
      <c r="G48" s="31"/>
      <c r="H48" s="31">
        <f>IF(期望!$H$3="√",0.25,0)</f>
        <v>0.25</v>
      </c>
      <c r="I48" s="31"/>
      <c r="K48" s="31">
        <v>1</v>
      </c>
      <c r="L48" s="31">
        <f>VLOOKUP(期望!$F$7,目标属性!$A:$R,4,FALSE)+3%</f>
        <v>0.13</v>
      </c>
      <c r="M48" s="32">
        <f>IF(期望!$H$3="√",25,0)</f>
        <v>25</v>
      </c>
      <c r="N48">
        <v>0</v>
      </c>
      <c r="O48" t="s">
        <v>227</v>
      </c>
      <c r="P48" t="s">
        <v>91</v>
      </c>
      <c r="Q48" t="str">
        <f>期望!$C$2</f>
        <v>牵丝</v>
      </c>
      <c r="S48" s="31">
        <v>0.15</v>
      </c>
    </row>
    <row r="49" spans="1:19">
      <c r="A49" s="33" t="s">
        <v>188</v>
      </c>
      <c r="B49" s="31">
        <v>1</v>
      </c>
      <c r="D49" s="31">
        <v>1</v>
      </c>
      <c r="K49" s="31">
        <v>1</v>
      </c>
      <c r="N49">
        <v>0</v>
      </c>
      <c r="O49" t="s">
        <v>229</v>
      </c>
      <c r="P49" t="s">
        <v>92</v>
      </c>
      <c r="Q49" t="str">
        <f>期望!$C$2</f>
        <v>牵丝</v>
      </c>
    </row>
    <row r="50" customFormat="1" spans="1:19">
      <c r="A50" s="33" t="s">
        <v>189</v>
      </c>
      <c r="B50" s="31">
        <v>1</v>
      </c>
      <c r="C50" s="32"/>
      <c r="D50" s="31">
        <v>1</v>
      </c>
      <c r="E50" s="31"/>
      <c r="F50" s="31"/>
      <c r="G50" s="31"/>
      <c r="H50" s="31"/>
      <c r="I50" s="31"/>
      <c r="K50" s="31">
        <v>1</v>
      </c>
      <c r="L50" s="31">
        <v>0.03</v>
      </c>
      <c r="M50" s="32"/>
      <c r="N50">
        <v>0</v>
      </c>
      <c r="O50" t="s">
        <v>229</v>
      </c>
      <c r="P50" t="s">
        <v>92</v>
      </c>
      <c r="Q50" t="str">
        <f>期望!$C$2</f>
        <v>牵丝</v>
      </c>
      <c r="S50" s="31">
        <v>0.075</v>
      </c>
    </row>
    <row r="51" customFormat="1" spans="1:19">
      <c r="A51" s="33" t="s">
        <v>194</v>
      </c>
      <c r="B51" s="31">
        <v>1</v>
      </c>
      <c r="C51" s="32"/>
      <c r="D51" s="31">
        <v>1</v>
      </c>
      <c r="E51" s="31"/>
      <c r="F51" s="31"/>
      <c r="G51" s="31"/>
      <c r="H51" s="31"/>
      <c r="I51" s="31"/>
      <c r="K51" s="31">
        <v>1</v>
      </c>
      <c r="L51" s="31">
        <v>0.03</v>
      </c>
      <c r="M51" s="32"/>
      <c r="N51">
        <v>0</v>
      </c>
      <c r="O51" t="s">
        <v>229</v>
      </c>
      <c r="P51" t="s">
        <v>92</v>
      </c>
      <c r="Q51" t="str">
        <f>期望!$C$2</f>
        <v>牵丝</v>
      </c>
      <c r="S51" s="31">
        <v>0.15</v>
      </c>
    </row>
    <row r="52" customFormat="1" spans="1:19">
      <c r="A52" s="33" t="s">
        <v>191</v>
      </c>
      <c r="B52" s="31">
        <v>1</v>
      </c>
      <c r="C52" s="32"/>
      <c r="D52" s="31">
        <v>1</v>
      </c>
      <c r="E52" s="31"/>
      <c r="F52" s="31"/>
      <c r="G52" s="31"/>
      <c r="H52" s="31">
        <f>+IF(期望!$H$3="√",0.25,0)</f>
        <v>0.25</v>
      </c>
      <c r="I52" s="31"/>
      <c r="K52" s="31">
        <v>1</v>
      </c>
      <c r="L52" s="31">
        <v>0.03</v>
      </c>
      <c r="M52" s="32">
        <f>IF(期望!$H$3="√",25,0)</f>
        <v>25</v>
      </c>
      <c r="N52">
        <v>0</v>
      </c>
      <c r="O52" t="s">
        <v>229</v>
      </c>
      <c r="P52" t="s">
        <v>92</v>
      </c>
      <c r="Q52" t="str">
        <f>期望!$C$2</f>
        <v>牵丝</v>
      </c>
      <c r="S52" s="31">
        <v>0.15</v>
      </c>
    </row>
    <row r="53" customFormat="1" spans="1:19">
      <c r="A53" s="33" t="s">
        <v>192</v>
      </c>
      <c r="B53" s="31">
        <v>1</v>
      </c>
      <c r="C53" s="32"/>
      <c r="D53" s="31">
        <v>1</v>
      </c>
      <c r="E53" s="31"/>
      <c r="F53" s="31"/>
      <c r="G53" s="31"/>
      <c r="H53" s="31">
        <f>+IF(期望!$H$3="√",0.25,0)</f>
        <v>0.25</v>
      </c>
      <c r="I53" s="31"/>
      <c r="K53" s="31">
        <v>1</v>
      </c>
      <c r="L53" s="31">
        <f>VLOOKUP(期望!$F$7,目标属性!$A:$R,4,FALSE)+3%</f>
        <v>0.13</v>
      </c>
      <c r="M53" s="32">
        <f>IF(期望!$H$3="√",25,0)</f>
        <v>25</v>
      </c>
      <c r="N53">
        <v>0</v>
      </c>
      <c r="O53" t="s">
        <v>229</v>
      </c>
      <c r="P53" t="s">
        <v>92</v>
      </c>
      <c r="Q53" t="str">
        <f>期望!$C$2</f>
        <v>牵丝</v>
      </c>
      <c r="S53" s="31">
        <v>0.15</v>
      </c>
    </row>
    <row r="54" spans="1:19">
      <c r="A54" t="s">
        <v>92</v>
      </c>
      <c r="B54" s="31">
        <v>0</v>
      </c>
      <c r="C54" s="32">
        <v>0</v>
      </c>
      <c r="D54" s="31">
        <v>0</v>
      </c>
      <c r="K54" s="31">
        <v>1</v>
      </c>
      <c r="N54">
        <v>0</v>
      </c>
      <c r="O54" t="s">
        <v>227</v>
      </c>
      <c r="P54" t="s">
        <v>92</v>
      </c>
      <c r="Q54" t="str">
        <f>期望!$C$2</f>
        <v>牵丝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E22" sqref="E22"/>
    </sheetView>
  </sheetViews>
  <sheetFormatPr defaultColWidth="9" defaultRowHeight="13.5" outlineLevelCol="5"/>
  <cols>
    <col min="1" max="1" width="11.125" customWidth="1"/>
  </cols>
  <sheetData>
    <row r="1" spans="1:6">
      <c r="B1" t="s">
        <v>230</v>
      </c>
      <c r="C1" t="s">
        <v>6</v>
      </c>
      <c r="D1" t="s">
        <v>231</v>
      </c>
    </row>
    <row r="2" spans="1:6">
      <c r="A2" t="s">
        <v>232</v>
      </c>
      <c r="B2">
        <v>10</v>
      </c>
      <c r="C2" s="30">
        <v>0.15</v>
      </c>
      <c r="D2" s="30">
        <v>0.4</v>
      </c>
    </row>
    <row r="3" spans="1:6">
      <c r="A3" t="s">
        <v>233</v>
      </c>
      <c r="B3">
        <v>29</v>
      </c>
      <c r="C3" s="30">
        <v>0.15</v>
      </c>
      <c r="D3" s="30">
        <v>0.4</v>
      </c>
    </row>
    <row r="4" spans="1:6">
      <c r="A4" t="s">
        <v>234</v>
      </c>
      <c r="B4">
        <v>307</v>
      </c>
      <c r="C4" s="30">
        <v>0.15</v>
      </c>
      <c r="D4" s="30">
        <v>0.1</v>
      </c>
    </row>
    <row r="5" spans="1:6">
      <c r="A5" t="s">
        <v>235</v>
      </c>
      <c r="B5">
        <v>350</v>
      </c>
      <c r="C5" s="30">
        <v>0.15</v>
      </c>
      <c r="D5" s="30">
        <v>0.1</v>
      </c>
    </row>
    <row r="6" spans="1:6">
      <c r="A6" t="s">
        <v>236</v>
      </c>
      <c r="B6">
        <v>405</v>
      </c>
      <c r="C6" s="30">
        <v>0.15</v>
      </c>
      <c r="D6" s="30">
        <v>0.1</v>
      </c>
    </row>
    <row r="7" spans="1:6">
      <c r="A7" t="s">
        <v>237</v>
      </c>
      <c r="B7">
        <v>405</v>
      </c>
      <c r="C7" s="30">
        <v>0.15</v>
      </c>
      <c r="D7" s="30">
        <v>0.1</v>
      </c>
    </row>
    <row r="8" spans="1:6">
      <c r="A8" t="s">
        <v>238</v>
      </c>
      <c r="B8">
        <v>498</v>
      </c>
      <c r="C8" s="30">
        <v>0.15</v>
      </c>
      <c r="D8" s="30">
        <v>0.1</v>
      </c>
    </row>
    <row r="9" spans="1:6">
      <c r="A9" t="s">
        <v>33</v>
      </c>
      <c r="B9">
        <v>559</v>
      </c>
      <c r="C9" s="30">
        <v>0.15</v>
      </c>
      <c r="D9" s="30">
        <v>0.1</v>
      </c>
      <c r="E9">
        <v>20</v>
      </c>
      <c r="F9">
        <v>24</v>
      </c>
    </row>
    <row r="10" spans="1:6">
      <c r="A10" t="s">
        <v>239</v>
      </c>
      <c r="B10">
        <v>559</v>
      </c>
      <c r="C10" s="30">
        <v>0</v>
      </c>
      <c r="D10" s="30">
        <v>0.1</v>
      </c>
      <c r="E10">
        <v>20</v>
      </c>
      <c r="F10">
        <v>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topLeftCell="A7" workbookViewId="0">
      <selection activeCell="C45" sqref="C45"/>
    </sheetView>
  </sheetViews>
  <sheetFormatPr defaultColWidth="9" defaultRowHeight="13.5" outlineLevelCol="2"/>
  <cols>
    <col min="1" max="1" width="9" style="1"/>
    <col min="3" max="3" width="75" customWidth="1"/>
  </cols>
  <sheetData>
    <row r="1" ht="14.25" spans="1:3">
      <c r="A1" s="2" t="s">
        <v>240</v>
      </c>
      <c r="B1" s="3"/>
      <c r="C1" s="4"/>
    </row>
    <row r="2" ht="14.25" spans="1:3">
      <c r="A2" s="5" t="s">
        <v>241</v>
      </c>
      <c r="B2" s="6" t="s">
        <v>242</v>
      </c>
      <c r="C2" s="7" t="s">
        <v>243</v>
      </c>
    </row>
    <row r="3" spans="1:3">
      <c r="A3" s="8">
        <v>1</v>
      </c>
      <c r="B3" s="9">
        <v>1</v>
      </c>
      <c r="C3" s="10" t="s">
        <v>244</v>
      </c>
    </row>
    <row r="4" spans="1:3">
      <c r="A4" s="11"/>
      <c r="B4" s="12">
        <v>2</v>
      </c>
      <c r="C4" s="13" t="s">
        <v>245</v>
      </c>
    </row>
    <row r="5" spans="1:3">
      <c r="A5" s="11"/>
      <c r="B5" s="12">
        <v>3</v>
      </c>
      <c r="C5" s="13" t="s">
        <v>246</v>
      </c>
    </row>
    <row r="6" spans="1:3">
      <c r="A6" s="11"/>
      <c r="B6" s="12">
        <v>4</v>
      </c>
      <c r="C6" s="13" t="s">
        <v>247</v>
      </c>
    </row>
    <row r="7" ht="14.25" spans="1:3">
      <c r="A7" s="14"/>
      <c r="B7" s="15">
        <v>5</v>
      </c>
      <c r="C7" s="16" t="s">
        <v>248</v>
      </c>
    </row>
    <row r="8" ht="14.25" spans="1:3">
      <c r="A8" s="17">
        <v>1.1</v>
      </c>
      <c r="B8" s="18">
        <v>1</v>
      </c>
      <c r="C8" s="19" t="s">
        <v>249</v>
      </c>
    </row>
    <row r="9" ht="14.25" spans="1:3">
      <c r="A9" s="17">
        <v>1.2</v>
      </c>
      <c r="B9" s="18">
        <v>1</v>
      </c>
      <c r="C9" s="19" t="s">
        <v>249</v>
      </c>
    </row>
    <row r="10" ht="14.25" spans="1:3">
      <c r="A10" s="17">
        <v>1.3</v>
      </c>
      <c r="B10" s="18">
        <v>1</v>
      </c>
      <c r="C10" s="19" t="s">
        <v>250</v>
      </c>
    </row>
    <row r="11" ht="14.25" spans="1:3">
      <c r="A11" s="17">
        <v>1.4</v>
      </c>
      <c r="B11" s="18">
        <v>1</v>
      </c>
      <c r="C11" s="19" t="s">
        <v>249</v>
      </c>
    </row>
    <row r="12" spans="1:3">
      <c r="A12" s="8">
        <v>2</v>
      </c>
      <c r="B12" s="9">
        <v>1</v>
      </c>
      <c r="C12" s="10" t="s">
        <v>251</v>
      </c>
    </row>
    <row r="13" ht="14.25" spans="1:3">
      <c r="A13" s="14"/>
      <c r="B13" s="15">
        <v>2</v>
      </c>
      <c r="C13" s="16" t="s">
        <v>252</v>
      </c>
    </row>
    <row r="14" spans="1:3">
      <c r="A14" s="8">
        <v>2.2</v>
      </c>
      <c r="B14" s="9">
        <v>1</v>
      </c>
      <c r="C14" s="10" t="s">
        <v>253</v>
      </c>
    </row>
    <row r="15" spans="1:3">
      <c r="A15" s="11"/>
      <c r="B15" s="12">
        <v>2</v>
      </c>
      <c r="C15" s="13" t="s">
        <v>254</v>
      </c>
    </row>
    <row r="16" ht="14.25" spans="1:3">
      <c r="A16" s="14"/>
      <c r="B16" s="15">
        <v>3</v>
      </c>
      <c r="C16" s="16" t="s">
        <v>255</v>
      </c>
    </row>
    <row r="17" ht="14.25" spans="1:3">
      <c r="A17" s="17">
        <v>2.3</v>
      </c>
      <c r="B17" s="18">
        <v>1</v>
      </c>
      <c r="C17" s="19" t="s">
        <v>256</v>
      </c>
    </row>
    <row r="18" spans="1:3">
      <c r="A18" s="8">
        <v>2.4</v>
      </c>
      <c r="B18" s="9">
        <v>1</v>
      </c>
      <c r="C18" s="10" t="s">
        <v>257</v>
      </c>
    </row>
    <row r="19" ht="14.25" spans="1:3">
      <c r="A19" s="11"/>
      <c r="B19" s="12">
        <v>2</v>
      </c>
      <c r="C19" s="13" t="s">
        <v>258</v>
      </c>
    </row>
    <row r="20" spans="1:3">
      <c r="A20" s="8">
        <v>2.5</v>
      </c>
      <c r="B20" s="9">
        <v>1</v>
      </c>
      <c r="C20" s="10" t="s">
        <v>259</v>
      </c>
    </row>
    <row r="21" spans="1:3">
      <c r="A21" s="11"/>
      <c r="B21" s="12">
        <v>2</v>
      </c>
      <c r="C21" s="13" t="s">
        <v>249</v>
      </c>
    </row>
    <row r="22" ht="14.25" spans="1:3">
      <c r="A22" s="14"/>
      <c r="B22" s="15">
        <v>3</v>
      </c>
      <c r="C22" s="16" t="s">
        <v>260</v>
      </c>
    </row>
    <row r="23" spans="1:3">
      <c r="A23" s="8">
        <v>2.6</v>
      </c>
      <c r="B23" s="9">
        <v>1</v>
      </c>
      <c r="C23" s="10" t="s">
        <v>261</v>
      </c>
    </row>
    <row r="24" ht="14.25" spans="1:3">
      <c r="A24" s="14"/>
      <c r="B24" s="15">
        <v>2</v>
      </c>
      <c r="C24" s="16" t="s">
        <v>262</v>
      </c>
    </row>
    <row r="25" ht="14.25" spans="1:3">
      <c r="A25" s="17">
        <v>2.7</v>
      </c>
      <c r="B25" s="18">
        <v>1</v>
      </c>
      <c r="C25" s="19" t="s">
        <v>263</v>
      </c>
    </row>
    <row r="26" ht="14.25" spans="1:3">
      <c r="A26" s="17">
        <v>2.8</v>
      </c>
      <c r="B26" s="18">
        <v>1</v>
      </c>
      <c r="C26" s="19" t="s">
        <v>264</v>
      </c>
    </row>
    <row r="27" ht="14.25" spans="1:3">
      <c r="A27" s="17">
        <v>2.9</v>
      </c>
      <c r="B27" s="18">
        <v>1</v>
      </c>
      <c r="C27" s="19" t="s">
        <v>249</v>
      </c>
    </row>
    <row r="28" spans="1:3">
      <c r="A28" s="20">
        <v>2.1</v>
      </c>
      <c r="B28" s="9">
        <v>1</v>
      </c>
      <c r="C28" s="10" t="s">
        <v>255</v>
      </c>
    </row>
    <row r="29" ht="14.25" spans="1:3">
      <c r="A29" s="21"/>
      <c r="B29" s="12">
        <v>2</v>
      </c>
      <c r="C29" s="13" t="s">
        <v>265</v>
      </c>
    </row>
    <row r="30" ht="14.25" spans="1:3">
      <c r="A30" s="20">
        <v>2.11</v>
      </c>
      <c r="B30" s="9">
        <v>1</v>
      </c>
      <c r="C30" s="22" t="s">
        <v>266</v>
      </c>
    </row>
    <row r="31" spans="1:3">
      <c r="A31" s="8">
        <v>3</v>
      </c>
      <c r="B31" s="9">
        <v>1</v>
      </c>
      <c r="C31" s="10" t="s">
        <v>267</v>
      </c>
    </row>
    <row r="32" spans="1:3">
      <c r="A32" s="11"/>
      <c r="B32" s="12">
        <v>2</v>
      </c>
      <c r="C32" s="13" t="s">
        <v>268</v>
      </c>
    </row>
    <row r="33" ht="14.25" spans="1:3">
      <c r="A33" s="14"/>
      <c r="B33" s="15">
        <v>3</v>
      </c>
      <c r="C33" s="16" t="s">
        <v>269</v>
      </c>
    </row>
    <row r="34" ht="14.25" spans="1:3">
      <c r="A34" s="17">
        <v>3.1</v>
      </c>
      <c r="B34" s="18">
        <v>1</v>
      </c>
      <c r="C34" s="19" t="s">
        <v>270</v>
      </c>
    </row>
    <row r="35" ht="14.25" spans="1:3">
      <c r="A35" s="8">
        <v>4</v>
      </c>
      <c r="B35" s="9">
        <v>1</v>
      </c>
      <c r="C35" s="10" t="s">
        <v>271</v>
      </c>
    </row>
    <row r="36" spans="1:3">
      <c r="A36" s="8">
        <v>4.1</v>
      </c>
      <c r="B36" s="6">
        <v>1</v>
      </c>
      <c r="C36" s="23" t="s">
        <v>272</v>
      </c>
    </row>
    <row r="37" spans="1:3">
      <c r="A37" s="11"/>
      <c r="B37" s="24">
        <v>2</v>
      </c>
      <c r="C37" s="25" t="s">
        <v>273</v>
      </c>
    </row>
    <row r="38" ht="14.25" spans="1:3">
      <c r="A38" s="14"/>
      <c r="B38" s="26">
        <v>3</v>
      </c>
      <c r="C38" s="27" t="s">
        <v>274</v>
      </c>
    </row>
    <row r="39" ht="14.25" spans="1:3">
      <c r="A39" s="17">
        <v>4.2</v>
      </c>
      <c r="B39" s="28">
        <v>1</v>
      </c>
      <c r="C39" s="29" t="s">
        <v>275</v>
      </c>
    </row>
    <row r="40" ht="14.25" spans="1:3">
      <c r="A40" s="17">
        <v>4.3</v>
      </c>
      <c r="B40" s="28">
        <v>1</v>
      </c>
      <c r="C40" s="29" t="s">
        <v>276</v>
      </c>
    </row>
    <row r="41" ht="14.25" spans="1:3">
      <c r="A41" s="17">
        <v>4.4</v>
      </c>
      <c r="B41" s="28">
        <v>1</v>
      </c>
      <c r="C41" s="29" t="s">
        <v>277</v>
      </c>
    </row>
    <row r="42" ht="14.25" spans="1:3">
      <c r="A42" s="17">
        <v>5</v>
      </c>
      <c r="B42" s="18">
        <v>1</v>
      </c>
      <c r="C42" s="29" t="s">
        <v>278</v>
      </c>
    </row>
  </sheetData>
  <mergeCells count="10">
    <mergeCell ref="A1:C1"/>
    <mergeCell ref="A3:A7"/>
    <mergeCell ref="A12:A13"/>
    <mergeCell ref="A14:A16"/>
    <mergeCell ref="A18:A19"/>
    <mergeCell ref="A20:A22"/>
    <mergeCell ref="A23:A24"/>
    <mergeCell ref="A28:A29"/>
    <mergeCell ref="A31:A33"/>
    <mergeCell ref="A36:A38"/>
  </mergeCells>
  <hyperlinks>
    <hyperlink ref="A1" r:id="rId1" display="bilibili@片雲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对比工具</vt:lpstr>
      <vt:lpstr>武器奇术</vt:lpstr>
      <vt:lpstr>目标属性</vt:lpstr>
      <vt:lpstr>版本日志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2025-01-24T10:16:00Z</dcterms:created>
  <dcterms:modified xsi:type="dcterms:W3CDTF">2026-05-08T18:29:13Z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1D1EAEC01CB24D77AE63DF3DFA426BFA_13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